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117" firstSheet="0" activeTab="0" autoFilterDateGrouping="1"/>
  </bookViews>
  <sheets>
    <sheet xmlns:r="http://schemas.openxmlformats.org/officeDocument/2006/relationships" name="最新流水" sheetId="1" state="visible" r:id="rId1"/>
    <sheet xmlns:r="http://schemas.openxmlformats.org/officeDocument/2006/relationships" name="开奖记录" sheetId="2" state="visible" r:id="rId2"/>
    <sheet xmlns:r="http://schemas.openxmlformats.org/officeDocument/2006/relationships" name="智能流水" sheetId="3" state="visible" r:id="rId3"/>
    <sheet xmlns:r="http://schemas.openxmlformats.org/officeDocument/2006/relationships" name="全年加5验算" sheetId="4" state="visible" r:id="rId4"/>
    <sheet xmlns:r="http://schemas.openxmlformats.org/officeDocument/2006/relationships" name="全年八肖验算" sheetId="5" state="visible" r:id="rId5"/>
    <sheet xmlns:r="http://schemas.openxmlformats.org/officeDocument/2006/relationships" name="统计看板" sheetId="6" state="visible" r:id="rId6"/>
    <sheet xmlns:r="http://schemas.openxmlformats.org/officeDocument/2006/relationships" name="使用说明" sheetId="7" state="visible" r:id="rId7"/>
    <sheet xmlns:r="http://schemas.openxmlformats.org/officeDocument/2006/relationships" name="原始Sheet1" sheetId="8" state="visible" r:id="rId8"/>
    <sheet xmlns:r="http://schemas.openxmlformats.org/officeDocument/2006/relationships" name="原始Sheet2" sheetId="9" state="visible" r:id="rId9"/>
    <sheet xmlns:r="http://schemas.openxmlformats.org/officeDocument/2006/relationships" name="规律参数" sheetId="10" state="hidden" r:id="rId10"/>
    <sheet xmlns:r="http://schemas.openxmlformats.org/officeDocument/2006/relationships" name="八肖参数" sheetId="11" state="hidden" r:id="rId11"/>
  </sheets>
  <definedNames>
    <definedName name="_xlnm._FilterDatabase" localSheetId="0" hidden="1">'最新流水'!$A$1:$O$1001</definedName>
    <definedName name="_xlnm._FilterDatabase" localSheetId="1" hidden="1">'开奖记录'!$A$1:$L$199</definedName>
    <definedName name="_xlnm._FilterDatabase" localSheetId="2" hidden="1">'智能流水'!$A$1:$O$1001</definedName>
    <definedName name="_xlnm._FilterDatabase" localSheetId="3" hidden="1">'全年加5验算'!$A$1:$I$367</definedName>
    <definedName name="_xlnm._FilterDatabase" localSheetId="4" hidden="1">'全年八肖验算'!$A$1:$F$367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5">
    <font>
      <name val="微软雅黑"/>
      <charset val="134"/>
      <color theme="1"/>
      <sz val="11"/>
    </font>
    <font>
      <name val="微软雅黑"/>
      <charset val="134"/>
      <color theme="1"/>
      <sz val="11"/>
    </font>
    <font>
      <name val="微软雅黑"/>
      <charset val="0"/>
      <color theme="1"/>
      <sz val="11"/>
    </font>
    <font>
      <name val="微软雅黑"/>
      <charset val="0"/>
      <color theme="0"/>
      <sz val="11"/>
    </font>
    <font>
      <name val="微软雅黑"/>
      <charset val="0"/>
      <b val="1"/>
      <color rgb="FFFFFFFF"/>
      <sz val="11"/>
    </font>
    <font>
      <name val="微软雅黑"/>
      <charset val="134"/>
      <b val="1"/>
      <color theme="3"/>
      <sz val="11"/>
    </font>
    <font>
      <name val="微软雅黑"/>
      <charset val="0"/>
      <b val="1"/>
      <color theme="1"/>
      <sz val="11"/>
    </font>
    <font>
      <name val="微软雅黑"/>
      <charset val="0"/>
      <color rgb="FF0000FF"/>
      <sz val="11"/>
      <u val="single"/>
    </font>
    <font>
      <name val="微软雅黑"/>
      <charset val="0"/>
      <color rgb="FFFF0000"/>
      <sz val="11"/>
    </font>
    <font>
      <name val="微软雅黑"/>
      <charset val="0"/>
      <color rgb="FF800080"/>
      <sz val="11"/>
      <u val="single"/>
    </font>
    <font>
      <name val="微软雅黑"/>
      <charset val="0"/>
      <b val="1"/>
      <color rgb="FFFA7D00"/>
      <sz val="11"/>
    </font>
    <font>
      <name val="微软雅黑"/>
      <charset val="0"/>
      <i val="1"/>
      <color rgb="FF7F7F7F"/>
      <sz val="11"/>
    </font>
    <font>
      <name val="微软雅黑"/>
      <charset val="0"/>
      <b val="1"/>
      <color rgb="FF3F3F3F"/>
      <sz val="11"/>
    </font>
    <font>
      <name val="微软雅黑"/>
      <charset val="134"/>
      <b val="1"/>
      <color theme="3"/>
      <sz val="13"/>
    </font>
    <font>
      <name val="微软雅黑"/>
      <charset val="134"/>
      <b val="1"/>
      <color theme="3"/>
      <sz val="15"/>
    </font>
    <font>
      <name val="微软雅黑"/>
      <charset val="0"/>
      <color rgb="FF9C6500"/>
      <sz val="11"/>
    </font>
    <font>
      <name val="微软雅黑"/>
      <charset val="134"/>
      <b val="1"/>
      <color theme="3"/>
      <sz val="18"/>
    </font>
    <font>
      <name val="微软雅黑"/>
      <charset val="0"/>
      <color rgb="FF9C0006"/>
      <sz val="11"/>
    </font>
    <font>
      <name val="微软雅黑"/>
      <charset val="0"/>
      <color rgb="FF006100"/>
      <sz val="11"/>
    </font>
    <font>
      <name val="微软雅黑"/>
      <charset val="0"/>
      <color rgb="FFFA7D00"/>
      <sz val="11"/>
    </font>
    <font>
      <name val="微软雅黑"/>
      <charset val="0"/>
      <color rgb="FF3F3F76"/>
      <sz val="11"/>
    </font>
    <font>
      <name val="微软雅黑"/>
      <charset val="134"/>
      <color theme="1"/>
      <sz val="11"/>
    </font>
    <font>
      <name val="微软雅黑"/>
      <b val="1"/>
      <color rgb="00FFFFFF"/>
    </font>
    <font>
      <name val="微软雅黑"/>
      <b val="1"/>
      <color rgb="00FFFFFF"/>
      <sz val="20"/>
    </font>
    <font>
      <name val="微软雅黑"/>
      <b val="1"/>
    </font>
    <font>
      <name val="微软雅黑"/>
      <b val="1"/>
      <color rgb="00FFFFFF"/>
      <sz val="18"/>
    </font>
    <font>
      <name val="微软雅黑"/>
      <charset val="134"/>
      <color theme="1"/>
      <sz val="11"/>
    </font>
    <font>
      <name val="微软雅黑"/>
      <charset val="0"/>
      <color theme="0"/>
      <sz val="11"/>
    </font>
    <font>
      <name val="微软雅黑"/>
      <charset val="0"/>
      <color theme="1"/>
      <sz val="11"/>
    </font>
    <font>
      <name val="微软雅黑"/>
      <charset val="0"/>
      <color rgb="FF3F3F76"/>
      <sz val="11"/>
    </font>
    <font>
      <name val="微软雅黑"/>
      <charset val="0"/>
      <b val="1"/>
      <color rgb="FFFA7D00"/>
      <sz val="11"/>
    </font>
    <font>
      <name val="微软雅黑"/>
      <charset val="0"/>
      <color rgb="FF9C6500"/>
      <sz val="11"/>
    </font>
    <font>
      <name val="微软雅黑"/>
      <charset val="0"/>
      <color rgb="FF006100"/>
      <sz val="11"/>
    </font>
    <font>
      <name val="微软雅黑"/>
      <charset val="0"/>
      <b val="1"/>
      <color theme="1"/>
      <sz val="11"/>
    </font>
    <font>
      <name val="微软雅黑"/>
      <charset val="0"/>
      <color rgb="FF9C0006"/>
      <sz val="11"/>
    </font>
    <font>
      <name val="微软雅黑"/>
      <charset val="0"/>
      <b val="1"/>
      <color rgb="FFFFFFFF"/>
      <sz val="11"/>
    </font>
    <font>
      <name val="微软雅黑"/>
      <charset val="0"/>
      <b val="1"/>
      <color rgb="FF3F3F3F"/>
      <sz val="11"/>
    </font>
    <font>
      <name val="微软雅黑"/>
      <charset val="134"/>
      <b val="1"/>
      <color theme="3"/>
      <sz val="15"/>
    </font>
    <font>
      <name val="微软雅黑"/>
      <charset val="0"/>
      <i val="1"/>
      <color rgb="FF7F7F7F"/>
      <sz val="11"/>
    </font>
    <font>
      <name val="微软雅黑"/>
      <charset val="134"/>
      <b val="1"/>
      <color theme="3"/>
      <sz val="11"/>
    </font>
    <font>
      <name val="微软雅黑"/>
      <charset val="0"/>
      <color rgb="FF800080"/>
      <sz val="11"/>
      <u val="single"/>
    </font>
    <font>
      <name val="微软雅黑"/>
      <charset val="134"/>
      <b val="1"/>
      <color theme="3"/>
      <sz val="18"/>
    </font>
    <font>
      <name val="微软雅黑"/>
      <charset val="0"/>
      <color rgb="FFFF0000"/>
      <sz val="11"/>
    </font>
    <font>
      <name val="微软雅黑"/>
      <charset val="0"/>
      <color rgb="FF0000FF"/>
      <sz val="11"/>
      <u val="single"/>
    </font>
    <font>
      <name val="微软雅黑"/>
      <charset val="134"/>
      <b val="1"/>
      <color theme="3"/>
      <sz val="13"/>
    </font>
    <font>
      <name val="微软雅黑"/>
      <charset val="0"/>
      <color rgb="FFFA7D00"/>
      <sz val="11"/>
    </font>
    <font>
      <name val="微软雅黑"/>
      <b val="1"/>
      <color rgb="00FFFFFF"/>
      <sz val="11"/>
    </font>
    <font>
      <name val="微软雅黑"/>
      <charset val="134"/>
      <color theme="1"/>
      <sz val="10.5"/>
    </font>
    <font>
      <name val="微软雅黑"/>
      <b val="1"/>
      <color rgb="001F4E78"/>
      <sz val="10.5"/>
    </font>
    <font>
      <name val="微软雅黑"/>
      <b val="1"/>
      <color rgb="00FFFFFF"/>
      <sz val="20"/>
    </font>
    <font>
      <name val="微软雅黑"/>
      <b val="1"/>
      <color rgb="001F4E78"/>
      <sz val="11"/>
    </font>
    <font>
      <name val="微软雅黑"/>
      <b val="1"/>
      <color rgb="0025364A"/>
      <sz val="12"/>
    </font>
    <font>
      <name val="微软雅黑"/>
      <b val="1"/>
      <color rgb="0025364A"/>
      <sz val="11"/>
    </font>
    <font>
      <name val="微软雅黑"/>
      <b val="1"/>
      <color rgb="00FFFFFF"/>
      <sz val="18"/>
    </font>
    <font>
      <name val="微软雅黑"/>
      <color rgb="0025364A"/>
      <sz val="11"/>
    </font>
  </fonts>
  <fills count="4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2F75B5"/>
      </patternFill>
    </fill>
    <fill>
      <patternFill patternType="solid">
        <fgColor rgb="00EEF5FB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bottom style="medium">
        <color rgb="002F75B5"/>
      </bottom>
    </border>
    <border>
      <bottom style="hair">
        <color rgb="00D7E1EA"/>
      </bottom>
    </border>
    <border>
      <left style="thin">
        <color rgb="00D7E1EA"/>
      </left>
      <right style="thin">
        <color rgb="00D7E1EA"/>
      </right>
      <top style="thin">
        <color rgb="00D7E1EA"/>
      </top>
      <bottom style="thin">
        <color rgb="00D7E1EA"/>
      </bottom>
    </border>
  </borders>
  <cellStyleXfs count="49">
    <xf numFmtId="0" fontId="26" fillId="0" borderId="0" applyAlignment="1">
      <alignment vertical="center"/>
    </xf>
    <xf numFmtId="0" fontId="27" fillId="35" borderId="0" applyAlignment="1">
      <alignment vertical="center"/>
    </xf>
    <xf numFmtId="0" fontId="28" fillId="21" borderId="0" applyAlignment="1">
      <alignment vertical="center"/>
    </xf>
    <xf numFmtId="0" fontId="27" fillId="4" borderId="0" applyAlignment="1">
      <alignment vertical="center"/>
    </xf>
    <xf numFmtId="0" fontId="29" fillId="40" borderId="5" applyAlignment="1">
      <alignment vertical="center"/>
    </xf>
    <xf numFmtId="0" fontId="28" fillId="26" borderId="0" applyAlignment="1">
      <alignment vertical="center"/>
    </xf>
    <xf numFmtId="0" fontId="28" fillId="18" borderId="0" applyAlignment="1">
      <alignment vertical="center"/>
    </xf>
    <xf numFmtId="44" fontId="26" fillId="0" borderId="0" applyAlignment="1">
      <alignment vertical="center"/>
    </xf>
    <xf numFmtId="0" fontId="27" fillId="27" borderId="0" applyAlignment="1">
      <alignment vertical="center"/>
    </xf>
    <xf numFmtId="9" fontId="26" fillId="0" borderId="0" applyAlignment="1">
      <alignment vertical="center"/>
    </xf>
    <xf numFmtId="0" fontId="27" fillId="37" borderId="0" applyAlignment="1">
      <alignment vertical="center"/>
    </xf>
    <xf numFmtId="0" fontId="27" fillId="33" borderId="0" applyAlignment="1">
      <alignment vertical="center"/>
    </xf>
    <xf numFmtId="0" fontId="27" fillId="32" borderId="0" applyAlignment="1">
      <alignment vertical="center"/>
    </xf>
    <xf numFmtId="0" fontId="27" fillId="39" borderId="0" applyAlignment="1">
      <alignment vertical="center"/>
    </xf>
    <xf numFmtId="0" fontId="27" fillId="29" borderId="0" applyAlignment="1">
      <alignment vertical="center"/>
    </xf>
    <xf numFmtId="0" fontId="30" fillId="24" borderId="5" applyAlignment="1">
      <alignment vertical="center"/>
    </xf>
    <xf numFmtId="0" fontId="27" fillId="6" borderId="0" applyAlignment="1">
      <alignment vertical="center"/>
    </xf>
    <xf numFmtId="0" fontId="31" fillId="30" borderId="0" applyAlignment="1">
      <alignment vertical="center"/>
    </xf>
    <xf numFmtId="0" fontId="28" fillId="16" borderId="0" applyAlignment="1">
      <alignment vertical="center"/>
    </xf>
    <xf numFmtId="0" fontId="32" fillId="36" borderId="0" applyAlignment="1">
      <alignment vertical="center"/>
    </xf>
    <xf numFmtId="0" fontId="28" fillId="28" borderId="0" applyAlignment="1">
      <alignment vertical="center"/>
    </xf>
    <xf numFmtId="0" fontId="33" fillId="0" borderId="3" applyAlignment="1">
      <alignment vertical="center"/>
    </xf>
    <xf numFmtId="0" fontId="34" fillId="34" borderId="0" applyAlignment="1">
      <alignment vertical="center"/>
    </xf>
    <xf numFmtId="0" fontId="35" fillId="14" borderId="1" applyAlignment="1">
      <alignment vertical="center"/>
    </xf>
    <xf numFmtId="0" fontId="36" fillId="24" borderId="6" applyAlignment="1">
      <alignment vertical="center"/>
    </xf>
    <xf numFmtId="0" fontId="37" fillId="0" borderId="7" applyAlignment="1">
      <alignment vertical="center"/>
    </xf>
    <xf numFmtId="0" fontId="38" fillId="0" borderId="0" applyAlignment="1">
      <alignment vertical="center"/>
    </xf>
    <xf numFmtId="0" fontId="28" fillId="23" borderId="0" applyAlignment="1">
      <alignment vertical="center"/>
    </xf>
    <xf numFmtId="0" fontId="39" fillId="0" borderId="0" applyAlignment="1">
      <alignment vertical="center"/>
    </xf>
    <xf numFmtId="42" fontId="26" fillId="0" borderId="0" applyAlignment="1">
      <alignment vertical="center"/>
    </xf>
    <xf numFmtId="0" fontId="28" fillId="38" borderId="0" applyAlignment="1">
      <alignment vertical="center"/>
    </xf>
    <xf numFmtId="43" fontId="26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28" fillId="20" borderId="0" applyAlignment="1">
      <alignment vertical="center"/>
    </xf>
    <xf numFmtId="0" fontId="42" fillId="0" borderId="0" applyAlignment="1">
      <alignment vertical="center"/>
    </xf>
    <xf numFmtId="0" fontId="27" fillId="31" borderId="0" applyAlignment="1">
      <alignment vertical="center"/>
    </xf>
    <xf numFmtId="0" fontId="26" fillId="22" borderId="4" applyAlignment="1">
      <alignment vertical="center"/>
    </xf>
    <xf numFmtId="0" fontId="28" fillId="17" borderId="0" applyAlignment="1">
      <alignment vertical="center"/>
    </xf>
    <xf numFmtId="0" fontId="27" fillId="25" borderId="0" applyAlignment="1">
      <alignment vertical="center"/>
    </xf>
    <xf numFmtId="0" fontId="28" fillId="19" borderId="0" applyAlignment="1">
      <alignment vertical="center"/>
    </xf>
    <xf numFmtId="0" fontId="43" fillId="0" borderId="0" applyAlignment="1">
      <alignment vertical="center"/>
    </xf>
    <xf numFmtId="41" fontId="26" fillId="0" borderId="0" applyAlignment="1">
      <alignment vertical="center"/>
    </xf>
    <xf numFmtId="0" fontId="44" fillId="0" borderId="7" applyAlignment="1">
      <alignment vertical="center"/>
    </xf>
    <xf numFmtId="0" fontId="28" fillId="15" borderId="0" applyAlignment="1">
      <alignment vertical="center"/>
    </xf>
    <xf numFmtId="0" fontId="39" fillId="0" borderId="2" applyAlignment="1">
      <alignment vertical="center"/>
    </xf>
    <xf numFmtId="0" fontId="27" fillId="13" borderId="0" applyAlignment="1">
      <alignment vertical="center"/>
    </xf>
    <xf numFmtId="0" fontId="28" fillId="12" borderId="0" applyAlignment="1">
      <alignment vertical="center"/>
    </xf>
    <xf numFmtId="0" fontId="45" fillId="0" borderId="8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41" borderId="0" applyAlignment="1" pivotButton="0" quotePrefix="0" xfId="0">
      <alignment horizontal="center" vertical="center"/>
    </xf>
    <xf numFmtId="0" fontId="23" fillId="41" borderId="0" applyAlignment="1" pivotButton="0" quotePrefix="0" xfId="0">
      <alignment horizontal="center" vertical="center"/>
    </xf>
    <xf numFmtId="0" fontId="24" fillId="42" borderId="0" pivotButton="0" quotePrefix="0" xfId="0"/>
    <xf numFmtId="4" fontId="0" fillId="0" borderId="0" pivotButton="0" quotePrefix="0" xfId="0"/>
    <xf numFmtId="0" fontId="22" fillId="41" borderId="0" pivotButton="0" quotePrefix="0" xfId="0"/>
    <xf numFmtId="10" fontId="0" fillId="0" borderId="0" pivotButton="0" quotePrefix="0" xfId="0"/>
    <xf numFmtId="0" fontId="25" fillId="41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46" fillId="41" borderId="9" applyAlignment="1" pivotButton="0" quotePrefix="0" xfId="0">
      <alignment horizontal="center" vertical="center" wrapText="1"/>
    </xf>
    <xf numFmtId="0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left" vertical="center"/>
    </xf>
    <xf numFmtId="164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left" vertical="center" wrapText="1"/>
    </xf>
    <xf numFmtId="0" fontId="48" fillId="0" borderId="10" applyAlignment="1" pivotButton="0" quotePrefix="0" xfId="0">
      <alignment horizontal="center" vertical="center"/>
    </xf>
    <xf numFmtId="0" fontId="49" fillId="41" borderId="0" applyAlignment="1" pivotButton="0" quotePrefix="0" xfId="0">
      <alignment horizontal="center" vertical="center"/>
    </xf>
    <xf numFmtId="0" fontId="50" fillId="42" borderId="11" applyAlignment="1" pivotButton="0" quotePrefix="0" xfId="0">
      <alignment horizontal="left" vertical="center"/>
    </xf>
    <xf numFmtId="4" fontId="51" fillId="43" borderId="11" applyAlignment="1" pivotButton="0" quotePrefix="0" xfId="0">
      <alignment horizontal="right" vertical="center"/>
    </xf>
    <xf numFmtId="0" fontId="46" fillId="44" borderId="0" applyAlignment="1" pivotButton="0" quotePrefix="0" xfId="0">
      <alignment horizontal="center" vertical="center"/>
    </xf>
    <xf numFmtId="0" fontId="48" fillId="45" borderId="11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10" fontId="51" fillId="43" borderId="11" applyAlignment="1" pivotButton="0" quotePrefix="0" xfId="0">
      <alignment horizontal="right" vertical="center"/>
    </xf>
    <xf numFmtId="0" fontId="53" fillId="41" borderId="0" applyAlignment="1" pivotButton="0" quotePrefix="0" xfId="0">
      <alignment horizontal="left" vertical="center"/>
    </xf>
    <xf numFmtId="0" fontId="54" fillId="45" borderId="0" applyAlignment="1" pivotButton="0" quotePrefix="0" xfId="0">
      <alignment horizontal="left" vertical="center" wrapText="1"/>
    </xf>
    <xf numFmtId="0" fontId="54" fillId="43" borderId="0" applyAlignment="1" pivotButton="0" quotePrefix="0" xfId="0">
      <alignment horizontal="left" vertical="center" wrapText="1"/>
    </xf>
    <xf numFmtId="0" fontId="47" fillId="0" borderId="0" applyAlignment="1" pivotButton="0" quotePrefix="0" xfId="0">
      <alignment horizontal="center" vertical="center"/>
    </xf>
    <xf numFmtId="0" fontId="47" fillId="5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center" vertical="center"/>
    </xf>
    <xf numFmtId="0" fontId="47" fillId="6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center"/>
    </xf>
    <xf numFmtId="0" fontId="47" fillId="4" borderId="0" applyAlignment="1" pivotButton="0" quotePrefix="0" xfId="0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92D050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智能流水表" displayName="智能流水表" ref="A1:Q1001" headerRowCount="1">
  <autoFilter ref="A1:M1001"/>
  <tableColumns count="13">
    <tableColumn id="1" name="序号"/>
    <tableColumn id="2" name="期号"/>
    <tableColumn id="3" name="原始记录"/>
    <tableColumn id="4" name="投注生肖"/>
    <tableColumn id="5" name="投注号码"/>
    <tableColumn id="6" name="盈利"/>
    <tableColumn id="7" name="亏损"/>
    <tableColumn id="8" name="净额"/>
    <tableColumn id="9" name="开奖时间"/>
    <tableColumn id="10" name="实际特码"/>
    <tableColumn id="11" name="实际生肖"/>
    <tableColumn id="12" name="自动结果"/>
    <tableColumn id="13" name="备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/>
  </sheetPr>
  <dimension ref="A1:O1001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8" customWidth="1" style="21" min="1" max="1"/>
    <col width="13" customWidth="1" style="21" min="2" max="2"/>
    <col width="16" customWidth="1" style="21" min="3" max="3"/>
    <col width="11" customWidth="1" style="21" min="4" max="4"/>
    <col width="11" customWidth="1" style="21" min="5" max="5"/>
    <col width="12" customWidth="1" style="21" min="6" max="6"/>
    <col width="12" customWidth="1" style="21" min="7" max="7"/>
    <col width="12" customWidth="1" style="21" min="8" max="8"/>
    <col width="21" customWidth="1" style="21" min="9" max="9"/>
    <col width="11" customWidth="1" style="21" min="10" max="10"/>
    <col width="11" customWidth="1" style="21" min="11" max="11"/>
    <col width="11" customWidth="1" style="21" min="12" max="12"/>
    <col width="28" customWidth="1" style="21" min="13" max="13"/>
    <col width="24" customWidth="1" style="21" min="14" max="14"/>
    <col width="12" customWidth="1" style="21" min="15" max="15"/>
    <col width="22" customWidth="1" style="21" min="16" max="16"/>
    <col width="12" customWidth="1" style="21" min="17" max="17"/>
  </cols>
  <sheetData>
    <row r="1" ht="30" customHeight="1" s="21">
      <c r="A1" s="31" t="inlineStr">
        <is>
          <t>序号</t>
        </is>
      </c>
      <c r="B1" s="31" t="inlineStr">
        <is>
          <t>期号</t>
        </is>
      </c>
      <c r="C1" s="31" t="inlineStr">
        <is>
          <t>原始记录</t>
        </is>
      </c>
      <c r="D1" s="31" t="inlineStr">
        <is>
          <t>命中金额</t>
        </is>
      </c>
      <c r="E1" s="31" t="inlineStr">
        <is>
          <t>亏损金额</t>
        </is>
      </c>
      <c r="F1" s="31" t="inlineStr">
        <is>
          <t>净额</t>
        </is>
      </c>
      <c r="G1" s="31" t="inlineStr">
        <is>
          <t>开奖时间</t>
        </is>
      </c>
      <c r="H1" s="31" t="inlineStr">
        <is>
          <t>实际特码</t>
        </is>
      </c>
      <c r="I1" s="31" t="inlineStr">
        <is>
          <t>实际生肖</t>
        </is>
      </c>
      <c r="J1" s="31" t="inlineStr">
        <is>
          <t>自动结果</t>
        </is>
      </c>
      <c r="K1" s="31" t="inlineStr">
        <is>
          <t>备注</t>
        </is>
      </c>
      <c r="L1" s="31" t="inlineStr">
        <is>
          <t>平码+5建议</t>
        </is>
      </c>
      <c r="M1" s="31" t="inlineStr">
        <is>
          <t>加5验算</t>
        </is>
      </c>
      <c r="N1" s="31" t="inlineStr">
        <is>
          <t>八肖建议</t>
        </is>
      </c>
      <c r="O1" s="31" t="inlineStr">
        <is>
          <t>八肖验算</t>
        </is>
      </c>
    </row>
    <row r="2" ht="23" customHeight="1" s="21">
      <c r="A2" s="32">
        <f>IF($B2="","",1)</f>
        <v/>
      </c>
      <c r="B2" s="32">
        <f>IFERROR(LARGE(智能流水!$B$2:$B$1001,1),"")</f>
        <v/>
      </c>
      <c r="C2" s="33">
        <f>IF($B2="","",IFERROR(INDEX(智能流水!$C$2:$C$1001,MATCH($B2,智能流水!$B$2:$B$1001,0)),""))</f>
        <v/>
      </c>
      <c r="D2" s="34">
        <f>IF($B2="","",IFERROR(INDEX(智能流水!$D$2:$D$1001,MATCH($B2,智能流水!$B$2:$B$1001,0)),""))</f>
        <v/>
      </c>
      <c r="E2" s="34">
        <f>IF($B2="","",IFERROR(INDEX(智能流水!$E$2:$E$1001,MATCH($B2,智能流水!$B$2:$B$1001,0)),""))</f>
        <v/>
      </c>
      <c r="F2" s="34">
        <f>IF($B2="","",IFERROR(INDEX(智能流水!$F$2:$F$1001,MATCH($B2,智能流水!$B$2:$B$1001,0)),""))</f>
        <v/>
      </c>
      <c r="G2" s="32">
        <f>IF($B2="","",IFERROR(INDEX(智能流水!$G$2:$G$1001,MATCH($B2,智能流水!$B$2:$B$1001,0)),""))</f>
        <v/>
      </c>
      <c r="H2" s="32">
        <f>IF($B2="","",IFERROR(INDEX(智能流水!$H$2:$H$1001,MATCH($B2,智能流水!$B$2:$B$1001,0)),""))</f>
        <v/>
      </c>
      <c r="I2" s="32">
        <f>IF($B2="","",IFERROR(INDEX(智能流水!$I$2:$I$1001,MATCH($B2,智能流水!$B$2:$B$1001,0)),""))</f>
        <v/>
      </c>
      <c r="J2" s="32">
        <f>IF($B2="","",IFERROR(INDEX(智能流水!$J$2:$J$1001,MATCH($B2,智能流水!$B$2:$B$1001,0)),""))</f>
        <v/>
      </c>
      <c r="K2" s="35">
        <f>IF($B2="","",IFERROR(INDEX(智能流水!$K$2:$K$1001,MATCH($B2,智能流水!$B$2:$B$1001,0)),""))</f>
        <v/>
      </c>
      <c r="L2" s="32">
        <f>IF($B2="","",IFERROR(INDEX(智能流水!$L$2:$L$1001,MATCH($B2,智能流水!$B$2:$B$1001,0)),""))</f>
        <v/>
      </c>
      <c r="M2" s="32">
        <f>IF($B2="","",IFERROR(INDEX(智能流水!$M$2:$M$1001,MATCH($B2,智能流水!$B$2:$B$1001,0)),""))</f>
        <v/>
      </c>
      <c r="N2" s="32">
        <f>IF($B2="","",IFERROR(INDEX(智能流水!$N$2:$N$1001,MATCH($B2,智能流水!$B$2:$B$1001,0)),""))</f>
        <v/>
      </c>
      <c r="O2" s="32">
        <f>IF($B2="","",IFERROR(INDEX(智能流水!$O$2:$O$1001,MATCH($B2,智能流水!$B$2:$B$1001,0)),""))</f>
        <v/>
      </c>
    </row>
    <row r="3" ht="23" customHeight="1" s="21">
      <c r="A3" s="32">
        <f>IF($B3="","",2)</f>
        <v/>
      </c>
      <c r="B3" s="32">
        <f>IFERROR(LARGE(智能流水!$B$2:$B$1001,2),"")</f>
        <v/>
      </c>
      <c r="C3" s="33">
        <f>IF($B3="","",IFERROR(INDEX(智能流水!$C$2:$C$1001,MATCH($B3,智能流水!$B$2:$B$1001,0)),""))</f>
        <v/>
      </c>
      <c r="D3" s="34">
        <f>IF($B3="","",IFERROR(INDEX(智能流水!$D$2:$D$1001,MATCH($B3,智能流水!$B$2:$B$1001,0)),""))</f>
        <v/>
      </c>
      <c r="E3" s="34">
        <f>IF($B3="","",IFERROR(INDEX(智能流水!$E$2:$E$1001,MATCH($B3,智能流水!$B$2:$B$1001,0)),""))</f>
        <v/>
      </c>
      <c r="F3" s="34">
        <f>IF($B3="","",IFERROR(INDEX(智能流水!$F$2:$F$1001,MATCH($B3,智能流水!$B$2:$B$1001,0)),""))</f>
        <v/>
      </c>
      <c r="G3" s="32">
        <f>IF($B3="","",IFERROR(INDEX(智能流水!$G$2:$G$1001,MATCH($B3,智能流水!$B$2:$B$1001,0)),""))</f>
        <v/>
      </c>
      <c r="H3" s="32">
        <f>IF($B3="","",IFERROR(INDEX(智能流水!$H$2:$H$1001,MATCH($B3,智能流水!$B$2:$B$1001,0)),""))</f>
        <v/>
      </c>
      <c r="I3" s="32">
        <f>IF($B3="","",IFERROR(INDEX(智能流水!$I$2:$I$1001,MATCH($B3,智能流水!$B$2:$B$1001,0)),""))</f>
        <v/>
      </c>
      <c r="J3" s="32">
        <f>IF($B3="","",IFERROR(INDEX(智能流水!$J$2:$J$1001,MATCH($B3,智能流水!$B$2:$B$1001,0)),""))</f>
        <v/>
      </c>
      <c r="K3" s="35">
        <f>IF($B3="","",IFERROR(INDEX(智能流水!$K$2:$K$1001,MATCH($B3,智能流水!$B$2:$B$1001,0)),""))</f>
        <v/>
      </c>
      <c r="L3" s="32">
        <f>IF($B3="","",IFERROR(INDEX(智能流水!$L$2:$L$1001,MATCH($B3,智能流水!$B$2:$B$1001,0)),""))</f>
        <v/>
      </c>
      <c r="M3" s="32">
        <f>IF($B3="","",IFERROR(INDEX(智能流水!$M$2:$M$1001,MATCH($B3,智能流水!$B$2:$B$1001,0)),""))</f>
        <v/>
      </c>
      <c r="N3" s="32">
        <f>IF($B3="","",IFERROR(INDEX(智能流水!$N$2:$N$1001,MATCH($B3,智能流水!$B$2:$B$1001,0)),""))</f>
        <v/>
      </c>
      <c r="O3" s="32">
        <f>IF($B3="","",IFERROR(INDEX(智能流水!$O$2:$O$1001,MATCH($B3,智能流水!$B$2:$B$1001,0)),""))</f>
        <v/>
      </c>
    </row>
    <row r="4" ht="23" customHeight="1" s="21">
      <c r="A4" s="32">
        <f>IF($B4="","",3)</f>
        <v/>
      </c>
      <c r="B4" s="32">
        <f>IFERROR(LARGE(智能流水!$B$2:$B$1001,3),"")</f>
        <v/>
      </c>
      <c r="C4" s="33">
        <f>IF($B4="","",IFERROR(INDEX(智能流水!$C$2:$C$1001,MATCH($B4,智能流水!$B$2:$B$1001,0)),""))</f>
        <v/>
      </c>
      <c r="D4" s="34">
        <f>IF($B4="","",IFERROR(INDEX(智能流水!$D$2:$D$1001,MATCH($B4,智能流水!$B$2:$B$1001,0)),""))</f>
        <v/>
      </c>
      <c r="E4" s="34">
        <f>IF($B4="","",IFERROR(INDEX(智能流水!$E$2:$E$1001,MATCH($B4,智能流水!$B$2:$B$1001,0)),""))</f>
        <v/>
      </c>
      <c r="F4" s="34">
        <f>IF($B4="","",IFERROR(INDEX(智能流水!$F$2:$F$1001,MATCH($B4,智能流水!$B$2:$B$1001,0)),""))</f>
        <v/>
      </c>
      <c r="G4" s="32">
        <f>IF($B4="","",IFERROR(INDEX(智能流水!$G$2:$G$1001,MATCH($B4,智能流水!$B$2:$B$1001,0)),""))</f>
        <v/>
      </c>
      <c r="H4" s="32">
        <f>IF($B4="","",IFERROR(INDEX(智能流水!$H$2:$H$1001,MATCH($B4,智能流水!$B$2:$B$1001,0)),""))</f>
        <v/>
      </c>
      <c r="I4" s="32">
        <f>IF($B4="","",IFERROR(INDEX(智能流水!$I$2:$I$1001,MATCH($B4,智能流水!$B$2:$B$1001,0)),""))</f>
        <v/>
      </c>
      <c r="J4" s="32">
        <f>IF($B4="","",IFERROR(INDEX(智能流水!$J$2:$J$1001,MATCH($B4,智能流水!$B$2:$B$1001,0)),""))</f>
        <v/>
      </c>
      <c r="K4" s="35">
        <f>IF($B4="","",IFERROR(INDEX(智能流水!$K$2:$K$1001,MATCH($B4,智能流水!$B$2:$B$1001,0)),""))</f>
        <v/>
      </c>
      <c r="L4" s="32">
        <f>IF($B4="","",IFERROR(INDEX(智能流水!$L$2:$L$1001,MATCH($B4,智能流水!$B$2:$B$1001,0)),""))</f>
        <v/>
      </c>
      <c r="M4" s="32">
        <f>IF($B4="","",IFERROR(INDEX(智能流水!$M$2:$M$1001,MATCH($B4,智能流水!$B$2:$B$1001,0)),""))</f>
        <v/>
      </c>
      <c r="N4" s="32">
        <f>IF($B4="","",IFERROR(INDEX(智能流水!$N$2:$N$1001,MATCH($B4,智能流水!$B$2:$B$1001,0)),""))</f>
        <v/>
      </c>
      <c r="O4" s="32">
        <f>IF($B4="","",IFERROR(INDEX(智能流水!$O$2:$O$1001,MATCH($B4,智能流水!$B$2:$B$1001,0)),""))</f>
        <v/>
      </c>
    </row>
    <row r="5" ht="23" customHeight="1" s="21">
      <c r="A5" s="32">
        <f>IF($B5="","",4)</f>
        <v/>
      </c>
      <c r="B5" s="32">
        <f>IFERROR(LARGE(智能流水!$B$2:$B$1001,4),"")</f>
        <v/>
      </c>
      <c r="C5" s="33">
        <f>IF($B5="","",IFERROR(INDEX(智能流水!$C$2:$C$1001,MATCH($B5,智能流水!$B$2:$B$1001,0)),""))</f>
        <v/>
      </c>
      <c r="D5" s="34">
        <f>IF($B5="","",IFERROR(INDEX(智能流水!$D$2:$D$1001,MATCH($B5,智能流水!$B$2:$B$1001,0)),""))</f>
        <v/>
      </c>
      <c r="E5" s="34">
        <f>IF($B5="","",IFERROR(INDEX(智能流水!$E$2:$E$1001,MATCH($B5,智能流水!$B$2:$B$1001,0)),""))</f>
        <v/>
      </c>
      <c r="F5" s="34">
        <f>IF($B5="","",IFERROR(INDEX(智能流水!$F$2:$F$1001,MATCH($B5,智能流水!$B$2:$B$1001,0)),""))</f>
        <v/>
      </c>
      <c r="G5" s="32">
        <f>IF($B5="","",IFERROR(INDEX(智能流水!$G$2:$G$1001,MATCH($B5,智能流水!$B$2:$B$1001,0)),""))</f>
        <v/>
      </c>
      <c r="H5" s="32">
        <f>IF($B5="","",IFERROR(INDEX(智能流水!$H$2:$H$1001,MATCH($B5,智能流水!$B$2:$B$1001,0)),""))</f>
        <v/>
      </c>
      <c r="I5" s="32">
        <f>IF($B5="","",IFERROR(INDEX(智能流水!$I$2:$I$1001,MATCH($B5,智能流水!$B$2:$B$1001,0)),""))</f>
        <v/>
      </c>
      <c r="J5" s="32">
        <f>IF($B5="","",IFERROR(INDEX(智能流水!$J$2:$J$1001,MATCH($B5,智能流水!$B$2:$B$1001,0)),""))</f>
        <v/>
      </c>
      <c r="K5" s="35">
        <f>IF($B5="","",IFERROR(INDEX(智能流水!$K$2:$K$1001,MATCH($B5,智能流水!$B$2:$B$1001,0)),""))</f>
        <v/>
      </c>
      <c r="L5" s="32">
        <f>IF($B5="","",IFERROR(INDEX(智能流水!$L$2:$L$1001,MATCH($B5,智能流水!$B$2:$B$1001,0)),""))</f>
        <v/>
      </c>
      <c r="M5" s="32">
        <f>IF($B5="","",IFERROR(INDEX(智能流水!$M$2:$M$1001,MATCH($B5,智能流水!$B$2:$B$1001,0)),""))</f>
        <v/>
      </c>
      <c r="N5" s="32">
        <f>IF($B5="","",IFERROR(INDEX(智能流水!$N$2:$N$1001,MATCH($B5,智能流水!$B$2:$B$1001,0)),""))</f>
        <v/>
      </c>
      <c r="O5" s="32">
        <f>IF($B5="","",IFERROR(INDEX(智能流水!$O$2:$O$1001,MATCH($B5,智能流水!$B$2:$B$1001,0)),""))</f>
        <v/>
      </c>
    </row>
    <row r="6" ht="23" customHeight="1" s="21">
      <c r="A6" s="32">
        <f>IF($B6="","",5)</f>
        <v/>
      </c>
      <c r="B6" s="32">
        <f>IFERROR(LARGE(智能流水!$B$2:$B$1001,5),"")</f>
        <v/>
      </c>
      <c r="C6" s="33">
        <f>IF($B6="","",IFERROR(INDEX(智能流水!$C$2:$C$1001,MATCH($B6,智能流水!$B$2:$B$1001,0)),""))</f>
        <v/>
      </c>
      <c r="D6" s="34">
        <f>IF($B6="","",IFERROR(INDEX(智能流水!$D$2:$D$1001,MATCH($B6,智能流水!$B$2:$B$1001,0)),""))</f>
        <v/>
      </c>
      <c r="E6" s="34">
        <f>IF($B6="","",IFERROR(INDEX(智能流水!$E$2:$E$1001,MATCH($B6,智能流水!$B$2:$B$1001,0)),""))</f>
        <v/>
      </c>
      <c r="F6" s="34">
        <f>IF($B6="","",IFERROR(INDEX(智能流水!$F$2:$F$1001,MATCH($B6,智能流水!$B$2:$B$1001,0)),""))</f>
        <v/>
      </c>
      <c r="G6" s="32">
        <f>IF($B6="","",IFERROR(INDEX(智能流水!$G$2:$G$1001,MATCH($B6,智能流水!$B$2:$B$1001,0)),""))</f>
        <v/>
      </c>
      <c r="H6" s="32">
        <f>IF($B6="","",IFERROR(INDEX(智能流水!$H$2:$H$1001,MATCH($B6,智能流水!$B$2:$B$1001,0)),""))</f>
        <v/>
      </c>
      <c r="I6" s="32">
        <f>IF($B6="","",IFERROR(INDEX(智能流水!$I$2:$I$1001,MATCH($B6,智能流水!$B$2:$B$1001,0)),""))</f>
        <v/>
      </c>
      <c r="J6" s="32">
        <f>IF($B6="","",IFERROR(INDEX(智能流水!$J$2:$J$1001,MATCH($B6,智能流水!$B$2:$B$1001,0)),""))</f>
        <v/>
      </c>
      <c r="K6" s="35">
        <f>IF($B6="","",IFERROR(INDEX(智能流水!$K$2:$K$1001,MATCH($B6,智能流水!$B$2:$B$1001,0)),""))</f>
        <v/>
      </c>
      <c r="L6" s="32">
        <f>IF($B6="","",IFERROR(INDEX(智能流水!$L$2:$L$1001,MATCH($B6,智能流水!$B$2:$B$1001,0)),""))</f>
        <v/>
      </c>
      <c r="M6" s="32">
        <f>IF($B6="","",IFERROR(INDEX(智能流水!$M$2:$M$1001,MATCH($B6,智能流水!$B$2:$B$1001,0)),""))</f>
        <v/>
      </c>
      <c r="N6" s="32">
        <f>IF($B6="","",IFERROR(INDEX(智能流水!$N$2:$N$1001,MATCH($B6,智能流水!$B$2:$B$1001,0)),""))</f>
        <v/>
      </c>
      <c r="O6" s="32">
        <f>IF($B6="","",IFERROR(INDEX(智能流水!$O$2:$O$1001,MATCH($B6,智能流水!$B$2:$B$1001,0)),""))</f>
        <v/>
      </c>
    </row>
    <row r="7" ht="23" customHeight="1" s="21">
      <c r="A7" s="32">
        <f>IF($B7="","",6)</f>
        <v/>
      </c>
      <c r="B7" s="32">
        <f>IFERROR(LARGE(智能流水!$B$2:$B$1001,6),"")</f>
        <v/>
      </c>
      <c r="C7" s="33">
        <f>IF($B7="","",IFERROR(INDEX(智能流水!$C$2:$C$1001,MATCH($B7,智能流水!$B$2:$B$1001,0)),""))</f>
        <v/>
      </c>
      <c r="D7" s="34">
        <f>IF($B7="","",IFERROR(INDEX(智能流水!$D$2:$D$1001,MATCH($B7,智能流水!$B$2:$B$1001,0)),""))</f>
        <v/>
      </c>
      <c r="E7" s="34">
        <f>IF($B7="","",IFERROR(INDEX(智能流水!$E$2:$E$1001,MATCH($B7,智能流水!$B$2:$B$1001,0)),""))</f>
        <v/>
      </c>
      <c r="F7" s="34">
        <f>IF($B7="","",IFERROR(INDEX(智能流水!$F$2:$F$1001,MATCH($B7,智能流水!$B$2:$B$1001,0)),""))</f>
        <v/>
      </c>
      <c r="G7" s="32">
        <f>IF($B7="","",IFERROR(INDEX(智能流水!$G$2:$G$1001,MATCH($B7,智能流水!$B$2:$B$1001,0)),""))</f>
        <v/>
      </c>
      <c r="H7" s="32">
        <f>IF($B7="","",IFERROR(INDEX(智能流水!$H$2:$H$1001,MATCH($B7,智能流水!$B$2:$B$1001,0)),""))</f>
        <v/>
      </c>
      <c r="I7" s="32">
        <f>IF($B7="","",IFERROR(INDEX(智能流水!$I$2:$I$1001,MATCH($B7,智能流水!$B$2:$B$1001,0)),""))</f>
        <v/>
      </c>
      <c r="J7" s="32">
        <f>IF($B7="","",IFERROR(INDEX(智能流水!$J$2:$J$1001,MATCH($B7,智能流水!$B$2:$B$1001,0)),""))</f>
        <v/>
      </c>
      <c r="K7" s="35">
        <f>IF($B7="","",IFERROR(INDEX(智能流水!$K$2:$K$1001,MATCH($B7,智能流水!$B$2:$B$1001,0)),""))</f>
        <v/>
      </c>
      <c r="L7" s="32">
        <f>IF($B7="","",IFERROR(INDEX(智能流水!$L$2:$L$1001,MATCH($B7,智能流水!$B$2:$B$1001,0)),""))</f>
        <v/>
      </c>
      <c r="M7" s="32">
        <f>IF($B7="","",IFERROR(INDEX(智能流水!$M$2:$M$1001,MATCH($B7,智能流水!$B$2:$B$1001,0)),""))</f>
        <v/>
      </c>
      <c r="N7" s="32">
        <f>IF($B7="","",IFERROR(INDEX(智能流水!$N$2:$N$1001,MATCH($B7,智能流水!$B$2:$B$1001,0)),""))</f>
        <v/>
      </c>
      <c r="O7" s="32">
        <f>IF($B7="","",IFERROR(INDEX(智能流水!$O$2:$O$1001,MATCH($B7,智能流水!$B$2:$B$1001,0)),""))</f>
        <v/>
      </c>
    </row>
    <row r="8" ht="23" customHeight="1" s="21">
      <c r="A8" s="32">
        <f>IF($B8="","",7)</f>
        <v/>
      </c>
      <c r="B8" s="32">
        <f>IFERROR(LARGE(智能流水!$B$2:$B$1001,7),"")</f>
        <v/>
      </c>
      <c r="C8" s="33">
        <f>IF($B8="","",IFERROR(INDEX(智能流水!$C$2:$C$1001,MATCH($B8,智能流水!$B$2:$B$1001,0)),""))</f>
        <v/>
      </c>
      <c r="D8" s="34">
        <f>IF($B8="","",IFERROR(INDEX(智能流水!$D$2:$D$1001,MATCH($B8,智能流水!$B$2:$B$1001,0)),""))</f>
        <v/>
      </c>
      <c r="E8" s="34">
        <f>IF($B8="","",IFERROR(INDEX(智能流水!$E$2:$E$1001,MATCH($B8,智能流水!$B$2:$B$1001,0)),""))</f>
        <v/>
      </c>
      <c r="F8" s="34">
        <f>IF($B8="","",IFERROR(INDEX(智能流水!$F$2:$F$1001,MATCH($B8,智能流水!$B$2:$B$1001,0)),""))</f>
        <v/>
      </c>
      <c r="G8" s="32">
        <f>IF($B8="","",IFERROR(INDEX(智能流水!$G$2:$G$1001,MATCH($B8,智能流水!$B$2:$B$1001,0)),""))</f>
        <v/>
      </c>
      <c r="H8" s="32">
        <f>IF($B8="","",IFERROR(INDEX(智能流水!$H$2:$H$1001,MATCH($B8,智能流水!$B$2:$B$1001,0)),""))</f>
        <v/>
      </c>
      <c r="I8" s="32">
        <f>IF($B8="","",IFERROR(INDEX(智能流水!$I$2:$I$1001,MATCH($B8,智能流水!$B$2:$B$1001,0)),""))</f>
        <v/>
      </c>
      <c r="J8" s="32">
        <f>IF($B8="","",IFERROR(INDEX(智能流水!$J$2:$J$1001,MATCH($B8,智能流水!$B$2:$B$1001,0)),""))</f>
        <v/>
      </c>
      <c r="K8" s="35">
        <f>IF($B8="","",IFERROR(INDEX(智能流水!$K$2:$K$1001,MATCH($B8,智能流水!$B$2:$B$1001,0)),""))</f>
        <v/>
      </c>
      <c r="L8" s="32">
        <f>IF($B8="","",IFERROR(INDEX(智能流水!$L$2:$L$1001,MATCH($B8,智能流水!$B$2:$B$1001,0)),""))</f>
        <v/>
      </c>
      <c r="M8" s="32">
        <f>IF($B8="","",IFERROR(INDEX(智能流水!$M$2:$M$1001,MATCH($B8,智能流水!$B$2:$B$1001,0)),""))</f>
        <v/>
      </c>
      <c r="N8" s="32">
        <f>IF($B8="","",IFERROR(INDEX(智能流水!$N$2:$N$1001,MATCH($B8,智能流水!$B$2:$B$1001,0)),""))</f>
        <v/>
      </c>
      <c r="O8" s="32">
        <f>IF($B8="","",IFERROR(INDEX(智能流水!$O$2:$O$1001,MATCH($B8,智能流水!$B$2:$B$1001,0)),""))</f>
        <v/>
      </c>
    </row>
    <row r="9" ht="23" customHeight="1" s="21">
      <c r="A9" s="32">
        <f>IF($B9="","",8)</f>
        <v/>
      </c>
      <c r="B9" s="32">
        <f>IFERROR(LARGE(智能流水!$B$2:$B$1001,8),"")</f>
        <v/>
      </c>
      <c r="C9" s="33">
        <f>IF($B9="","",IFERROR(INDEX(智能流水!$C$2:$C$1001,MATCH($B9,智能流水!$B$2:$B$1001,0)),""))</f>
        <v/>
      </c>
      <c r="D9" s="34">
        <f>IF($B9="","",IFERROR(INDEX(智能流水!$D$2:$D$1001,MATCH($B9,智能流水!$B$2:$B$1001,0)),""))</f>
        <v/>
      </c>
      <c r="E9" s="34">
        <f>IF($B9="","",IFERROR(INDEX(智能流水!$E$2:$E$1001,MATCH($B9,智能流水!$B$2:$B$1001,0)),""))</f>
        <v/>
      </c>
      <c r="F9" s="34">
        <f>IF($B9="","",IFERROR(INDEX(智能流水!$F$2:$F$1001,MATCH($B9,智能流水!$B$2:$B$1001,0)),""))</f>
        <v/>
      </c>
      <c r="G9" s="32">
        <f>IF($B9="","",IFERROR(INDEX(智能流水!$G$2:$G$1001,MATCH($B9,智能流水!$B$2:$B$1001,0)),""))</f>
        <v/>
      </c>
      <c r="H9" s="32">
        <f>IF($B9="","",IFERROR(INDEX(智能流水!$H$2:$H$1001,MATCH($B9,智能流水!$B$2:$B$1001,0)),""))</f>
        <v/>
      </c>
      <c r="I9" s="32">
        <f>IF($B9="","",IFERROR(INDEX(智能流水!$I$2:$I$1001,MATCH($B9,智能流水!$B$2:$B$1001,0)),""))</f>
        <v/>
      </c>
      <c r="J9" s="32">
        <f>IF($B9="","",IFERROR(INDEX(智能流水!$J$2:$J$1001,MATCH($B9,智能流水!$B$2:$B$1001,0)),""))</f>
        <v/>
      </c>
      <c r="K9" s="35">
        <f>IF($B9="","",IFERROR(INDEX(智能流水!$K$2:$K$1001,MATCH($B9,智能流水!$B$2:$B$1001,0)),""))</f>
        <v/>
      </c>
      <c r="L9" s="32">
        <f>IF($B9="","",IFERROR(INDEX(智能流水!$L$2:$L$1001,MATCH($B9,智能流水!$B$2:$B$1001,0)),""))</f>
        <v/>
      </c>
      <c r="M9" s="32">
        <f>IF($B9="","",IFERROR(INDEX(智能流水!$M$2:$M$1001,MATCH($B9,智能流水!$B$2:$B$1001,0)),""))</f>
        <v/>
      </c>
      <c r="N9" s="32">
        <f>IF($B9="","",IFERROR(INDEX(智能流水!$N$2:$N$1001,MATCH($B9,智能流水!$B$2:$B$1001,0)),""))</f>
        <v/>
      </c>
      <c r="O9" s="32">
        <f>IF($B9="","",IFERROR(INDEX(智能流水!$O$2:$O$1001,MATCH($B9,智能流水!$B$2:$B$1001,0)),""))</f>
        <v/>
      </c>
    </row>
    <row r="10" ht="23" customHeight="1" s="21">
      <c r="A10" s="32">
        <f>IF($B10="","",9)</f>
        <v/>
      </c>
      <c r="B10" s="32">
        <f>IFERROR(LARGE(智能流水!$B$2:$B$1001,9),"")</f>
        <v/>
      </c>
      <c r="C10" s="33">
        <f>IF($B10="","",IFERROR(INDEX(智能流水!$C$2:$C$1001,MATCH($B10,智能流水!$B$2:$B$1001,0)),""))</f>
        <v/>
      </c>
      <c r="D10" s="34">
        <f>IF($B10="","",IFERROR(INDEX(智能流水!$D$2:$D$1001,MATCH($B10,智能流水!$B$2:$B$1001,0)),""))</f>
        <v/>
      </c>
      <c r="E10" s="34">
        <f>IF($B10="","",IFERROR(INDEX(智能流水!$E$2:$E$1001,MATCH($B10,智能流水!$B$2:$B$1001,0)),""))</f>
        <v/>
      </c>
      <c r="F10" s="34">
        <f>IF($B10="","",IFERROR(INDEX(智能流水!$F$2:$F$1001,MATCH($B10,智能流水!$B$2:$B$1001,0)),""))</f>
        <v/>
      </c>
      <c r="G10" s="32">
        <f>IF($B10="","",IFERROR(INDEX(智能流水!$G$2:$G$1001,MATCH($B10,智能流水!$B$2:$B$1001,0)),""))</f>
        <v/>
      </c>
      <c r="H10" s="32">
        <f>IF($B10="","",IFERROR(INDEX(智能流水!$H$2:$H$1001,MATCH($B10,智能流水!$B$2:$B$1001,0)),""))</f>
        <v/>
      </c>
      <c r="I10" s="32">
        <f>IF($B10="","",IFERROR(INDEX(智能流水!$I$2:$I$1001,MATCH($B10,智能流水!$B$2:$B$1001,0)),""))</f>
        <v/>
      </c>
      <c r="J10" s="32">
        <f>IF($B10="","",IFERROR(INDEX(智能流水!$J$2:$J$1001,MATCH($B10,智能流水!$B$2:$B$1001,0)),""))</f>
        <v/>
      </c>
      <c r="K10" s="35">
        <f>IF($B10="","",IFERROR(INDEX(智能流水!$K$2:$K$1001,MATCH($B10,智能流水!$B$2:$B$1001,0)),""))</f>
        <v/>
      </c>
      <c r="L10" s="32">
        <f>IF($B10="","",IFERROR(INDEX(智能流水!$L$2:$L$1001,MATCH($B10,智能流水!$B$2:$B$1001,0)),""))</f>
        <v/>
      </c>
      <c r="M10" s="32">
        <f>IF($B10="","",IFERROR(INDEX(智能流水!$M$2:$M$1001,MATCH($B10,智能流水!$B$2:$B$1001,0)),""))</f>
        <v/>
      </c>
      <c r="N10" s="32">
        <f>IF($B10="","",IFERROR(INDEX(智能流水!$N$2:$N$1001,MATCH($B10,智能流水!$B$2:$B$1001,0)),""))</f>
        <v/>
      </c>
      <c r="O10" s="32">
        <f>IF($B10="","",IFERROR(INDEX(智能流水!$O$2:$O$1001,MATCH($B10,智能流水!$B$2:$B$1001,0)),""))</f>
        <v/>
      </c>
    </row>
    <row r="11" ht="23" customHeight="1" s="21">
      <c r="A11" s="32">
        <f>IF($B11="","",10)</f>
        <v/>
      </c>
      <c r="B11" s="32">
        <f>IFERROR(LARGE(智能流水!$B$2:$B$1001,10),"")</f>
        <v/>
      </c>
      <c r="C11" s="33">
        <f>IF($B11="","",IFERROR(INDEX(智能流水!$C$2:$C$1001,MATCH($B11,智能流水!$B$2:$B$1001,0)),""))</f>
        <v/>
      </c>
      <c r="D11" s="34">
        <f>IF($B11="","",IFERROR(INDEX(智能流水!$D$2:$D$1001,MATCH($B11,智能流水!$B$2:$B$1001,0)),""))</f>
        <v/>
      </c>
      <c r="E11" s="34">
        <f>IF($B11="","",IFERROR(INDEX(智能流水!$E$2:$E$1001,MATCH($B11,智能流水!$B$2:$B$1001,0)),""))</f>
        <v/>
      </c>
      <c r="F11" s="34">
        <f>IF($B11="","",IFERROR(INDEX(智能流水!$F$2:$F$1001,MATCH($B11,智能流水!$B$2:$B$1001,0)),""))</f>
        <v/>
      </c>
      <c r="G11" s="32">
        <f>IF($B11="","",IFERROR(INDEX(智能流水!$G$2:$G$1001,MATCH($B11,智能流水!$B$2:$B$1001,0)),""))</f>
        <v/>
      </c>
      <c r="H11" s="32">
        <f>IF($B11="","",IFERROR(INDEX(智能流水!$H$2:$H$1001,MATCH($B11,智能流水!$B$2:$B$1001,0)),""))</f>
        <v/>
      </c>
      <c r="I11" s="32">
        <f>IF($B11="","",IFERROR(INDEX(智能流水!$I$2:$I$1001,MATCH($B11,智能流水!$B$2:$B$1001,0)),""))</f>
        <v/>
      </c>
      <c r="J11" s="32">
        <f>IF($B11="","",IFERROR(INDEX(智能流水!$J$2:$J$1001,MATCH($B11,智能流水!$B$2:$B$1001,0)),""))</f>
        <v/>
      </c>
      <c r="K11" s="35">
        <f>IF($B11="","",IFERROR(INDEX(智能流水!$K$2:$K$1001,MATCH($B11,智能流水!$B$2:$B$1001,0)),""))</f>
        <v/>
      </c>
      <c r="L11" s="32">
        <f>IF($B11="","",IFERROR(INDEX(智能流水!$L$2:$L$1001,MATCH($B11,智能流水!$B$2:$B$1001,0)),""))</f>
        <v/>
      </c>
      <c r="M11" s="32">
        <f>IF($B11="","",IFERROR(INDEX(智能流水!$M$2:$M$1001,MATCH($B11,智能流水!$B$2:$B$1001,0)),""))</f>
        <v/>
      </c>
      <c r="N11" s="32">
        <f>IF($B11="","",IFERROR(INDEX(智能流水!$N$2:$N$1001,MATCH($B11,智能流水!$B$2:$B$1001,0)),""))</f>
        <v/>
      </c>
      <c r="O11" s="32">
        <f>IF($B11="","",IFERROR(INDEX(智能流水!$O$2:$O$1001,MATCH($B11,智能流水!$B$2:$B$1001,0)),""))</f>
        <v/>
      </c>
    </row>
    <row r="12" ht="23" customHeight="1" s="21">
      <c r="A12" s="32">
        <f>IF($B12="","",11)</f>
        <v/>
      </c>
      <c r="B12" s="32">
        <f>IFERROR(LARGE(智能流水!$B$2:$B$1001,11),"")</f>
        <v/>
      </c>
      <c r="C12" s="33">
        <f>IF($B12="","",IFERROR(INDEX(智能流水!$C$2:$C$1001,MATCH($B12,智能流水!$B$2:$B$1001,0)),""))</f>
        <v/>
      </c>
      <c r="D12" s="34">
        <f>IF($B12="","",IFERROR(INDEX(智能流水!$D$2:$D$1001,MATCH($B12,智能流水!$B$2:$B$1001,0)),""))</f>
        <v/>
      </c>
      <c r="E12" s="34">
        <f>IF($B12="","",IFERROR(INDEX(智能流水!$E$2:$E$1001,MATCH($B12,智能流水!$B$2:$B$1001,0)),""))</f>
        <v/>
      </c>
      <c r="F12" s="34">
        <f>IF($B12="","",IFERROR(INDEX(智能流水!$F$2:$F$1001,MATCH($B12,智能流水!$B$2:$B$1001,0)),""))</f>
        <v/>
      </c>
      <c r="G12" s="32">
        <f>IF($B12="","",IFERROR(INDEX(智能流水!$G$2:$G$1001,MATCH($B12,智能流水!$B$2:$B$1001,0)),""))</f>
        <v/>
      </c>
      <c r="H12" s="32">
        <f>IF($B12="","",IFERROR(INDEX(智能流水!$H$2:$H$1001,MATCH($B12,智能流水!$B$2:$B$1001,0)),""))</f>
        <v/>
      </c>
      <c r="I12" s="32">
        <f>IF($B12="","",IFERROR(INDEX(智能流水!$I$2:$I$1001,MATCH($B12,智能流水!$B$2:$B$1001,0)),""))</f>
        <v/>
      </c>
      <c r="J12" s="32">
        <f>IF($B12="","",IFERROR(INDEX(智能流水!$J$2:$J$1001,MATCH($B12,智能流水!$B$2:$B$1001,0)),""))</f>
        <v/>
      </c>
      <c r="K12" s="35">
        <f>IF($B12="","",IFERROR(INDEX(智能流水!$K$2:$K$1001,MATCH($B12,智能流水!$B$2:$B$1001,0)),""))</f>
        <v/>
      </c>
      <c r="L12" s="32">
        <f>IF($B12="","",IFERROR(INDEX(智能流水!$L$2:$L$1001,MATCH($B12,智能流水!$B$2:$B$1001,0)),""))</f>
        <v/>
      </c>
      <c r="M12" s="32">
        <f>IF($B12="","",IFERROR(INDEX(智能流水!$M$2:$M$1001,MATCH($B12,智能流水!$B$2:$B$1001,0)),""))</f>
        <v/>
      </c>
      <c r="N12" s="32">
        <f>IF($B12="","",IFERROR(INDEX(智能流水!$N$2:$N$1001,MATCH($B12,智能流水!$B$2:$B$1001,0)),""))</f>
        <v/>
      </c>
      <c r="O12" s="32">
        <f>IF($B12="","",IFERROR(INDEX(智能流水!$O$2:$O$1001,MATCH($B12,智能流水!$B$2:$B$1001,0)),""))</f>
        <v/>
      </c>
    </row>
    <row r="13" ht="23" customHeight="1" s="21">
      <c r="A13" s="32">
        <f>IF($B13="","",12)</f>
        <v/>
      </c>
      <c r="B13" s="32">
        <f>IFERROR(LARGE(智能流水!$B$2:$B$1001,12),"")</f>
        <v/>
      </c>
      <c r="C13" s="33">
        <f>IF($B13="","",IFERROR(INDEX(智能流水!$C$2:$C$1001,MATCH($B13,智能流水!$B$2:$B$1001,0)),""))</f>
        <v/>
      </c>
      <c r="D13" s="34">
        <f>IF($B13="","",IFERROR(INDEX(智能流水!$D$2:$D$1001,MATCH($B13,智能流水!$B$2:$B$1001,0)),""))</f>
        <v/>
      </c>
      <c r="E13" s="34">
        <f>IF($B13="","",IFERROR(INDEX(智能流水!$E$2:$E$1001,MATCH($B13,智能流水!$B$2:$B$1001,0)),""))</f>
        <v/>
      </c>
      <c r="F13" s="34">
        <f>IF($B13="","",IFERROR(INDEX(智能流水!$F$2:$F$1001,MATCH($B13,智能流水!$B$2:$B$1001,0)),""))</f>
        <v/>
      </c>
      <c r="G13" s="32">
        <f>IF($B13="","",IFERROR(INDEX(智能流水!$G$2:$G$1001,MATCH($B13,智能流水!$B$2:$B$1001,0)),""))</f>
        <v/>
      </c>
      <c r="H13" s="32">
        <f>IF($B13="","",IFERROR(INDEX(智能流水!$H$2:$H$1001,MATCH($B13,智能流水!$B$2:$B$1001,0)),""))</f>
        <v/>
      </c>
      <c r="I13" s="32">
        <f>IF($B13="","",IFERROR(INDEX(智能流水!$I$2:$I$1001,MATCH($B13,智能流水!$B$2:$B$1001,0)),""))</f>
        <v/>
      </c>
      <c r="J13" s="32">
        <f>IF($B13="","",IFERROR(INDEX(智能流水!$J$2:$J$1001,MATCH($B13,智能流水!$B$2:$B$1001,0)),""))</f>
        <v/>
      </c>
      <c r="K13" s="35">
        <f>IF($B13="","",IFERROR(INDEX(智能流水!$K$2:$K$1001,MATCH($B13,智能流水!$B$2:$B$1001,0)),""))</f>
        <v/>
      </c>
      <c r="L13" s="32">
        <f>IF($B13="","",IFERROR(INDEX(智能流水!$L$2:$L$1001,MATCH($B13,智能流水!$B$2:$B$1001,0)),""))</f>
        <v/>
      </c>
      <c r="M13" s="32">
        <f>IF($B13="","",IFERROR(INDEX(智能流水!$M$2:$M$1001,MATCH($B13,智能流水!$B$2:$B$1001,0)),""))</f>
        <v/>
      </c>
      <c r="N13" s="32">
        <f>IF($B13="","",IFERROR(INDEX(智能流水!$N$2:$N$1001,MATCH($B13,智能流水!$B$2:$B$1001,0)),""))</f>
        <v/>
      </c>
      <c r="O13" s="32">
        <f>IF($B13="","",IFERROR(INDEX(智能流水!$O$2:$O$1001,MATCH($B13,智能流水!$B$2:$B$1001,0)),""))</f>
        <v/>
      </c>
    </row>
    <row r="14" ht="23" customHeight="1" s="21">
      <c r="A14" s="32">
        <f>IF($B14="","",13)</f>
        <v/>
      </c>
      <c r="B14" s="32">
        <f>IFERROR(LARGE(智能流水!$B$2:$B$1001,13),"")</f>
        <v/>
      </c>
      <c r="C14" s="33">
        <f>IF($B14="","",IFERROR(INDEX(智能流水!$C$2:$C$1001,MATCH($B14,智能流水!$B$2:$B$1001,0)),""))</f>
        <v/>
      </c>
      <c r="D14" s="34">
        <f>IF($B14="","",IFERROR(INDEX(智能流水!$D$2:$D$1001,MATCH($B14,智能流水!$B$2:$B$1001,0)),""))</f>
        <v/>
      </c>
      <c r="E14" s="34">
        <f>IF($B14="","",IFERROR(INDEX(智能流水!$E$2:$E$1001,MATCH($B14,智能流水!$B$2:$B$1001,0)),""))</f>
        <v/>
      </c>
      <c r="F14" s="34">
        <f>IF($B14="","",IFERROR(INDEX(智能流水!$F$2:$F$1001,MATCH($B14,智能流水!$B$2:$B$1001,0)),""))</f>
        <v/>
      </c>
      <c r="G14" s="32">
        <f>IF($B14="","",IFERROR(INDEX(智能流水!$G$2:$G$1001,MATCH($B14,智能流水!$B$2:$B$1001,0)),""))</f>
        <v/>
      </c>
      <c r="H14" s="32">
        <f>IF($B14="","",IFERROR(INDEX(智能流水!$H$2:$H$1001,MATCH($B14,智能流水!$B$2:$B$1001,0)),""))</f>
        <v/>
      </c>
      <c r="I14" s="32">
        <f>IF($B14="","",IFERROR(INDEX(智能流水!$I$2:$I$1001,MATCH($B14,智能流水!$B$2:$B$1001,0)),""))</f>
        <v/>
      </c>
      <c r="J14" s="32">
        <f>IF($B14="","",IFERROR(INDEX(智能流水!$J$2:$J$1001,MATCH($B14,智能流水!$B$2:$B$1001,0)),""))</f>
        <v/>
      </c>
      <c r="K14" s="35">
        <f>IF($B14="","",IFERROR(INDEX(智能流水!$K$2:$K$1001,MATCH($B14,智能流水!$B$2:$B$1001,0)),""))</f>
        <v/>
      </c>
      <c r="L14" s="32">
        <f>IF($B14="","",IFERROR(INDEX(智能流水!$L$2:$L$1001,MATCH($B14,智能流水!$B$2:$B$1001,0)),""))</f>
        <v/>
      </c>
      <c r="M14" s="32">
        <f>IF($B14="","",IFERROR(INDEX(智能流水!$M$2:$M$1001,MATCH($B14,智能流水!$B$2:$B$1001,0)),""))</f>
        <v/>
      </c>
      <c r="N14" s="32">
        <f>IF($B14="","",IFERROR(INDEX(智能流水!$N$2:$N$1001,MATCH($B14,智能流水!$B$2:$B$1001,0)),""))</f>
        <v/>
      </c>
      <c r="O14" s="32">
        <f>IF($B14="","",IFERROR(INDEX(智能流水!$O$2:$O$1001,MATCH($B14,智能流水!$B$2:$B$1001,0)),""))</f>
        <v/>
      </c>
    </row>
    <row r="15" ht="23" customHeight="1" s="21">
      <c r="A15" s="32">
        <f>IF($B15="","",14)</f>
        <v/>
      </c>
      <c r="B15" s="32">
        <f>IFERROR(LARGE(智能流水!$B$2:$B$1001,14),"")</f>
        <v/>
      </c>
      <c r="C15" s="33">
        <f>IF($B15="","",IFERROR(INDEX(智能流水!$C$2:$C$1001,MATCH($B15,智能流水!$B$2:$B$1001,0)),""))</f>
        <v/>
      </c>
      <c r="D15" s="34">
        <f>IF($B15="","",IFERROR(INDEX(智能流水!$D$2:$D$1001,MATCH($B15,智能流水!$B$2:$B$1001,0)),""))</f>
        <v/>
      </c>
      <c r="E15" s="34">
        <f>IF($B15="","",IFERROR(INDEX(智能流水!$E$2:$E$1001,MATCH($B15,智能流水!$B$2:$B$1001,0)),""))</f>
        <v/>
      </c>
      <c r="F15" s="34">
        <f>IF($B15="","",IFERROR(INDEX(智能流水!$F$2:$F$1001,MATCH($B15,智能流水!$B$2:$B$1001,0)),""))</f>
        <v/>
      </c>
      <c r="G15" s="32">
        <f>IF($B15="","",IFERROR(INDEX(智能流水!$G$2:$G$1001,MATCH($B15,智能流水!$B$2:$B$1001,0)),""))</f>
        <v/>
      </c>
      <c r="H15" s="32">
        <f>IF($B15="","",IFERROR(INDEX(智能流水!$H$2:$H$1001,MATCH($B15,智能流水!$B$2:$B$1001,0)),""))</f>
        <v/>
      </c>
      <c r="I15" s="32">
        <f>IF($B15="","",IFERROR(INDEX(智能流水!$I$2:$I$1001,MATCH($B15,智能流水!$B$2:$B$1001,0)),""))</f>
        <v/>
      </c>
      <c r="J15" s="32">
        <f>IF($B15="","",IFERROR(INDEX(智能流水!$J$2:$J$1001,MATCH($B15,智能流水!$B$2:$B$1001,0)),""))</f>
        <v/>
      </c>
      <c r="K15" s="35">
        <f>IF($B15="","",IFERROR(INDEX(智能流水!$K$2:$K$1001,MATCH($B15,智能流水!$B$2:$B$1001,0)),""))</f>
        <v/>
      </c>
      <c r="L15" s="32">
        <f>IF($B15="","",IFERROR(INDEX(智能流水!$L$2:$L$1001,MATCH($B15,智能流水!$B$2:$B$1001,0)),""))</f>
        <v/>
      </c>
      <c r="M15" s="32">
        <f>IF($B15="","",IFERROR(INDEX(智能流水!$M$2:$M$1001,MATCH($B15,智能流水!$B$2:$B$1001,0)),""))</f>
        <v/>
      </c>
      <c r="N15" s="32">
        <f>IF($B15="","",IFERROR(INDEX(智能流水!$N$2:$N$1001,MATCH($B15,智能流水!$B$2:$B$1001,0)),""))</f>
        <v/>
      </c>
      <c r="O15" s="32">
        <f>IF($B15="","",IFERROR(INDEX(智能流水!$O$2:$O$1001,MATCH($B15,智能流水!$B$2:$B$1001,0)),""))</f>
        <v/>
      </c>
    </row>
    <row r="16" ht="23" customHeight="1" s="21">
      <c r="A16" s="32">
        <f>IF($B16="","",15)</f>
        <v/>
      </c>
      <c r="B16" s="32">
        <f>IFERROR(LARGE(智能流水!$B$2:$B$1001,15),"")</f>
        <v/>
      </c>
      <c r="C16" s="33">
        <f>IF($B16="","",IFERROR(INDEX(智能流水!$C$2:$C$1001,MATCH($B16,智能流水!$B$2:$B$1001,0)),""))</f>
        <v/>
      </c>
      <c r="D16" s="34">
        <f>IF($B16="","",IFERROR(INDEX(智能流水!$D$2:$D$1001,MATCH($B16,智能流水!$B$2:$B$1001,0)),""))</f>
        <v/>
      </c>
      <c r="E16" s="34">
        <f>IF($B16="","",IFERROR(INDEX(智能流水!$E$2:$E$1001,MATCH($B16,智能流水!$B$2:$B$1001,0)),""))</f>
        <v/>
      </c>
      <c r="F16" s="34">
        <f>IF($B16="","",IFERROR(INDEX(智能流水!$F$2:$F$1001,MATCH($B16,智能流水!$B$2:$B$1001,0)),""))</f>
        <v/>
      </c>
      <c r="G16" s="32">
        <f>IF($B16="","",IFERROR(INDEX(智能流水!$G$2:$G$1001,MATCH($B16,智能流水!$B$2:$B$1001,0)),""))</f>
        <v/>
      </c>
      <c r="H16" s="32">
        <f>IF($B16="","",IFERROR(INDEX(智能流水!$H$2:$H$1001,MATCH($B16,智能流水!$B$2:$B$1001,0)),""))</f>
        <v/>
      </c>
      <c r="I16" s="32">
        <f>IF($B16="","",IFERROR(INDEX(智能流水!$I$2:$I$1001,MATCH($B16,智能流水!$B$2:$B$1001,0)),""))</f>
        <v/>
      </c>
      <c r="J16" s="32">
        <f>IF($B16="","",IFERROR(INDEX(智能流水!$J$2:$J$1001,MATCH($B16,智能流水!$B$2:$B$1001,0)),""))</f>
        <v/>
      </c>
      <c r="K16" s="35">
        <f>IF($B16="","",IFERROR(INDEX(智能流水!$K$2:$K$1001,MATCH($B16,智能流水!$B$2:$B$1001,0)),""))</f>
        <v/>
      </c>
      <c r="L16" s="32">
        <f>IF($B16="","",IFERROR(INDEX(智能流水!$L$2:$L$1001,MATCH($B16,智能流水!$B$2:$B$1001,0)),""))</f>
        <v/>
      </c>
      <c r="M16" s="32">
        <f>IF($B16="","",IFERROR(INDEX(智能流水!$M$2:$M$1001,MATCH($B16,智能流水!$B$2:$B$1001,0)),""))</f>
        <v/>
      </c>
      <c r="N16" s="32">
        <f>IF($B16="","",IFERROR(INDEX(智能流水!$N$2:$N$1001,MATCH($B16,智能流水!$B$2:$B$1001,0)),""))</f>
        <v/>
      </c>
      <c r="O16" s="32">
        <f>IF($B16="","",IFERROR(INDEX(智能流水!$O$2:$O$1001,MATCH($B16,智能流水!$B$2:$B$1001,0)),""))</f>
        <v/>
      </c>
    </row>
    <row r="17" ht="23" customHeight="1" s="21">
      <c r="A17" s="32">
        <f>IF($B17="","",16)</f>
        <v/>
      </c>
      <c r="B17" s="32">
        <f>IFERROR(LARGE(智能流水!$B$2:$B$1001,16),"")</f>
        <v/>
      </c>
      <c r="C17" s="33">
        <f>IF($B17="","",IFERROR(INDEX(智能流水!$C$2:$C$1001,MATCH($B17,智能流水!$B$2:$B$1001,0)),""))</f>
        <v/>
      </c>
      <c r="D17" s="34">
        <f>IF($B17="","",IFERROR(INDEX(智能流水!$D$2:$D$1001,MATCH($B17,智能流水!$B$2:$B$1001,0)),""))</f>
        <v/>
      </c>
      <c r="E17" s="34">
        <f>IF($B17="","",IFERROR(INDEX(智能流水!$E$2:$E$1001,MATCH($B17,智能流水!$B$2:$B$1001,0)),""))</f>
        <v/>
      </c>
      <c r="F17" s="34">
        <f>IF($B17="","",IFERROR(INDEX(智能流水!$F$2:$F$1001,MATCH($B17,智能流水!$B$2:$B$1001,0)),""))</f>
        <v/>
      </c>
      <c r="G17" s="32">
        <f>IF($B17="","",IFERROR(INDEX(智能流水!$G$2:$G$1001,MATCH($B17,智能流水!$B$2:$B$1001,0)),""))</f>
        <v/>
      </c>
      <c r="H17" s="32">
        <f>IF($B17="","",IFERROR(INDEX(智能流水!$H$2:$H$1001,MATCH($B17,智能流水!$B$2:$B$1001,0)),""))</f>
        <v/>
      </c>
      <c r="I17" s="32">
        <f>IF($B17="","",IFERROR(INDEX(智能流水!$I$2:$I$1001,MATCH($B17,智能流水!$B$2:$B$1001,0)),""))</f>
        <v/>
      </c>
      <c r="J17" s="32">
        <f>IF($B17="","",IFERROR(INDEX(智能流水!$J$2:$J$1001,MATCH($B17,智能流水!$B$2:$B$1001,0)),""))</f>
        <v/>
      </c>
      <c r="K17" s="35">
        <f>IF($B17="","",IFERROR(INDEX(智能流水!$K$2:$K$1001,MATCH($B17,智能流水!$B$2:$B$1001,0)),""))</f>
        <v/>
      </c>
      <c r="L17" s="32">
        <f>IF($B17="","",IFERROR(INDEX(智能流水!$L$2:$L$1001,MATCH($B17,智能流水!$B$2:$B$1001,0)),""))</f>
        <v/>
      </c>
      <c r="M17" s="32">
        <f>IF($B17="","",IFERROR(INDEX(智能流水!$M$2:$M$1001,MATCH($B17,智能流水!$B$2:$B$1001,0)),""))</f>
        <v/>
      </c>
      <c r="N17" s="32">
        <f>IF($B17="","",IFERROR(INDEX(智能流水!$N$2:$N$1001,MATCH($B17,智能流水!$B$2:$B$1001,0)),""))</f>
        <v/>
      </c>
      <c r="O17" s="32">
        <f>IF($B17="","",IFERROR(INDEX(智能流水!$O$2:$O$1001,MATCH($B17,智能流水!$B$2:$B$1001,0)),""))</f>
        <v/>
      </c>
    </row>
    <row r="18" ht="23" customHeight="1" s="21">
      <c r="A18" s="32">
        <f>IF($B18="","",17)</f>
        <v/>
      </c>
      <c r="B18" s="32">
        <f>IFERROR(LARGE(智能流水!$B$2:$B$1001,17),"")</f>
        <v/>
      </c>
      <c r="C18" s="33">
        <f>IF($B18="","",IFERROR(INDEX(智能流水!$C$2:$C$1001,MATCH($B18,智能流水!$B$2:$B$1001,0)),""))</f>
        <v/>
      </c>
      <c r="D18" s="34">
        <f>IF($B18="","",IFERROR(INDEX(智能流水!$D$2:$D$1001,MATCH($B18,智能流水!$B$2:$B$1001,0)),""))</f>
        <v/>
      </c>
      <c r="E18" s="34">
        <f>IF($B18="","",IFERROR(INDEX(智能流水!$E$2:$E$1001,MATCH($B18,智能流水!$B$2:$B$1001,0)),""))</f>
        <v/>
      </c>
      <c r="F18" s="34">
        <f>IF($B18="","",IFERROR(INDEX(智能流水!$F$2:$F$1001,MATCH($B18,智能流水!$B$2:$B$1001,0)),""))</f>
        <v/>
      </c>
      <c r="G18" s="32">
        <f>IF($B18="","",IFERROR(INDEX(智能流水!$G$2:$G$1001,MATCH($B18,智能流水!$B$2:$B$1001,0)),""))</f>
        <v/>
      </c>
      <c r="H18" s="32">
        <f>IF($B18="","",IFERROR(INDEX(智能流水!$H$2:$H$1001,MATCH($B18,智能流水!$B$2:$B$1001,0)),""))</f>
        <v/>
      </c>
      <c r="I18" s="32">
        <f>IF($B18="","",IFERROR(INDEX(智能流水!$I$2:$I$1001,MATCH($B18,智能流水!$B$2:$B$1001,0)),""))</f>
        <v/>
      </c>
      <c r="J18" s="32">
        <f>IF($B18="","",IFERROR(INDEX(智能流水!$J$2:$J$1001,MATCH($B18,智能流水!$B$2:$B$1001,0)),""))</f>
        <v/>
      </c>
      <c r="K18" s="35">
        <f>IF($B18="","",IFERROR(INDEX(智能流水!$K$2:$K$1001,MATCH($B18,智能流水!$B$2:$B$1001,0)),""))</f>
        <v/>
      </c>
      <c r="L18" s="32">
        <f>IF($B18="","",IFERROR(INDEX(智能流水!$L$2:$L$1001,MATCH($B18,智能流水!$B$2:$B$1001,0)),""))</f>
        <v/>
      </c>
      <c r="M18" s="32">
        <f>IF($B18="","",IFERROR(INDEX(智能流水!$M$2:$M$1001,MATCH($B18,智能流水!$B$2:$B$1001,0)),""))</f>
        <v/>
      </c>
      <c r="N18" s="32">
        <f>IF($B18="","",IFERROR(INDEX(智能流水!$N$2:$N$1001,MATCH($B18,智能流水!$B$2:$B$1001,0)),""))</f>
        <v/>
      </c>
      <c r="O18" s="32">
        <f>IF($B18="","",IFERROR(INDEX(智能流水!$O$2:$O$1001,MATCH($B18,智能流水!$B$2:$B$1001,0)),""))</f>
        <v/>
      </c>
    </row>
    <row r="19" ht="23" customHeight="1" s="21">
      <c r="A19" s="32">
        <f>IF($B19="","",18)</f>
        <v/>
      </c>
      <c r="B19" s="32">
        <f>IFERROR(LARGE(智能流水!$B$2:$B$1001,18),"")</f>
        <v/>
      </c>
      <c r="C19" s="33">
        <f>IF($B19="","",IFERROR(INDEX(智能流水!$C$2:$C$1001,MATCH($B19,智能流水!$B$2:$B$1001,0)),""))</f>
        <v/>
      </c>
      <c r="D19" s="34">
        <f>IF($B19="","",IFERROR(INDEX(智能流水!$D$2:$D$1001,MATCH($B19,智能流水!$B$2:$B$1001,0)),""))</f>
        <v/>
      </c>
      <c r="E19" s="34">
        <f>IF($B19="","",IFERROR(INDEX(智能流水!$E$2:$E$1001,MATCH($B19,智能流水!$B$2:$B$1001,0)),""))</f>
        <v/>
      </c>
      <c r="F19" s="34">
        <f>IF($B19="","",IFERROR(INDEX(智能流水!$F$2:$F$1001,MATCH($B19,智能流水!$B$2:$B$1001,0)),""))</f>
        <v/>
      </c>
      <c r="G19" s="32">
        <f>IF($B19="","",IFERROR(INDEX(智能流水!$G$2:$G$1001,MATCH($B19,智能流水!$B$2:$B$1001,0)),""))</f>
        <v/>
      </c>
      <c r="H19" s="32">
        <f>IF($B19="","",IFERROR(INDEX(智能流水!$H$2:$H$1001,MATCH($B19,智能流水!$B$2:$B$1001,0)),""))</f>
        <v/>
      </c>
      <c r="I19" s="32">
        <f>IF($B19="","",IFERROR(INDEX(智能流水!$I$2:$I$1001,MATCH($B19,智能流水!$B$2:$B$1001,0)),""))</f>
        <v/>
      </c>
      <c r="J19" s="32">
        <f>IF($B19="","",IFERROR(INDEX(智能流水!$J$2:$J$1001,MATCH($B19,智能流水!$B$2:$B$1001,0)),""))</f>
        <v/>
      </c>
      <c r="K19" s="35">
        <f>IF($B19="","",IFERROR(INDEX(智能流水!$K$2:$K$1001,MATCH($B19,智能流水!$B$2:$B$1001,0)),""))</f>
        <v/>
      </c>
      <c r="L19" s="32">
        <f>IF($B19="","",IFERROR(INDEX(智能流水!$L$2:$L$1001,MATCH($B19,智能流水!$B$2:$B$1001,0)),""))</f>
        <v/>
      </c>
      <c r="M19" s="32">
        <f>IF($B19="","",IFERROR(INDEX(智能流水!$M$2:$M$1001,MATCH($B19,智能流水!$B$2:$B$1001,0)),""))</f>
        <v/>
      </c>
      <c r="N19" s="32">
        <f>IF($B19="","",IFERROR(INDEX(智能流水!$N$2:$N$1001,MATCH($B19,智能流水!$B$2:$B$1001,0)),""))</f>
        <v/>
      </c>
      <c r="O19" s="32">
        <f>IF($B19="","",IFERROR(INDEX(智能流水!$O$2:$O$1001,MATCH($B19,智能流水!$B$2:$B$1001,0)),""))</f>
        <v/>
      </c>
    </row>
    <row r="20" ht="23" customHeight="1" s="21">
      <c r="A20" s="32">
        <f>IF($B20="","",19)</f>
        <v/>
      </c>
      <c r="B20" s="32">
        <f>IFERROR(LARGE(智能流水!$B$2:$B$1001,19),"")</f>
        <v/>
      </c>
      <c r="C20" s="33">
        <f>IF($B20="","",IFERROR(INDEX(智能流水!$C$2:$C$1001,MATCH($B20,智能流水!$B$2:$B$1001,0)),""))</f>
        <v/>
      </c>
      <c r="D20" s="34">
        <f>IF($B20="","",IFERROR(INDEX(智能流水!$D$2:$D$1001,MATCH($B20,智能流水!$B$2:$B$1001,0)),""))</f>
        <v/>
      </c>
      <c r="E20" s="34">
        <f>IF($B20="","",IFERROR(INDEX(智能流水!$E$2:$E$1001,MATCH($B20,智能流水!$B$2:$B$1001,0)),""))</f>
        <v/>
      </c>
      <c r="F20" s="34">
        <f>IF($B20="","",IFERROR(INDEX(智能流水!$F$2:$F$1001,MATCH($B20,智能流水!$B$2:$B$1001,0)),""))</f>
        <v/>
      </c>
      <c r="G20" s="32">
        <f>IF($B20="","",IFERROR(INDEX(智能流水!$G$2:$G$1001,MATCH($B20,智能流水!$B$2:$B$1001,0)),""))</f>
        <v/>
      </c>
      <c r="H20" s="32">
        <f>IF($B20="","",IFERROR(INDEX(智能流水!$H$2:$H$1001,MATCH($B20,智能流水!$B$2:$B$1001,0)),""))</f>
        <v/>
      </c>
      <c r="I20" s="32">
        <f>IF($B20="","",IFERROR(INDEX(智能流水!$I$2:$I$1001,MATCH($B20,智能流水!$B$2:$B$1001,0)),""))</f>
        <v/>
      </c>
      <c r="J20" s="32">
        <f>IF($B20="","",IFERROR(INDEX(智能流水!$J$2:$J$1001,MATCH($B20,智能流水!$B$2:$B$1001,0)),""))</f>
        <v/>
      </c>
      <c r="K20" s="35">
        <f>IF($B20="","",IFERROR(INDEX(智能流水!$K$2:$K$1001,MATCH($B20,智能流水!$B$2:$B$1001,0)),""))</f>
        <v/>
      </c>
      <c r="L20" s="32">
        <f>IF($B20="","",IFERROR(INDEX(智能流水!$L$2:$L$1001,MATCH($B20,智能流水!$B$2:$B$1001,0)),""))</f>
        <v/>
      </c>
      <c r="M20" s="32">
        <f>IF($B20="","",IFERROR(INDEX(智能流水!$M$2:$M$1001,MATCH($B20,智能流水!$B$2:$B$1001,0)),""))</f>
        <v/>
      </c>
      <c r="N20" s="32">
        <f>IF($B20="","",IFERROR(INDEX(智能流水!$N$2:$N$1001,MATCH($B20,智能流水!$B$2:$B$1001,0)),""))</f>
        <v/>
      </c>
      <c r="O20" s="32">
        <f>IF($B20="","",IFERROR(INDEX(智能流水!$O$2:$O$1001,MATCH($B20,智能流水!$B$2:$B$1001,0)),""))</f>
        <v/>
      </c>
    </row>
    <row r="21" ht="23" customHeight="1" s="21">
      <c r="A21" s="32">
        <f>IF($B21="","",20)</f>
        <v/>
      </c>
      <c r="B21" s="32">
        <f>IFERROR(LARGE(智能流水!$B$2:$B$1001,20),"")</f>
        <v/>
      </c>
      <c r="C21" s="33">
        <f>IF($B21="","",IFERROR(INDEX(智能流水!$C$2:$C$1001,MATCH($B21,智能流水!$B$2:$B$1001,0)),""))</f>
        <v/>
      </c>
      <c r="D21" s="34">
        <f>IF($B21="","",IFERROR(INDEX(智能流水!$D$2:$D$1001,MATCH($B21,智能流水!$B$2:$B$1001,0)),""))</f>
        <v/>
      </c>
      <c r="E21" s="34">
        <f>IF($B21="","",IFERROR(INDEX(智能流水!$E$2:$E$1001,MATCH($B21,智能流水!$B$2:$B$1001,0)),""))</f>
        <v/>
      </c>
      <c r="F21" s="34">
        <f>IF($B21="","",IFERROR(INDEX(智能流水!$F$2:$F$1001,MATCH($B21,智能流水!$B$2:$B$1001,0)),""))</f>
        <v/>
      </c>
      <c r="G21" s="32">
        <f>IF($B21="","",IFERROR(INDEX(智能流水!$G$2:$G$1001,MATCH($B21,智能流水!$B$2:$B$1001,0)),""))</f>
        <v/>
      </c>
      <c r="H21" s="32">
        <f>IF($B21="","",IFERROR(INDEX(智能流水!$H$2:$H$1001,MATCH($B21,智能流水!$B$2:$B$1001,0)),""))</f>
        <v/>
      </c>
      <c r="I21" s="32">
        <f>IF($B21="","",IFERROR(INDEX(智能流水!$I$2:$I$1001,MATCH($B21,智能流水!$B$2:$B$1001,0)),""))</f>
        <v/>
      </c>
      <c r="J21" s="32">
        <f>IF($B21="","",IFERROR(INDEX(智能流水!$J$2:$J$1001,MATCH($B21,智能流水!$B$2:$B$1001,0)),""))</f>
        <v/>
      </c>
      <c r="K21" s="35">
        <f>IF($B21="","",IFERROR(INDEX(智能流水!$K$2:$K$1001,MATCH($B21,智能流水!$B$2:$B$1001,0)),""))</f>
        <v/>
      </c>
      <c r="L21" s="32">
        <f>IF($B21="","",IFERROR(INDEX(智能流水!$L$2:$L$1001,MATCH($B21,智能流水!$B$2:$B$1001,0)),""))</f>
        <v/>
      </c>
      <c r="M21" s="32">
        <f>IF($B21="","",IFERROR(INDEX(智能流水!$M$2:$M$1001,MATCH($B21,智能流水!$B$2:$B$1001,0)),""))</f>
        <v/>
      </c>
      <c r="N21" s="32">
        <f>IF($B21="","",IFERROR(INDEX(智能流水!$N$2:$N$1001,MATCH($B21,智能流水!$B$2:$B$1001,0)),""))</f>
        <v/>
      </c>
      <c r="O21" s="32">
        <f>IF($B21="","",IFERROR(INDEX(智能流水!$O$2:$O$1001,MATCH($B21,智能流水!$B$2:$B$1001,0)),""))</f>
        <v/>
      </c>
    </row>
    <row r="22" ht="23" customHeight="1" s="21">
      <c r="A22" s="32">
        <f>IF($B22="","",21)</f>
        <v/>
      </c>
      <c r="B22" s="32">
        <f>IFERROR(LARGE(智能流水!$B$2:$B$1001,21),"")</f>
        <v/>
      </c>
      <c r="C22" s="33">
        <f>IF($B22="","",IFERROR(INDEX(智能流水!$C$2:$C$1001,MATCH($B22,智能流水!$B$2:$B$1001,0)),""))</f>
        <v/>
      </c>
      <c r="D22" s="34">
        <f>IF($B22="","",IFERROR(INDEX(智能流水!$D$2:$D$1001,MATCH($B22,智能流水!$B$2:$B$1001,0)),""))</f>
        <v/>
      </c>
      <c r="E22" s="34">
        <f>IF($B22="","",IFERROR(INDEX(智能流水!$E$2:$E$1001,MATCH($B22,智能流水!$B$2:$B$1001,0)),""))</f>
        <v/>
      </c>
      <c r="F22" s="34">
        <f>IF($B22="","",IFERROR(INDEX(智能流水!$F$2:$F$1001,MATCH($B22,智能流水!$B$2:$B$1001,0)),""))</f>
        <v/>
      </c>
      <c r="G22" s="32">
        <f>IF($B22="","",IFERROR(INDEX(智能流水!$G$2:$G$1001,MATCH($B22,智能流水!$B$2:$B$1001,0)),""))</f>
        <v/>
      </c>
      <c r="H22" s="32">
        <f>IF($B22="","",IFERROR(INDEX(智能流水!$H$2:$H$1001,MATCH($B22,智能流水!$B$2:$B$1001,0)),""))</f>
        <v/>
      </c>
      <c r="I22" s="32">
        <f>IF($B22="","",IFERROR(INDEX(智能流水!$I$2:$I$1001,MATCH($B22,智能流水!$B$2:$B$1001,0)),""))</f>
        <v/>
      </c>
      <c r="J22" s="32">
        <f>IF($B22="","",IFERROR(INDEX(智能流水!$J$2:$J$1001,MATCH($B22,智能流水!$B$2:$B$1001,0)),""))</f>
        <v/>
      </c>
      <c r="K22" s="35">
        <f>IF($B22="","",IFERROR(INDEX(智能流水!$K$2:$K$1001,MATCH($B22,智能流水!$B$2:$B$1001,0)),""))</f>
        <v/>
      </c>
      <c r="L22" s="32">
        <f>IF($B22="","",IFERROR(INDEX(智能流水!$L$2:$L$1001,MATCH($B22,智能流水!$B$2:$B$1001,0)),""))</f>
        <v/>
      </c>
      <c r="M22" s="32">
        <f>IF($B22="","",IFERROR(INDEX(智能流水!$M$2:$M$1001,MATCH($B22,智能流水!$B$2:$B$1001,0)),""))</f>
        <v/>
      </c>
      <c r="N22" s="32">
        <f>IF($B22="","",IFERROR(INDEX(智能流水!$N$2:$N$1001,MATCH($B22,智能流水!$B$2:$B$1001,0)),""))</f>
        <v/>
      </c>
      <c r="O22" s="32">
        <f>IF($B22="","",IFERROR(INDEX(智能流水!$O$2:$O$1001,MATCH($B22,智能流水!$B$2:$B$1001,0)),""))</f>
        <v/>
      </c>
    </row>
    <row r="23" ht="23" customHeight="1" s="21">
      <c r="A23" s="32">
        <f>IF($B23="","",22)</f>
        <v/>
      </c>
      <c r="B23" s="32">
        <f>IFERROR(LARGE(智能流水!$B$2:$B$1001,22),"")</f>
        <v/>
      </c>
      <c r="C23" s="33">
        <f>IF($B23="","",IFERROR(INDEX(智能流水!$C$2:$C$1001,MATCH($B23,智能流水!$B$2:$B$1001,0)),""))</f>
        <v/>
      </c>
      <c r="D23" s="34">
        <f>IF($B23="","",IFERROR(INDEX(智能流水!$D$2:$D$1001,MATCH($B23,智能流水!$B$2:$B$1001,0)),""))</f>
        <v/>
      </c>
      <c r="E23" s="34">
        <f>IF($B23="","",IFERROR(INDEX(智能流水!$E$2:$E$1001,MATCH($B23,智能流水!$B$2:$B$1001,0)),""))</f>
        <v/>
      </c>
      <c r="F23" s="34">
        <f>IF($B23="","",IFERROR(INDEX(智能流水!$F$2:$F$1001,MATCH($B23,智能流水!$B$2:$B$1001,0)),""))</f>
        <v/>
      </c>
      <c r="G23" s="32">
        <f>IF($B23="","",IFERROR(INDEX(智能流水!$G$2:$G$1001,MATCH($B23,智能流水!$B$2:$B$1001,0)),""))</f>
        <v/>
      </c>
      <c r="H23" s="32">
        <f>IF($B23="","",IFERROR(INDEX(智能流水!$H$2:$H$1001,MATCH($B23,智能流水!$B$2:$B$1001,0)),""))</f>
        <v/>
      </c>
      <c r="I23" s="32">
        <f>IF($B23="","",IFERROR(INDEX(智能流水!$I$2:$I$1001,MATCH($B23,智能流水!$B$2:$B$1001,0)),""))</f>
        <v/>
      </c>
      <c r="J23" s="32">
        <f>IF($B23="","",IFERROR(INDEX(智能流水!$J$2:$J$1001,MATCH($B23,智能流水!$B$2:$B$1001,0)),""))</f>
        <v/>
      </c>
      <c r="K23" s="35">
        <f>IF($B23="","",IFERROR(INDEX(智能流水!$K$2:$K$1001,MATCH($B23,智能流水!$B$2:$B$1001,0)),""))</f>
        <v/>
      </c>
      <c r="L23" s="32">
        <f>IF($B23="","",IFERROR(INDEX(智能流水!$L$2:$L$1001,MATCH($B23,智能流水!$B$2:$B$1001,0)),""))</f>
        <v/>
      </c>
      <c r="M23" s="32">
        <f>IF($B23="","",IFERROR(INDEX(智能流水!$M$2:$M$1001,MATCH($B23,智能流水!$B$2:$B$1001,0)),""))</f>
        <v/>
      </c>
      <c r="N23" s="32">
        <f>IF($B23="","",IFERROR(INDEX(智能流水!$N$2:$N$1001,MATCH($B23,智能流水!$B$2:$B$1001,0)),""))</f>
        <v/>
      </c>
      <c r="O23" s="32">
        <f>IF($B23="","",IFERROR(INDEX(智能流水!$O$2:$O$1001,MATCH($B23,智能流水!$B$2:$B$1001,0)),""))</f>
        <v/>
      </c>
    </row>
    <row r="24" ht="23" customHeight="1" s="21">
      <c r="A24" s="32">
        <f>IF($B24="","",23)</f>
        <v/>
      </c>
      <c r="B24" s="32">
        <f>IFERROR(LARGE(智能流水!$B$2:$B$1001,23),"")</f>
        <v/>
      </c>
      <c r="C24" s="33">
        <f>IF($B24="","",IFERROR(INDEX(智能流水!$C$2:$C$1001,MATCH($B24,智能流水!$B$2:$B$1001,0)),""))</f>
        <v/>
      </c>
      <c r="D24" s="34">
        <f>IF($B24="","",IFERROR(INDEX(智能流水!$D$2:$D$1001,MATCH($B24,智能流水!$B$2:$B$1001,0)),""))</f>
        <v/>
      </c>
      <c r="E24" s="34">
        <f>IF($B24="","",IFERROR(INDEX(智能流水!$E$2:$E$1001,MATCH($B24,智能流水!$B$2:$B$1001,0)),""))</f>
        <v/>
      </c>
      <c r="F24" s="34">
        <f>IF($B24="","",IFERROR(INDEX(智能流水!$F$2:$F$1001,MATCH($B24,智能流水!$B$2:$B$1001,0)),""))</f>
        <v/>
      </c>
      <c r="G24" s="32">
        <f>IF($B24="","",IFERROR(INDEX(智能流水!$G$2:$G$1001,MATCH($B24,智能流水!$B$2:$B$1001,0)),""))</f>
        <v/>
      </c>
      <c r="H24" s="32">
        <f>IF($B24="","",IFERROR(INDEX(智能流水!$H$2:$H$1001,MATCH($B24,智能流水!$B$2:$B$1001,0)),""))</f>
        <v/>
      </c>
      <c r="I24" s="32">
        <f>IF($B24="","",IFERROR(INDEX(智能流水!$I$2:$I$1001,MATCH($B24,智能流水!$B$2:$B$1001,0)),""))</f>
        <v/>
      </c>
      <c r="J24" s="32">
        <f>IF($B24="","",IFERROR(INDEX(智能流水!$J$2:$J$1001,MATCH($B24,智能流水!$B$2:$B$1001,0)),""))</f>
        <v/>
      </c>
      <c r="K24" s="35">
        <f>IF($B24="","",IFERROR(INDEX(智能流水!$K$2:$K$1001,MATCH($B24,智能流水!$B$2:$B$1001,0)),""))</f>
        <v/>
      </c>
      <c r="L24" s="32">
        <f>IF($B24="","",IFERROR(INDEX(智能流水!$L$2:$L$1001,MATCH($B24,智能流水!$B$2:$B$1001,0)),""))</f>
        <v/>
      </c>
      <c r="M24" s="32">
        <f>IF($B24="","",IFERROR(INDEX(智能流水!$M$2:$M$1001,MATCH($B24,智能流水!$B$2:$B$1001,0)),""))</f>
        <v/>
      </c>
      <c r="N24" s="32">
        <f>IF($B24="","",IFERROR(INDEX(智能流水!$N$2:$N$1001,MATCH($B24,智能流水!$B$2:$B$1001,0)),""))</f>
        <v/>
      </c>
      <c r="O24" s="32">
        <f>IF($B24="","",IFERROR(INDEX(智能流水!$O$2:$O$1001,MATCH($B24,智能流水!$B$2:$B$1001,0)),""))</f>
        <v/>
      </c>
    </row>
    <row r="25" ht="23" customHeight="1" s="21">
      <c r="A25" s="32">
        <f>IF($B25="","",24)</f>
        <v/>
      </c>
      <c r="B25" s="32">
        <f>IFERROR(LARGE(智能流水!$B$2:$B$1001,24),"")</f>
        <v/>
      </c>
      <c r="C25" s="33">
        <f>IF($B25="","",IFERROR(INDEX(智能流水!$C$2:$C$1001,MATCH($B25,智能流水!$B$2:$B$1001,0)),""))</f>
        <v/>
      </c>
      <c r="D25" s="34">
        <f>IF($B25="","",IFERROR(INDEX(智能流水!$D$2:$D$1001,MATCH($B25,智能流水!$B$2:$B$1001,0)),""))</f>
        <v/>
      </c>
      <c r="E25" s="34">
        <f>IF($B25="","",IFERROR(INDEX(智能流水!$E$2:$E$1001,MATCH($B25,智能流水!$B$2:$B$1001,0)),""))</f>
        <v/>
      </c>
      <c r="F25" s="34">
        <f>IF($B25="","",IFERROR(INDEX(智能流水!$F$2:$F$1001,MATCH($B25,智能流水!$B$2:$B$1001,0)),""))</f>
        <v/>
      </c>
      <c r="G25" s="32">
        <f>IF($B25="","",IFERROR(INDEX(智能流水!$G$2:$G$1001,MATCH($B25,智能流水!$B$2:$B$1001,0)),""))</f>
        <v/>
      </c>
      <c r="H25" s="32">
        <f>IF($B25="","",IFERROR(INDEX(智能流水!$H$2:$H$1001,MATCH($B25,智能流水!$B$2:$B$1001,0)),""))</f>
        <v/>
      </c>
      <c r="I25" s="32">
        <f>IF($B25="","",IFERROR(INDEX(智能流水!$I$2:$I$1001,MATCH($B25,智能流水!$B$2:$B$1001,0)),""))</f>
        <v/>
      </c>
      <c r="J25" s="32">
        <f>IF($B25="","",IFERROR(INDEX(智能流水!$J$2:$J$1001,MATCH($B25,智能流水!$B$2:$B$1001,0)),""))</f>
        <v/>
      </c>
      <c r="K25" s="35">
        <f>IF($B25="","",IFERROR(INDEX(智能流水!$K$2:$K$1001,MATCH($B25,智能流水!$B$2:$B$1001,0)),""))</f>
        <v/>
      </c>
      <c r="L25" s="32">
        <f>IF($B25="","",IFERROR(INDEX(智能流水!$L$2:$L$1001,MATCH($B25,智能流水!$B$2:$B$1001,0)),""))</f>
        <v/>
      </c>
      <c r="M25" s="32">
        <f>IF($B25="","",IFERROR(INDEX(智能流水!$M$2:$M$1001,MATCH($B25,智能流水!$B$2:$B$1001,0)),""))</f>
        <v/>
      </c>
      <c r="N25" s="32">
        <f>IF($B25="","",IFERROR(INDEX(智能流水!$N$2:$N$1001,MATCH($B25,智能流水!$B$2:$B$1001,0)),""))</f>
        <v/>
      </c>
      <c r="O25" s="32">
        <f>IF($B25="","",IFERROR(INDEX(智能流水!$O$2:$O$1001,MATCH($B25,智能流水!$B$2:$B$1001,0)),""))</f>
        <v/>
      </c>
    </row>
    <row r="26" ht="23" customHeight="1" s="21">
      <c r="A26" s="32">
        <f>IF($B26="","",25)</f>
        <v/>
      </c>
      <c r="B26" s="32">
        <f>IFERROR(LARGE(智能流水!$B$2:$B$1001,25),"")</f>
        <v/>
      </c>
      <c r="C26" s="33">
        <f>IF($B26="","",IFERROR(INDEX(智能流水!$C$2:$C$1001,MATCH($B26,智能流水!$B$2:$B$1001,0)),""))</f>
        <v/>
      </c>
      <c r="D26" s="34">
        <f>IF($B26="","",IFERROR(INDEX(智能流水!$D$2:$D$1001,MATCH($B26,智能流水!$B$2:$B$1001,0)),""))</f>
        <v/>
      </c>
      <c r="E26" s="34">
        <f>IF($B26="","",IFERROR(INDEX(智能流水!$E$2:$E$1001,MATCH($B26,智能流水!$B$2:$B$1001,0)),""))</f>
        <v/>
      </c>
      <c r="F26" s="34">
        <f>IF($B26="","",IFERROR(INDEX(智能流水!$F$2:$F$1001,MATCH($B26,智能流水!$B$2:$B$1001,0)),""))</f>
        <v/>
      </c>
      <c r="G26" s="32">
        <f>IF($B26="","",IFERROR(INDEX(智能流水!$G$2:$G$1001,MATCH($B26,智能流水!$B$2:$B$1001,0)),""))</f>
        <v/>
      </c>
      <c r="H26" s="32">
        <f>IF($B26="","",IFERROR(INDEX(智能流水!$H$2:$H$1001,MATCH($B26,智能流水!$B$2:$B$1001,0)),""))</f>
        <v/>
      </c>
      <c r="I26" s="32">
        <f>IF($B26="","",IFERROR(INDEX(智能流水!$I$2:$I$1001,MATCH($B26,智能流水!$B$2:$B$1001,0)),""))</f>
        <v/>
      </c>
      <c r="J26" s="32">
        <f>IF($B26="","",IFERROR(INDEX(智能流水!$J$2:$J$1001,MATCH($B26,智能流水!$B$2:$B$1001,0)),""))</f>
        <v/>
      </c>
      <c r="K26" s="35">
        <f>IF($B26="","",IFERROR(INDEX(智能流水!$K$2:$K$1001,MATCH($B26,智能流水!$B$2:$B$1001,0)),""))</f>
        <v/>
      </c>
      <c r="L26" s="32">
        <f>IF($B26="","",IFERROR(INDEX(智能流水!$L$2:$L$1001,MATCH($B26,智能流水!$B$2:$B$1001,0)),""))</f>
        <v/>
      </c>
      <c r="M26" s="32">
        <f>IF($B26="","",IFERROR(INDEX(智能流水!$M$2:$M$1001,MATCH($B26,智能流水!$B$2:$B$1001,0)),""))</f>
        <v/>
      </c>
      <c r="N26" s="32">
        <f>IF($B26="","",IFERROR(INDEX(智能流水!$N$2:$N$1001,MATCH($B26,智能流水!$B$2:$B$1001,0)),""))</f>
        <v/>
      </c>
      <c r="O26" s="32">
        <f>IF($B26="","",IFERROR(INDEX(智能流水!$O$2:$O$1001,MATCH($B26,智能流水!$B$2:$B$1001,0)),""))</f>
        <v/>
      </c>
    </row>
    <row r="27" ht="23" customHeight="1" s="21">
      <c r="A27" s="32">
        <f>IF($B27="","",26)</f>
        <v/>
      </c>
      <c r="B27" s="32">
        <f>IFERROR(LARGE(智能流水!$B$2:$B$1001,26),"")</f>
        <v/>
      </c>
      <c r="C27" s="33">
        <f>IF($B27="","",IFERROR(INDEX(智能流水!$C$2:$C$1001,MATCH($B27,智能流水!$B$2:$B$1001,0)),""))</f>
        <v/>
      </c>
      <c r="D27" s="34">
        <f>IF($B27="","",IFERROR(INDEX(智能流水!$D$2:$D$1001,MATCH($B27,智能流水!$B$2:$B$1001,0)),""))</f>
        <v/>
      </c>
      <c r="E27" s="34">
        <f>IF($B27="","",IFERROR(INDEX(智能流水!$E$2:$E$1001,MATCH($B27,智能流水!$B$2:$B$1001,0)),""))</f>
        <v/>
      </c>
      <c r="F27" s="34">
        <f>IF($B27="","",IFERROR(INDEX(智能流水!$F$2:$F$1001,MATCH($B27,智能流水!$B$2:$B$1001,0)),""))</f>
        <v/>
      </c>
      <c r="G27" s="32">
        <f>IF($B27="","",IFERROR(INDEX(智能流水!$G$2:$G$1001,MATCH($B27,智能流水!$B$2:$B$1001,0)),""))</f>
        <v/>
      </c>
      <c r="H27" s="32">
        <f>IF($B27="","",IFERROR(INDEX(智能流水!$H$2:$H$1001,MATCH($B27,智能流水!$B$2:$B$1001,0)),""))</f>
        <v/>
      </c>
      <c r="I27" s="32">
        <f>IF($B27="","",IFERROR(INDEX(智能流水!$I$2:$I$1001,MATCH($B27,智能流水!$B$2:$B$1001,0)),""))</f>
        <v/>
      </c>
      <c r="J27" s="32">
        <f>IF($B27="","",IFERROR(INDEX(智能流水!$J$2:$J$1001,MATCH($B27,智能流水!$B$2:$B$1001,0)),""))</f>
        <v/>
      </c>
      <c r="K27" s="35">
        <f>IF($B27="","",IFERROR(INDEX(智能流水!$K$2:$K$1001,MATCH($B27,智能流水!$B$2:$B$1001,0)),""))</f>
        <v/>
      </c>
      <c r="L27" s="32">
        <f>IF($B27="","",IFERROR(INDEX(智能流水!$L$2:$L$1001,MATCH($B27,智能流水!$B$2:$B$1001,0)),""))</f>
        <v/>
      </c>
      <c r="M27" s="32">
        <f>IF($B27="","",IFERROR(INDEX(智能流水!$M$2:$M$1001,MATCH($B27,智能流水!$B$2:$B$1001,0)),""))</f>
        <v/>
      </c>
      <c r="N27" s="32">
        <f>IF($B27="","",IFERROR(INDEX(智能流水!$N$2:$N$1001,MATCH($B27,智能流水!$B$2:$B$1001,0)),""))</f>
        <v/>
      </c>
      <c r="O27" s="32">
        <f>IF($B27="","",IFERROR(INDEX(智能流水!$O$2:$O$1001,MATCH($B27,智能流水!$B$2:$B$1001,0)),""))</f>
        <v/>
      </c>
    </row>
    <row r="28" ht="23" customHeight="1" s="21">
      <c r="A28" s="32">
        <f>IF($B28="","",27)</f>
        <v/>
      </c>
      <c r="B28" s="32">
        <f>IFERROR(LARGE(智能流水!$B$2:$B$1001,27),"")</f>
        <v/>
      </c>
      <c r="C28" s="33">
        <f>IF($B28="","",IFERROR(INDEX(智能流水!$C$2:$C$1001,MATCH($B28,智能流水!$B$2:$B$1001,0)),""))</f>
        <v/>
      </c>
      <c r="D28" s="34">
        <f>IF($B28="","",IFERROR(INDEX(智能流水!$D$2:$D$1001,MATCH($B28,智能流水!$B$2:$B$1001,0)),""))</f>
        <v/>
      </c>
      <c r="E28" s="34">
        <f>IF($B28="","",IFERROR(INDEX(智能流水!$E$2:$E$1001,MATCH($B28,智能流水!$B$2:$B$1001,0)),""))</f>
        <v/>
      </c>
      <c r="F28" s="34">
        <f>IF($B28="","",IFERROR(INDEX(智能流水!$F$2:$F$1001,MATCH($B28,智能流水!$B$2:$B$1001,0)),""))</f>
        <v/>
      </c>
      <c r="G28" s="32">
        <f>IF($B28="","",IFERROR(INDEX(智能流水!$G$2:$G$1001,MATCH($B28,智能流水!$B$2:$B$1001,0)),""))</f>
        <v/>
      </c>
      <c r="H28" s="32">
        <f>IF($B28="","",IFERROR(INDEX(智能流水!$H$2:$H$1001,MATCH($B28,智能流水!$B$2:$B$1001,0)),""))</f>
        <v/>
      </c>
      <c r="I28" s="32">
        <f>IF($B28="","",IFERROR(INDEX(智能流水!$I$2:$I$1001,MATCH($B28,智能流水!$B$2:$B$1001,0)),""))</f>
        <v/>
      </c>
      <c r="J28" s="32">
        <f>IF($B28="","",IFERROR(INDEX(智能流水!$J$2:$J$1001,MATCH($B28,智能流水!$B$2:$B$1001,0)),""))</f>
        <v/>
      </c>
      <c r="K28" s="35">
        <f>IF($B28="","",IFERROR(INDEX(智能流水!$K$2:$K$1001,MATCH($B28,智能流水!$B$2:$B$1001,0)),""))</f>
        <v/>
      </c>
      <c r="L28" s="32">
        <f>IF($B28="","",IFERROR(INDEX(智能流水!$L$2:$L$1001,MATCH($B28,智能流水!$B$2:$B$1001,0)),""))</f>
        <v/>
      </c>
      <c r="M28" s="32">
        <f>IF($B28="","",IFERROR(INDEX(智能流水!$M$2:$M$1001,MATCH($B28,智能流水!$B$2:$B$1001,0)),""))</f>
        <v/>
      </c>
      <c r="N28" s="32">
        <f>IF($B28="","",IFERROR(INDEX(智能流水!$N$2:$N$1001,MATCH($B28,智能流水!$B$2:$B$1001,0)),""))</f>
        <v/>
      </c>
      <c r="O28" s="32">
        <f>IF($B28="","",IFERROR(INDEX(智能流水!$O$2:$O$1001,MATCH($B28,智能流水!$B$2:$B$1001,0)),""))</f>
        <v/>
      </c>
    </row>
    <row r="29" ht="23" customHeight="1" s="21">
      <c r="A29" s="32">
        <f>IF($B29="","",28)</f>
        <v/>
      </c>
      <c r="B29" s="32">
        <f>IFERROR(LARGE(智能流水!$B$2:$B$1001,28),"")</f>
        <v/>
      </c>
      <c r="C29" s="33">
        <f>IF($B29="","",IFERROR(INDEX(智能流水!$C$2:$C$1001,MATCH($B29,智能流水!$B$2:$B$1001,0)),""))</f>
        <v/>
      </c>
      <c r="D29" s="34">
        <f>IF($B29="","",IFERROR(INDEX(智能流水!$D$2:$D$1001,MATCH($B29,智能流水!$B$2:$B$1001,0)),""))</f>
        <v/>
      </c>
      <c r="E29" s="34">
        <f>IF($B29="","",IFERROR(INDEX(智能流水!$E$2:$E$1001,MATCH($B29,智能流水!$B$2:$B$1001,0)),""))</f>
        <v/>
      </c>
      <c r="F29" s="34">
        <f>IF($B29="","",IFERROR(INDEX(智能流水!$F$2:$F$1001,MATCH($B29,智能流水!$B$2:$B$1001,0)),""))</f>
        <v/>
      </c>
      <c r="G29" s="32">
        <f>IF($B29="","",IFERROR(INDEX(智能流水!$G$2:$G$1001,MATCH($B29,智能流水!$B$2:$B$1001,0)),""))</f>
        <v/>
      </c>
      <c r="H29" s="32">
        <f>IF($B29="","",IFERROR(INDEX(智能流水!$H$2:$H$1001,MATCH($B29,智能流水!$B$2:$B$1001,0)),""))</f>
        <v/>
      </c>
      <c r="I29" s="32">
        <f>IF($B29="","",IFERROR(INDEX(智能流水!$I$2:$I$1001,MATCH($B29,智能流水!$B$2:$B$1001,0)),""))</f>
        <v/>
      </c>
      <c r="J29" s="32">
        <f>IF($B29="","",IFERROR(INDEX(智能流水!$J$2:$J$1001,MATCH($B29,智能流水!$B$2:$B$1001,0)),""))</f>
        <v/>
      </c>
      <c r="K29" s="35">
        <f>IF($B29="","",IFERROR(INDEX(智能流水!$K$2:$K$1001,MATCH($B29,智能流水!$B$2:$B$1001,0)),""))</f>
        <v/>
      </c>
      <c r="L29" s="32">
        <f>IF($B29="","",IFERROR(INDEX(智能流水!$L$2:$L$1001,MATCH($B29,智能流水!$B$2:$B$1001,0)),""))</f>
        <v/>
      </c>
      <c r="M29" s="32">
        <f>IF($B29="","",IFERROR(INDEX(智能流水!$M$2:$M$1001,MATCH($B29,智能流水!$B$2:$B$1001,0)),""))</f>
        <v/>
      </c>
      <c r="N29" s="32">
        <f>IF($B29="","",IFERROR(INDEX(智能流水!$N$2:$N$1001,MATCH($B29,智能流水!$B$2:$B$1001,0)),""))</f>
        <v/>
      </c>
      <c r="O29" s="32">
        <f>IF($B29="","",IFERROR(INDEX(智能流水!$O$2:$O$1001,MATCH($B29,智能流水!$B$2:$B$1001,0)),""))</f>
        <v/>
      </c>
    </row>
    <row r="30" ht="23" customHeight="1" s="21">
      <c r="A30" s="32">
        <f>IF($B30="","",29)</f>
        <v/>
      </c>
      <c r="B30" s="32">
        <f>IFERROR(LARGE(智能流水!$B$2:$B$1001,29),"")</f>
        <v/>
      </c>
      <c r="C30" s="33">
        <f>IF($B30="","",IFERROR(INDEX(智能流水!$C$2:$C$1001,MATCH($B30,智能流水!$B$2:$B$1001,0)),""))</f>
        <v/>
      </c>
      <c r="D30" s="34">
        <f>IF($B30="","",IFERROR(INDEX(智能流水!$D$2:$D$1001,MATCH($B30,智能流水!$B$2:$B$1001,0)),""))</f>
        <v/>
      </c>
      <c r="E30" s="34">
        <f>IF($B30="","",IFERROR(INDEX(智能流水!$E$2:$E$1001,MATCH($B30,智能流水!$B$2:$B$1001,0)),""))</f>
        <v/>
      </c>
      <c r="F30" s="34">
        <f>IF($B30="","",IFERROR(INDEX(智能流水!$F$2:$F$1001,MATCH($B30,智能流水!$B$2:$B$1001,0)),""))</f>
        <v/>
      </c>
      <c r="G30" s="32">
        <f>IF($B30="","",IFERROR(INDEX(智能流水!$G$2:$G$1001,MATCH($B30,智能流水!$B$2:$B$1001,0)),""))</f>
        <v/>
      </c>
      <c r="H30" s="32">
        <f>IF($B30="","",IFERROR(INDEX(智能流水!$H$2:$H$1001,MATCH($B30,智能流水!$B$2:$B$1001,0)),""))</f>
        <v/>
      </c>
      <c r="I30" s="32">
        <f>IF($B30="","",IFERROR(INDEX(智能流水!$I$2:$I$1001,MATCH($B30,智能流水!$B$2:$B$1001,0)),""))</f>
        <v/>
      </c>
      <c r="J30" s="32">
        <f>IF($B30="","",IFERROR(INDEX(智能流水!$J$2:$J$1001,MATCH($B30,智能流水!$B$2:$B$1001,0)),""))</f>
        <v/>
      </c>
      <c r="K30" s="35">
        <f>IF($B30="","",IFERROR(INDEX(智能流水!$K$2:$K$1001,MATCH($B30,智能流水!$B$2:$B$1001,0)),""))</f>
        <v/>
      </c>
      <c r="L30" s="32">
        <f>IF($B30="","",IFERROR(INDEX(智能流水!$L$2:$L$1001,MATCH($B30,智能流水!$B$2:$B$1001,0)),""))</f>
        <v/>
      </c>
      <c r="M30" s="32">
        <f>IF($B30="","",IFERROR(INDEX(智能流水!$M$2:$M$1001,MATCH($B30,智能流水!$B$2:$B$1001,0)),""))</f>
        <v/>
      </c>
      <c r="N30" s="32">
        <f>IF($B30="","",IFERROR(INDEX(智能流水!$N$2:$N$1001,MATCH($B30,智能流水!$B$2:$B$1001,0)),""))</f>
        <v/>
      </c>
      <c r="O30" s="32">
        <f>IF($B30="","",IFERROR(INDEX(智能流水!$O$2:$O$1001,MATCH($B30,智能流水!$B$2:$B$1001,0)),""))</f>
        <v/>
      </c>
    </row>
    <row r="31" ht="23" customHeight="1" s="21">
      <c r="A31" s="32">
        <f>IF($B31="","",30)</f>
        <v/>
      </c>
      <c r="B31" s="32">
        <f>IFERROR(LARGE(智能流水!$B$2:$B$1001,30),"")</f>
        <v/>
      </c>
      <c r="C31" s="33">
        <f>IF($B31="","",IFERROR(INDEX(智能流水!$C$2:$C$1001,MATCH($B31,智能流水!$B$2:$B$1001,0)),""))</f>
        <v/>
      </c>
      <c r="D31" s="34">
        <f>IF($B31="","",IFERROR(INDEX(智能流水!$D$2:$D$1001,MATCH($B31,智能流水!$B$2:$B$1001,0)),""))</f>
        <v/>
      </c>
      <c r="E31" s="34">
        <f>IF($B31="","",IFERROR(INDEX(智能流水!$E$2:$E$1001,MATCH($B31,智能流水!$B$2:$B$1001,0)),""))</f>
        <v/>
      </c>
      <c r="F31" s="34">
        <f>IF($B31="","",IFERROR(INDEX(智能流水!$F$2:$F$1001,MATCH($B31,智能流水!$B$2:$B$1001,0)),""))</f>
        <v/>
      </c>
      <c r="G31" s="32">
        <f>IF($B31="","",IFERROR(INDEX(智能流水!$G$2:$G$1001,MATCH($B31,智能流水!$B$2:$B$1001,0)),""))</f>
        <v/>
      </c>
      <c r="H31" s="32">
        <f>IF($B31="","",IFERROR(INDEX(智能流水!$H$2:$H$1001,MATCH($B31,智能流水!$B$2:$B$1001,0)),""))</f>
        <v/>
      </c>
      <c r="I31" s="32">
        <f>IF($B31="","",IFERROR(INDEX(智能流水!$I$2:$I$1001,MATCH($B31,智能流水!$B$2:$B$1001,0)),""))</f>
        <v/>
      </c>
      <c r="J31" s="32">
        <f>IF($B31="","",IFERROR(INDEX(智能流水!$J$2:$J$1001,MATCH($B31,智能流水!$B$2:$B$1001,0)),""))</f>
        <v/>
      </c>
      <c r="K31" s="35">
        <f>IF($B31="","",IFERROR(INDEX(智能流水!$K$2:$K$1001,MATCH($B31,智能流水!$B$2:$B$1001,0)),""))</f>
        <v/>
      </c>
      <c r="L31" s="32">
        <f>IF($B31="","",IFERROR(INDEX(智能流水!$L$2:$L$1001,MATCH($B31,智能流水!$B$2:$B$1001,0)),""))</f>
        <v/>
      </c>
      <c r="M31" s="32">
        <f>IF($B31="","",IFERROR(INDEX(智能流水!$M$2:$M$1001,MATCH($B31,智能流水!$B$2:$B$1001,0)),""))</f>
        <v/>
      </c>
      <c r="N31" s="32">
        <f>IF($B31="","",IFERROR(INDEX(智能流水!$N$2:$N$1001,MATCH($B31,智能流水!$B$2:$B$1001,0)),""))</f>
        <v/>
      </c>
      <c r="O31" s="32">
        <f>IF($B31="","",IFERROR(INDEX(智能流水!$O$2:$O$1001,MATCH($B31,智能流水!$B$2:$B$1001,0)),""))</f>
        <v/>
      </c>
    </row>
    <row r="32" ht="23" customHeight="1" s="21">
      <c r="A32" s="32">
        <f>IF($B32="","",31)</f>
        <v/>
      </c>
      <c r="B32" s="32">
        <f>IFERROR(LARGE(智能流水!$B$2:$B$1001,31),"")</f>
        <v/>
      </c>
      <c r="C32" s="33">
        <f>IF($B32="","",IFERROR(INDEX(智能流水!$C$2:$C$1001,MATCH($B32,智能流水!$B$2:$B$1001,0)),""))</f>
        <v/>
      </c>
      <c r="D32" s="34">
        <f>IF($B32="","",IFERROR(INDEX(智能流水!$D$2:$D$1001,MATCH($B32,智能流水!$B$2:$B$1001,0)),""))</f>
        <v/>
      </c>
      <c r="E32" s="34">
        <f>IF($B32="","",IFERROR(INDEX(智能流水!$E$2:$E$1001,MATCH($B32,智能流水!$B$2:$B$1001,0)),""))</f>
        <v/>
      </c>
      <c r="F32" s="34">
        <f>IF($B32="","",IFERROR(INDEX(智能流水!$F$2:$F$1001,MATCH($B32,智能流水!$B$2:$B$1001,0)),""))</f>
        <v/>
      </c>
      <c r="G32" s="32">
        <f>IF($B32="","",IFERROR(INDEX(智能流水!$G$2:$G$1001,MATCH($B32,智能流水!$B$2:$B$1001,0)),""))</f>
        <v/>
      </c>
      <c r="H32" s="32">
        <f>IF($B32="","",IFERROR(INDEX(智能流水!$H$2:$H$1001,MATCH($B32,智能流水!$B$2:$B$1001,0)),""))</f>
        <v/>
      </c>
      <c r="I32" s="32">
        <f>IF($B32="","",IFERROR(INDEX(智能流水!$I$2:$I$1001,MATCH($B32,智能流水!$B$2:$B$1001,0)),""))</f>
        <v/>
      </c>
      <c r="J32" s="32">
        <f>IF($B32="","",IFERROR(INDEX(智能流水!$J$2:$J$1001,MATCH($B32,智能流水!$B$2:$B$1001,0)),""))</f>
        <v/>
      </c>
      <c r="K32" s="35">
        <f>IF($B32="","",IFERROR(INDEX(智能流水!$K$2:$K$1001,MATCH($B32,智能流水!$B$2:$B$1001,0)),""))</f>
        <v/>
      </c>
      <c r="L32" s="32">
        <f>IF($B32="","",IFERROR(INDEX(智能流水!$L$2:$L$1001,MATCH($B32,智能流水!$B$2:$B$1001,0)),""))</f>
        <v/>
      </c>
      <c r="M32" s="32">
        <f>IF($B32="","",IFERROR(INDEX(智能流水!$M$2:$M$1001,MATCH($B32,智能流水!$B$2:$B$1001,0)),""))</f>
        <v/>
      </c>
      <c r="N32" s="32">
        <f>IF($B32="","",IFERROR(INDEX(智能流水!$N$2:$N$1001,MATCH($B32,智能流水!$B$2:$B$1001,0)),""))</f>
        <v/>
      </c>
      <c r="O32" s="32">
        <f>IF($B32="","",IFERROR(INDEX(智能流水!$O$2:$O$1001,MATCH($B32,智能流水!$B$2:$B$1001,0)),""))</f>
        <v/>
      </c>
    </row>
    <row r="33" ht="23" customHeight="1" s="21">
      <c r="A33" s="32">
        <f>IF($B33="","",32)</f>
        <v/>
      </c>
      <c r="B33" s="32">
        <f>IFERROR(LARGE(智能流水!$B$2:$B$1001,32),"")</f>
        <v/>
      </c>
      <c r="C33" s="33">
        <f>IF($B33="","",IFERROR(INDEX(智能流水!$C$2:$C$1001,MATCH($B33,智能流水!$B$2:$B$1001,0)),""))</f>
        <v/>
      </c>
      <c r="D33" s="34">
        <f>IF($B33="","",IFERROR(INDEX(智能流水!$D$2:$D$1001,MATCH($B33,智能流水!$B$2:$B$1001,0)),""))</f>
        <v/>
      </c>
      <c r="E33" s="34">
        <f>IF($B33="","",IFERROR(INDEX(智能流水!$E$2:$E$1001,MATCH($B33,智能流水!$B$2:$B$1001,0)),""))</f>
        <v/>
      </c>
      <c r="F33" s="34">
        <f>IF($B33="","",IFERROR(INDEX(智能流水!$F$2:$F$1001,MATCH($B33,智能流水!$B$2:$B$1001,0)),""))</f>
        <v/>
      </c>
      <c r="G33" s="32">
        <f>IF($B33="","",IFERROR(INDEX(智能流水!$G$2:$G$1001,MATCH($B33,智能流水!$B$2:$B$1001,0)),""))</f>
        <v/>
      </c>
      <c r="H33" s="32">
        <f>IF($B33="","",IFERROR(INDEX(智能流水!$H$2:$H$1001,MATCH($B33,智能流水!$B$2:$B$1001,0)),""))</f>
        <v/>
      </c>
      <c r="I33" s="32">
        <f>IF($B33="","",IFERROR(INDEX(智能流水!$I$2:$I$1001,MATCH($B33,智能流水!$B$2:$B$1001,0)),""))</f>
        <v/>
      </c>
      <c r="J33" s="32">
        <f>IF($B33="","",IFERROR(INDEX(智能流水!$J$2:$J$1001,MATCH($B33,智能流水!$B$2:$B$1001,0)),""))</f>
        <v/>
      </c>
      <c r="K33" s="35">
        <f>IF($B33="","",IFERROR(INDEX(智能流水!$K$2:$K$1001,MATCH($B33,智能流水!$B$2:$B$1001,0)),""))</f>
        <v/>
      </c>
      <c r="L33" s="32">
        <f>IF($B33="","",IFERROR(INDEX(智能流水!$L$2:$L$1001,MATCH($B33,智能流水!$B$2:$B$1001,0)),""))</f>
        <v/>
      </c>
      <c r="M33" s="32">
        <f>IF($B33="","",IFERROR(INDEX(智能流水!$M$2:$M$1001,MATCH($B33,智能流水!$B$2:$B$1001,0)),""))</f>
        <v/>
      </c>
      <c r="N33" s="32">
        <f>IF($B33="","",IFERROR(INDEX(智能流水!$N$2:$N$1001,MATCH($B33,智能流水!$B$2:$B$1001,0)),""))</f>
        <v/>
      </c>
      <c r="O33" s="32">
        <f>IF($B33="","",IFERROR(INDEX(智能流水!$O$2:$O$1001,MATCH($B33,智能流水!$B$2:$B$1001,0)),""))</f>
        <v/>
      </c>
    </row>
    <row r="34" ht="23" customHeight="1" s="21">
      <c r="A34" s="32">
        <f>IF($B34="","",33)</f>
        <v/>
      </c>
      <c r="B34" s="32">
        <f>IFERROR(LARGE(智能流水!$B$2:$B$1001,33),"")</f>
        <v/>
      </c>
      <c r="C34" s="33">
        <f>IF($B34="","",IFERROR(INDEX(智能流水!$C$2:$C$1001,MATCH($B34,智能流水!$B$2:$B$1001,0)),""))</f>
        <v/>
      </c>
      <c r="D34" s="34">
        <f>IF($B34="","",IFERROR(INDEX(智能流水!$D$2:$D$1001,MATCH($B34,智能流水!$B$2:$B$1001,0)),""))</f>
        <v/>
      </c>
      <c r="E34" s="34">
        <f>IF($B34="","",IFERROR(INDEX(智能流水!$E$2:$E$1001,MATCH($B34,智能流水!$B$2:$B$1001,0)),""))</f>
        <v/>
      </c>
      <c r="F34" s="34">
        <f>IF($B34="","",IFERROR(INDEX(智能流水!$F$2:$F$1001,MATCH($B34,智能流水!$B$2:$B$1001,0)),""))</f>
        <v/>
      </c>
      <c r="G34" s="32">
        <f>IF($B34="","",IFERROR(INDEX(智能流水!$G$2:$G$1001,MATCH($B34,智能流水!$B$2:$B$1001,0)),""))</f>
        <v/>
      </c>
      <c r="H34" s="32">
        <f>IF($B34="","",IFERROR(INDEX(智能流水!$H$2:$H$1001,MATCH($B34,智能流水!$B$2:$B$1001,0)),""))</f>
        <v/>
      </c>
      <c r="I34" s="32">
        <f>IF($B34="","",IFERROR(INDEX(智能流水!$I$2:$I$1001,MATCH($B34,智能流水!$B$2:$B$1001,0)),""))</f>
        <v/>
      </c>
      <c r="J34" s="32">
        <f>IF($B34="","",IFERROR(INDEX(智能流水!$J$2:$J$1001,MATCH($B34,智能流水!$B$2:$B$1001,0)),""))</f>
        <v/>
      </c>
      <c r="K34" s="35">
        <f>IF($B34="","",IFERROR(INDEX(智能流水!$K$2:$K$1001,MATCH($B34,智能流水!$B$2:$B$1001,0)),""))</f>
        <v/>
      </c>
      <c r="L34" s="32">
        <f>IF($B34="","",IFERROR(INDEX(智能流水!$L$2:$L$1001,MATCH($B34,智能流水!$B$2:$B$1001,0)),""))</f>
        <v/>
      </c>
      <c r="M34" s="32">
        <f>IF($B34="","",IFERROR(INDEX(智能流水!$M$2:$M$1001,MATCH($B34,智能流水!$B$2:$B$1001,0)),""))</f>
        <v/>
      </c>
      <c r="N34" s="32">
        <f>IF($B34="","",IFERROR(INDEX(智能流水!$N$2:$N$1001,MATCH($B34,智能流水!$B$2:$B$1001,0)),""))</f>
        <v/>
      </c>
      <c r="O34" s="32">
        <f>IF($B34="","",IFERROR(INDEX(智能流水!$O$2:$O$1001,MATCH($B34,智能流水!$B$2:$B$1001,0)),""))</f>
        <v/>
      </c>
    </row>
    <row r="35" ht="23" customHeight="1" s="21">
      <c r="A35" s="32">
        <f>IF($B35="","",34)</f>
        <v/>
      </c>
      <c r="B35" s="32">
        <f>IFERROR(LARGE(智能流水!$B$2:$B$1001,34),"")</f>
        <v/>
      </c>
      <c r="C35" s="33">
        <f>IF($B35="","",IFERROR(INDEX(智能流水!$C$2:$C$1001,MATCH($B35,智能流水!$B$2:$B$1001,0)),""))</f>
        <v/>
      </c>
      <c r="D35" s="34">
        <f>IF($B35="","",IFERROR(INDEX(智能流水!$D$2:$D$1001,MATCH($B35,智能流水!$B$2:$B$1001,0)),""))</f>
        <v/>
      </c>
      <c r="E35" s="34">
        <f>IF($B35="","",IFERROR(INDEX(智能流水!$E$2:$E$1001,MATCH($B35,智能流水!$B$2:$B$1001,0)),""))</f>
        <v/>
      </c>
      <c r="F35" s="34">
        <f>IF($B35="","",IFERROR(INDEX(智能流水!$F$2:$F$1001,MATCH($B35,智能流水!$B$2:$B$1001,0)),""))</f>
        <v/>
      </c>
      <c r="G35" s="32">
        <f>IF($B35="","",IFERROR(INDEX(智能流水!$G$2:$G$1001,MATCH($B35,智能流水!$B$2:$B$1001,0)),""))</f>
        <v/>
      </c>
      <c r="H35" s="32">
        <f>IF($B35="","",IFERROR(INDEX(智能流水!$H$2:$H$1001,MATCH($B35,智能流水!$B$2:$B$1001,0)),""))</f>
        <v/>
      </c>
      <c r="I35" s="32">
        <f>IF($B35="","",IFERROR(INDEX(智能流水!$I$2:$I$1001,MATCH($B35,智能流水!$B$2:$B$1001,0)),""))</f>
        <v/>
      </c>
      <c r="J35" s="32">
        <f>IF($B35="","",IFERROR(INDEX(智能流水!$J$2:$J$1001,MATCH($B35,智能流水!$B$2:$B$1001,0)),""))</f>
        <v/>
      </c>
      <c r="K35" s="35">
        <f>IF($B35="","",IFERROR(INDEX(智能流水!$K$2:$K$1001,MATCH($B35,智能流水!$B$2:$B$1001,0)),""))</f>
        <v/>
      </c>
      <c r="L35" s="32">
        <f>IF($B35="","",IFERROR(INDEX(智能流水!$L$2:$L$1001,MATCH($B35,智能流水!$B$2:$B$1001,0)),""))</f>
        <v/>
      </c>
      <c r="M35" s="32">
        <f>IF($B35="","",IFERROR(INDEX(智能流水!$M$2:$M$1001,MATCH($B35,智能流水!$B$2:$B$1001,0)),""))</f>
        <v/>
      </c>
      <c r="N35" s="32">
        <f>IF($B35="","",IFERROR(INDEX(智能流水!$N$2:$N$1001,MATCH($B35,智能流水!$B$2:$B$1001,0)),""))</f>
        <v/>
      </c>
      <c r="O35" s="32">
        <f>IF($B35="","",IFERROR(INDEX(智能流水!$O$2:$O$1001,MATCH($B35,智能流水!$B$2:$B$1001,0)),""))</f>
        <v/>
      </c>
    </row>
    <row r="36" ht="23" customHeight="1" s="21">
      <c r="A36" s="32">
        <f>IF($B36="","",35)</f>
        <v/>
      </c>
      <c r="B36" s="32">
        <f>IFERROR(LARGE(智能流水!$B$2:$B$1001,35),"")</f>
        <v/>
      </c>
      <c r="C36" s="33">
        <f>IF($B36="","",IFERROR(INDEX(智能流水!$C$2:$C$1001,MATCH($B36,智能流水!$B$2:$B$1001,0)),""))</f>
        <v/>
      </c>
      <c r="D36" s="34">
        <f>IF($B36="","",IFERROR(INDEX(智能流水!$D$2:$D$1001,MATCH($B36,智能流水!$B$2:$B$1001,0)),""))</f>
        <v/>
      </c>
      <c r="E36" s="34">
        <f>IF($B36="","",IFERROR(INDEX(智能流水!$E$2:$E$1001,MATCH($B36,智能流水!$B$2:$B$1001,0)),""))</f>
        <v/>
      </c>
      <c r="F36" s="34">
        <f>IF($B36="","",IFERROR(INDEX(智能流水!$F$2:$F$1001,MATCH($B36,智能流水!$B$2:$B$1001,0)),""))</f>
        <v/>
      </c>
      <c r="G36" s="32">
        <f>IF($B36="","",IFERROR(INDEX(智能流水!$G$2:$G$1001,MATCH($B36,智能流水!$B$2:$B$1001,0)),""))</f>
        <v/>
      </c>
      <c r="H36" s="32">
        <f>IF($B36="","",IFERROR(INDEX(智能流水!$H$2:$H$1001,MATCH($B36,智能流水!$B$2:$B$1001,0)),""))</f>
        <v/>
      </c>
      <c r="I36" s="32">
        <f>IF($B36="","",IFERROR(INDEX(智能流水!$I$2:$I$1001,MATCH($B36,智能流水!$B$2:$B$1001,0)),""))</f>
        <v/>
      </c>
      <c r="J36" s="32">
        <f>IF($B36="","",IFERROR(INDEX(智能流水!$J$2:$J$1001,MATCH($B36,智能流水!$B$2:$B$1001,0)),""))</f>
        <v/>
      </c>
      <c r="K36" s="35">
        <f>IF($B36="","",IFERROR(INDEX(智能流水!$K$2:$K$1001,MATCH($B36,智能流水!$B$2:$B$1001,0)),""))</f>
        <v/>
      </c>
      <c r="L36" s="32">
        <f>IF($B36="","",IFERROR(INDEX(智能流水!$L$2:$L$1001,MATCH($B36,智能流水!$B$2:$B$1001,0)),""))</f>
        <v/>
      </c>
      <c r="M36" s="32">
        <f>IF($B36="","",IFERROR(INDEX(智能流水!$M$2:$M$1001,MATCH($B36,智能流水!$B$2:$B$1001,0)),""))</f>
        <v/>
      </c>
      <c r="N36" s="32">
        <f>IF($B36="","",IFERROR(INDEX(智能流水!$N$2:$N$1001,MATCH($B36,智能流水!$B$2:$B$1001,0)),""))</f>
        <v/>
      </c>
      <c r="O36" s="32">
        <f>IF($B36="","",IFERROR(INDEX(智能流水!$O$2:$O$1001,MATCH($B36,智能流水!$B$2:$B$1001,0)),""))</f>
        <v/>
      </c>
    </row>
    <row r="37" ht="23" customHeight="1" s="21">
      <c r="A37" s="32">
        <f>IF($B37="","",36)</f>
        <v/>
      </c>
      <c r="B37" s="32">
        <f>IFERROR(LARGE(智能流水!$B$2:$B$1001,36),"")</f>
        <v/>
      </c>
      <c r="C37" s="33">
        <f>IF($B37="","",IFERROR(INDEX(智能流水!$C$2:$C$1001,MATCH($B37,智能流水!$B$2:$B$1001,0)),""))</f>
        <v/>
      </c>
      <c r="D37" s="34">
        <f>IF($B37="","",IFERROR(INDEX(智能流水!$D$2:$D$1001,MATCH($B37,智能流水!$B$2:$B$1001,0)),""))</f>
        <v/>
      </c>
      <c r="E37" s="34">
        <f>IF($B37="","",IFERROR(INDEX(智能流水!$E$2:$E$1001,MATCH($B37,智能流水!$B$2:$B$1001,0)),""))</f>
        <v/>
      </c>
      <c r="F37" s="34">
        <f>IF($B37="","",IFERROR(INDEX(智能流水!$F$2:$F$1001,MATCH($B37,智能流水!$B$2:$B$1001,0)),""))</f>
        <v/>
      </c>
      <c r="G37" s="32">
        <f>IF($B37="","",IFERROR(INDEX(智能流水!$G$2:$G$1001,MATCH($B37,智能流水!$B$2:$B$1001,0)),""))</f>
        <v/>
      </c>
      <c r="H37" s="32">
        <f>IF($B37="","",IFERROR(INDEX(智能流水!$H$2:$H$1001,MATCH($B37,智能流水!$B$2:$B$1001,0)),""))</f>
        <v/>
      </c>
      <c r="I37" s="32">
        <f>IF($B37="","",IFERROR(INDEX(智能流水!$I$2:$I$1001,MATCH($B37,智能流水!$B$2:$B$1001,0)),""))</f>
        <v/>
      </c>
      <c r="J37" s="32">
        <f>IF($B37="","",IFERROR(INDEX(智能流水!$J$2:$J$1001,MATCH($B37,智能流水!$B$2:$B$1001,0)),""))</f>
        <v/>
      </c>
      <c r="K37" s="35">
        <f>IF($B37="","",IFERROR(INDEX(智能流水!$K$2:$K$1001,MATCH($B37,智能流水!$B$2:$B$1001,0)),""))</f>
        <v/>
      </c>
      <c r="L37" s="32">
        <f>IF($B37="","",IFERROR(INDEX(智能流水!$L$2:$L$1001,MATCH($B37,智能流水!$B$2:$B$1001,0)),""))</f>
        <v/>
      </c>
      <c r="M37" s="32">
        <f>IF($B37="","",IFERROR(INDEX(智能流水!$M$2:$M$1001,MATCH($B37,智能流水!$B$2:$B$1001,0)),""))</f>
        <v/>
      </c>
      <c r="N37" s="32">
        <f>IF($B37="","",IFERROR(INDEX(智能流水!$N$2:$N$1001,MATCH($B37,智能流水!$B$2:$B$1001,0)),""))</f>
        <v/>
      </c>
      <c r="O37" s="32">
        <f>IF($B37="","",IFERROR(INDEX(智能流水!$O$2:$O$1001,MATCH($B37,智能流水!$B$2:$B$1001,0)),""))</f>
        <v/>
      </c>
    </row>
    <row r="38" ht="23" customHeight="1" s="21">
      <c r="A38" s="32">
        <f>IF($B38="","",37)</f>
        <v/>
      </c>
      <c r="B38" s="32">
        <f>IFERROR(LARGE(智能流水!$B$2:$B$1001,37),"")</f>
        <v/>
      </c>
      <c r="C38" s="33">
        <f>IF($B38="","",IFERROR(INDEX(智能流水!$C$2:$C$1001,MATCH($B38,智能流水!$B$2:$B$1001,0)),""))</f>
        <v/>
      </c>
      <c r="D38" s="34">
        <f>IF($B38="","",IFERROR(INDEX(智能流水!$D$2:$D$1001,MATCH($B38,智能流水!$B$2:$B$1001,0)),""))</f>
        <v/>
      </c>
      <c r="E38" s="34">
        <f>IF($B38="","",IFERROR(INDEX(智能流水!$E$2:$E$1001,MATCH($B38,智能流水!$B$2:$B$1001,0)),""))</f>
        <v/>
      </c>
      <c r="F38" s="34">
        <f>IF($B38="","",IFERROR(INDEX(智能流水!$F$2:$F$1001,MATCH($B38,智能流水!$B$2:$B$1001,0)),""))</f>
        <v/>
      </c>
      <c r="G38" s="32">
        <f>IF($B38="","",IFERROR(INDEX(智能流水!$G$2:$G$1001,MATCH($B38,智能流水!$B$2:$B$1001,0)),""))</f>
        <v/>
      </c>
      <c r="H38" s="32">
        <f>IF($B38="","",IFERROR(INDEX(智能流水!$H$2:$H$1001,MATCH($B38,智能流水!$B$2:$B$1001,0)),""))</f>
        <v/>
      </c>
      <c r="I38" s="32">
        <f>IF($B38="","",IFERROR(INDEX(智能流水!$I$2:$I$1001,MATCH($B38,智能流水!$B$2:$B$1001,0)),""))</f>
        <v/>
      </c>
      <c r="J38" s="32">
        <f>IF($B38="","",IFERROR(INDEX(智能流水!$J$2:$J$1001,MATCH($B38,智能流水!$B$2:$B$1001,0)),""))</f>
        <v/>
      </c>
      <c r="K38" s="35">
        <f>IF($B38="","",IFERROR(INDEX(智能流水!$K$2:$K$1001,MATCH($B38,智能流水!$B$2:$B$1001,0)),""))</f>
        <v/>
      </c>
      <c r="L38" s="32">
        <f>IF($B38="","",IFERROR(INDEX(智能流水!$L$2:$L$1001,MATCH($B38,智能流水!$B$2:$B$1001,0)),""))</f>
        <v/>
      </c>
      <c r="M38" s="32">
        <f>IF($B38="","",IFERROR(INDEX(智能流水!$M$2:$M$1001,MATCH($B38,智能流水!$B$2:$B$1001,0)),""))</f>
        <v/>
      </c>
      <c r="N38" s="32">
        <f>IF($B38="","",IFERROR(INDEX(智能流水!$N$2:$N$1001,MATCH($B38,智能流水!$B$2:$B$1001,0)),""))</f>
        <v/>
      </c>
      <c r="O38" s="32">
        <f>IF($B38="","",IFERROR(INDEX(智能流水!$O$2:$O$1001,MATCH($B38,智能流水!$B$2:$B$1001,0)),""))</f>
        <v/>
      </c>
    </row>
    <row r="39" ht="23" customHeight="1" s="21">
      <c r="A39" s="32">
        <f>IF($B39="","",38)</f>
        <v/>
      </c>
      <c r="B39" s="32">
        <f>IFERROR(LARGE(智能流水!$B$2:$B$1001,38),"")</f>
        <v/>
      </c>
      <c r="C39" s="33">
        <f>IF($B39="","",IFERROR(INDEX(智能流水!$C$2:$C$1001,MATCH($B39,智能流水!$B$2:$B$1001,0)),""))</f>
        <v/>
      </c>
      <c r="D39" s="34">
        <f>IF($B39="","",IFERROR(INDEX(智能流水!$D$2:$D$1001,MATCH($B39,智能流水!$B$2:$B$1001,0)),""))</f>
        <v/>
      </c>
      <c r="E39" s="34">
        <f>IF($B39="","",IFERROR(INDEX(智能流水!$E$2:$E$1001,MATCH($B39,智能流水!$B$2:$B$1001,0)),""))</f>
        <v/>
      </c>
      <c r="F39" s="34">
        <f>IF($B39="","",IFERROR(INDEX(智能流水!$F$2:$F$1001,MATCH($B39,智能流水!$B$2:$B$1001,0)),""))</f>
        <v/>
      </c>
      <c r="G39" s="32">
        <f>IF($B39="","",IFERROR(INDEX(智能流水!$G$2:$G$1001,MATCH($B39,智能流水!$B$2:$B$1001,0)),""))</f>
        <v/>
      </c>
      <c r="H39" s="32">
        <f>IF($B39="","",IFERROR(INDEX(智能流水!$H$2:$H$1001,MATCH($B39,智能流水!$B$2:$B$1001,0)),""))</f>
        <v/>
      </c>
      <c r="I39" s="32">
        <f>IF($B39="","",IFERROR(INDEX(智能流水!$I$2:$I$1001,MATCH($B39,智能流水!$B$2:$B$1001,0)),""))</f>
        <v/>
      </c>
      <c r="J39" s="32">
        <f>IF($B39="","",IFERROR(INDEX(智能流水!$J$2:$J$1001,MATCH($B39,智能流水!$B$2:$B$1001,0)),""))</f>
        <v/>
      </c>
      <c r="K39" s="35">
        <f>IF($B39="","",IFERROR(INDEX(智能流水!$K$2:$K$1001,MATCH($B39,智能流水!$B$2:$B$1001,0)),""))</f>
        <v/>
      </c>
      <c r="L39" s="32">
        <f>IF($B39="","",IFERROR(INDEX(智能流水!$L$2:$L$1001,MATCH($B39,智能流水!$B$2:$B$1001,0)),""))</f>
        <v/>
      </c>
      <c r="M39" s="32">
        <f>IF($B39="","",IFERROR(INDEX(智能流水!$M$2:$M$1001,MATCH($B39,智能流水!$B$2:$B$1001,0)),""))</f>
        <v/>
      </c>
      <c r="N39" s="32">
        <f>IF($B39="","",IFERROR(INDEX(智能流水!$N$2:$N$1001,MATCH($B39,智能流水!$B$2:$B$1001,0)),""))</f>
        <v/>
      </c>
      <c r="O39" s="32">
        <f>IF($B39="","",IFERROR(INDEX(智能流水!$O$2:$O$1001,MATCH($B39,智能流水!$B$2:$B$1001,0)),""))</f>
        <v/>
      </c>
    </row>
    <row r="40" ht="23" customHeight="1" s="21">
      <c r="A40" s="32">
        <f>IF($B40="","",39)</f>
        <v/>
      </c>
      <c r="B40" s="32">
        <f>IFERROR(LARGE(智能流水!$B$2:$B$1001,39),"")</f>
        <v/>
      </c>
      <c r="C40" s="33">
        <f>IF($B40="","",IFERROR(INDEX(智能流水!$C$2:$C$1001,MATCH($B40,智能流水!$B$2:$B$1001,0)),""))</f>
        <v/>
      </c>
      <c r="D40" s="34">
        <f>IF($B40="","",IFERROR(INDEX(智能流水!$D$2:$D$1001,MATCH($B40,智能流水!$B$2:$B$1001,0)),""))</f>
        <v/>
      </c>
      <c r="E40" s="34">
        <f>IF($B40="","",IFERROR(INDEX(智能流水!$E$2:$E$1001,MATCH($B40,智能流水!$B$2:$B$1001,0)),""))</f>
        <v/>
      </c>
      <c r="F40" s="34">
        <f>IF($B40="","",IFERROR(INDEX(智能流水!$F$2:$F$1001,MATCH($B40,智能流水!$B$2:$B$1001,0)),""))</f>
        <v/>
      </c>
      <c r="G40" s="32">
        <f>IF($B40="","",IFERROR(INDEX(智能流水!$G$2:$G$1001,MATCH($B40,智能流水!$B$2:$B$1001,0)),""))</f>
        <v/>
      </c>
      <c r="H40" s="32">
        <f>IF($B40="","",IFERROR(INDEX(智能流水!$H$2:$H$1001,MATCH($B40,智能流水!$B$2:$B$1001,0)),""))</f>
        <v/>
      </c>
      <c r="I40" s="32">
        <f>IF($B40="","",IFERROR(INDEX(智能流水!$I$2:$I$1001,MATCH($B40,智能流水!$B$2:$B$1001,0)),""))</f>
        <v/>
      </c>
      <c r="J40" s="32">
        <f>IF($B40="","",IFERROR(INDEX(智能流水!$J$2:$J$1001,MATCH($B40,智能流水!$B$2:$B$1001,0)),""))</f>
        <v/>
      </c>
      <c r="K40" s="35">
        <f>IF($B40="","",IFERROR(INDEX(智能流水!$K$2:$K$1001,MATCH($B40,智能流水!$B$2:$B$1001,0)),""))</f>
        <v/>
      </c>
      <c r="L40" s="32">
        <f>IF($B40="","",IFERROR(INDEX(智能流水!$L$2:$L$1001,MATCH($B40,智能流水!$B$2:$B$1001,0)),""))</f>
        <v/>
      </c>
      <c r="M40" s="32">
        <f>IF($B40="","",IFERROR(INDEX(智能流水!$M$2:$M$1001,MATCH($B40,智能流水!$B$2:$B$1001,0)),""))</f>
        <v/>
      </c>
      <c r="N40" s="32">
        <f>IF($B40="","",IFERROR(INDEX(智能流水!$N$2:$N$1001,MATCH($B40,智能流水!$B$2:$B$1001,0)),""))</f>
        <v/>
      </c>
      <c r="O40" s="32">
        <f>IF($B40="","",IFERROR(INDEX(智能流水!$O$2:$O$1001,MATCH($B40,智能流水!$B$2:$B$1001,0)),""))</f>
        <v/>
      </c>
    </row>
    <row r="41" ht="23" customHeight="1" s="21">
      <c r="A41" s="32">
        <f>IF($B41="","",40)</f>
        <v/>
      </c>
      <c r="B41" s="32">
        <f>IFERROR(LARGE(智能流水!$B$2:$B$1001,40),"")</f>
        <v/>
      </c>
      <c r="C41" s="33">
        <f>IF($B41="","",IFERROR(INDEX(智能流水!$C$2:$C$1001,MATCH($B41,智能流水!$B$2:$B$1001,0)),""))</f>
        <v/>
      </c>
      <c r="D41" s="34">
        <f>IF($B41="","",IFERROR(INDEX(智能流水!$D$2:$D$1001,MATCH($B41,智能流水!$B$2:$B$1001,0)),""))</f>
        <v/>
      </c>
      <c r="E41" s="34">
        <f>IF($B41="","",IFERROR(INDEX(智能流水!$E$2:$E$1001,MATCH($B41,智能流水!$B$2:$B$1001,0)),""))</f>
        <v/>
      </c>
      <c r="F41" s="34">
        <f>IF($B41="","",IFERROR(INDEX(智能流水!$F$2:$F$1001,MATCH($B41,智能流水!$B$2:$B$1001,0)),""))</f>
        <v/>
      </c>
      <c r="G41" s="32">
        <f>IF($B41="","",IFERROR(INDEX(智能流水!$G$2:$G$1001,MATCH($B41,智能流水!$B$2:$B$1001,0)),""))</f>
        <v/>
      </c>
      <c r="H41" s="32">
        <f>IF($B41="","",IFERROR(INDEX(智能流水!$H$2:$H$1001,MATCH($B41,智能流水!$B$2:$B$1001,0)),""))</f>
        <v/>
      </c>
      <c r="I41" s="32">
        <f>IF($B41="","",IFERROR(INDEX(智能流水!$I$2:$I$1001,MATCH($B41,智能流水!$B$2:$B$1001,0)),""))</f>
        <v/>
      </c>
      <c r="J41" s="32">
        <f>IF($B41="","",IFERROR(INDEX(智能流水!$J$2:$J$1001,MATCH($B41,智能流水!$B$2:$B$1001,0)),""))</f>
        <v/>
      </c>
      <c r="K41" s="35">
        <f>IF($B41="","",IFERROR(INDEX(智能流水!$K$2:$K$1001,MATCH($B41,智能流水!$B$2:$B$1001,0)),""))</f>
        <v/>
      </c>
      <c r="L41" s="32">
        <f>IF($B41="","",IFERROR(INDEX(智能流水!$L$2:$L$1001,MATCH($B41,智能流水!$B$2:$B$1001,0)),""))</f>
        <v/>
      </c>
      <c r="M41" s="32">
        <f>IF($B41="","",IFERROR(INDEX(智能流水!$M$2:$M$1001,MATCH($B41,智能流水!$B$2:$B$1001,0)),""))</f>
        <v/>
      </c>
      <c r="N41" s="32">
        <f>IF($B41="","",IFERROR(INDEX(智能流水!$N$2:$N$1001,MATCH($B41,智能流水!$B$2:$B$1001,0)),""))</f>
        <v/>
      </c>
      <c r="O41" s="32">
        <f>IF($B41="","",IFERROR(INDEX(智能流水!$O$2:$O$1001,MATCH($B41,智能流水!$B$2:$B$1001,0)),""))</f>
        <v/>
      </c>
    </row>
    <row r="42" ht="23" customHeight="1" s="21">
      <c r="A42" s="32">
        <f>IF($B42="","",41)</f>
        <v/>
      </c>
      <c r="B42" s="32">
        <f>IFERROR(LARGE(智能流水!$B$2:$B$1001,41),"")</f>
        <v/>
      </c>
      <c r="C42" s="33">
        <f>IF($B42="","",IFERROR(INDEX(智能流水!$C$2:$C$1001,MATCH($B42,智能流水!$B$2:$B$1001,0)),""))</f>
        <v/>
      </c>
      <c r="D42" s="34">
        <f>IF($B42="","",IFERROR(INDEX(智能流水!$D$2:$D$1001,MATCH($B42,智能流水!$B$2:$B$1001,0)),""))</f>
        <v/>
      </c>
      <c r="E42" s="34">
        <f>IF($B42="","",IFERROR(INDEX(智能流水!$E$2:$E$1001,MATCH($B42,智能流水!$B$2:$B$1001,0)),""))</f>
        <v/>
      </c>
      <c r="F42" s="34">
        <f>IF($B42="","",IFERROR(INDEX(智能流水!$F$2:$F$1001,MATCH($B42,智能流水!$B$2:$B$1001,0)),""))</f>
        <v/>
      </c>
      <c r="G42" s="32">
        <f>IF($B42="","",IFERROR(INDEX(智能流水!$G$2:$G$1001,MATCH($B42,智能流水!$B$2:$B$1001,0)),""))</f>
        <v/>
      </c>
      <c r="H42" s="32">
        <f>IF($B42="","",IFERROR(INDEX(智能流水!$H$2:$H$1001,MATCH($B42,智能流水!$B$2:$B$1001,0)),""))</f>
        <v/>
      </c>
      <c r="I42" s="32">
        <f>IF($B42="","",IFERROR(INDEX(智能流水!$I$2:$I$1001,MATCH($B42,智能流水!$B$2:$B$1001,0)),""))</f>
        <v/>
      </c>
      <c r="J42" s="32">
        <f>IF($B42="","",IFERROR(INDEX(智能流水!$J$2:$J$1001,MATCH($B42,智能流水!$B$2:$B$1001,0)),""))</f>
        <v/>
      </c>
      <c r="K42" s="35">
        <f>IF($B42="","",IFERROR(INDEX(智能流水!$K$2:$K$1001,MATCH($B42,智能流水!$B$2:$B$1001,0)),""))</f>
        <v/>
      </c>
      <c r="L42" s="32">
        <f>IF($B42="","",IFERROR(INDEX(智能流水!$L$2:$L$1001,MATCH($B42,智能流水!$B$2:$B$1001,0)),""))</f>
        <v/>
      </c>
      <c r="M42" s="32">
        <f>IF($B42="","",IFERROR(INDEX(智能流水!$M$2:$M$1001,MATCH($B42,智能流水!$B$2:$B$1001,0)),""))</f>
        <v/>
      </c>
      <c r="N42" s="32">
        <f>IF($B42="","",IFERROR(INDEX(智能流水!$N$2:$N$1001,MATCH($B42,智能流水!$B$2:$B$1001,0)),""))</f>
        <v/>
      </c>
      <c r="O42" s="32">
        <f>IF($B42="","",IFERROR(INDEX(智能流水!$O$2:$O$1001,MATCH($B42,智能流水!$B$2:$B$1001,0)),""))</f>
        <v/>
      </c>
    </row>
    <row r="43" ht="23" customHeight="1" s="21">
      <c r="A43" s="32">
        <f>IF($B43="","",42)</f>
        <v/>
      </c>
      <c r="B43" s="32">
        <f>IFERROR(LARGE(智能流水!$B$2:$B$1001,42),"")</f>
        <v/>
      </c>
      <c r="C43" s="33">
        <f>IF($B43="","",IFERROR(INDEX(智能流水!$C$2:$C$1001,MATCH($B43,智能流水!$B$2:$B$1001,0)),""))</f>
        <v/>
      </c>
      <c r="D43" s="34">
        <f>IF($B43="","",IFERROR(INDEX(智能流水!$D$2:$D$1001,MATCH($B43,智能流水!$B$2:$B$1001,0)),""))</f>
        <v/>
      </c>
      <c r="E43" s="34">
        <f>IF($B43="","",IFERROR(INDEX(智能流水!$E$2:$E$1001,MATCH($B43,智能流水!$B$2:$B$1001,0)),""))</f>
        <v/>
      </c>
      <c r="F43" s="34">
        <f>IF($B43="","",IFERROR(INDEX(智能流水!$F$2:$F$1001,MATCH($B43,智能流水!$B$2:$B$1001,0)),""))</f>
        <v/>
      </c>
      <c r="G43" s="32">
        <f>IF($B43="","",IFERROR(INDEX(智能流水!$G$2:$G$1001,MATCH($B43,智能流水!$B$2:$B$1001,0)),""))</f>
        <v/>
      </c>
      <c r="H43" s="32">
        <f>IF($B43="","",IFERROR(INDEX(智能流水!$H$2:$H$1001,MATCH($B43,智能流水!$B$2:$B$1001,0)),""))</f>
        <v/>
      </c>
      <c r="I43" s="32">
        <f>IF($B43="","",IFERROR(INDEX(智能流水!$I$2:$I$1001,MATCH($B43,智能流水!$B$2:$B$1001,0)),""))</f>
        <v/>
      </c>
      <c r="J43" s="32">
        <f>IF($B43="","",IFERROR(INDEX(智能流水!$J$2:$J$1001,MATCH($B43,智能流水!$B$2:$B$1001,0)),""))</f>
        <v/>
      </c>
      <c r="K43" s="35">
        <f>IF($B43="","",IFERROR(INDEX(智能流水!$K$2:$K$1001,MATCH($B43,智能流水!$B$2:$B$1001,0)),""))</f>
        <v/>
      </c>
      <c r="L43" s="32">
        <f>IF($B43="","",IFERROR(INDEX(智能流水!$L$2:$L$1001,MATCH($B43,智能流水!$B$2:$B$1001,0)),""))</f>
        <v/>
      </c>
      <c r="M43" s="32">
        <f>IF($B43="","",IFERROR(INDEX(智能流水!$M$2:$M$1001,MATCH($B43,智能流水!$B$2:$B$1001,0)),""))</f>
        <v/>
      </c>
      <c r="N43" s="32">
        <f>IF($B43="","",IFERROR(INDEX(智能流水!$N$2:$N$1001,MATCH($B43,智能流水!$B$2:$B$1001,0)),""))</f>
        <v/>
      </c>
      <c r="O43" s="32">
        <f>IF($B43="","",IFERROR(INDEX(智能流水!$O$2:$O$1001,MATCH($B43,智能流水!$B$2:$B$1001,0)),""))</f>
        <v/>
      </c>
    </row>
    <row r="44" ht="23" customHeight="1" s="21">
      <c r="A44" s="32">
        <f>IF($B44="","",43)</f>
        <v/>
      </c>
      <c r="B44" s="32">
        <f>IFERROR(LARGE(智能流水!$B$2:$B$1001,43),"")</f>
        <v/>
      </c>
      <c r="C44" s="33">
        <f>IF($B44="","",IFERROR(INDEX(智能流水!$C$2:$C$1001,MATCH($B44,智能流水!$B$2:$B$1001,0)),""))</f>
        <v/>
      </c>
      <c r="D44" s="34">
        <f>IF($B44="","",IFERROR(INDEX(智能流水!$D$2:$D$1001,MATCH($B44,智能流水!$B$2:$B$1001,0)),""))</f>
        <v/>
      </c>
      <c r="E44" s="34">
        <f>IF($B44="","",IFERROR(INDEX(智能流水!$E$2:$E$1001,MATCH($B44,智能流水!$B$2:$B$1001,0)),""))</f>
        <v/>
      </c>
      <c r="F44" s="34">
        <f>IF($B44="","",IFERROR(INDEX(智能流水!$F$2:$F$1001,MATCH($B44,智能流水!$B$2:$B$1001,0)),""))</f>
        <v/>
      </c>
      <c r="G44" s="32">
        <f>IF($B44="","",IFERROR(INDEX(智能流水!$G$2:$G$1001,MATCH($B44,智能流水!$B$2:$B$1001,0)),""))</f>
        <v/>
      </c>
      <c r="H44" s="32">
        <f>IF($B44="","",IFERROR(INDEX(智能流水!$H$2:$H$1001,MATCH($B44,智能流水!$B$2:$B$1001,0)),""))</f>
        <v/>
      </c>
      <c r="I44" s="32">
        <f>IF($B44="","",IFERROR(INDEX(智能流水!$I$2:$I$1001,MATCH($B44,智能流水!$B$2:$B$1001,0)),""))</f>
        <v/>
      </c>
      <c r="J44" s="32">
        <f>IF($B44="","",IFERROR(INDEX(智能流水!$J$2:$J$1001,MATCH($B44,智能流水!$B$2:$B$1001,0)),""))</f>
        <v/>
      </c>
      <c r="K44" s="35">
        <f>IF($B44="","",IFERROR(INDEX(智能流水!$K$2:$K$1001,MATCH($B44,智能流水!$B$2:$B$1001,0)),""))</f>
        <v/>
      </c>
      <c r="L44" s="32">
        <f>IF($B44="","",IFERROR(INDEX(智能流水!$L$2:$L$1001,MATCH($B44,智能流水!$B$2:$B$1001,0)),""))</f>
        <v/>
      </c>
      <c r="M44" s="32">
        <f>IF($B44="","",IFERROR(INDEX(智能流水!$M$2:$M$1001,MATCH($B44,智能流水!$B$2:$B$1001,0)),""))</f>
        <v/>
      </c>
      <c r="N44" s="32">
        <f>IF($B44="","",IFERROR(INDEX(智能流水!$N$2:$N$1001,MATCH($B44,智能流水!$B$2:$B$1001,0)),""))</f>
        <v/>
      </c>
      <c r="O44" s="32">
        <f>IF($B44="","",IFERROR(INDEX(智能流水!$O$2:$O$1001,MATCH($B44,智能流水!$B$2:$B$1001,0)),""))</f>
        <v/>
      </c>
    </row>
    <row r="45" ht="23" customHeight="1" s="21">
      <c r="A45" s="32">
        <f>IF($B45="","",44)</f>
        <v/>
      </c>
      <c r="B45" s="32">
        <f>IFERROR(LARGE(智能流水!$B$2:$B$1001,44),"")</f>
        <v/>
      </c>
      <c r="C45" s="33">
        <f>IF($B45="","",IFERROR(INDEX(智能流水!$C$2:$C$1001,MATCH($B45,智能流水!$B$2:$B$1001,0)),""))</f>
        <v/>
      </c>
      <c r="D45" s="34">
        <f>IF($B45="","",IFERROR(INDEX(智能流水!$D$2:$D$1001,MATCH($B45,智能流水!$B$2:$B$1001,0)),""))</f>
        <v/>
      </c>
      <c r="E45" s="34">
        <f>IF($B45="","",IFERROR(INDEX(智能流水!$E$2:$E$1001,MATCH($B45,智能流水!$B$2:$B$1001,0)),""))</f>
        <v/>
      </c>
      <c r="F45" s="34">
        <f>IF($B45="","",IFERROR(INDEX(智能流水!$F$2:$F$1001,MATCH($B45,智能流水!$B$2:$B$1001,0)),""))</f>
        <v/>
      </c>
      <c r="G45" s="32">
        <f>IF($B45="","",IFERROR(INDEX(智能流水!$G$2:$G$1001,MATCH($B45,智能流水!$B$2:$B$1001,0)),""))</f>
        <v/>
      </c>
      <c r="H45" s="32">
        <f>IF($B45="","",IFERROR(INDEX(智能流水!$H$2:$H$1001,MATCH($B45,智能流水!$B$2:$B$1001,0)),""))</f>
        <v/>
      </c>
      <c r="I45" s="32">
        <f>IF($B45="","",IFERROR(INDEX(智能流水!$I$2:$I$1001,MATCH($B45,智能流水!$B$2:$B$1001,0)),""))</f>
        <v/>
      </c>
      <c r="J45" s="32">
        <f>IF($B45="","",IFERROR(INDEX(智能流水!$J$2:$J$1001,MATCH($B45,智能流水!$B$2:$B$1001,0)),""))</f>
        <v/>
      </c>
      <c r="K45" s="35">
        <f>IF($B45="","",IFERROR(INDEX(智能流水!$K$2:$K$1001,MATCH($B45,智能流水!$B$2:$B$1001,0)),""))</f>
        <v/>
      </c>
      <c r="L45" s="32">
        <f>IF($B45="","",IFERROR(INDEX(智能流水!$L$2:$L$1001,MATCH($B45,智能流水!$B$2:$B$1001,0)),""))</f>
        <v/>
      </c>
      <c r="M45" s="32">
        <f>IF($B45="","",IFERROR(INDEX(智能流水!$M$2:$M$1001,MATCH($B45,智能流水!$B$2:$B$1001,0)),""))</f>
        <v/>
      </c>
      <c r="N45" s="32">
        <f>IF($B45="","",IFERROR(INDEX(智能流水!$N$2:$N$1001,MATCH($B45,智能流水!$B$2:$B$1001,0)),""))</f>
        <v/>
      </c>
      <c r="O45" s="32">
        <f>IF($B45="","",IFERROR(INDEX(智能流水!$O$2:$O$1001,MATCH($B45,智能流水!$B$2:$B$1001,0)),""))</f>
        <v/>
      </c>
    </row>
    <row r="46" ht="23" customHeight="1" s="21">
      <c r="A46" s="32">
        <f>IF($B46="","",45)</f>
        <v/>
      </c>
      <c r="B46" s="32">
        <f>IFERROR(LARGE(智能流水!$B$2:$B$1001,45),"")</f>
        <v/>
      </c>
      <c r="C46" s="33">
        <f>IF($B46="","",IFERROR(INDEX(智能流水!$C$2:$C$1001,MATCH($B46,智能流水!$B$2:$B$1001,0)),""))</f>
        <v/>
      </c>
      <c r="D46" s="34">
        <f>IF($B46="","",IFERROR(INDEX(智能流水!$D$2:$D$1001,MATCH($B46,智能流水!$B$2:$B$1001,0)),""))</f>
        <v/>
      </c>
      <c r="E46" s="34">
        <f>IF($B46="","",IFERROR(INDEX(智能流水!$E$2:$E$1001,MATCH($B46,智能流水!$B$2:$B$1001,0)),""))</f>
        <v/>
      </c>
      <c r="F46" s="34">
        <f>IF($B46="","",IFERROR(INDEX(智能流水!$F$2:$F$1001,MATCH($B46,智能流水!$B$2:$B$1001,0)),""))</f>
        <v/>
      </c>
      <c r="G46" s="32">
        <f>IF($B46="","",IFERROR(INDEX(智能流水!$G$2:$G$1001,MATCH($B46,智能流水!$B$2:$B$1001,0)),""))</f>
        <v/>
      </c>
      <c r="H46" s="32">
        <f>IF($B46="","",IFERROR(INDEX(智能流水!$H$2:$H$1001,MATCH($B46,智能流水!$B$2:$B$1001,0)),""))</f>
        <v/>
      </c>
      <c r="I46" s="32">
        <f>IF($B46="","",IFERROR(INDEX(智能流水!$I$2:$I$1001,MATCH($B46,智能流水!$B$2:$B$1001,0)),""))</f>
        <v/>
      </c>
      <c r="J46" s="32">
        <f>IF($B46="","",IFERROR(INDEX(智能流水!$J$2:$J$1001,MATCH($B46,智能流水!$B$2:$B$1001,0)),""))</f>
        <v/>
      </c>
      <c r="K46" s="35">
        <f>IF($B46="","",IFERROR(INDEX(智能流水!$K$2:$K$1001,MATCH($B46,智能流水!$B$2:$B$1001,0)),""))</f>
        <v/>
      </c>
      <c r="L46" s="32">
        <f>IF($B46="","",IFERROR(INDEX(智能流水!$L$2:$L$1001,MATCH($B46,智能流水!$B$2:$B$1001,0)),""))</f>
        <v/>
      </c>
      <c r="M46" s="32">
        <f>IF($B46="","",IFERROR(INDEX(智能流水!$M$2:$M$1001,MATCH($B46,智能流水!$B$2:$B$1001,0)),""))</f>
        <v/>
      </c>
      <c r="N46" s="32">
        <f>IF($B46="","",IFERROR(INDEX(智能流水!$N$2:$N$1001,MATCH($B46,智能流水!$B$2:$B$1001,0)),""))</f>
        <v/>
      </c>
      <c r="O46" s="32">
        <f>IF($B46="","",IFERROR(INDEX(智能流水!$O$2:$O$1001,MATCH($B46,智能流水!$B$2:$B$1001,0)),""))</f>
        <v/>
      </c>
    </row>
    <row r="47" ht="23" customHeight="1" s="21">
      <c r="A47" s="32">
        <f>IF($B47="","",46)</f>
        <v/>
      </c>
      <c r="B47" s="32">
        <f>IFERROR(LARGE(智能流水!$B$2:$B$1001,46),"")</f>
        <v/>
      </c>
      <c r="C47" s="33">
        <f>IF($B47="","",IFERROR(INDEX(智能流水!$C$2:$C$1001,MATCH($B47,智能流水!$B$2:$B$1001,0)),""))</f>
        <v/>
      </c>
      <c r="D47" s="34">
        <f>IF($B47="","",IFERROR(INDEX(智能流水!$D$2:$D$1001,MATCH($B47,智能流水!$B$2:$B$1001,0)),""))</f>
        <v/>
      </c>
      <c r="E47" s="34">
        <f>IF($B47="","",IFERROR(INDEX(智能流水!$E$2:$E$1001,MATCH($B47,智能流水!$B$2:$B$1001,0)),""))</f>
        <v/>
      </c>
      <c r="F47" s="34">
        <f>IF($B47="","",IFERROR(INDEX(智能流水!$F$2:$F$1001,MATCH($B47,智能流水!$B$2:$B$1001,0)),""))</f>
        <v/>
      </c>
      <c r="G47" s="32">
        <f>IF($B47="","",IFERROR(INDEX(智能流水!$G$2:$G$1001,MATCH($B47,智能流水!$B$2:$B$1001,0)),""))</f>
        <v/>
      </c>
      <c r="H47" s="32">
        <f>IF($B47="","",IFERROR(INDEX(智能流水!$H$2:$H$1001,MATCH($B47,智能流水!$B$2:$B$1001,0)),""))</f>
        <v/>
      </c>
      <c r="I47" s="32">
        <f>IF($B47="","",IFERROR(INDEX(智能流水!$I$2:$I$1001,MATCH($B47,智能流水!$B$2:$B$1001,0)),""))</f>
        <v/>
      </c>
      <c r="J47" s="32">
        <f>IF($B47="","",IFERROR(INDEX(智能流水!$J$2:$J$1001,MATCH($B47,智能流水!$B$2:$B$1001,0)),""))</f>
        <v/>
      </c>
      <c r="K47" s="35">
        <f>IF($B47="","",IFERROR(INDEX(智能流水!$K$2:$K$1001,MATCH($B47,智能流水!$B$2:$B$1001,0)),""))</f>
        <v/>
      </c>
      <c r="L47" s="32">
        <f>IF($B47="","",IFERROR(INDEX(智能流水!$L$2:$L$1001,MATCH($B47,智能流水!$B$2:$B$1001,0)),""))</f>
        <v/>
      </c>
      <c r="M47" s="32">
        <f>IF($B47="","",IFERROR(INDEX(智能流水!$M$2:$M$1001,MATCH($B47,智能流水!$B$2:$B$1001,0)),""))</f>
        <v/>
      </c>
      <c r="N47" s="32">
        <f>IF($B47="","",IFERROR(INDEX(智能流水!$N$2:$N$1001,MATCH($B47,智能流水!$B$2:$B$1001,0)),""))</f>
        <v/>
      </c>
      <c r="O47" s="32">
        <f>IF($B47="","",IFERROR(INDEX(智能流水!$O$2:$O$1001,MATCH($B47,智能流水!$B$2:$B$1001,0)),""))</f>
        <v/>
      </c>
    </row>
    <row r="48" ht="23" customHeight="1" s="21">
      <c r="A48" s="32">
        <f>IF($B48="","",47)</f>
        <v/>
      </c>
      <c r="B48" s="32">
        <f>IFERROR(LARGE(智能流水!$B$2:$B$1001,47),"")</f>
        <v/>
      </c>
      <c r="C48" s="33">
        <f>IF($B48="","",IFERROR(INDEX(智能流水!$C$2:$C$1001,MATCH($B48,智能流水!$B$2:$B$1001,0)),""))</f>
        <v/>
      </c>
      <c r="D48" s="34">
        <f>IF($B48="","",IFERROR(INDEX(智能流水!$D$2:$D$1001,MATCH($B48,智能流水!$B$2:$B$1001,0)),""))</f>
        <v/>
      </c>
      <c r="E48" s="34">
        <f>IF($B48="","",IFERROR(INDEX(智能流水!$E$2:$E$1001,MATCH($B48,智能流水!$B$2:$B$1001,0)),""))</f>
        <v/>
      </c>
      <c r="F48" s="34">
        <f>IF($B48="","",IFERROR(INDEX(智能流水!$F$2:$F$1001,MATCH($B48,智能流水!$B$2:$B$1001,0)),""))</f>
        <v/>
      </c>
      <c r="G48" s="32">
        <f>IF($B48="","",IFERROR(INDEX(智能流水!$G$2:$G$1001,MATCH($B48,智能流水!$B$2:$B$1001,0)),""))</f>
        <v/>
      </c>
      <c r="H48" s="32">
        <f>IF($B48="","",IFERROR(INDEX(智能流水!$H$2:$H$1001,MATCH($B48,智能流水!$B$2:$B$1001,0)),""))</f>
        <v/>
      </c>
      <c r="I48" s="32">
        <f>IF($B48="","",IFERROR(INDEX(智能流水!$I$2:$I$1001,MATCH($B48,智能流水!$B$2:$B$1001,0)),""))</f>
        <v/>
      </c>
      <c r="J48" s="32">
        <f>IF($B48="","",IFERROR(INDEX(智能流水!$J$2:$J$1001,MATCH($B48,智能流水!$B$2:$B$1001,0)),""))</f>
        <v/>
      </c>
      <c r="K48" s="35">
        <f>IF($B48="","",IFERROR(INDEX(智能流水!$K$2:$K$1001,MATCH($B48,智能流水!$B$2:$B$1001,0)),""))</f>
        <v/>
      </c>
      <c r="L48" s="32">
        <f>IF($B48="","",IFERROR(INDEX(智能流水!$L$2:$L$1001,MATCH($B48,智能流水!$B$2:$B$1001,0)),""))</f>
        <v/>
      </c>
      <c r="M48" s="32">
        <f>IF($B48="","",IFERROR(INDEX(智能流水!$M$2:$M$1001,MATCH($B48,智能流水!$B$2:$B$1001,0)),""))</f>
        <v/>
      </c>
      <c r="N48" s="32">
        <f>IF($B48="","",IFERROR(INDEX(智能流水!$N$2:$N$1001,MATCH($B48,智能流水!$B$2:$B$1001,0)),""))</f>
        <v/>
      </c>
      <c r="O48" s="32">
        <f>IF($B48="","",IFERROR(INDEX(智能流水!$O$2:$O$1001,MATCH($B48,智能流水!$B$2:$B$1001,0)),""))</f>
        <v/>
      </c>
    </row>
    <row r="49" ht="23" customHeight="1" s="21">
      <c r="A49" s="32">
        <f>IF($B49="","",48)</f>
        <v/>
      </c>
      <c r="B49" s="32">
        <f>IFERROR(LARGE(智能流水!$B$2:$B$1001,48),"")</f>
        <v/>
      </c>
      <c r="C49" s="33">
        <f>IF($B49="","",IFERROR(INDEX(智能流水!$C$2:$C$1001,MATCH($B49,智能流水!$B$2:$B$1001,0)),""))</f>
        <v/>
      </c>
      <c r="D49" s="34">
        <f>IF($B49="","",IFERROR(INDEX(智能流水!$D$2:$D$1001,MATCH($B49,智能流水!$B$2:$B$1001,0)),""))</f>
        <v/>
      </c>
      <c r="E49" s="34">
        <f>IF($B49="","",IFERROR(INDEX(智能流水!$E$2:$E$1001,MATCH($B49,智能流水!$B$2:$B$1001,0)),""))</f>
        <v/>
      </c>
      <c r="F49" s="34">
        <f>IF($B49="","",IFERROR(INDEX(智能流水!$F$2:$F$1001,MATCH($B49,智能流水!$B$2:$B$1001,0)),""))</f>
        <v/>
      </c>
      <c r="G49" s="32">
        <f>IF($B49="","",IFERROR(INDEX(智能流水!$G$2:$G$1001,MATCH($B49,智能流水!$B$2:$B$1001,0)),""))</f>
        <v/>
      </c>
      <c r="H49" s="32">
        <f>IF($B49="","",IFERROR(INDEX(智能流水!$H$2:$H$1001,MATCH($B49,智能流水!$B$2:$B$1001,0)),""))</f>
        <v/>
      </c>
      <c r="I49" s="32">
        <f>IF($B49="","",IFERROR(INDEX(智能流水!$I$2:$I$1001,MATCH($B49,智能流水!$B$2:$B$1001,0)),""))</f>
        <v/>
      </c>
      <c r="J49" s="32">
        <f>IF($B49="","",IFERROR(INDEX(智能流水!$J$2:$J$1001,MATCH($B49,智能流水!$B$2:$B$1001,0)),""))</f>
        <v/>
      </c>
      <c r="K49" s="35">
        <f>IF($B49="","",IFERROR(INDEX(智能流水!$K$2:$K$1001,MATCH($B49,智能流水!$B$2:$B$1001,0)),""))</f>
        <v/>
      </c>
      <c r="L49" s="32">
        <f>IF($B49="","",IFERROR(INDEX(智能流水!$L$2:$L$1001,MATCH($B49,智能流水!$B$2:$B$1001,0)),""))</f>
        <v/>
      </c>
      <c r="M49" s="32">
        <f>IF($B49="","",IFERROR(INDEX(智能流水!$M$2:$M$1001,MATCH($B49,智能流水!$B$2:$B$1001,0)),""))</f>
        <v/>
      </c>
      <c r="N49" s="32">
        <f>IF($B49="","",IFERROR(INDEX(智能流水!$N$2:$N$1001,MATCH($B49,智能流水!$B$2:$B$1001,0)),""))</f>
        <v/>
      </c>
      <c r="O49" s="32">
        <f>IF($B49="","",IFERROR(INDEX(智能流水!$O$2:$O$1001,MATCH($B49,智能流水!$B$2:$B$1001,0)),""))</f>
        <v/>
      </c>
    </row>
    <row r="50" ht="23" customHeight="1" s="21">
      <c r="A50" s="32">
        <f>IF($B50="","",49)</f>
        <v/>
      </c>
      <c r="B50" s="32">
        <f>IFERROR(LARGE(智能流水!$B$2:$B$1001,49),"")</f>
        <v/>
      </c>
      <c r="C50" s="33">
        <f>IF($B50="","",IFERROR(INDEX(智能流水!$C$2:$C$1001,MATCH($B50,智能流水!$B$2:$B$1001,0)),""))</f>
        <v/>
      </c>
      <c r="D50" s="34">
        <f>IF($B50="","",IFERROR(INDEX(智能流水!$D$2:$D$1001,MATCH($B50,智能流水!$B$2:$B$1001,0)),""))</f>
        <v/>
      </c>
      <c r="E50" s="34">
        <f>IF($B50="","",IFERROR(INDEX(智能流水!$E$2:$E$1001,MATCH($B50,智能流水!$B$2:$B$1001,0)),""))</f>
        <v/>
      </c>
      <c r="F50" s="34">
        <f>IF($B50="","",IFERROR(INDEX(智能流水!$F$2:$F$1001,MATCH($B50,智能流水!$B$2:$B$1001,0)),""))</f>
        <v/>
      </c>
      <c r="G50" s="32">
        <f>IF($B50="","",IFERROR(INDEX(智能流水!$G$2:$G$1001,MATCH($B50,智能流水!$B$2:$B$1001,0)),""))</f>
        <v/>
      </c>
      <c r="H50" s="32">
        <f>IF($B50="","",IFERROR(INDEX(智能流水!$H$2:$H$1001,MATCH($B50,智能流水!$B$2:$B$1001,0)),""))</f>
        <v/>
      </c>
      <c r="I50" s="32">
        <f>IF($B50="","",IFERROR(INDEX(智能流水!$I$2:$I$1001,MATCH($B50,智能流水!$B$2:$B$1001,0)),""))</f>
        <v/>
      </c>
      <c r="J50" s="32">
        <f>IF($B50="","",IFERROR(INDEX(智能流水!$J$2:$J$1001,MATCH($B50,智能流水!$B$2:$B$1001,0)),""))</f>
        <v/>
      </c>
      <c r="K50" s="35">
        <f>IF($B50="","",IFERROR(INDEX(智能流水!$K$2:$K$1001,MATCH($B50,智能流水!$B$2:$B$1001,0)),""))</f>
        <v/>
      </c>
      <c r="L50" s="32">
        <f>IF($B50="","",IFERROR(INDEX(智能流水!$L$2:$L$1001,MATCH($B50,智能流水!$B$2:$B$1001,0)),""))</f>
        <v/>
      </c>
      <c r="M50" s="32">
        <f>IF($B50="","",IFERROR(INDEX(智能流水!$M$2:$M$1001,MATCH($B50,智能流水!$B$2:$B$1001,0)),""))</f>
        <v/>
      </c>
      <c r="N50" s="32">
        <f>IF($B50="","",IFERROR(INDEX(智能流水!$N$2:$N$1001,MATCH($B50,智能流水!$B$2:$B$1001,0)),""))</f>
        <v/>
      </c>
      <c r="O50" s="32">
        <f>IF($B50="","",IFERROR(INDEX(智能流水!$O$2:$O$1001,MATCH($B50,智能流水!$B$2:$B$1001,0)),""))</f>
        <v/>
      </c>
    </row>
    <row r="51" ht="23" customHeight="1" s="21">
      <c r="A51" s="32">
        <f>IF($B51="","",50)</f>
        <v/>
      </c>
      <c r="B51" s="32">
        <f>IFERROR(LARGE(智能流水!$B$2:$B$1001,50),"")</f>
        <v/>
      </c>
      <c r="C51" s="33">
        <f>IF($B51="","",IFERROR(INDEX(智能流水!$C$2:$C$1001,MATCH($B51,智能流水!$B$2:$B$1001,0)),""))</f>
        <v/>
      </c>
      <c r="D51" s="34">
        <f>IF($B51="","",IFERROR(INDEX(智能流水!$D$2:$D$1001,MATCH($B51,智能流水!$B$2:$B$1001,0)),""))</f>
        <v/>
      </c>
      <c r="E51" s="34">
        <f>IF($B51="","",IFERROR(INDEX(智能流水!$E$2:$E$1001,MATCH($B51,智能流水!$B$2:$B$1001,0)),""))</f>
        <v/>
      </c>
      <c r="F51" s="34">
        <f>IF($B51="","",IFERROR(INDEX(智能流水!$F$2:$F$1001,MATCH($B51,智能流水!$B$2:$B$1001,0)),""))</f>
        <v/>
      </c>
      <c r="G51" s="32">
        <f>IF($B51="","",IFERROR(INDEX(智能流水!$G$2:$G$1001,MATCH($B51,智能流水!$B$2:$B$1001,0)),""))</f>
        <v/>
      </c>
      <c r="H51" s="32">
        <f>IF($B51="","",IFERROR(INDEX(智能流水!$H$2:$H$1001,MATCH($B51,智能流水!$B$2:$B$1001,0)),""))</f>
        <v/>
      </c>
      <c r="I51" s="32">
        <f>IF($B51="","",IFERROR(INDEX(智能流水!$I$2:$I$1001,MATCH($B51,智能流水!$B$2:$B$1001,0)),""))</f>
        <v/>
      </c>
      <c r="J51" s="32">
        <f>IF($B51="","",IFERROR(INDEX(智能流水!$J$2:$J$1001,MATCH($B51,智能流水!$B$2:$B$1001,0)),""))</f>
        <v/>
      </c>
      <c r="K51" s="35">
        <f>IF($B51="","",IFERROR(INDEX(智能流水!$K$2:$K$1001,MATCH($B51,智能流水!$B$2:$B$1001,0)),""))</f>
        <v/>
      </c>
      <c r="L51" s="32">
        <f>IF($B51="","",IFERROR(INDEX(智能流水!$L$2:$L$1001,MATCH($B51,智能流水!$B$2:$B$1001,0)),""))</f>
        <v/>
      </c>
      <c r="M51" s="32">
        <f>IF($B51="","",IFERROR(INDEX(智能流水!$M$2:$M$1001,MATCH($B51,智能流水!$B$2:$B$1001,0)),""))</f>
        <v/>
      </c>
      <c r="N51" s="32">
        <f>IF($B51="","",IFERROR(INDEX(智能流水!$N$2:$N$1001,MATCH($B51,智能流水!$B$2:$B$1001,0)),""))</f>
        <v/>
      </c>
      <c r="O51" s="32">
        <f>IF($B51="","",IFERROR(INDEX(智能流水!$O$2:$O$1001,MATCH($B51,智能流水!$B$2:$B$1001,0)),""))</f>
        <v/>
      </c>
    </row>
    <row r="52" ht="23" customHeight="1" s="21">
      <c r="A52" s="32">
        <f>IF($B52="","",51)</f>
        <v/>
      </c>
      <c r="B52" s="32">
        <f>IFERROR(LARGE(智能流水!$B$2:$B$1001,51),"")</f>
        <v/>
      </c>
      <c r="C52" s="33">
        <f>IF($B52="","",IFERROR(INDEX(智能流水!$C$2:$C$1001,MATCH($B52,智能流水!$B$2:$B$1001,0)),""))</f>
        <v/>
      </c>
      <c r="D52" s="34">
        <f>IF($B52="","",IFERROR(INDEX(智能流水!$D$2:$D$1001,MATCH($B52,智能流水!$B$2:$B$1001,0)),""))</f>
        <v/>
      </c>
      <c r="E52" s="34">
        <f>IF($B52="","",IFERROR(INDEX(智能流水!$E$2:$E$1001,MATCH($B52,智能流水!$B$2:$B$1001,0)),""))</f>
        <v/>
      </c>
      <c r="F52" s="34">
        <f>IF($B52="","",IFERROR(INDEX(智能流水!$F$2:$F$1001,MATCH($B52,智能流水!$B$2:$B$1001,0)),""))</f>
        <v/>
      </c>
      <c r="G52" s="32">
        <f>IF($B52="","",IFERROR(INDEX(智能流水!$G$2:$G$1001,MATCH($B52,智能流水!$B$2:$B$1001,0)),""))</f>
        <v/>
      </c>
      <c r="H52" s="32">
        <f>IF($B52="","",IFERROR(INDEX(智能流水!$H$2:$H$1001,MATCH($B52,智能流水!$B$2:$B$1001,0)),""))</f>
        <v/>
      </c>
      <c r="I52" s="32">
        <f>IF($B52="","",IFERROR(INDEX(智能流水!$I$2:$I$1001,MATCH($B52,智能流水!$B$2:$B$1001,0)),""))</f>
        <v/>
      </c>
      <c r="J52" s="32">
        <f>IF($B52="","",IFERROR(INDEX(智能流水!$J$2:$J$1001,MATCH($B52,智能流水!$B$2:$B$1001,0)),""))</f>
        <v/>
      </c>
      <c r="K52" s="35">
        <f>IF($B52="","",IFERROR(INDEX(智能流水!$K$2:$K$1001,MATCH($B52,智能流水!$B$2:$B$1001,0)),""))</f>
        <v/>
      </c>
      <c r="L52" s="32">
        <f>IF($B52="","",IFERROR(INDEX(智能流水!$L$2:$L$1001,MATCH($B52,智能流水!$B$2:$B$1001,0)),""))</f>
        <v/>
      </c>
      <c r="M52" s="32">
        <f>IF($B52="","",IFERROR(INDEX(智能流水!$M$2:$M$1001,MATCH($B52,智能流水!$B$2:$B$1001,0)),""))</f>
        <v/>
      </c>
      <c r="N52" s="32">
        <f>IF($B52="","",IFERROR(INDEX(智能流水!$N$2:$N$1001,MATCH($B52,智能流水!$B$2:$B$1001,0)),""))</f>
        <v/>
      </c>
      <c r="O52" s="32">
        <f>IF($B52="","",IFERROR(INDEX(智能流水!$O$2:$O$1001,MATCH($B52,智能流水!$B$2:$B$1001,0)),""))</f>
        <v/>
      </c>
    </row>
    <row r="53" ht="23" customHeight="1" s="21">
      <c r="A53" s="32">
        <f>IF($B53="","",52)</f>
        <v/>
      </c>
      <c r="B53" s="32">
        <f>IFERROR(LARGE(智能流水!$B$2:$B$1001,52),"")</f>
        <v/>
      </c>
      <c r="C53" s="33">
        <f>IF($B53="","",IFERROR(INDEX(智能流水!$C$2:$C$1001,MATCH($B53,智能流水!$B$2:$B$1001,0)),""))</f>
        <v/>
      </c>
      <c r="D53" s="34">
        <f>IF($B53="","",IFERROR(INDEX(智能流水!$D$2:$D$1001,MATCH($B53,智能流水!$B$2:$B$1001,0)),""))</f>
        <v/>
      </c>
      <c r="E53" s="34">
        <f>IF($B53="","",IFERROR(INDEX(智能流水!$E$2:$E$1001,MATCH($B53,智能流水!$B$2:$B$1001,0)),""))</f>
        <v/>
      </c>
      <c r="F53" s="34">
        <f>IF($B53="","",IFERROR(INDEX(智能流水!$F$2:$F$1001,MATCH($B53,智能流水!$B$2:$B$1001,0)),""))</f>
        <v/>
      </c>
      <c r="G53" s="32">
        <f>IF($B53="","",IFERROR(INDEX(智能流水!$G$2:$G$1001,MATCH($B53,智能流水!$B$2:$B$1001,0)),""))</f>
        <v/>
      </c>
      <c r="H53" s="32">
        <f>IF($B53="","",IFERROR(INDEX(智能流水!$H$2:$H$1001,MATCH($B53,智能流水!$B$2:$B$1001,0)),""))</f>
        <v/>
      </c>
      <c r="I53" s="32">
        <f>IF($B53="","",IFERROR(INDEX(智能流水!$I$2:$I$1001,MATCH($B53,智能流水!$B$2:$B$1001,0)),""))</f>
        <v/>
      </c>
      <c r="J53" s="32">
        <f>IF($B53="","",IFERROR(INDEX(智能流水!$J$2:$J$1001,MATCH($B53,智能流水!$B$2:$B$1001,0)),""))</f>
        <v/>
      </c>
      <c r="K53" s="35">
        <f>IF($B53="","",IFERROR(INDEX(智能流水!$K$2:$K$1001,MATCH($B53,智能流水!$B$2:$B$1001,0)),""))</f>
        <v/>
      </c>
      <c r="L53" s="32">
        <f>IF($B53="","",IFERROR(INDEX(智能流水!$L$2:$L$1001,MATCH($B53,智能流水!$B$2:$B$1001,0)),""))</f>
        <v/>
      </c>
      <c r="M53" s="32">
        <f>IF($B53="","",IFERROR(INDEX(智能流水!$M$2:$M$1001,MATCH($B53,智能流水!$B$2:$B$1001,0)),""))</f>
        <v/>
      </c>
      <c r="N53" s="32">
        <f>IF($B53="","",IFERROR(INDEX(智能流水!$N$2:$N$1001,MATCH($B53,智能流水!$B$2:$B$1001,0)),""))</f>
        <v/>
      </c>
      <c r="O53" s="32">
        <f>IF($B53="","",IFERROR(INDEX(智能流水!$O$2:$O$1001,MATCH($B53,智能流水!$B$2:$B$1001,0)),""))</f>
        <v/>
      </c>
    </row>
    <row r="54" ht="23" customHeight="1" s="21">
      <c r="A54" s="32">
        <f>IF($B54="","",53)</f>
        <v/>
      </c>
      <c r="B54" s="32">
        <f>IFERROR(LARGE(智能流水!$B$2:$B$1001,53),"")</f>
        <v/>
      </c>
      <c r="C54" s="33">
        <f>IF($B54="","",IFERROR(INDEX(智能流水!$C$2:$C$1001,MATCH($B54,智能流水!$B$2:$B$1001,0)),""))</f>
        <v/>
      </c>
      <c r="D54" s="34">
        <f>IF($B54="","",IFERROR(INDEX(智能流水!$D$2:$D$1001,MATCH($B54,智能流水!$B$2:$B$1001,0)),""))</f>
        <v/>
      </c>
      <c r="E54" s="34">
        <f>IF($B54="","",IFERROR(INDEX(智能流水!$E$2:$E$1001,MATCH($B54,智能流水!$B$2:$B$1001,0)),""))</f>
        <v/>
      </c>
      <c r="F54" s="34">
        <f>IF($B54="","",IFERROR(INDEX(智能流水!$F$2:$F$1001,MATCH($B54,智能流水!$B$2:$B$1001,0)),""))</f>
        <v/>
      </c>
      <c r="G54" s="32">
        <f>IF($B54="","",IFERROR(INDEX(智能流水!$G$2:$G$1001,MATCH($B54,智能流水!$B$2:$B$1001,0)),""))</f>
        <v/>
      </c>
      <c r="H54" s="32">
        <f>IF($B54="","",IFERROR(INDEX(智能流水!$H$2:$H$1001,MATCH($B54,智能流水!$B$2:$B$1001,0)),""))</f>
        <v/>
      </c>
      <c r="I54" s="32">
        <f>IF($B54="","",IFERROR(INDEX(智能流水!$I$2:$I$1001,MATCH($B54,智能流水!$B$2:$B$1001,0)),""))</f>
        <v/>
      </c>
      <c r="J54" s="32">
        <f>IF($B54="","",IFERROR(INDEX(智能流水!$J$2:$J$1001,MATCH($B54,智能流水!$B$2:$B$1001,0)),""))</f>
        <v/>
      </c>
      <c r="K54" s="35">
        <f>IF($B54="","",IFERROR(INDEX(智能流水!$K$2:$K$1001,MATCH($B54,智能流水!$B$2:$B$1001,0)),""))</f>
        <v/>
      </c>
      <c r="L54" s="32">
        <f>IF($B54="","",IFERROR(INDEX(智能流水!$L$2:$L$1001,MATCH($B54,智能流水!$B$2:$B$1001,0)),""))</f>
        <v/>
      </c>
      <c r="M54" s="32">
        <f>IF($B54="","",IFERROR(INDEX(智能流水!$M$2:$M$1001,MATCH($B54,智能流水!$B$2:$B$1001,0)),""))</f>
        <v/>
      </c>
      <c r="N54" s="32">
        <f>IF($B54="","",IFERROR(INDEX(智能流水!$N$2:$N$1001,MATCH($B54,智能流水!$B$2:$B$1001,0)),""))</f>
        <v/>
      </c>
      <c r="O54" s="32">
        <f>IF($B54="","",IFERROR(INDEX(智能流水!$O$2:$O$1001,MATCH($B54,智能流水!$B$2:$B$1001,0)),""))</f>
        <v/>
      </c>
    </row>
    <row r="55" ht="23" customHeight="1" s="21">
      <c r="A55" s="32">
        <f>IF($B55="","",54)</f>
        <v/>
      </c>
      <c r="B55" s="32">
        <f>IFERROR(LARGE(智能流水!$B$2:$B$1001,54),"")</f>
        <v/>
      </c>
      <c r="C55" s="33">
        <f>IF($B55="","",IFERROR(INDEX(智能流水!$C$2:$C$1001,MATCH($B55,智能流水!$B$2:$B$1001,0)),""))</f>
        <v/>
      </c>
      <c r="D55" s="34">
        <f>IF($B55="","",IFERROR(INDEX(智能流水!$D$2:$D$1001,MATCH($B55,智能流水!$B$2:$B$1001,0)),""))</f>
        <v/>
      </c>
      <c r="E55" s="34">
        <f>IF($B55="","",IFERROR(INDEX(智能流水!$E$2:$E$1001,MATCH($B55,智能流水!$B$2:$B$1001,0)),""))</f>
        <v/>
      </c>
      <c r="F55" s="34">
        <f>IF($B55="","",IFERROR(INDEX(智能流水!$F$2:$F$1001,MATCH($B55,智能流水!$B$2:$B$1001,0)),""))</f>
        <v/>
      </c>
      <c r="G55" s="32">
        <f>IF($B55="","",IFERROR(INDEX(智能流水!$G$2:$G$1001,MATCH($B55,智能流水!$B$2:$B$1001,0)),""))</f>
        <v/>
      </c>
      <c r="H55" s="32">
        <f>IF($B55="","",IFERROR(INDEX(智能流水!$H$2:$H$1001,MATCH($B55,智能流水!$B$2:$B$1001,0)),""))</f>
        <v/>
      </c>
      <c r="I55" s="32">
        <f>IF($B55="","",IFERROR(INDEX(智能流水!$I$2:$I$1001,MATCH($B55,智能流水!$B$2:$B$1001,0)),""))</f>
        <v/>
      </c>
      <c r="J55" s="32">
        <f>IF($B55="","",IFERROR(INDEX(智能流水!$J$2:$J$1001,MATCH($B55,智能流水!$B$2:$B$1001,0)),""))</f>
        <v/>
      </c>
      <c r="K55" s="35">
        <f>IF($B55="","",IFERROR(INDEX(智能流水!$K$2:$K$1001,MATCH($B55,智能流水!$B$2:$B$1001,0)),""))</f>
        <v/>
      </c>
      <c r="L55" s="32">
        <f>IF($B55="","",IFERROR(INDEX(智能流水!$L$2:$L$1001,MATCH($B55,智能流水!$B$2:$B$1001,0)),""))</f>
        <v/>
      </c>
      <c r="M55" s="32">
        <f>IF($B55="","",IFERROR(INDEX(智能流水!$M$2:$M$1001,MATCH($B55,智能流水!$B$2:$B$1001,0)),""))</f>
        <v/>
      </c>
      <c r="N55" s="32">
        <f>IF($B55="","",IFERROR(INDEX(智能流水!$N$2:$N$1001,MATCH($B55,智能流水!$B$2:$B$1001,0)),""))</f>
        <v/>
      </c>
      <c r="O55" s="32">
        <f>IF($B55="","",IFERROR(INDEX(智能流水!$O$2:$O$1001,MATCH($B55,智能流水!$B$2:$B$1001,0)),""))</f>
        <v/>
      </c>
    </row>
    <row r="56" ht="23" customHeight="1" s="21">
      <c r="A56" s="32">
        <f>IF($B56="","",55)</f>
        <v/>
      </c>
      <c r="B56" s="32">
        <f>IFERROR(LARGE(智能流水!$B$2:$B$1001,55),"")</f>
        <v/>
      </c>
      <c r="C56" s="33">
        <f>IF($B56="","",IFERROR(INDEX(智能流水!$C$2:$C$1001,MATCH($B56,智能流水!$B$2:$B$1001,0)),""))</f>
        <v/>
      </c>
      <c r="D56" s="34">
        <f>IF($B56="","",IFERROR(INDEX(智能流水!$D$2:$D$1001,MATCH($B56,智能流水!$B$2:$B$1001,0)),""))</f>
        <v/>
      </c>
      <c r="E56" s="34">
        <f>IF($B56="","",IFERROR(INDEX(智能流水!$E$2:$E$1001,MATCH($B56,智能流水!$B$2:$B$1001,0)),""))</f>
        <v/>
      </c>
      <c r="F56" s="34">
        <f>IF($B56="","",IFERROR(INDEX(智能流水!$F$2:$F$1001,MATCH($B56,智能流水!$B$2:$B$1001,0)),""))</f>
        <v/>
      </c>
      <c r="G56" s="32">
        <f>IF($B56="","",IFERROR(INDEX(智能流水!$G$2:$G$1001,MATCH($B56,智能流水!$B$2:$B$1001,0)),""))</f>
        <v/>
      </c>
      <c r="H56" s="32">
        <f>IF($B56="","",IFERROR(INDEX(智能流水!$H$2:$H$1001,MATCH($B56,智能流水!$B$2:$B$1001,0)),""))</f>
        <v/>
      </c>
      <c r="I56" s="32">
        <f>IF($B56="","",IFERROR(INDEX(智能流水!$I$2:$I$1001,MATCH($B56,智能流水!$B$2:$B$1001,0)),""))</f>
        <v/>
      </c>
      <c r="J56" s="32">
        <f>IF($B56="","",IFERROR(INDEX(智能流水!$J$2:$J$1001,MATCH($B56,智能流水!$B$2:$B$1001,0)),""))</f>
        <v/>
      </c>
      <c r="K56" s="35">
        <f>IF($B56="","",IFERROR(INDEX(智能流水!$K$2:$K$1001,MATCH($B56,智能流水!$B$2:$B$1001,0)),""))</f>
        <v/>
      </c>
      <c r="L56" s="32">
        <f>IF($B56="","",IFERROR(INDEX(智能流水!$L$2:$L$1001,MATCH($B56,智能流水!$B$2:$B$1001,0)),""))</f>
        <v/>
      </c>
      <c r="M56" s="32">
        <f>IF($B56="","",IFERROR(INDEX(智能流水!$M$2:$M$1001,MATCH($B56,智能流水!$B$2:$B$1001,0)),""))</f>
        <v/>
      </c>
      <c r="N56" s="32">
        <f>IF($B56="","",IFERROR(INDEX(智能流水!$N$2:$N$1001,MATCH($B56,智能流水!$B$2:$B$1001,0)),""))</f>
        <v/>
      </c>
      <c r="O56" s="32">
        <f>IF($B56="","",IFERROR(INDEX(智能流水!$O$2:$O$1001,MATCH($B56,智能流水!$B$2:$B$1001,0)),""))</f>
        <v/>
      </c>
    </row>
    <row r="57" ht="23" customHeight="1" s="21">
      <c r="A57" s="32">
        <f>IF($B57="","",56)</f>
        <v/>
      </c>
      <c r="B57" s="32">
        <f>IFERROR(LARGE(智能流水!$B$2:$B$1001,56),"")</f>
        <v/>
      </c>
      <c r="C57" s="33">
        <f>IF($B57="","",IFERROR(INDEX(智能流水!$C$2:$C$1001,MATCH($B57,智能流水!$B$2:$B$1001,0)),""))</f>
        <v/>
      </c>
      <c r="D57" s="34">
        <f>IF($B57="","",IFERROR(INDEX(智能流水!$D$2:$D$1001,MATCH($B57,智能流水!$B$2:$B$1001,0)),""))</f>
        <v/>
      </c>
      <c r="E57" s="34">
        <f>IF($B57="","",IFERROR(INDEX(智能流水!$E$2:$E$1001,MATCH($B57,智能流水!$B$2:$B$1001,0)),""))</f>
        <v/>
      </c>
      <c r="F57" s="34">
        <f>IF($B57="","",IFERROR(INDEX(智能流水!$F$2:$F$1001,MATCH($B57,智能流水!$B$2:$B$1001,0)),""))</f>
        <v/>
      </c>
      <c r="G57" s="32">
        <f>IF($B57="","",IFERROR(INDEX(智能流水!$G$2:$G$1001,MATCH($B57,智能流水!$B$2:$B$1001,0)),""))</f>
        <v/>
      </c>
      <c r="H57" s="32">
        <f>IF($B57="","",IFERROR(INDEX(智能流水!$H$2:$H$1001,MATCH($B57,智能流水!$B$2:$B$1001,0)),""))</f>
        <v/>
      </c>
      <c r="I57" s="32">
        <f>IF($B57="","",IFERROR(INDEX(智能流水!$I$2:$I$1001,MATCH($B57,智能流水!$B$2:$B$1001,0)),""))</f>
        <v/>
      </c>
      <c r="J57" s="32">
        <f>IF($B57="","",IFERROR(INDEX(智能流水!$J$2:$J$1001,MATCH($B57,智能流水!$B$2:$B$1001,0)),""))</f>
        <v/>
      </c>
      <c r="K57" s="35">
        <f>IF($B57="","",IFERROR(INDEX(智能流水!$K$2:$K$1001,MATCH($B57,智能流水!$B$2:$B$1001,0)),""))</f>
        <v/>
      </c>
      <c r="L57" s="32">
        <f>IF($B57="","",IFERROR(INDEX(智能流水!$L$2:$L$1001,MATCH($B57,智能流水!$B$2:$B$1001,0)),""))</f>
        <v/>
      </c>
      <c r="M57" s="32">
        <f>IF($B57="","",IFERROR(INDEX(智能流水!$M$2:$M$1001,MATCH($B57,智能流水!$B$2:$B$1001,0)),""))</f>
        <v/>
      </c>
      <c r="N57" s="32">
        <f>IF($B57="","",IFERROR(INDEX(智能流水!$N$2:$N$1001,MATCH($B57,智能流水!$B$2:$B$1001,0)),""))</f>
        <v/>
      </c>
      <c r="O57" s="32">
        <f>IF($B57="","",IFERROR(INDEX(智能流水!$O$2:$O$1001,MATCH($B57,智能流水!$B$2:$B$1001,0)),""))</f>
        <v/>
      </c>
    </row>
    <row r="58" ht="23" customHeight="1" s="21">
      <c r="A58" s="32">
        <f>IF($B58="","",57)</f>
        <v/>
      </c>
      <c r="B58" s="32">
        <f>IFERROR(LARGE(智能流水!$B$2:$B$1001,57),"")</f>
        <v/>
      </c>
      <c r="C58" s="33">
        <f>IF($B58="","",IFERROR(INDEX(智能流水!$C$2:$C$1001,MATCH($B58,智能流水!$B$2:$B$1001,0)),""))</f>
        <v/>
      </c>
      <c r="D58" s="34">
        <f>IF($B58="","",IFERROR(INDEX(智能流水!$D$2:$D$1001,MATCH($B58,智能流水!$B$2:$B$1001,0)),""))</f>
        <v/>
      </c>
      <c r="E58" s="34">
        <f>IF($B58="","",IFERROR(INDEX(智能流水!$E$2:$E$1001,MATCH($B58,智能流水!$B$2:$B$1001,0)),""))</f>
        <v/>
      </c>
      <c r="F58" s="34">
        <f>IF($B58="","",IFERROR(INDEX(智能流水!$F$2:$F$1001,MATCH($B58,智能流水!$B$2:$B$1001,0)),""))</f>
        <v/>
      </c>
      <c r="G58" s="32">
        <f>IF($B58="","",IFERROR(INDEX(智能流水!$G$2:$G$1001,MATCH($B58,智能流水!$B$2:$B$1001,0)),""))</f>
        <v/>
      </c>
      <c r="H58" s="32">
        <f>IF($B58="","",IFERROR(INDEX(智能流水!$H$2:$H$1001,MATCH($B58,智能流水!$B$2:$B$1001,0)),""))</f>
        <v/>
      </c>
      <c r="I58" s="32">
        <f>IF($B58="","",IFERROR(INDEX(智能流水!$I$2:$I$1001,MATCH($B58,智能流水!$B$2:$B$1001,0)),""))</f>
        <v/>
      </c>
      <c r="J58" s="32">
        <f>IF($B58="","",IFERROR(INDEX(智能流水!$J$2:$J$1001,MATCH($B58,智能流水!$B$2:$B$1001,0)),""))</f>
        <v/>
      </c>
      <c r="K58" s="35">
        <f>IF($B58="","",IFERROR(INDEX(智能流水!$K$2:$K$1001,MATCH($B58,智能流水!$B$2:$B$1001,0)),""))</f>
        <v/>
      </c>
      <c r="L58" s="32">
        <f>IF($B58="","",IFERROR(INDEX(智能流水!$L$2:$L$1001,MATCH($B58,智能流水!$B$2:$B$1001,0)),""))</f>
        <v/>
      </c>
      <c r="M58" s="32">
        <f>IF($B58="","",IFERROR(INDEX(智能流水!$M$2:$M$1001,MATCH($B58,智能流水!$B$2:$B$1001,0)),""))</f>
        <v/>
      </c>
      <c r="N58" s="32">
        <f>IF($B58="","",IFERROR(INDEX(智能流水!$N$2:$N$1001,MATCH($B58,智能流水!$B$2:$B$1001,0)),""))</f>
        <v/>
      </c>
      <c r="O58" s="32">
        <f>IF($B58="","",IFERROR(INDEX(智能流水!$O$2:$O$1001,MATCH($B58,智能流水!$B$2:$B$1001,0)),""))</f>
        <v/>
      </c>
    </row>
    <row r="59" ht="23" customHeight="1" s="21">
      <c r="A59" s="32">
        <f>IF($B59="","",58)</f>
        <v/>
      </c>
      <c r="B59" s="32">
        <f>IFERROR(LARGE(智能流水!$B$2:$B$1001,58),"")</f>
        <v/>
      </c>
      <c r="C59" s="33">
        <f>IF($B59="","",IFERROR(INDEX(智能流水!$C$2:$C$1001,MATCH($B59,智能流水!$B$2:$B$1001,0)),""))</f>
        <v/>
      </c>
      <c r="D59" s="34">
        <f>IF($B59="","",IFERROR(INDEX(智能流水!$D$2:$D$1001,MATCH($B59,智能流水!$B$2:$B$1001,0)),""))</f>
        <v/>
      </c>
      <c r="E59" s="34">
        <f>IF($B59="","",IFERROR(INDEX(智能流水!$E$2:$E$1001,MATCH($B59,智能流水!$B$2:$B$1001,0)),""))</f>
        <v/>
      </c>
      <c r="F59" s="34">
        <f>IF($B59="","",IFERROR(INDEX(智能流水!$F$2:$F$1001,MATCH($B59,智能流水!$B$2:$B$1001,0)),""))</f>
        <v/>
      </c>
      <c r="G59" s="32">
        <f>IF($B59="","",IFERROR(INDEX(智能流水!$G$2:$G$1001,MATCH($B59,智能流水!$B$2:$B$1001,0)),""))</f>
        <v/>
      </c>
      <c r="H59" s="32">
        <f>IF($B59="","",IFERROR(INDEX(智能流水!$H$2:$H$1001,MATCH($B59,智能流水!$B$2:$B$1001,0)),""))</f>
        <v/>
      </c>
      <c r="I59" s="32">
        <f>IF($B59="","",IFERROR(INDEX(智能流水!$I$2:$I$1001,MATCH($B59,智能流水!$B$2:$B$1001,0)),""))</f>
        <v/>
      </c>
      <c r="J59" s="32">
        <f>IF($B59="","",IFERROR(INDEX(智能流水!$J$2:$J$1001,MATCH($B59,智能流水!$B$2:$B$1001,0)),""))</f>
        <v/>
      </c>
      <c r="K59" s="35">
        <f>IF($B59="","",IFERROR(INDEX(智能流水!$K$2:$K$1001,MATCH($B59,智能流水!$B$2:$B$1001,0)),""))</f>
        <v/>
      </c>
      <c r="L59" s="32">
        <f>IF($B59="","",IFERROR(INDEX(智能流水!$L$2:$L$1001,MATCH($B59,智能流水!$B$2:$B$1001,0)),""))</f>
        <v/>
      </c>
      <c r="M59" s="32">
        <f>IF($B59="","",IFERROR(INDEX(智能流水!$M$2:$M$1001,MATCH($B59,智能流水!$B$2:$B$1001,0)),""))</f>
        <v/>
      </c>
      <c r="N59" s="32">
        <f>IF($B59="","",IFERROR(INDEX(智能流水!$N$2:$N$1001,MATCH($B59,智能流水!$B$2:$B$1001,0)),""))</f>
        <v/>
      </c>
      <c r="O59" s="32">
        <f>IF($B59="","",IFERROR(INDEX(智能流水!$O$2:$O$1001,MATCH($B59,智能流水!$B$2:$B$1001,0)),""))</f>
        <v/>
      </c>
    </row>
    <row r="60" ht="23" customHeight="1" s="21">
      <c r="A60" s="32">
        <f>IF($B60="","",59)</f>
        <v/>
      </c>
      <c r="B60" s="32">
        <f>IFERROR(LARGE(智能流水!$B$2:$B$1001,59),"")</f>
        <v/>
      </c>
      <c r="C60" s="33">
        <f>IF($B60="","",IFERROR(INDEX(智能流水!$C$2:$C$1001,MATCH($B60,智能流水!$B$2:$B$1001,0)),""))</f>
        <v/>
      </c>
      <c r="D60" s="34">
        <f>IF($B60="","",IFERROR(INDEX(智能流水!$D$2:$D$1001,MATCH($B60,智能流水!$B$2:$B$1001,0)),""))</f>
        <v/>
      </c>
      <c r="E60" s="34">
        <f>IF($B60="","",IFERROR(INDEX(智能流水!$E$2:$E$1001,MATCH($B60,智能流水!$B$2:$B$1001,0)),""))</f>
        <v/>
      </c>
      <c r="F60" s="34">
        <f>IF($B60="","",IFERROR(INDEX(智能流水!$F$2:$F$1001,MATCH($B60,智能流水!$B$2:$B$1001,0)),""))</f>
        <v/>
      </c>
      <c r="G60" s="32">
        <f>IF($B60="","",IFERROR(INDEX(智能流水!$G$2:$G$1001,MATCH($B60,智能流水!$B$2:$B$1001,0)),""))</f>
        <v/>
      </c>
      <c r="H60" s="32">
        <f>IF($B60="","",IFERROR(INDEX(智能流水!$H$2:$H$1001,MATCH($B60,智能流水!$B$2:$B$1001,0)),""))</f>
        <v/>
      </c>
      <c r="I60" s="32">
        <f>IF($B60="","",IFERROR(INDEX(智能流水!$I$2:$I$1001,MATCH($B60,智能流水!$B$2:$B$1001,0)),""))</f>
        <v/>
      </c>
      <c r="J60" s="32">
        <f>IF($B60="","",IFERROR(INDEX(智能流水!$J$2:$J$1001,MATCH($B60,智能流水!$B$2:$B$1001,0)),""))</f>
        <v/>
      </c>
      <c r="K60" s="35">
        <f>IF($B60="","",IFERROR(INDEX(智能流水!$K$2:$K$1001,MATCH($B60,智能流水!$B$2:$B$1001,0)),""))</f>
        <v/>
      </c>
      <c r="L60" s="32">
        <f>IF($B60="","",IFERROR(INDEX(智能流水!$L$2:$L$1001,MATCH($B60,智能流水!$B$2:$B$1001,0)),""))</f>
        <v/>
      </c>
      <c r="M60" s="32">
        <f>IF($B60="","",IFERROR(INDEX(智能流水!$M$2:$M$1001,MATCH($B60,智能流水!$B$2:$B$1001,0)),""))</f>
        <v/>
      </c>
      <c r="N60" s="32">
        <f>IF($B60="","",IFERROR(INDEX(智能流水!$N$2:$N$1001,MATCH($B60,智能流水!$B$2:$B$1001,0)),""))</f>
        <v/>
      </c>
      <c r="O60" s="32">
        <f>IF($B60="","",IFERROR(INDEX(智能流水!$O$2:$O$1001,MATCH($B60,智能流水!$B$2:$B$1001,0)),""))</f>
        <v/>
      </c>
    </row>
    <row r="61" ht="23" customHeight="1" s="21">
      <c r="A61" s="32">
        <f>IF($B61="","",60)</f>
        <v/>
      </c>
      <c r="B61" s="32">
        <f>IFERROR(LARGE(智能流水!$B$2:$B$1001,60),"")</f>
        <v/>
      </c>
      <c r="C61" s="33">
        <f>IF($B61="","",IFERROR(INDEX(智能流水!$C$2:$C$1001,MATCH($B61,智能流水!$B$2:$B$1001,0)),""))</f>
        <v/>
      </c>
      <c r="D61" s="34">
        <f>IF($B61="","",IFERROR(INDEX(智能流水!$D$2:$D$1001,MATCH($B61,智能流水!$B$2:$B$1001,0)),""))</f>
        <v/>
      </c>
      <c r="E61" s="34">
        <f>IF($B61="","",IFERROR(INDEX(智能流水!$E$2:$E$1001,MATCH($B61,智能流水!$B$2:$B$1001,0)),""))</f>
        <v/>
      </c>
      <c r="F61" s="34">
        <f>IF($B61="","",IFERROR(INDEX(智能流水!$F$2:$F$1001,MATCH($B61,智能流水!$B$2:$B$1001,0)),""))</f>
        <v/>
      </c>
      <c r="G61" s="32">
        <f>IF($B61="","",IFERROR(INDEX(智能流水!$G$2:$G$1001,MATCH($B61,智能流水!$B$2:$B$1001,0)),""))</f>
        <v/>
      </c>
      <c r="H61" s="32">
        <f>IF($B61="","",IFERROR(INDEX(智能流水!$H$2:$H$1001,MATCH($B61,智能流水!$B$2:$B$1001,0)),""))</f>
        <v/>
      </c>
      <c r="I61" s="32">
        <f>IF($B61="","",IFERROR(INDEX(智能流水!$I$2:$I$1001,MATCH($B61,智能流水!$B$2:$B$1001,0)),""))</f>
        <v/>
      </c>
      <c r="J61" s="32">
        <f>IF($B61="","",IFERROR(INDEX(智能流水!$J$2:$J$1001,MATCH($B61,智能流水!$B$2:$B$1001,0)),""))</f>
        <v/>
      </c>
      <c r="K61" s="35">
        <f>IF($B61="","",IFERROR(INDEX(智能流水!$K$2:$K$1001,MATCH($B61,智能流水!$B$2:$B$1001,0)),""))</f>
        <v/>
      </c>
      <c r="L61" s="32">
        <f>IF($B61="","",IFERROR(INDEX(智能流水!$L$2:$L$1001,MATCH($B61,智能流水!$B$2:$B$1001,0)),""))</f>
        <v/>
      </c>
      <c r="M61" s="32">
        <f>IF($B61="","",IFERROR(INDEX(智能流水!$M$2:$M$1001,MATCH($B61,智能流水!$B$2:$B$1001,0)),""))</f>
        <v/>
      </c>
      <c r="N61" s="32">
        <f>IF($B61="","",IFERROR(INDEX(智能流水!$N$2:$N$1001,MATCH($B61,智能流水!$B$2:$B$1001,0)),""))</f>
        <v/>
      </c>
      <c r="O61" s="32">
        <f>IF($B61="","",IFERROR(INDEX(智能流水!$O$2:$O$1001,MATCH($B61,智能流水!$B$2:$B$1001,0)),""))</f>
        <v/>
      </c>
    </row>
    <row r="62" ht="23" customHeight="1" s="21">
      <c r="A62" s="32">
        <f>IF($B62="","",61)</f>
        <v/>
      </c>
      <c r="B62" s="32">
        <f>IFERROR(LARGE(智能流水!$B$2:$B$1001,61),"")</f>
        <v/>
      </c>
      <c r="C62" s="33">
        <f>IF($B62="","",IFERROR(INDEX(智能流水!$C$2:$C$1001,MATCH($B62,智能流水!$B$2:$B$1001,0)),""))</f>
        <v/>
      </c>
      <c r="D62" s="34">
        <f>IF($B62="","",IFERROR(INDEX(智能流水!$D$2:$D$1001,MATCH($B62,智能流水!$B$2:$B$1001,0)),""))</f>
        <v/>
      </c>
      <c r="E62" s="34">
        <f>IF($B62="","",IFERROR(INDEX(智能流水!$E$2:$E$1001,MATCH($B62,智能流水!$B$2:$B$1001,0)),""))</f>
        <v/>
      </c>
      <c r="F62" s="34">
        <f>IF($B62="","",IFERROR(INDEX(智能流水!$F$2:$F$1001,MATCH($B62,智能流水!$B$2:$B$1001,0)),""))</f>
        <v/>
      </c>
      <c r="G62" s="32">
        <f>IF($B62="","",IFERROR(INDEX(智能流水!$G$2:$G$1001,MATCH($B62,智能流水!$B$2:$B$1001,0)),""))</f>
        <v/>
      </c>
      <c r="H62" s="32">
        <f>IF($B62="","",IFERROR(INDEX(智能流水!$H$2:$H$1001,MATCH($B62,智能流水!$B$2:$B$1001,0)),""))</f>
        <v/>
      </c>
      <c r="I62" s="32">
        <f>IF($B62="","",IFERROR(INDEX(智能流水!$I$2:$I$1001,MATCH($B62,智能流水!$B$2:$B$1001,0)),""))</f>
        <v/>
      </c>
      <c r="J62" s="32">
        <f>IF($B62="","",IFERROR(INDEX(智能流水!$J$2:$J$1001,MATCH($B62,智能流水!$B$2:$B$1001,0)),""))</f>
        <v/>
      </c>
      <c r="K62" s="35">
        <f>IF($B62="","",IFERROR(INDEX(智能流水!$K$2:$K$1001,MATCH($B62,智能流水!$B$2:$B$1001,0)),""))</f>
        <v/>
      </c>
      <c r="L62" s="32">
        <f>IF($B62="","",IFERROR(INDEX(智能流水!$L$2:$L$1001,MATCH($B62,智能流水!$B$2:$B$1001,0)),""))</f>
        <v/>
      </c>
      <c r="M62" s="32">
        <f>IF($B62="","",IFERROR(INDEX(智能流水!$M$2:$M$1001,MATCH($B62,智能流水!$B$2:$B$1001,0)),""))</f>
        <v/>
      </c>
      <c r="N62" s="32">
        <f>IF($B62="","",IFERROR(INDEX(智能流水!$N$2:$N$1001,MATCH($B62,智能流水!$B$2:$B$1001,0)),""))</f>
        <v/>
      </c>
      <c r="O62" s="32">
        <f>IF($B62="","",IFERROR(INDEX(智能流水!$O$2:$O$1001,MATCH($B62,智能流水!$B$2:$B$1001,0)),""))</f>
        <v/>
      </c>
    </row>
    <row r="63" ht="23" customHeight="1" s="21">
      <c r="A63" s="32">
        <f>IF($B63="","",62)</f>
        <v/>
      </c>
      <c r="B63" s="32">
        <f>IFERROR(LARGE(智能流水!$B$2:$B$1001,62),"")</f>
        <v/>
      </c>
      <c r="C63" s="33">
        <f>IF($B63="","",IFERROR(INDEX(智能流水!$C$2:$C$1001,MATCH($B63,智能流水!$B$2:$B$1001,0)),""))</f>
        <v/>
      </c>
      <c r="D63" s="34">
        <f>IF($B63="","",IFERROR(INDEX(智能流水!$D$2:$D$1001,MATCH($B63,智能流水!$B$2:$B$1001,0)),""))</f>
        <v/>
      </c>
      <c r="E63" s="34">
        <f>IF($B63="","",IFERROR(INDEX(智能流水!$E$2:$E$1001,MATCH($B63,智能流水!$B$2:$B$1001,0)),""))</f>
        <v/>
      </c>
      <c r="F63" s="34">
        <f>IF($B63="","",IFERROR(INDEX(智能流水!$F$2:$F$1001,MATCH($B63,智能流水!$B$2:$B$1001,0)),""))</f>
        <v/>
      </c>
      <c r="G63" s="32">
        <f>IF($B63="","",IFERROR(INDEX(智能流水!$G$2:$G$1001,MATCH($B63,智能流水!$B$2:$B$1001,0)),""))</f>
        <v/>
      </c>
      <c r="H63" s="32">
        <f>IF($B63="","",IFERROR(INDEX(智能流水!$H$2:$H$1001,MATCH($B63,智能流水!$B$2:$B$1001,0)),""))</f>
        <v/>
      </c>
      <c r="I63" s="32">
        <f>IF($B63="","",IFERROR(INDEX(智能流水!$I$2:$I$1001,MATCH($B63,智能流水!$B$2:$B$1001,0)),""))</f>
        <v/>
      </c>
      <c r="J63" s="32">
        <f>IF($B63="","",IFERROR(INDEX(智能流水!$J$2:$J$1001,MATCH($B63,智能流水!$B$2:$B$1001,0)),""))</f>
        <v/>
      </c>
      <c r="K63" s="35">
        <f>IF($B63="","",IFERROR(INDEX(智能流水!$K$2:$K$1001,MATCH($B63,智能流水!$B$2:$B$1001,0)),""))</f>
        <v/>
      </c>
      <c r="L63" s="32">
        <f>IF($B63="","",IFERROR(INDEX(智能流水!$L$2:$L$1001,MATCH($B63,智能流水!$B$2:$B$1001,0)),""))</f>
        <v/>
      </c>
      <c r="M63" s="32">
        <f>IF($B63="","",IFERROR(INDEX(智能流水!$M$2:$M$1001,MATCH($B63,智能流水!$B$2:$B$1001,0)),""))</f>
        <v/>
      </c>
      <c r="N63" s="32">
        <f>IF($B63="","",IFERROR(INDEX(智能流水!$N$2:$N$1001,MATCH($B63,智能流水!$B$2:$B$1001,0)),""))</f>
        <v/>
      </c>
      <c r="O63" s="32">
        <f>IF($B63="","",IFERROR(INDEX(智能流水!$O$2:$O$1001,MATCH($B63,智能流水!$B$2:$B$1001,0)),""))</f>
        <v/>
      </c>
    </row>
    <row r="64" ht="23" customHeight="1" s="21">
      <c r="A64" s="32">
        <f>IF($B64="","",63)</f>
        <v/>
      </c>
      <c r="B64" s="32">
        <f>IFERROR(LARGE(智能流水!$B$2:$B$1001,63),"")</f>
        <v/>
      </c>
      <c r="C64" s="33">
        <f>IF($B64="","",IFERROR(INDEX(智能流水!$C$2:$C$1001,MATCH($B64,智能流水!$B$2:$B$1001,0)),""))</f>
        <v/>
      </c>
      <c r="D64" s="34">
        <f>IF($B64="","",IFERROR(INDEX(智能流水!$D$2:$D$1001,MATCH($B64,智能流水!$B$2:$B$1001,0)),""))</f>
        <v/>
      </c>
      <c r="E64" s="34">
        <f>IF($B64="","",IFERROR(INDEX(智能流水!$E$2:$E$1001,MATCH($B64,智能流水!$B$2:$B$1001,0)),""))</f>
        <v/>
      </c>
      <c r="F64" s="34">
        <f>IF($B64="","",IFERROR(INDEX(智能流水!$F$2:$F$1001,MATCH($B64,智能流水!$B$2:$B$1001,0)),""))</f>
        <v/>
      </c>
      <c r="G64" s="32">
        <f>IF($B64="","",IFERROR(INDEX(智能流水!$G$2:$G$1001,MATCH($B64,智能流水!$B$2:$B$1001,0)),""))</f>
        <v/>
      </c>
      <c r="H64" s="32">
        <f>IF($B64="","",IFERROR(INDEX(智能流水!$H$2:$H$1001,MATCH($B64,智能流水!$B$2:$B$1001,0)),""))</f>
        <v/>
      </c>
      <c r="I64" s="32">
        <f>IF($B64="","",IFERROR(INDEX(智能流水!$I$2:$I$1001,MATCH($B64,智能流水!$B$2:$B$1001,0)),""))</f>
        <v/>
      </c>
      <c r="J64" s="32">
        <f>IF($B64="","",IFERROR(INDEX(智能流水!$J$2:$J$1001,MATCH($B64,智能流水!$B$2:$B$1001,0)),""))</f>
        <v/>
      </c>
      <c r="K64" s="35">
        <f>IF($B64="","",IFERROR(INDEX(智能流水!$K$2:$K$1001,MATCH($B64,智能流水!$B$2:$B$1001,0)),""))</f>
        <v/>
      </c>
      <c r="L64" s="32">
        <f>IF($B64="","",IFERROR(INDEX(智能流水!$L$2:$L$1001,MATCH($B64,智能流水!$B$2:$B$1001,0)),""))</f>
        <v/>
      </c>
      <c r="M64" s="32">
        <f>IF($B64="","",IFERROR(INDEX(智能流水!$M$2:$M$1001,MATCH($B64,智能流水!$B$2:$B$1001,0)),""))</f>
        <v/>
      </c>
      <c r="N64" s="32">
        <f>IF($B64="","",IFERROR(INDEX(智能流水!$N$2:$N$1001,MATCH($B64,智能流水!$B$2:$B$1001,0)),""))</f>
        <v/>
      </c>
      <c r="O64" s="32">
        <f>IF($B64="","",IFERROR(INDEX(智能流水!$O$2:$O$1001,MATCH($B64,智能流水!$B$2:$B$1001,0)),""))</f>
        <v/>
      </c>
    </row>
    <row r="65" ht="23" customHeight="1" s="21">
      <c r="A65" s="32">
        <f>IF($B65="","",64)</f>
        <v/>
      </c>
      <c r="B65" s="32">
        <f>IFERROR(LARGE(智能流水!$B$2:$B$1001,64),"")</f>
        <v/>
      </c>
      <c r="C65" s="33">
        <f>IF($B65="","",IFERROR(INDEX(智能流水!$C$2:$C$1001,MATCH($B65,智能流水!$B$2:$B$1001,0)),""))</f>
        <v/>
      </c>
      <c r="D65" s="34">
        <f>IF($B65="","",IFERROR(INDEX(智能流水!$D$2:$D$1001,MATCH($B65,智能流水!$B$2:$B$1001,0)),""))</f>
        <v/>
      </c>
      <c r="E65" s="34">
        <f>IF($B65="","",IFERROR(INDEX(智能流水!$E$2:$E$1001,MATCH($B65,智能流水!$B$2:$B$1001,0)),""))</f>
        <v/>
      </c>
      <c r="F65" s="34">
        <f>IF($B65="","",IFERROR(INDEX(智能流水!$F$2:$F$1001,MATCH($B65,智能流水!$B$2:$B$1001,0)),""))</f>
        <v/>
      </c>
      <c r="G65" s="32">
        <f>IF($B65="","",IFERROR(INDEX(智能流水!$G$2:$G$1001,MATCH($B65,智能流水!$B$2:$B$1001,0)),""))</f>
        <v/>
      </c>
      <c r="H65" s="32">
        <f>IF($B65="","",IFERROR(INDEX(智能流水!$H$2:$H$1001,MATCH($B65,智能流水!$B$2:$B$1001,0)),""))</f>
        <v/>
      </c>
      <c r="I65" s="32">
        <f>IF($B65="","",IFERROR(INDEX(智能流水!$I$2:$I$1001,MATCH($B65,智能流水!$B$2:$B$1001,0)),""))</f>
        <v/>
      </c>
      <c r="J65" s="32">
        <f>IF($B65="","",IFERROR(INDEX(智能流水!$J$2:$J$1001,MATCH($B65,智能流水!$B$2:$B$1001,0)),""))</f>
        <v/>
      </c>
      <c r="K65" s="35">
        <f>IF($B65="","",IFERROR(INDEX(智能流水!$K$2:$K$1001,MATCH($B65,智能流水!$B$2:$B$1001,0)),""))</f>
        <v/>
      </c>
      <c r="L65" s="32">
        <f>IF($B65="","",IFERROR(INDEX(智能流水!$L$2:$L$1001,MATCH($B65,智能流水!$B$2:$B$1001,0)),""))</f>
        <v/>
      </c>
      <c r="M65" s="32">
        <f>IF($B65="","",IFERROR(INDEX(智能流水!$M$2:$M$1001,MATCH($B65,智能流水!$B$2:$B$1001,0)),""))</f>
        <v/>
      </c>
      <c r="N65" s="32">
        <f>IF($B65="","",IFERROR(INDEX(智能流水!$N$2:$N$1001,MATCH($B65,智能流水!$B$2:$B$1001,0)),""))</f>
        <v/>
      </c>
      <c r="O65" s="32">
        <f>IF($B65="","",IFERROR(INDEX(智能流水!$O$2:$O$1001,MATCH($B65,智能流水!$B$2:$B$1001,0)),""))</f>
        <v/>
      </c>
    </row>
    <row r="66" ht="23" customHeight="1" s="21">
      <c r="A66" s="32">
        <f>IF($B66="","",65)</f>
        <v/>
      </c>
      <c r="B66" s="32">
        <f>IFERROR(LARGE(智能流水!$B$2:$B$1001,65),"")</f>
        <v/>
      </c>
      <c r="C66" s="33">
        <f>IF($B66="","",IFERROR(INDEX(智能流水!$C$2:$C$1001,MATCH($B66,智能流水!$B$2:$B$1001,0)),""))</f>
        <v/>
      </c>
      <c r="D66" s="34">
        <f>IF($B66="","",IFERROR(INDEX(智能流水!$D$2:$D$1001,MATCH($B66,智能流水!$B$2:$B$1001,0)),""))</f>
        <v/>
      </c>
      <c r="E66" s="34">
        <f>IF($B66="","",IFERROR(INDEX(智能流水!$E$2:$E$1001,MATCH($B66,智能流水!$B$2:$B$1001,0)),""))</f>
        <v/>
      </c>
      <c r="F66" s="34">
        <f>IF($B66="","",IFERROR(INDEX(智能流水!$F$2:$F$1001,MATCH($B66,智能流水!$B$2:$B$1001,0)),""))</f>
        <v/>
      </c>
      <c r="G66" s="32">
        <f>IF($B66="","",IFERROR(INDEX(智能流水!$G$2:$G$1001,MATCH($B66,智能流水!$B$2:$B$1001,0)),""))</f>
        <v/>
      </c>
      <c r="H66" s="32">
        <f>IF($B66="","",IFERROR(INDEX(智能流水!$H$2:$H$1001,MATCH($B66,智能流水!$B$2:$B$1001,0)),""))</f>
        <v/>
      </c>
      <c r="I66" s="32">
        <f>IF($B66="","",IFERROR(INDEX(智能流水!$I$2:$I$1001,MATCH($B66,智能流水!$B$2:$B$1001,0)),""))</f>
        <v/>
      </c>
      <c r="J66" s="32">
        <f>IF($B66="","",IFERROR(INDEX(智能流水!$J$2:$J$1001,MATCH($B66,智能流水!$B$2:$B$1001,0)),""))</f>
        <v/>
      </c>
      <c r="K66" s="35">
        <f>IF($B66="","",IFERROR(INDEX(智能流水!$K$2:$K$1001,MATCH($B66,智能流水!$B$2:$B$1001,0)),""))</f>
        <v/>
      </c>
      <c r="L66" s="32">
        <f>IF($B66="","",IFERROR(INDEX(智能流水!$L$2:$L$1001,MATCH($B66,智能流水!$B$2:$B$1001,0)),""))</f>
        <v/>
      </c>
      <c r="M66" s="32">
        <f>IF($B66="","",IFERROR(INDEX(智能流水!$M$2:$M$1001,MATCH($B66,智能流水!$B$2:$B$1001,0)),""))</f>
        <v/>
      </c>
      <c r="N66" s="32">
        <f>IF($B66="","",IFERROR(INDEX(智能流水!$N$2:$N$1001,MATCH($B66,智能流水!$B$2:$B$1001,0)),""))</f>
        <v/>
      </c>
      <c r="O66" s="32">
        <f>IF($B66="","",IFERROR(INDEX(智能流水!$O$2:$O$1001,MATCH($B66,智能流水!$B$2:$B$1001,0)),""))</f>
        <v/>
      </c>
    </row>
    <row r="67" ht="23" customHeight="1" s="21">
      <c r="A67" s="32">
        <f>IF($B67="","",66)</f>
        <v/>
      </c>
      <c r="B67" s="32">
        <f>IFERROR(LARGE(智能流水!$B$2:$B$1001,66),"")</f>
        <v/>
      </c>
      <c r="C67" s="33">
        <f>IF($B67="","",IFERROR(INDEX(智能流水!$C$2:$C$1001,MATCH($B67,智能流水!$B$2:$B$1001,0)),""))</f>
        <v/>
      </c>
      <c r="D67" s="34">
        <f>IF($B67="","",IFERROR(INDEX(智能流水!$D$2:$D$1001,MATCH($B67,智能流水!$B$2:$B$1001,0)),""))</f>
        <v/>
      </c>
      <c r="E67" s="34">
        <f>IF($B67="","",IFERROR(INDEX(智能流水!$E$2:$E$1001,MATCH($B67,智能流水!$B$2:$B$1001,0)),""))</f>
        <v/>
      </c>
      <c r="F67" s="34">
        <f>IF($B67="","",IFERROR(INDEX(智能流水!$F$2:$F$1001,MATCH($B67,智能流水!$B$2:$B$1001,0)),""))</f>
        <v/>
      </c>
      <c r="G67" s="32">
        <f>IF($B67="","",IFERROR(INDEX(智能流水!$G$2:$G$1001,MATCH($B67,智能流水!$B$2:$B$1001,0)),""))</f>
        <v/>
      </c>
      <c r="H67" s="32">
        <f>IF($B67="","",IFERROR(INDEX(智能流水!$H$2:$H$1001,MATCH($B67,智能流水!$B$2:$B$1001,0)),""))</f>
        <v/>
      </c>
      <c r="I67" s="32">
        <f>IF($B67="","",IFERROR(INDEX(智能流水!$I$2:$I$1001,MATCH($B67,智能流水!$B$2:$B$1001,0)),""))</f>
        <v/>
      </c>
      <c r="J67" s="32">
        <f>IF($B67="","",IFERROR(INDEX(智能流水!$J$2:$J$1001,MATCH($B67,智能流水!$B$2:$B$1001,0)),""))</f>
        <v/>
      </c>
      <c r="K67" s="35">
        <f>IF($B67="","",IFERROR(INDEX(智能流水!$K$2:$K$1001,MATCH($B67,智能流水!$B$2:$B$1001,0)),""))</f>
        <v/>
      </c>
      <c r="L67" s="32">
        <f>IF($B67="","",IFERROR(INDEX(智能流水!$L$2:$L$1001,MATCH($B67,智能流水!$B$2:$B$1001,0)),""))</f>
        <v/>
      </c>
      <c r="M67" s="32">
        <f>IF($B67="","",IFERROR(INDEX(智能流水!$M$2:$M$1001,MATCH($B67,智能流水!$B$2:$B$1001,0)),""))</f>
        <v/>
      </c>
      <c r="N67" s="32">
        <f>IF($B67="","",IFERROR(INDEX(智能流水!$N$2:$N$1001,MATCH($B67,智能流水!$B$2:$B$1001,0)),""))</f>
        <v/>
      </c>
      <c r="O67" s="32">
        <f>IF($B67="","",IFERROR(INDEX(智能流水!$O$2:$O$1001,MATCH($B67,智能流水!$B$2:$B$1001,0)),""))</f>
        <v/>
      </c>
    </row>
    <row r="68" ht="23" customHeight="1" s="21">
      <c r="A68" s="32">
        <f>IF($B68="","",67)</f>
        <v/>
      </c>
      <c r="B68" s="32">
        <f>IFERROR(LARGE(智能流水!$B$2:$B$1001,67),"")</f>
        <v/>
      </c>
      <c r="C68" s="33">
        <f>IF($B68="","",IFERROR(INDEX(智能流水!$C$2:$C$1001,MATCH($B68,智能流水!$B$2:$B$1001,0)),""))</f>
        <v/>
      </c>
      <c r="D68" s="34">
        <f>IF($B68="","",IFERROR(INDEX(智能流水!$D$2:$D$1001,MATCH($B68,智能流水!$B$2:$B$1001,0)),""))</f>
        <v/>
      </c>
      <c r="E68" s="34">
        <f>IF($B68="","",IFERROR(INDEX(智能流水!$E$2:$E$1001,MATCH($B68,智能流水!$B$2:$B$1001,0)),""))</f>
        <v/>
      </c>
      <c r="F68" s="34">
        <f>IF($B68="","",IFERROR(INDEX(智能流水!$F$2:$F$1001,MATCH($B68,智能流水!$B$2:$B$1001,0)),""))</f>
        <v/>
      </c>
      <c r="G68" s="32">
        <f>IF($B68="","",IFERROR(INDEX(智能流水!$G$2:$G$1001,MATCH($B68,智能流水!$B$2:$B$1001,0)),""))</f>
        <v/>
      </c>
      <c r="H68" s="32">
        <f>IF($B68="","",IFERROR(INDEX(智能流水!$H$2:$H$1001,MATCH($B68,智能流水!$B$2:$B$1001,0)),""))</f>
        <v/>
      </c>
      <c r="I68" s="32">
        <f>IF($B68="","",IFERROR(INDEX(智能流水!$I$2:$I$1001,MATCH($B68,智能流水!$B$2:$B$1001,0)),""))</f>
        <v/>
      </c>
      <c r="J68" s="32">
        <f>IF($B68="","",IFERROR(INDEX(智能流水!$J$2:$J$1001,MATCH($B68,智能流水!$B$2:$B$1001,0)),""))</f>
        <v/>
      </c>
      <c r="K68" s="35">
        <f>IF($B68="","",IFERROR(INDEX(智能流水!$K$2:$K$1001,MATCH($B68,智能流水!$B$2:$B$1001,0)),""))</f>
        <v/>
      </c>
      <c r="L68" s="32">
        <f>IF($B68="","",IFERROR(INDEX(智能流水!$L$2:$L$1001,MATCH($B68,智能流水!$B$2:$B$1001,0)),""))</f>
        <v/>
      </c>
      <c r="M68" s="32">
        <f>IF($B68="","",IFERROR(INDEX(智能流水!$M$2:$M$1001,MATCH($B68,智能流水!$B$2:$B$1001,0)),""))</f>
        <v/>
      </c>
      <c r="N68" s="32">
        <f>IF($B68="","",IFERROR(INDEX(智能流水!$N$2:$N$1001,MATCH($B68,智能流水!$B$2:$B$1001,0)),""))</f>
        <v/>
      </c>
      <c r="O68" s="32">
        <f>IF($B68="","",IFERROR(INDEX(智能流水!$O$2:$O$1001,MATCH($B68,智能流水!$B$2:$B$1001,0)),""))</f>
        <v/>
      </c>
    </row>
    <row r="69" ht="23" customHeight="1" s="21">
      <c r="A69" s="32">
        <f>IF($B69="","",68)</f>
        <v/>
      </c>
      <c r="B69" s="32">
        <f>IFERROR(LARGE(智能流水!$B$2:$B$1001,68),"")</f>
        <v/>
      </c>
      <c r="C69" s="33">
        <f>IF($B69="","",IFERROR(INDEX(智能流水!$C$2:$C$1001,MATCH($B69,智能流水!$B$2:$B$1001,0)),""))</f>
        <v/>
      </c>
      <c r="D69" s="34">
        <f>IF($B69="","",IFERROR(INDEX(智能流水!$D$2:$D$1001,MATCH($B69,智能流水!$B$2:$B$1001,0)),""))</f>
        <v/>
      </c>
      <c r="E69" s="34">
        <f>IF($B69="","",IFERROR(INDEX(智能流水!$E$2:$E$1001,MATCH($B69,智能流水!$B$2:$B$1001,0)),""))</f>
        <v/>
      </c>
      <c r="F69" s="34">
        <f>IF($B69="","",IFERROR(INDEX(智能流水!$F$2:$F$1001,MATCH($B69,智能流水!$B$2:$B$1001,0)),""))</f>
        <v/>
      </c>
      <c r="G69" s="32">
        <f>IF($B69="","",IFERROR(INDEX(智能流水!$G$2:$G$1001,MATCH($B69,智能流水!$B$2:$B$1001,0)),""))</f>
        <v/>
      </c>
      <c r="H69" s="32">
        <f>IF($B69="","",IFERROR(INDEX(智能流水!$H$2:$H$1001,MATCH($B69,智能流水!$B$2:$B$1001,0)),""))</f>
        <v/>
      </c>
      <c r="I69" s="32">
        <f>IF($B69="","",IFERROR(INDEX(智能流水!$I$2:$I$1001,MATCH($B69,智能流水!$B$2:$B$1001,0)),""))</f>
        <v/>
      </c>
      <c r="J69" s="32">
        <f>IF($B69="","",IFERROR(INDEX(智能流水!$J$2:$J$1001,MATCH($B69,智能流水!$B$2:$B$1001,0)),""))</f>
        <v/>
      </c>
      <c r="K69" s="35">
        <f>IF($B69="","",IFERROR(INDEX(智能流水!$K$2:$K$1001,MATCH($B69,智能流水!$B$2:$B$1001,0)),""))</f>
        <v/>
      </c>
      <c r="L69" s="32">
        <f>IF($B69="","",IFERROR(INDEX(智能流水!$L$2:$L$1001,MATCH($B69,智能流水!$B$2:$B$1001,0)),""))</f>
        <v/>
      </c>
      <c r="M69" s="32">
        <f>IF($B69="","",IFERROR(INDEX(智能流水!$M$2:$M$1001,MATCH($B69,智能流水!$B$2:$B$1001,0)),""))</f>
        <v/>
      </c>
      <c r="N69" s="32">
        <f>IF($B69="","",IFERROR(INDEX(智能流水!$N$2:$N$1001,MATCH($B69,智能流水!$B$2:$B$1001,0)),""))</f>
        <v/>
      </c>
      <c r="O69" s="32">
        <f>IF($B69="","",IFERROR(INDEX(智能流水!$O$2:$O$1001,MATCH($B69,智能流水!$B$2:$B$1001,0)),""))</f>
        <v/>
      </c>
    </row>
    <row r="70" ht="23" customHeight="1" s="21">
      <c r="A70" s="32">
        <f>IF($B70="","",69)</f>
        <v/>
      </c>
      <c r="B70" s="32">
        <f>IFERROR(LARGE(智能流水!$B$2:$B$1001,69),"")</f>
        <v/>
      </c>
      <c r="C70" s="33">
        <f>IF($B70="","",IFERROR(INDEX(智能流水!$C$2:$C$1001,MATCH($B70,智能流水!$B$2:$B$1001,0)),""))</f>
        <v/>
      </c>
      <c r="D70" s="34">
        <f>IF($B70="","",IFERROR(INDEX(智能流水!$D$2:$D$1001,MATCH($B70,智能流水!$B$2:$B$1001,0)),""))</f>
        <v/>
      </c>
      <c r="E70" s="34">
        <f>IF($B70="","",IFERROR(INDEX(智能流水!$E$2:$E$1001,MATCH($B70,智能流水!$B$2:$B$1001,0)),""))</f>
        <v/>
      </c>
      <c r="F70" s="34">
        <f>IF($B70="","",IFERROR(INDEX(智能流水!$F$2:$F$1001,MATCH($B70,智能流水!$B$2:$B$1001,0)),""))</f>
        <v/>
      </c>
      <c r="G70" s="32">
        <f>IF($B70="","",IFERROR(INDEX(智能流水!$G$2:$G$1001,MATCH($B70,智能流水!$B$2:$B$1001,0)),""))</f>
        <v/>
      </c>
      <c r="H70" s="32">
        <f>IF($B70="","",IFERROR(INDEX(智能流水!$H$2:$H$1001,MATCH($B70,智能流水!$B$2:$B$1001,0)),""))</f>
        <v/>
      </c>
      <c r="I70" s="32">
        <f>IF($B70="","",IFERROR(INDEX(智能流水!$I$2:$I$1001,MATCH($B70,智能流水!$B$2:$B$1001,0)),""))</f>
        <v/>
      </c>
      <c r="J70" s="32">
        <f>IF($B70="","",IFERROR(INDEX(智能流水!$J$2:$J$1001,MATCH($B70,智能流水!$B$2:$B$1001,0)),""))</f>
        <v/>
      </c>
      <c r="K70" s="35">
        <f>IF($B70="","",IFERROR(INDEX(智能流水!$K$2:$K$1001,MATCH($B70,智能流水!$B$2:$B$1001,0)),""))</f>
        <v/>
      </c>
      <c r="L70" s="32">
        <f>IF($B70="","",IFERROR(INDEX(智能流水!$L$2:$L$1001,MATCH($B70,智能流水!$B$2:$B$1001,0)),""))</f>
        <v/>
      </c>
      <c r="M70" s="32">
        <f>IF($B70="","",IFERROR(INDEX(智能流水!$M$2:$M$1001,MATCH($B70,智能流水!$B$2:$B$1001,0)),""))</f>
        <v/>
      </c>
      <c r="N70" s="32">
        <f>IF($B70="","",IFERROR(INDEX(智能流水!$N$2:$N$1001,MATCH($B70,智能流水!$B$2:$B$1001,0)),""))</f>
        <v/>
      </c>
      <c r="O70" s="32">
        <f>IF($B70="","",IFERROR(INDEX(智能流水!$O$2:$O$1001,MATCH($B70,智能流水!$B$2:$B$1001,0)),""))</f>
        <v/>
      </c>
    </row>
    <row r="71" ht="23" customHeight="1" s="21">
      <c r="A71" s="32">
        <f>IF($B71="","",70)</f>
        <v/>
      </c>
      <c r="B71" s="32">
        <f>IFERROR(LARGE(智能流水!$B$2:$B$1001,70),"")</f>
        <v/>
      </c>
      <c r="C71" s="33">
        <f>IF($B71="","",IFERROR(INDEX(智能流水!$C$2:$C$1001,MATCH($B71,智能流水!$B$2:$B$1001,0)),""))</f>
        <v/>
      </c>
      <c r="D71" s="34">
        <f>IF($B71="","",IFERROR(INDEX(智能流水!$D$2:$D$1001,MATCH($B71,智能流水!$B$2:$B$1001,0)),""))</f>
        <v/>
      </c>
      <c r="E71" s="34">
        <f>IF($B71="","",IFERROR(INDEX(智能流水!$E$2:$E$1001,MATCH($B71,智能流水!$B$2:$B$1001,0)),""))</f>
        <v/>
      </c>
      <c r="F71" s="34">
        <f>IF($B71="","",IFERROR(INDEX(智能流水!$F$2:$F$1001,MATCH($B71,智能流水!$B$2:$B$1001,0)),""))</f>
        <v/>
      </c>
      <c r="G71" s="32">
        <f>IF($B71="","",IFERROR(INDEX(智能流水!$G$2:$G$1001,MATCH($B71,智能流水!$B$2:$B$1001,0)),""))</f>
        <v/>
      </c>
      <c r="H71" s="32">
        <f>IF($B71="","",IFERROR(INDEX(智能流水!$H$2:$H$1001,MATCH($B71,智能流水!$B$2:$B$1001,0)),""))</f>
        <v/>
      </c>
      <c r="I71" s="32">
        <f>IF($B71="","",IFERROR(INDEX(智能流水!$I$2:$I$1001,MATCH($B71,智能流水!$B$2:$B$1001,0)),""))</f>
        <v/>
      </c>
      <c r="J71" s="32">
        <f>IF($B71="","",IFERROR(INDEX(智能流水!$J$2:$J$1001,MATCH($B71,智能流水!$B$2:$B$1001,0)),""))</f>
        <v/>
      </c>
      <c r="K71" s="35">
        <f>IF($B71="","",IFERROR(INDEX(智能流水!$K$2:$K$1001,MATCH($B71,智能流水!$B$2:$B$1001,0)),""))</f>
        <v/>
      </c>
      <c r="L71" s="32">
        <f>IF($B71="","",IFERROR(INDEX(智能流水!$L$2:$L$1001,MATCH($B71,智能流水!$B$2:$B$1001,0)),""))</f>
        <v/>
      </c>
      <c r="M71" s="32">
        <f>IF($B71="","",IFERROR(INDEX(智能流水!$M$2:$M$1001,MATCH($B71,智能流水!$B$2:$B$1001,0)),""))</f>
        <v/>
      </c>
      <c r="N71" s="32">
        <f>IF($B71="","",IFERROR(INDEX(智能流水!$N$2:$N$1001,MATCH($B71,智能流水!$B$2:$B$1001,0)),""))</f>
        <v/>
      </c>
      <c r="O71" s="32">
        <f>IF($B71="","",IFERROR(INDEX(智能流水!$O$2:$O$1001,MATCH($B71,智能流水!$B$2:$B$1001,0)),""))</f>
        <v/>
      </c>
    </row>
    <row r="72" ht="23" customHeight="1" s="21">
      <c r="A72" s="32">
        <f>IF($B72="","",71)</f>
        <v/>
      </c>
      <c r="B72" s="32">
        <f>IFERROR(LARGE(智能流水!$B$2:$B$1001,71),"")</f>
        <v/>
      </c>
      <c r="C72" s="33">
        <f>IF($B72="","",IFERROR(INDEX(智能流水!$C$2:$C$1001,MATCH($B72,智能流水!$B$2:$B$1001,0)),""))</f>
        <v/>
      </c>
      <c r="D72" s="34">
        <f>IF($B72="","",IFERROR(INDEX(智能流水!$D$2:$D$1001,MATCH($B72,智能流水!$B$2:$B$1001,0)),""))</f>
        <v/>
      </c>
      <c r="E72" s="34">
        <f>IF($B72="","",IFERROR(INDEX(智能流水!$E$2:$E$1001,MATCH($B72,智能流水!$B$2:$B$1001,0)),""))</f>
        <v/>
      </c>
      <c r="F72" s="34">
        <f>IF($B72="","",IFERROR(INDEX(智能流水!$F$2:$F$1001,MATCH($B72,智能流水!$B$2:$B$1001,0)),""))</f>
        <v/>
      </c>
      <c r="G72" s="32">
        <f>IF($B72="","",IFERROR(INDEX(智能流水!$G$2:$G$1001,MATCH($B72,智能流水!$B$2:$B$1001,0)),""))</f>
        <v/>
      </c>
      <c r="H72" s="32">
        <f>IF($B72="","",IFERROR(INDEX(智能流水!$H$2:$H$1001,MATCH($B72,智能流水!$B$2:$B$1001,0)),""))</f>
        <v/>
      </c>
      <c r="I72" s="32">
        <f>IF($B72="","",IFERROR(INDEX(智能流水!$I$2:$I$1001,MATCH($B72,智能流水!$B$2:$B$1001,0)),""))</f>
        <v/>
      </c>
      <c r="J72" s="32">
        <f>IF($B72="","",IFERROR(INDEX(智能流水!$J$2:$J$1001,MATCH($B72,智能流水!$B$2:$B$1001,0)),""))</f>
        <v/>
      </c>
      <c r="K72" s="35">
        <f>IF($B72="","",IFERROR(INDEX(智能流水!$K$2:$K$1001,MATCH($B72,智能流水!$B$2:$B$1001,0)),""))</f>
        <v/>
      </c>
      <c r="L72" s="32">
        <f>IF($B72="","",IFERROR(INDEX(智能流水!$L$2:$L$1001,MATCH($B72,智能流水!$B$2:$B$1001,0)),""))</f>
        <v/>
      </c>
      <c r="M72" s="32">
        <f>IF($B72="","",IFERROR(INDEX(智能流水!$M$2:$M$1001,MATCH($B72,智能流水!$B$2:$B$1001,0)),""))</f>
        <v/>
      </c>
      <c r="N72" s="32">
        <f>IF($B72="","",IFERROR(INDEX(智能流水!$N$2:$N$1001,MATCH($B72,智能流水!$B$2:$B$1001,0)),""))</f>
        <v/>
      </c>
      <c r="O72" s="32">
        <f>IF($B72="","",IFERROR(INDEX(智能流水!$O$2:$O$1001,MATCH($B72,智能流水!$B$2:$B$1001,0)),""))</f>
        <v/>
      </c>
    </row>
    <row r="73" ht="23" customHeight="1" s="21">
      <c r="A73" s="32">
        <f>IF($B73="","",72)</f>
        <v/>
      </c>
      <c r="B73" s="32">
        <f>IFERROR(LARGE(智能流水!$B$2:$B$1001,72),"")</f>
        <v/>
      </c>
      <c r="C73" s="33">
        <f>IF($B73="","",IFERROR(INDEX(智能流水!$C$2:$C$1001,MATCH($B73,智能流水!$B$2:$B$1001,0)),""))</f>
        <v/>
      </c>
      <c r="D73" s="34">
        <f>IF($B73="","",IFERROR(INDEX(智能流水!$D$2:$D$1001,MATCH($B73,智能流水!$B$2:$B$1001,0)),""))</f>
        <v/>
      </c>
      <c r="E73" s="34">
        <f>IF($B73="","",IFERROR(INDEX(智能流水!$E$2:$E$1001,MATCH($B73,智能流水!$B$2:$B$1001,0)),""))</f>
        <v/>
      </c>
      <c r="F73" s="34">
        <f>IF($B73="","",IFERROR(INDEX(智能流水!$F$2:$F$1001,MATCH($B73,智能流水!$B$2:$B$1001,0)),""))</f>
        <v/>
      </c>
      <c r="G73" s="32">
        <f>IF($B73="","",IFERROR(INDEX(智能流水!$G$2:$G$1001,MATCH($B73,智能流水!$B$2:$B$1001,0)),""))</f>
        <v/>
      </c>
      <c r="H73" s="32">
        <f>IF($B73="","",IFERROR(INDEX(智能流水!$H$2:$H$1001,MATCH($B73,智能流水!$B$2:$B$1001,0)),""))</f>
        <v/>
      </c>
      <c r="I73" s="32">
        <f>IF($B73="","",IFERROR(INDEX(智能流水!$I$2:$I$1001,MATCH($B73,智能流水!$B$2:$B$1001,0)),""))</f>
        <v/>
      </c>
      <c r="J73" s="32">
        <f>IF($B73="","",IFERROR(INDEX(智能流水!$J$2:$J$1001,MATCH($B73,智能流水!$B$2:$B$1001,0)),""))</f>
        <v/>
      </c>
      <c r="K73" s="35">
        <f>IF($B73="","",IFERROR(INDEX(智能流水!$K$2:$K$1001,MATCH($B73,智能流水!$B$2:$B$1001,0)),""))</f>
        <v/>
      </c>
      <c r="L73" s="32">
        <f>IF($B73="","",IFERROR(INDEX(智能流水!$L$2:$L$1001,MATCH($B73,智能流水!$B$2:$B$1001,0)),""))</f>
        <v/>
      </c>
      <c r="M73" s="32">
        <f>IF($B73="","",IFERROR(INDEX(智能流水!$M$2:$M$1001,MATCH($B73,智能流水!$B$2:$B$1001,0)),""))</f>
        <v/>
      </c>
      <c r="N73" s="32">
        <f>IF($B73="","",IFERROR(INDEX(智能流水!$N$2:$N$1001,MATCH($B73,智能流水!$B$2:$B$1001,0)),""))</f>
        <v/>
      </c>
      <c r="O73" s="32">
        <f>IF($B73="","",IFERROR(INDEX(智能流水!$O$2:$O$1001,MATCH($B73,智能流水!$B$2:$B$1001,0)),""))</f>
        <v/>
      </c>
    </row>
    <row r="74" ht="23" customHeight="1" s="21">
      <c r="A74" s="32">
        <f>IF($B74="","",73)</f>
        <v/>
      </c>
      <c r="B74" s="32">
        <f>IFERROR(LARGE(智能流水!$B$2:$B$1001,73),"")</f>
        <v/>
      </c>
      <c r="C74" s="33">
        <f>IF($B74="","",IFERROR(INDEX(智能流水!$C$2:$C$1001,MATCH($B74,智能流水!$B$2:$B$1001,0)),""))</f>
        <v/>
      </c>
      <c r="D74" s="34">
        <f>IF($B74="","",IFERROR(INDEX(智能流水!$D$2:$D$1001,MATCH($B74,智能流水!$B$2:$B$1001,0)),""))</f>
        <v/>
      </c>
      <c r="E74" s="34">
        <f>IF($B74="","",IFERROR(INDEX(智能流水!$E$2:$E$1001,MATCH($B74,智能流水!$B$2:$B$1001,0)),""))</f>
        <v/>
      </c>
      <c r="F74" s="34">
        <f>IF($B74="","",IFERROR(INDEX(智能流水!$F$2:$F$1001,MATCH($B74,智能流水!$B$2:$B$1001,0)),""))</f>
        <v/>
      </c>
      <c r="G74" s="32">
        <f>IF($B74="","",IFERROR(INDEX(智能流水!$G$2:$G$1001,MATCH($B74,智能流水!$B$2:$B$1001,0)),""))</f>
        <v/>
      </c>
      <c r="H74" s="32">
        <f>IF($B74="","",IFERROR(INDEX(智能流水!$H$2:$H$1001,MATCH($B74,智能流水!$B$2:$B$1001,0)),""))</f>
        <v/>
      </c>
      <c r="I74" s="32">
        <f>IF($B74="","",IFERROR(INDEX(智能流水!$I$2:$I$1001,MATCH($B74,智能流水!$B$2:$B$1001,0)),""))</f>
        <v/>
      </c>
      <c r="J74" s="32">
        <f>IF($B74="","",IFERROR(INDEX(智能流水!$J$2:$J$1001,MATCH($B74,智能流水!$B$2:$B$1001,0)),""))</f>
        <v/>
      </c>
      <c r="K74" s="35">
        <f>IF($B74="","",IFERROR(INDEX(智能流水!$K$2:$K$1001,MATCH($B74,智能流水!$B$2:$B$1001,0)),""))</f>
        <v/>
      </c>
      <c r="L74" s="32">
        <f>IF($B74="","",IFERROR(INDEX(智能流水!$L$2:$L$1001,MATCH($B74,智能流水!$B$2:$B$1001,0)),""))</f>
        <v/>
      </c>
      <c r="M74" s="32">
        <f>IF($B74="","",IFERROR(INDEX(智能流水!$M$2:$M$1001,MATCH($B74,智能流水!$B$2:$B$1001,0)),""))</f>
        <v/>
      </c>
      <c r="N74" s="32">
        <f>IF($B74="","",IFERROR(INDEX(智能流水!$N$2:$N$1001,MATCH($B74,智能流水!$B$2:$B$1001,0)),""))</f>
        <v/>
      </c>
      <c r="O74" s="32">
        <f>IF($B74="","",IFERROR(INDEX(智能流水!$O$2:$O$1001,MATCH($B74,智能流水!$B$2:$B$1001,0)),""))</f>
        <v/>
      </c>
    </row>
    <row r="75" ht="23" customHeight="1" s="21">
      <c r="A75" s="32">
        <f>IF($B75="","",74)</f>
        <v/>
      </c>
      <c r="B75" s="32">
        <f>IFERROR(LARGE(智能流水!$B$2:$B$1001,74),"")</f>
        <v/>
      </c>
      <c r="C75" s="33">
        <f>IF($B75="","",IFERROR(INDEX(智能流水!$C$2:$C$1001,MATCH($B75,智能流水!$B$2:$B$1001,0)),""))</f>
        <v/>
      </c>
      <c r="D75" s="34">
        <f>IF($B75="","",IFERROR(INDEX(智能流水!$D$2:$D$1001,MATCH($B75,智能流水!$B$2:$B$1001,0)),""))</f>
        <v/>
      </c>
      <c r="E75" s="34">
        <f>IF($B75="","",IFERROR(INDEX(智能流水!$E$2:$E$1001,MATCH($B75,智能流水!$B$2:$B$1001,0)),""))</f>
        <v/>
      </c>
      <c r="F75" s="34">
        <f>IF($B75="","",IFERROR(INDEX(智能流水!$F$2:$F$1001,MATCH($B75,智能流水!$B$2:$B$1001,0)),""))</f>
        <v/>
      </c>
      <c r="G75" s="32">
        <f>IF($B75="","",IFERROR(INDEX(智能流水!$G$2:$G$1001,MATCH($B75,智能流水!$B$2:$B$1001,0)),""))</f>
        <v/>
      </c>
      <c r="H75" s="32">
        <f>IF($B75="","",IFERROR(INDEX(智能流水!$H$2:$H$1001,MATCH($B75,智能流水!$B$2:$B$1001,0)),""))</f>
        <v/>
      </c>
      <c r="I75" s="32">
        <f>IF($B75="","",IFERROR(INDEX(智能流水!$I$2:$I$1001,MATCH($B75,智能流水!$B$2:$B$1001,0)),""))</f>
        <v/>
      </c>
      <c r="J75" s="32">
        <f>IF($B75="","",IFERROR(INDEX(智能流水!$J$2:$J$1001,MATCH($B75,智能流水!$B$2:$B$1001,0)),""))</f>
        <v/>
      </c>
      <c r="K75" s="35">
        <f>IF($B75="","",IFERROR(INDEX(智能流水!$K$2:$K$1001,MATCH($B75,智能流水!$B$2:$B$1001,0)),""))</f>
        <v/>
      </c>
      <c r="L75" s="32">
        <f>IF($B75="","",IFERROR(INDEX(智能流水!$L$2:$L$1001,MATCH($B75,智能流水!$B$2:$B$1001,0)),""))</f>
        <v/>
      </c>
      <c r="M75" s="32">
        <f>IF($B75="","",IFERROR(INDEX(智能流水!$M$2:$M$1001,MATCH($B75,智能流水!$B$2:$B$1001,0)),""))</f>
        <v/>
      </c>
      <c r="N75" s="32">
        <f>IF($B75="","",IFERROR(INDEX(智能流水!$N$2:$N$1001,MATCH($B75,智能流水!$B$2:$B$1001,0)),""))</f>
        <v/>
      </c>
      <c r="O75" s="32">
        <f>IF($B75="","",IFERROR(INDEX(智能流水!$O$2:$O$1001,MATCH($B75,智能流水!$B$2:$B$1001,0)),""))</f>
        <v/>
      </c>
    </row>
    <row r="76" ht="23" customHeight="1" s="21">
      <c r="A76" s="32">
        <f>IF($B76="","",75)</f>
        <v/>
      </c>
      <c r="B76" s="32">
        <f>IFERROR(LARGE(智能流水!$B$2:$B$1001,75),"")</f>
        <v/>
      </c>
      <c r="C76" s="33">
        <f>IF($B76="","",IFERROR(INDEX(智能流水!$C$2:$C$1001,MATCH($B76,智能流水!$B$2:$B$1001,0)),""))</f>
        <v/>
      </c>
      <c r="D76" s="34">
        <f>IF($B76="","",IFERROR(INDEX(智能流水!$D$2:$D$1001,MATCH($B76,智能流水!$B$2:$B$1001,0)),""))</f>
        <v/>
      </c>
      <c r="E76" s="34">
        <f>IF($B76="","",IFERROR(INDEX(智能流水!$E$2:$E$1001,MATCH($B76,智能流水!$B$2:$B$1001,0)),""))</f>
        <v/>
      </c>
      <c r="F76" s="34">
        <f>IF($B76="","",IFERROR(INDEX(智能流水!$F$2:$F$1001,MATCH($B76,智能流水!$B$2:$B$1001,0)),""))</f>
        <v/>
      </c>
      <c r="G76" s="32">
        <f>IF($B76="","",IFERROR(INDEX(智能流水!$G$2:$G$1001,MATCH($B76,智能流水!$B$2:$B$1001,0)),""))</f>
        <v/>
      </c>
      <c r="H76" s="32">
        <f>IF($B76="","",IFERROR(INDEX(智能流水!$H$2:$H$1001,MATCH($B76,智能流水!$B$2:$B$1001,0)),""))</f>
        <v/>
      </c>
      <c r="I76" s="32">
        <f>IF($B76="","",IFERROR(INDEX(智能流水!$I$2:$I$1001,MATCH($B76,智能流水!$B$2:$B$1001,0)),""))</f>
        <v/>
      </c>
      <c r="J76" s="32">
        <f>IF($B76="","",IFERROR(INDEX(智能流水!$J$2:$J$1001,MATCH($B76,智能流水!$B$2:$B$1001,0)),""))</f>
        <v/>
      </c>
      <c r="K76" s="35">
        <f>IF($B76="","",IFERROR(INDEX(智能流水!$K$2:$K$1001,MATCH($B76,智能流水!$B$2:$B$1001,0)),""))</f>
        <v/>
      </c>
      <c r="L76" s="32">
        <f>IF($B76="","",IFERROR(INDEX(智能流水!$L$2:$L$1001,MATCH($B76,智能流水!$B$2:$B$1001,0)),""))</f>
        <v/>
      </c>
      <c r="M76" s="32">
        <f>IF($B76="","",IFERROR(INDEX(智能流水!$M$2:$M$1001,MATCH($B76,智能流水!$B$2:$B$1001,0)),""))</f>
        <v/>
      </c>
      <c r="N76" s="32">
        <f>IF($B76="","",IFERROR(INDEX(智能流水!$N$2:$N$1001,MATCH($B76,智能流水!$B$2:$B$1001,0)),""))</f>
        <v/>
      </c>
      <c r="O76" s="32">
        <f>IF($B76="","",IFERROR(INDEX(智能流水!$O$2:$O$1001,MATCH($B76,智能流水!$B$2:$B$1001,0)),""))</f>
        <v/>
      </c>
    </row>
    <row r="77" ht="23" customHeight="1" s="21">
      <c r="A77" s="32">
        <f>IF($B77="","",76)</f>
        <v/>
      </c>
      <c r="B77" s="32">
        <f>IFERROR(LARGE(智能流水!$B$2:$B$1001,76),"")</f>
        <v/>
      </c>
      <c r="C77" s="33">
        <f>IF($B77="","",IFERROR(INDEX(智能流水!$C$2:$C$1001,MATCH($B77,智能流水!$B$2:$B$1001,0)),""))</f>
        <v/>
      </c>
      <c r="D77" s="34">
        <f>IF($B77="","",IFERROR(INDEX(智能流水!$D$2:$D$1001,MATCH($B77,智能流水!$B$2:$B$1001,0)),""))</f>
        <v/>
      </c>
      <c r="E77" s="34">
        <f>IF($B77="","",IFERROR(INDEX(智能流水!$E$2:$E$1001,MATCH($B77,智能流水!$B$2:$B$1001,0)),""))</f>
        <v/>
      </c>
      <c r="F77" s="34">
        <f>IF($B77="","",IFERROR(INDEX(智能流水!$F$2:$F$1001,MATCH($B77,智能流水!$B$2:$B$1001,0)),""))</f>
        <v/>
      </c>
      <c r="G77" s="32">
        <f>IF($B77="","",IFERROR(INDEX(智能流水!$G$2:$G$1001,MATCH($B77,智能流水!$B$2:$B$1001,0)),""))</f>
        <v/>
      </c>
      <c r="H77" s="32">
        <f>IF($B77="","",IFERROR(INDEX(智能流水!$H$2:$H$1001,MATCH($B77,智能流水!$B$2:$B$1001,0)),""))</f>
        <v/>
      </c>
      <c r="I77" s="32">
        <f>IF($B77="","",IFERROR(INDEX(智能流水!$I$2:$I$1001,MATCH($B77,智能流水!$B$2:$B$1001,0)),""))</f>
        <v/>
      </c>
      <c r="J77" s="32">
        <f>IF($B77="","",IFERROR(INDEX(智能流水!$J$2:$J$1001,MATCH($B77,智能流水!$B$2:$B$1001,0)),""))</f>
        <v/>
      </c>
      <c r="K77" s="35">
        <f>IF($B77="","",IFERROR(INDEX(智能流水!$K$2:$K$1001,MATCH($B77,智能流水!$B$2:$B$1001,0)),""))</f>
        <v/>
      </c>
      <c r="L77" s="32">
        <f>IF($B77="","",IFERROR(INDEX(智能流水!$L$2:$L$1001,MATCH($B77,智能流水!$B$2:$B$1001,0)),""))</f>
        <v/>
      </c>
      <c r="M77" s="32">
        <f>IF($B77="","",IFERROR(INDEX(智能流水!$M$2:$M$1001,MATCH($B77,智能流水!$B$2:$B$1001,0)),""))</f>
        <v/>
      </c>
      <c r="N77" s="32">
        <f>IF($B77="","",IFERROR(INDEX(智能流水!$N$2:$N$1001,MATCH($B77,智能流水!$B$2:$B$1001,0)),""))</f>
        <v/>
      </c>
      <c r="O77" s="32">
        <f>IF($B77="","",IFERROR(INDEX(智能流水!$O$2:$O$1001,MATCH($B77,智能流水!$B$2:$B$1001,0)),""))</f>
        <v/>
      </c>
    </row>
    <row r="78" ht="23" customHeight="1" s="21">
      <c r="A78" s="32">
        <f>IF($B78="","",77)</f>
        <v/>
      </c>
      <c r="B78" s="32">
        <f>IFERROR(LARGE(智能流水!$B$2:$B$1001,77),"")</f>
        <v/>
      </c>
      <c r="C78" s="33">
        <f>IF($B78="","",IFERROR(INDEX(智能流水!$C$2:$C$1001,MATCH($B78,智能流水!$B$2:$B$1001,0)),""))</f>
        <v/>
      </c>
      <c r="D78" s="34">
        <f>IF($B78="","",IFERROR(INDEX(智能流水!$D$2:$D$1001,MATCH($B78,智能流水!$B$2:$B$1001,0)),""))</f>
        <v/>
      </c>
      <c r="E78" s="34">
        <f>IF($B78="","",IFERROR(INDEX(智能流水!$E$2:$E$1001,MATCH($B78,智能流水!$B$2:$B$1001,0)),""))</f>
        <v/>
      </c>
      <c r="F78" s="34">
        <f>IF($B78="","",IFERROR(INDEX(智能流水!$F$2:$F$1001,MATCH($B78,智能流水!$B$2:$B$1001,0)),""))</f>
        <v/>
      </c>
      <c r="G78" s="32">
        <f>IF($B78="","",IFERROR(INDEX(智能流水!$G$2:$G$1001,MATCH($B78,智能流水!$B$2:$B$1001,0)),""))</f>
        <v/>
      </c>
      <c r="H78" s="32">
        <f>IF($B78="","",IFERROR(INDEX(智能流水!$H$2:$H$1001,MATCH($B78,智能流水!$B$2:$B$1001,0)),""))</f>
        <v/>
      </c>
      <c r="I78" s="32">
        <f>IF($B78="","",IFERROR(INDEX(智能流水!$I$2:$I$1001,MATCH($B78,智能流水!$B$2:$B$1001,0)),""))</f>
        <v/>
      </c>
      <c r="J78" s="32">
        <f>IF($B78="","",IFERROR(INDEX(智能流水!$J$2:$J$1001,MATCH($B78,智能流水!$B$2:$B$1001,0)),""))</f>
        <v/>
      </c>
      <c r="K78" s="35">
        <f>IF($B78="","",IFERROR(INDEX(智能流水!$K$2:$K$1001,MATCH($B78,智能流水!$B$2:$B$1001,0)),""))</f>
        <v/>
      </c>
      <c r="L78" s="32">
        <f>IF($B78="","",IFERROR(INDEX(智能流水!$L$2:$L$1001,MATCH($B78,智能流水!$B$2:$B$1001,0)),""))</f>
        <v/>
      </c>
      <c r="M78" s="32">
        <f>IF($B78="","",IFERROR(INDEX(智能流水!$M$2:$M$1001,MATCH($B78,智能流水!$B$2:$B$1001,0)),""))</f>
        <v/>
      </c>
      <c r="N78" s="32">
        <f>IF($B78="","",IFERROR(INDEX(智能流水!$N$2:$N$1001,MATCH($B78,智能流水!$B$2:$B$1001,0)),""))</f>
        <v/>
      </c>
      <c r="O78" s="32">
        <f>IF($B78="","",IFERROR(INDEX(智能流水!$O$2:$O$1001,MATCH($B78,智能流水!$B$2:$B$1001,0)),""))</f>
        <v/>
      </c>
    </row>
    <row r="79" ht="23" customHeight="1" s="21">
      <c r="A79" s="32">
        <f>IF($B79="","",78)</f>
        <v/>
      </c>
      <c r="B79" s="32">
        <f>IFERROR(LARGE(智能流水!$B$2:$B$1001,78),"")</f>
        <v/>
      </c>
      <c r="C79" s="33">
        <f>IF($B79="","",IFERROR(INDEX(智能流水!$C$2:$C$1001,MATCH($B79,智能流水!$B$2:$B$1001,0)),""))</f>
        <v/>
      </c>
      <c r="D79" s="34">
        <f>IF($B79="","",IFERROR(INDEX(智能流水!$D$2:$D$1001,MATCH($B79,智能流水!$B$2:$B$1001,0)),""))</f>
        <v/>
      </c>
      <c r="E79" s="34">
        <f>IF($B79="","",IFERROR(INDEX(智能流水!$E$2:$E$1001,MATCH($B79,智能流水!$B$2:$B$1001,0)),""))</f>
        <v/>
      </c>
      <c r="F79" s="34">
        <f>IF($B79="","",IFERROR(INDEX(智能流水!$F$2:$F$1001,MATCH($B79,智能流水!$B$2:$B$1001,0)),""))</f>
        <v/>
      </c>
      <c r="G79" s="32">
        <f>IF($B79="","",IFERROR(INDEX(智能流水!$G$2:$G$1001,MATCH($B79,智能流水!$B$2:$B$1001,0)),""))</f>
        <v/>
      </c>
      <c r="H79" s="32">
        <f>IF($B79="","",IFERROR(INDEX(智能流水!$H$2:$H$1001,MATCH($B79,智能流水!$B$2:$B$1001,0)),""))</f>
        <v/>
      </c>
      <c r="I79" s="32">
        <f>IF($B79="","",IFERROR(INDEX(智能流水!$I$2:$I$1001,MATCH($B79,智能流水!$B$2:$B$1001,0)),""))</f>
        <v/>
      </c>
      <c r="J79" s="32">
        <f>IF($B79="","",IFERROR(INDEX(智能流水!$J$2:$J$1001,MATCH($B79,智能流水!$B$2:$B$1001,0)),""))</f>
        <v/>
      </c>
      <c r="K79" s="35">
        <f>IF($B79="","",IFERROR(INDEX(智能流水!$K$2:$K$1001,MATCH($B79,智能流水!$B$2:$B$1001,0)),""))</f>
        <v/>
      </c>
      <c r="L79" s="32">
        <f>IF($B79="","",IFERROR(INDEX(智能流水!$L$2:$L$1001,MATCH($B79,智能流水!$B$2:$B$1001,0)),""))</f>
        <v/>
      </c>
      <c r="M79" s="32">
        <f>IF($B79="","",IFERROR(INDEX(智能流水!$M$2:$M$1001,MATCH($B79,智能流水!$B$2:$B$1001,0)),""))</f>
        <v/>
      </c>
      <c r="N79" s="32">
        <f>IF($B79="","",IFERROR(INDEX(智能流水!$N$2:$N$1001,MATCH($B79,智能流水!$B$2:$B$1001,0)),""))</f>
        <v/>
      </c>
      <c r="O79" s="32">
        <f>IF($B79="","",IFERROR(INDEX(智能流水!$O$2:$O$1001,MATCH($B79,智能流水!$B$2:$B$1001,0)),""))</f>
        <v/>
      </c>
    </row>
    <row r="80" ht="23" customHeight="1" s="21">
      <c r="A80" s="32">
        <f>IF($B80="","",79)</f>
        <v/>
      </c>
      <c r="B80" s="32">
        <f>IFERROR(LARGE(智能流水!$B$2:$B$1001,79),"")</f>
        <v/>
      </c>
      <c r="C80" s="33">
        <f>IF($B80="","",IFERROR(INDEX(智能流水!$C$2:$C$1001,MATCH($B80,智能流水!$B$2:$B$1001,0)),""))</f>
        <v/>
      </c>
      <c r="D80" s="34">
        <f>IF($B80="","",IFERROR(INDEX(智能流水!$D$2:$D$1001,MATCH($B80,智能流水!$B$2:$B$1001,0)),""))</f>
        <v/>
      </c>
      <c r="E80" s="34">
        <f>IF($B80="","",IFERROR(INDEX(智能流水!$E$2:$E$1001,MATCH($B80,智能流水!$B$2:$B$1001,0)),""))</f>
        <v/>
      </c>
      <c r="F80" s="34">
        <f>IF($B80="","",IFERROR(INDEX(智能流水!$F$2:$F$1001,MATCH($B80,智能流水!$B$2:$B$1001,0)),""))</f>
        <v/>
      </c>
      <c r="G80" s="32">
        <f>IF($B80="","",IFERROR(INDEX(智能流水!$G$2:$G$1001,MATCH($B80,智能流水!$B$2:$B$1001,0)),""))</f>
        <v/>
      </c>
      <c r="H80" s="32">
        <f>IF($B80="","",IFERROR(INDEX(智能流水!$H$2:$H$1001,MATCH($B80,智能流水!$B$2:$B$1001,0)),""))</f>
        <v/>
      </c>
      <c r="I80" s="32">
        <f>IF($B80="","",IFERROR(INDEX(智能流水!$I$2:$I$1001,MATCH($B80,智能流水!$B$2:$B$1001,0)),""))</f>
        <v/>
      </c>
      <c r="J80" s="32">
        <f>IF($B80="","",IFERROR(INDEX(智能流水!$J$2:$J$1001,MATCH($B80,智能流水!$B$2:$B$1001,0)),""))</f>
        <v/>
      </c>
      <c r="K80" s="35">
        <f>IF($B80="","",IFERROR(INDEX(智能流水!$K$2:$K$1001,MATCH($B80,智能流水!$B$2:$B$1001,0)),""))</f>
        <v/>
      </c>
      <c r="L80" s="32">
        <f>IF($B80="","",IFERROR(INDEX(智能流水!$L$2:$L$1001,MATCH($B80,智能流水!$B$2:$B$1001,0)),""))</f>
        <v/>
      </c>
      <c r="M80" s="32">
        <f>IF($B80="","",IFERROR(INDEX(智能流水!$M$2:$M$1001,MATCH($B80,智能流水!$B$2:$B$1001,0)),""))</f>
        <v/>
      </c>
      <c r="N80" s="32">
        <f>IF($B80="","",IFERROR(INDEX(智能流水!$N$2:$N$1001,MATCH($B80,智能流水!$B$2:$B$1001,0)),""))</f>
        <v/>
      </c>
      <c r="O80" s="32">
        <f>IF($B80="","",IFERROR(INDEX(智能流水!$O$2:$O$1001,MATCH($B80,智能流水!$B$2:$B$1001,0)),""))</f>
        <v/>
      </c>
    </row>
    <row r="81" ht="23" customHeight="1" s="21">
      <c r="A81" s="32">
        <f>IF($B81="","",80)</f>
        <v/>
      </c>
      <c r="B81" s="32">
        <f>IFERROR(LARGE(智能流水!$B$2:$B$1001,80),"")</f>
        <v/>
      </c>
      <c r="C81" s="33">
        <f>IF($B81="","",IFERROR(INDEX(智能流水!$C$2:$C$1001,MATCH($B81,智能流水!$B$2:$B$1001,0)),""))</f>
        <v/>
      </c>
      <c r="D81" s="34">
        <f>IF($B81="","",IFERROR(INDEX(智能流水!$D$2:$D$1001,MATCH($B81,智能流水!$B$2:$B$1001,0)),""))</f>
        <v/>
      </c>
      <c r="E81" s="34">
        <f>IF($B81="","",IFERROR(INDEX(智能流水!$E$2:$E$1001,MATCH($B81,智能流水!$B$2:$B$1001,0)),""))</f>
        <v/>
      </c>
      <c r="F81" s="34">
        <f>IF($B81="","",IFERROR(INDEX(智能流水!$F$2:$F$1001,MATCH($B81,智能流水!$B$2:$B$1001,0)),""))</f>
        <v/>
      </c>
      <c r="G81" s="32">
        <f>IF($B81="","",IFERROR(INDEX(智能流水!$G$2:$G$1001,MATCH($B81,智能流水!$B$2:$B$1001,0)),""))</f>
        <v/>
      </c>
      <c r="H81" s="32">
        <f>IF($B81="","",IFERROR(INDEX(智能流水!$H$2:$H$1001,MATCH($B81,智能流水!$B$2:$B$1001,0)),""))</f>
        <v/>
      </c>
      <c r="I81" s="32">
        <f>IF($B81="","",IFERROR(INDEX(智能流水!$I$2:$I$1001,MATCH($B81,智能流水!$B$2:$B$1001,0)),""))</f>
        <v/>
      </c>
      <c r="J81" s="32">
        <f>IF($B81="","",IFERROR(INDEX(智能流水!$J$2:$J$1001,MATCH($B81,智能流水!$B$2:$B$1001,0)),""))</f>
        <v/>
      </c>
      <c r="K81" s="35">
        <f>IF($B81="","",IFERROR(INDEX(智能流水!$K$2:$K$1001,MATCH($B81,智能流水!$B$2:$B$1001,0)),""))</f>
        <v/>
      </c>
      <c r="L81" s="32">
        <f>IF($B81="","",IFERROR(INDEX(智能流水!$L$2:$L$1001,MATCH($B81,智能流水!$B$2:$B$1001,0)),""))</f>
        <v/>
      </c>
      <c r="M81" s="32">
        <f>IF($B81="","",IFERROR(INDEX(智能流水!$M$2:$M$1001,MATCH($B81,智能流水!$B$2:$B$1001,0)),""))</f>
        <v/>
      </c>
      <c r="N81" s="32">
        <f>IF($B81="","",IFERROR(INDEX(智能流水!$N$2:$N$1001,MATCH($B81,智能流水!$B$2:$B$1001,0)),""))</f>
        <v/>
      </c>
      <c r="O81" s="32">
        <f>IF($B81="","",IFERROR(INDEX(智能流水!$O$2:$O$1001,MATCH($B81,智能流水!$B$2:$B$1001,0)),""))</f>
        <v/>
      </c>
    </row>
    <row r="82" ht="23" customHeight="1" s="21">
      <c r="A82" s="32">
        <f>IF($B82="","",81)</f>
        <v/>
      </c>
      <c r="B82" s="32">
        <f>IFERROR(LARGE(智能流水!$B$2:$B$1001,81),"")</f>
        <v/>
      </c>
      <c r="C82" s="33">
        <f>IF($B82="","",IFERROR(INDEX(智能流水!$C$2:$C$1001,MATCH($B82,智能流水!$B$2:$B$1001,0)),""))</f>
        <v/>
      </c>
      <c r="D82" s="34">
        <f>IF($B82="","",IFERROR(INDEX(智能流水!$D$2:$D$1001,MATCH($B82,智能流水!$B$2:$B$1001,0)),""))</f>
        <v/>
      </c>
      <c r="E82" s="34">
        <f>IF($B82="","",IFERROR(INDEX(智能流水!$E$2:$E$1001,MATCH($B82,智能流水!$B$2:$B$1001,0)),""))</f>
        <v/>
      </c>
      <c r="F82" s="34">
        <f>IF($B82="","",IFERROR(INDEX(智能流水!$F$2:$F$1001,MATCH($B82,智能流水!$B$2:$B$1001,0)),""))</f>
        <v/>
      </c>
      <c r="G82" s="32">
        <f>IF($B82="","",IFERROR(INDEX(智能流水!$G$2:$G$1001,MATCH($B82,智能流水!$B$2:$B$1001,0)),""))</f>
        <v/>
      </c>
      <c r="H82" s="32">
        <f>IF($B82="","",IFERROR(INDEX(智能流水!$H$2:$H$1001,MATCH($B82,智能流水!$B$2:$B$1001,0)),""))</f>
        <v/>
      </c>
      <c r="I82" s="32">
        <f>IF($B82="","",IFERROR(INDEX(智能流水!$I$2:$I$1001,MATCH($B82,智能流水!$B$2:$B$1001,0)),""))</f>
        <v/>
      </c>
      <c r="J82" s="32">
        <f>IF($B82="","",IFERROR(INDEX(智能流水!$J$2:$J$1001,MATCH($B82,智能流水!$B$2:$B$1001,0)),""))</f>
        <v/>
      </c>
      <c r="K82" s="35">
        <f>IF($B82="","",IFERROR(INDEX(智能流水!$K$2:$K$1001,MATCH($B82,智能流水!$B$2:$B$1001,0)),""))</f>
        <v/>
      </c>
      <c r="L82" s="32">
        <f>IF($B82="","",IFERROR(INDEX(智能流水!$L$2:$L$1001,MATCH($B82,智能流水!$B$2:$B$1001,0)),""))</f>
        <v/>
      </c>
      <c r="M82" s="32">
        <f>IF($B82="","",IFERROR(INDEX(智能流水!$M$2:$M$1001,MATCH($B82,智能流水!$B$2:$B$1001,0)),""))</f>
        <v/>
      </c>
      <c r="N82" s="32">
        <f>IF($B82="","",IFERROR(INDEX(智能流水!$N$2:$N$1001,MATCH($B82,智能流水!$B$2:$B$1001,0)),""))</f>
        <v/>
      </c>
      <c r="O82" s="32">
        <f>IF($B82="","",IFERROR(INDEX(智能流水!$O$2:$O$1001,MATCH($B82,智能流水!$B$2:$B$1001,0)),""))</f>
        <v/>
      </c>
    </row>
    <row r="83" ht="23" customHeight="1" s="21">
      <c r="A83" s="32">
        <f>IF($B83="","",82)</f>
        <v/>
      </c>
      <c r="B83" s="32">
        <f>IFERROR(LARGE(智能流水!$B$2:$B$1001,82),"")</f>
        <v/>
      </c>
      <c r="C83" s="33">
        <f>IF($B83="","",IFERROR(INDEX(智能流水!$C$2:$C$1001,MATCH($B83,智能流水!$B$2:$B$1001,0)),""))</f>
        <v/>
      </c>
      <c r="D83" s="34">
        <f>IF($B83="","",IFERROR(INDEX(智能流水!$D$2:$D$1001,MATCH($B83,智能流水!$B$2:$B$1001,0)),""))</f>
        <v/>
      </c>
      <c r="E83" s="34">
        <f>IF($B83="","",IFERROR(INDEX(智能流水!$E$2:$E$1001,MATCH($B83,智能流水!$B$2:$B$1001,0)),""))</f>
        <v/>
      </c>
      <c r="F83" s="34">
        <f>IF($B83="","",IFERROR(INDEX(智能流水!$F$2:$F$1001,MATCH($B83,智能流水!$B$2:$B$1001,0)),""))</f>
        <v/>
      </c>
      <c r="G83" s="32">
        <f>IF($B83="","",IFERROR(INDEX(智能流水!$G$2:$G$1001,MATCH($B83,智能流水!$B$2:$B$1001,0)),""))</f>
        <v/>
      </c>
      <c r="H83" s="32">
        <f>IF($B83="","",IFERROR(INDEX(智能流水!$H$2:$H$1001,MATCH($B83,智能流水!$B$2:$B$1001,0)),""))</f>
        <v/>
      </c>
      <c r="I83" s="32">
        <f>IF($B83="","",IFERROR(INDEX(智能流水!$I$2:$I$1001,MATCH($B83,智能流水!$B$2:$B$1001,0)),""))</f>
        <v/>
      </c>
      <c r="J83" s="32">
        <f>IF($B83="","",IFERROR(INDEX(智能流水!$J$2:$J$1001,MATCH($B83,智能流水!$B$2:$B$1001,0)),""))</f>
        <v/>
      </c>
      <c r="K83" s="35">
        <f>IF($B83="","",IFERROR(INDEX(智能流水!$K$2:$K$1001,MATCH($B83,智能流水!$B$2:$B$1001,0)),""))</f>
        <v/>
      </c>
      <c r="L83" s="32">
        <f>IF($B83="","",IFERROR(INDEX(智能流水!$L$2:$L$1001,MATCH($B83,智能流水!$B$2:$B$1001,0)),""))</f>
        <v/>
      </c>
      <c r="M83" s="32">
        <f>IF($B83="","",IFERROR(INDEX(智能流水!$M$2:$M$1001,MATCH($B83,智能流水!$B$2:$B$1001,0)),""))</f>
        <v/>
      </c>
      <c r="N83" s="32">
        <f>IF($B83="","",IFERROR(INDEX(智能流水!$N$2:$N$1001,MATCH($B83,智能流水!$B$2:$B$1001,0)),""))</f>
        <v/>
      </c>
      <c r="O83" s="32">
        <f>IF($B83="","",IFERROR(INDEX(智能流水!$O$2:$O$1001,MATCH($B83,智能流水!$B$2:$B$1001,0)),""))</f>
        <v/>
      </c>
    </row>
    <row r="84" ht="23" customHeight="1" s="21">
      <c r="A84" s="32">
        <f>IF($B84="","",83)</f>
        <v/>
      </c>
      <c r="B84" s="32">
        <f>IFERROR(LARGE(智能流水!$B$2:$B$1001,83),"")</f>
        <v/>
      </c>
      <c r="C84" s="33">
        <f>IF($B84="","",IFERROR(INDEX(智能流水!$C$2:$C$1001,MATCH($B84,智能流水!$B$2:$B$1001,0)),""))</f>
        <v/>
      </c>
      <c r="D84" s="34">
        <f>IF($B84="","",IFERROR(INDEX(智能流水!$D$2:$D$1001,MATCH($B84,智能流水!$B$2:$B$1001,0)),""))</f>
        <v/>
      </c>
      <c r="E84" s="34">
        <f>IF($B84="","",IFERROR(INDEX(智能流水!$E$2:$E$1001,MATCH($B84,智能流水!$B$2:$B$1001,0)),""))</f>
        <v/>
      </c>
      <c r="F84" s="34">
        <f>IF($B84="","",IFERROR(INDEX(智能流水!$F$2:$F$1001,MATCH($B84,智能流水!$B$2:$B$1001,0)),""))</f>
        <v/>
      </c>
      <c r="G84" s="32">
        <f>IF($B84="","",IFERROR(INDEX(智能流水!$G$2:$G$1001,MATCH($B84,智能流水!$B$2:$B$1001,0)),""))</f>
        <v/>
      </c>
      <c r="H84" s="32">
        <f>IF($B84="","",IFERROR(INDEX(智能流水!$H$2:$H$1001,MATCH($B84,智能流水!$B$2:$B$1001,0)),""))</f>
        <v/>
      </c>
      <c r="I84" s="32">
        <f>IF($B84="","",IFERROR(INDEX(智能流水!$I$2:$I$1001,MATCH($B84,智能流水!$B$2:$B$1001,0)),""))</f>
        <v/>
      </c>
      <c r="J84" s="32">
        <f>IF($B84="","",IFERROR(INDEX(智能流水!$J$2:$J$1001,MATCH($B84,智能流水!$B$2:$B$1001,0)),""))</f>
        <v/>
      </c>
      <c r="K84" s="35">
        <f>IF($B84="","",IFERROR(INDEX(智能流水!$K$2:$K$1001,MATCH($B84,智能流水!$B$2:$B$1001,0)),""))</f>
        <v/>
      </c>
      <c r="L84" s="32">
        <f>IF($B84="","",IFERROR(INDEX(智能流水!$L$2:$L$1001,MATCH($B84,智能流水!$B$2:$B$1001,0)),""))</f>
        <v/>
      </c>
      <c r="M84" s="32">
        <f>IF($B84="","",IFERROR(INDEX(智能流水!$M$2:$M$1001,MATCH($B84,智能流水!$B$2:$B$1001,0)),""))</f>
        <v/>
      </c>
      <c r="N84" s="32">
        <f>IF($B84="","",IFERROR(INDEX(智能流水!$N$2:$N$1001,MATCH($B84,智能流水!$B$2:$B$1001,0)),""))</f>
        <v/>
      </c>
      <c r="O84" s="32">
        <f>IF($B84="","",IFERROR(INDEX(智能流水!$O$2:$O$1001,MATCH($B84,智能流水!$B$2:$B$1001,0)),""))</f>
        <v/>
      </c>
    </row>
    <row r="85" ht="23" customHeight="1" s="21">
      <c r="A85" s="32">
        <f>IF($B85="","",84)</f>
        <v/>
      </c>
      <c r="B85" s="32">
        <f>IFERROR(LARGE(智能流水!$B$2:$B$1001,84),"")</f>
        <v/>
      </c>
      <c r="C85" s="33">
        <f>IF($B85="","",IFERROR(INDEX(智能流水!$C$2:$C$1001,MATCH($B85,智能流水!$B$2:$B$1001,0)),""))</f>
        <v/>
      </c>
      <c r="D85" s="34">
        <f>IF($B85="","",IFERROR(INDEX(智能流水!$D$2:$D$1001,MATCH($B85,智能流水!$B$2:$B$1001,0)),""))</f>
        <v/>
      </c>
      <c r="E85" s="34">
        <f>IF($B85="","",IFERROR(INDEX(智能流水!$E$2:$E$1001,MATCH($B85,智能流水!$B$2:$B$1001,0)),""))</f>
        <v/>
      </c>
      <c r="F85" s="34">
        <f>IF($B85="","",IFERROR(INDEX(智能流水!$F$2:$F$1001,MATCH($B85,智能流水!$B$2:$B$1001,0)),""))</f>
        <v/>
      </c>
      <c r="G85" s="32">
        <f>IF($B85="","",IFERROR(INDEX(智能流水!$G$2:$G$1001,MATCH($B85,智能流水!$B$2:$B$1001,0)),""))</f>
        <v/>
      </c>
      <c r="H85" s="32">
        <f>IF($B85="","",IFERROR(INDEX(智能流水!$H$2:$H$1001,MATCH($B85,智能流水!$B$2:$B$1001,0)),""))</f>
        <v/>
      </c>
      <c r="I85" s="32">
        <f>IF($B85="","",IFERROR(INDEX(智能流水!$I$2:$I$1001,MATCH($B85,智能流水!$B$2:$B$1001,0)),""))</f>
        <v/>
      </c>
      <c r="J85" s="32">
        <f>IF($B85="","",IFERROR(INDEX(智能流水!$J$2:$J$1001,MATCH($B85,智能流水!$B$2:$B$1001,0)),""))</f>
        <v/>
      </c>
      <c r="K85" s="35">
        <f>IF($B85="","",IFERROR(INDEX(智能流水!$K$2:$K$1001,MATCH($B85,智能流水!$B$2:$B$1001,0)),""))</f>
        <v/>
      </c>
      <c r="L85" s="32">
        <f>IF($B85="","",IFERROR(INDEX(智能流水!$L$2:$L$1001,MATCH($B85,智能流水!$B$2:$B$1001,0)),""))</f>
        <v/>
      </c>
      <c r="M85" s="32">
        <f>IF($B85="","",IFERROR(INDEX(智能流水!$M$2:$M$1001,MATCH($B85,智能流水!$B$2:$B$1001,0)),""))</f>
        <v/>
      </c>
      <c r="N85" s="32">
        <f>IF($B85="","",IFERROR(INDEX(智能流水!$N$2:$N$1001,MATCH($B85,智能流水!$B$2:$B$1001,0)),""))</f>
        <v/>
      </c>
      <c r="O85" s="32">
        <f>IF($B85="","",IFERROR(INDEX(智能流水!$O$2:$O$1001,MATCH($B85,智能流水!$B$2:$B$1001,0)),""))</f>
        <v/>
      </c>
    </row>
    <row r="86" ht="23" customHeight="1" s="21">
      <c r="A86" s="32">
        <f>IF($B86="","",85)</f>
        <v/>
      </c>
      <c r="B86" s="32">
        <f>IFERROR(LARGE(智能流水!$B$2:$B$1001,85),"")</f>
        <v/>
      </c>
      <c r="C86" s="33">
        <f>IF($B86="","",IFERROR(INDEX(智能流水!$C$2:$C$1001,MATCH($B86,智能流水!$B$2:$B$1001,0)),""))</f>
        <v/>
      </c>
      <c r="D86" s="34">
        <f>IF($B86="","",IFERROR(INDEX(智能流水!$D$2:$D$1001,MATCH($B86,智能流水!$B$2:$B$1001,0)),""))</f>
        <v/>
      </c>
      <c r="E86" s="34">
        <f>IF($B86="","",IFERROR(INDEX(智能流水!$E$2:$E$1001,MATCH($B86,智能流水!$B$2:$B$1001,0)),""))</f>
        <v/>
      </c>
      <c r="F86" s="34">
        <f>IF($B86="","",IFERROR(INDEX(智能流水!$F$2:$F$1001,MATCH($B86,智能流水!$B$2:$B$1001,0)),""))</f>
        <v/>
      </c>
      <c r="G86" s="32">
        <f>IF($B86="","",IFERROR(INDEX(智能流水!$G$2:$G$1001,MATCH($B86,智能流水!$B$2:$B$1001,0)),""))</f>
        <v/>
      </c>
      <c r="H86" s="32">
        <f>IF($B86="","",IFERROR(INDEX(智能流水!$H$2:$H$1001,MATCH($B86,智能流水!$B$2:$B$1001,0)),""))</f>
        <v/>
      </c>
      <c r="I86" s="32">
        <f>IF($B86="","",IFERROR(INDEX(智能流水!$I$2:$I$1001,MATCH($B86,智能流水!$B$2:$B$1001,0)),""))</f>
        <v/>
      </c>
      <c r="J86" s="32">
        <f>IF($B86="","",IFERROR(INDEX(智能流水!$J$2:$J$1001,MATCH($B86,智能流水!$B$2:$B$1001,0)),""))</f>
        <v/>
      </c>
      <c r="K86" s="35">
        <f>IF($B86="","",IFERROR(INDEX(智能流水!$K$2:$K$1001,MATCH($B86,智能流水!$B$2:$B$1001,0)),""))</f>
        <v/>
      </c>
      <c r="L86" s="32">
        <f>IF($B86="","",IFERROR(INDEX(智能流水!$L$2:$L$1001,MATCH($B86,智能流水!$B$2:$B$1001,0)),""))</f>
        <v/>
      </c>
      <c r="M86" s="32">
        <f>IF($B86="","",IFERROR(INDEX(智能流水!$M$2:$M$1001,MATCH($B86,智能流水!$B$2:$B$1001,0)),""))</f>
        <v/>
      </c>
      <c r="N86" s="32">
        <f>IF($B86="","",IFERROR(INDEX(智能流水!$N$2:$N$1001,MATCH($B86,智能流水!$B$2:$B$1001,0)),""))</f>
        <v/>
      </c>
      <c r="O86" s="32">
        <f>IF($B86="","",IFERROR(INDEX(智能流水!$O$2:$O$1001,MATCH($B86,智能流水!$B$2:$B$1001,0)),""))</f>
        <v/>
      </c>
    </row>
    <row r="87" ht="23" customHeight="1" s="21">
      <c r="A87" s="32">
        <f>IF($B87="","",86)</f>
        <v/>
      </c>
      <c r="B87" s="32">
        <f>IFERROR(LARGE(智能流水!$B$2:$B$1001,86),"")</f>
        <v/>
      </c>
      <c r="C87" s="33">
        <f>IF($B87="","",IFERROR(INDEX(智能流水!$C$2:$C$1001,MATCH($B87,智能流水!$B$2:$B$1001,0)),""))</f>
        <v/>
      </c>
      <c r="D87" s="34">
        <f>IF($B87="","",IFERROR(INDEX(智能流水!$D$2:$D$1001,MATCH($B87,智能流水!$B$2:$B$1001,0)),""))</f>
        <v/>
      </c>
      <c r="E87" s="34">
        <f>IF($B87="","",IFERROR(INDEX(智能流水!$E$2:$E$1001,MATCH($B87,智能流水!$B$2:$B$1001,0)),""))</f>
        <v/>
      </c>
      <c r="F87" s="34">
        <f>IF($B87="","",IFERROR(INDEX(智能流水!$F$2:$F$1001,MATCH($B87,智能流水!$B$2:$B$1001,0)),""))</f>
        <v/>
      </c>
      <c r="G87" s="32">
        <f>IF($B87="","",IFERROR(INDEX(智能流水!$G$2:$G$1001,MATCH($B87,智能流水!$B$2:$B$1001,0)),""))</f>
        <v/>
      </c>
      <c r="H87" s="32">
        <f>IF($B87="","",IFERROR(INDEX(智能流水!$H$2:$H$1001,MATCH($B87,智能流水!$B$2:$B$1001,0)),""))</f>
        <v/>
      </c>
      <c r="I87" s="32">
        <f>IF($B87="","",IFERROR(INDEX(智能流水!$I$2:$I$1001,MATCH($B87,智能流水!$B$2:$B$1001,0)),""))</f>
        <v/>
      </c>
      <c r="J87" s="32">
        <f>IF($B87="","",IFERROR(INDEX(智能流水!$J$2:$J$1001,MATCH($B87,智能流水!$B$2:$B$1001,0)),""))</f>
        <v/>
      </c>
      <c r="K87" s="35">
        <f>IF($B87="","",IFERROR(INDEX(智能流水!$K$2:$K$1001,MATCH($B87,智能流水!$B$2:$B$1001,0)),""))</f>
        <v/>
      </c>
      <c r="L87" s="32">
        <f>IF($B87="","",IFERROR(INDEX(智能流水!$L$2:$L$1001,MATCH($B87,智能流水!$B$2:$B$1001,0)),""))</f>
        <v/>
      </c>
      <c r="M87" s="32">
        <f>IF($B87="","",IFERROR(INDEX(智能流水!$M$2:$M$1001,MATCH($B87,智能流水!$B$2:$B$1001,0)),""))</f>
        <v/>
      </c>
      <c r="N87" s="32">
        <f>IF($B87="","",IFERROR(INDEX(智能流水!$N$2:$N$1001,MATCH($B87,智能流水!$B$2:$B$1001,0)),""))</f>
        <v/>
      </c>
      <c r="O87" s="32">
        <f>IF($B87="","",IFERROR(INDEX(智能流水!$O$2:$O$1001,MATCH($B87,智能流水!$B$2:$B$1001,0)),""))</f>
        <v/>
      </c>
    </row>
    <row r="88" ht="23" customHeight="1" s="21">
      <c r="A88" s="32">
        <f>IF($B88="","",87)</f>
        <v/>
      </c>
      <c r="B88" s="32">
        <f>IFERROR(LARGE(智能流水!$B$2:$B$1001,87),"")</f>
        <v/>
      </c>
      <c r="C88" s="33">
        <f>IF($B88="","",IFERROR(INDEX(智能流水!$C$2:$C$1001,MATCH($B88,智能流水!$B$2:$B$1001,0)),""))</f>
        <v/>
      </c>
      <c r="D88" s="34">
        <f>IF($B88="","",IFERROR(INDEX(智能流水!$D$2:$D$1001,MATCH($B88,智能流水!$B$2:$B$1001,0)),""))</f>
        <v/>
      </c>
      <c r="E88" s="34">
        <f>IF($B88="","",IFERROR(INDEX(智能流水!$E$2:$E$1001,MATCH($B88,智能流水!$B$2:$B$1001,0)),""))</f>
        <v/>
      </c>
      <c r="F88" s="34">
        <f>IF($B88="","",IFERROR(INDEX(智能流水!$F$2:$F$1001,MATCH($B88,智能流水!$B$2:$B$1001,0)),""))</f>
        <v/>
      </c>
      <c r="G88" s="32">
        <f>IF($B88="","",IFERROR(INDEX(智能流水!$G$2:$G$1001,MATCH($B88,智能流水!$B$2:$B$1001,0)),""))</f>
        <v/>
      </c>
      <c r="H88" s="32">
        <f>IF($B88="","",IFERROR(INDEX(智能流水!$H$2:$H$1001,MATCH($B88,智能流水!$B$2:$B$1001,0)),""))</f>
        <v/>
      </c>
      <c r="I88" s="32">
        <f>IF($B88="","",IFERROR(INDEX(智能流水!$I$2:$I$1001,MATCH($B88,智能流水!$B$2:$B$1001,0)),""))</f>
        <v/>
      </c>
      <c r="J88" s="32">
        <f>IF($B88="","",IFERROR(INDEX(智能流水!$J$2:$J$1001,MATCH($B88,智能流水!$B$2:$B$1001,0)),""))</f>
        <v/>
      </c>
      <c r="K88" s="35">
        <f>IF($B88="","",IFERROR(INDEX(智能流水!$K$2:$K$1001,MATCH($B88,智能流水!$B$2:$B$1001,0)),""))</f>
        <v/>
      </c>
      <c r="L88" s="32">
        <f>IF($B88="","",IFERROR(INDEX(智能流水!$L$2:$L$1001,MATCH($B88,智能流水!$B$2:$B$1001,0)),""))</f>
        <v/>
      </c>
      <c r="M88" s="32">
        <f>IF($B88="","",IFERROR(INDEX(智能流水!$M$2:$M$1001,MATCH($B88,智能流水!$B$2:$B$1001,0)),""))</f>
        <v/>
      </c>
      <c r="N88" s="32">
        <f>IF($B88="","",IFERROR(INDEX(智能流水!$N$2:$N$1001,MATCH($B88,智能流水!$B$2:$B$1001,0)),""))</f>
        <v/>
      </c>
      <c r="O88" s="32">
        <f>IF($B88="","",IFERROR(INDEX(智能流水!$O$2:$O$1001,MATCH($B88,智能流水!$B$2:$B$1001,0)),""))</f>
        <v/>
      </c>
    </row>
    <row r="89" ht="23" customHeight="1" s="21">
      <c r="A89" s="32">
        <f>IF($B89="","",88)</f>
        <v/>
      </c>
      <c r="B89" s="32">
        <f>IFERROR(LARGE(智能流水!$B$2:$B$1001,88),"")</f>
        <v/>
      </c>
      <c r="C89" s="33">
        <f>IF($B89="","",IFERROR(INDEX(智能流水!$C$2:$C$1001,MATCH($B89,智能流水!$B$2:$B$1001,0)),""))</f>
        <v/>
      </c>
      <c r="D89" s="34">
        <f>IF($B89="","",IFERROR(INDEX(智能流水!$D$2:$D$1001,MATCH($B89,智能流水!$B$2:$B$1001,0)),""))</f>
        <v/>
      </c>
      <c r="E89" s="34">
        <f>IF($B89="","",IFERROR(INDEX(智能流水!$E$2:$E$1001,MATCH($B89,智能流水!$B$2:$B$1001,0)),""))</f>
        <v/>
      </c>
      <c r="F89" s="34">
        <f>IF($B89="","",IFERROR(INDEX(智能流水!$F$2:$F$1001,MATCH($B89,智能流水!$B$2:$B$1001,0)),""))</f>
        <v/>
      </c>
      <c r="G89" s="32">
        <f>IF($B89="","",IFERROR(INDEX(智能流水!$G$2:$G$1001,MATCH($B89,智能流水!$B$2:$B$1001,0)),""))</f>
        <v/>
      </c>
      <c r="H89" s="32">
        <f>IF($B89="","",IFERROR(INDEX(智能流水!$H$2:$H$1001,MATCH($B89,智能流水!$B$2:$B$1001,0)),""))</f>
        <v/>
      </c>
      <c r="I89" s="32">
        <f>IF($B89="","",IFERROR(INDEX(智能流水!$I$2:$I$1001,MATCH($B89,智能流水!$B$2:$B$1001,0)),""))</f>
        <v/>
      </c>
      <c r="J89" s="32">
        <f>IF($B89="","",IFERROR(INDEX(智能流水!$J$2:$J$1001,MATCH($B89,智能流水!$B$2:$B$1001,0)),""))</f>
        <v/>
      </c>
      <c r="K89" s="35">
        <f>IF($B89="","",IFERROR(INDEX(智能流水!$K$2:$K$1001,MATCH($B89,智能流水!$B$2:$B$1001,0)),""))</f>
        <v/>
      </c>
      <c r="L89" s="32">
        <f>IF($B89="","",IFERROR(INDEX(智能流水!$L$2:$L$1001,MATCH($B89,智能流水!$B$2:$B$1001,0)),""))</f>
        <v/>
      </c>
      <c r="M89" s="32">
        <f>IF($B89="","",IFERROR(INDEX(智能流水!$M$2:$M$1001,MATCH($B89,智能流水!$B$2:$B$1001,0)),""))</f>
        <v/>
      </c>
      <c r="N89" s="32">
        <f>IF($B89="","",IFERROR(INDEX(智能流水!$N$2:$N$1001,MATCH($B89,智能流水!$B$2:$B$1001,0)),""))</f>
        <v/>
      </c>
      <c r="O89" s="32">
        <f>IF($B89="","",IFERROR(INDEX(智能流水!$O$2:$O$1001,MATCH($B89,智能流水!$B$2:$B$1001,0)),""))</f>
        <v/>
      </c>
    </row>
    <row r="90" ht="23" customHeight="1" s="21">
      <c r="A90" s="32">
        <f>IF($B90="","",89)</f>
        <v/>
      </c>
      <c r="B90" s="32">
        <f>IFERROR(LARGE(智能流水!$B$2:$B$1001,89),"")</f>
        <v/>
      </c>
      <c r="C90" s="33">
        <f>IF($B90="","",IFERROR(INDEX(智能流水!$C$2:$C$1001,MATCH($B90,智能流水!$B$2:$B$1001,0)),""))</f>
        <v/>
      </c>
      <c r="D90" s="34">
        <f>IF($B90="","",IFERROR(INDEX(智能流水!$D$2:$D$1001,MATCH($B90,智能流水!$B$2:$B$1001,0)),""))</f>
        <v/>
      </c>
      <c r="E90" s="34">
        <f>IF($B90="","",IFERROR(INDEX(智能流水!$E$2:$E$1001,MATCH($B90,智能流水!$B$2:$B$1001,0)),""))</f>
        <v/>
      </c>
      <c r="F90" s="34">
        <f>IF($B90="","",IFERROR(INDEX(智能流水!$F$2:$F$1001,MATCH($B90,智能流水!$B$2:$B$1001,0)),""))</f>
        <v/>
      </c>
      <c r="G90" s="32">
        <f>IF($B90="","",IFERROR(INDEX(智能流水!$G$2:$G$1001,MATCH($B90,智能流水!$B$2:$B$1001,0)),""))</f>
        <v/>
      </c>
      <c r="H90" s="32">
        <f>IF($B90="","",IFERROR(INDEX(智能流水!$H$2:$H$1001,MATCH($B90,智能流水!$B$2:$B$1001,0)),""))</f>
        <v/>
      </c>
      <c r="I90" s="32">
        <f>IF($B90="","",IFERROR(INDEX(智能流水!$I$2:$I$1001,MATCH($B90,智能流水!$B$2:$B$1001,0)),""))</f>
        <v/>
      </c>
      <c r="J90" s="32">
        <f>IF($B90="","",IFERROR(INDEX(智能流水!$J$2:$J$1001,MATCH($B90,智能流水!$B$2:$B$1001,0)),""))</f>
        <v/>
      </c>
      <c r="K90" s="35">
        <f>IF($B90="","",IFERROR(INDEX(智能流水!$K$2:$K$1001,MATCH($B90,智能流水!$B$2:$B$1001,0)),""))</f>
        <v/>
      </c>
      <c r="L90" s="32">
        <f>IF($B90="","",IFERROR(INDEX(智能流水!$L$2:$L$1001,MATCH($B90,智能流水!$B$2:$B$1001,0)),""))</f>
        <v/>
      </c>
      <c r="M90" s="32">
        <f>IF($B90="","",IFERROR(INDEX(智能流水!$M$2:$M$1001,MATCH($B90,智能流水!$B$2:$B$1001,0)),""))</f>
        <v/>
      </c>
      <c r="N90" s="32">
        <f>IF($B90="","",IFERROR(INDEX(智能流水!$N$2:$N$1001,MATCH($B90,智能流水!$B$2:$B$1001,0)),""))</f>
        <v/>
      </c>
      <c r="O90" s="32">
        <f>IF($B90="","",IFERROR(INDEX(智能流水!$O$2:$O$1001,MATCH($B90,智能流水!$B$2:$B$1001,0)),""))</f>
        <v/>
      </c>
    </row>
    <row r="91" ht="23" customHeight="1" s="21">
      <c r="A91" s="32">
        <f>IF($B91="","",90)</f>
        <v/>
      </c>
      <c r="B91" s="32">
        <f>IFERROR(LARGE(智能流水!$B$2:$B$1001,90),"")</f>
        <v/>
      </c>
      <c r="C91" s="33">
        <f>IF($B91="","",IFERROR(INDEX(智能流水!$C$2:$C$1001,MATCH($B91,智能流水!$B$2:$B$1001,0)),""))</f>
        <v/>
      </c>
      <c r="D91" s="34">
        <f>IF($B91="","",IFERROR(INDEX(智能流水!$D$2:$D$1001,MATCH($B91,智能流水!$B$2:$B$1001,0)),""))</f>
        <v/>
      </c>
      <c r="E91" s="34">
        <f>IF($B91="","",IFERROR(INDEX(智能流水!$E$2:$E$1001,MATCH($B91,智能流水!$B$2:$B$1001,0)),""))</f>
        <v/>
      </c>
      <c r="F91" s="34">
        <f>IF($B91="","",IFERROR(INDEX(智能流水!$F$2:$F$1001,MATCH($B91,智能流水!$B$2:$B$1001,0)),""))</f>
        <v/>
      </c>
      <c r="G91" s="32">
        <f>IF($B91="","",IFERROR(INDEX(智能流水!$G$2:$G$1001,MATCH($B91,智能流水!$B$2:$B$1001,0)),""))</f>
        <v/>
      </c>
      <c r="H91" s="32">
        <f>IF($B91="","",IFERROR(INDEX(智能流水!$H$2:$H$1001,MATCH($B91,智能流水!$B$2:$B$1001,0)),""))</f>
        <v/>
      </c>
      <c r="I91" s="32">
        <f>IF($B91="","",IFERROR(INDEX(智能流水!$I$2:$I$1001,MATCH($B91,智能流水!$B$2:$B$1001,0)),""))</f>
        <v/>
      </c>
      <c r="J91" s="32">
        <f>IF($B91="","",IFERROR(INDEX(智能流水!$J$2:$J$1001,MATCH($B91,智能流水!$B$2:$B$1001,0)),""))</f>
        <v/>
      </c>
      <c r="K91" s="35">
        <f>IF($B91="","",IFERROR(INDEX(智能流水!$K$2:$K$1001,MATCH($B91,智能流水!$B$2:$B$1001,0)),""))</f>
        <v/>
      </c>
      <c r="L91" s="32">
        <f>IF($B91="","",IFERROR(INDEX(智能流水!$L$2:$L$1001,MATCH($B91,智能流水!$B$2:$B$1001,0)),""))</f>
        <v/>
      </c>
      <c r="M91" s="32">
        <f>IF($B91="","",IFERROR(INDEX(智能流水!$M$2:$M$1001,MATCH($B91,智能流水!$B$2:$B$1001,0)),""))</f>
        <v/>
      </c>
      <c r="N91" s="32">
        <f>IF($B91="","",IFERROR(INDEX(智能流水!$N$2:$N$1001,MATCH($B91,智能流水!$B$2:$B$1001,0)),""))</f>
        <v/>
      </c>
      <c r="O91" s="32">
        <f>IF($B91="","",IFERROR(INDEX(智能流水!$O$2:$O$1001,MATCH($B91,智能流水!$B$2:$B$1001,0)),""))</f>
        <v/>
      </c>
    </row>
    <row r="92" ht="23" customHeight="1" s="21">
      <c r="A92" s="32">
        <f>IF($B92="","",91)</f>
        <v/>
      </c>
      <c r="B92" s="32">
        <f>IFERROR(LARGE(智能流水!$B$2:$B$1001,91),"")</f>
        <v/>
      </c>
      <c r="C92" s="33">
        <f>IF($B92="","",IFERROR(INDEX(智能流水!$C$2:$C$1001,MATCH($B92,智能流水!$B$2:$B$1001,0)),""))</f>
        <v/>
      </c>
      <c r="D92" s="34">
        <f>IF($B92="","",IFERROR(INDEX(智能流水!$D$2:$D$1001,MATCH($B92,智能流水!$B$2:$B$1001,0)),""))</f>
        <v/>
      </c>
      <c r="E92" s="34">
        <f>IF($B92="","",IFERROR(INDEX(智能流水!$E$2:$E$1001,MATCH($B92,智能流水!$B$2:$B$1001,0)),""))</f>
        <v/>
      </c>
      <c r="F92" s="34">
        <f>IF($B92="","",IFERROR(INDEX(智能流水!$F$2:$F$1001,MATCH($B92,智能流水!$B$2:$B$1001,0)),""))</f>
        <v/>
      </c>
      <c r="G92" s="32">
        <f>IF($B92="","",IFERROR(INDEX(智能流水!$G$2:$G$1001,MATCH($B92,智能流水!$B$2:$B$1001,0)),""))</f>
        <v/>
      </c>
      <c r="H92" s="32">
        <f>IF($B92="","",IFERROR(INDEX(智能流水!$H$2:$H$1001,MATCH($B92,智能流水!$B$2:$B$1001,0)),""))</f>
        <v/>
      </c>
      <c r="I92" s="32">
        <f>IF($B92="","",IFERROR(INDEX(智能流水!$I$2:$I$1001,MATCH($B92,智能流水!$B$2:$B$1001,0)),""))</f>
        <v/>
      </c>
      <c r="J92" s="32">
        <f>IF($B92="","",IFERROR(INDEX(智能流水!$J$2:$J$1001,MATCH($B92,智能流水!$B$2:$B$1001,0)),""))</f>
        <v/>
      </c>
      <c r="K92" s="35">
        <f>IF($B92="","",IFERROR(INDEX(智能流水!$K$2:$K$1001,MATCH($B92,智能流水!$B$2:$B$1001,0)),""))</f>
        <v/>
      </c>
      <c r="L92" s="32">
        <f>IF($B92="","",IFERROR(INDEX(智能流水!$L$2:$L$1001,MATCH($B92,智能流水!$B$2:$B$1001,0)),""))</f>
        <v/>
      </c>
      <c r="M92" s="32">
        <f>IF($B92="","",IFERROR(INDEX(智能流水!$M$2:$M$1001,MATCH($B92,智能流水!$B$2:$B$1001,0)),""))</f>
        <v/>
      </c>
      <c r="N92" s="32">
        <f>IF($B92="","",IFERROR(INDEX(智能流水!$N$2:$N$1001,MATCH($B92,智能流水!$B$2:$B$1001,0)),""))</f>
        <v/>
      </c>
      <c r="O92" s="32">
        <f>IF($B92="","",IFERROR(INDEX(智能流水!$O$2:$O$1001,MATCH($B92,智能流水!$B$2:$B$1001,0)),""))</f>
        <v/>
      </c>
    </row>
    <row r="93" ht="23" customHeight="1" s="21">
      <c r="A93" s="32">
        <f>IF($B93="","",92)</f>
        <v/>
      </c>
      <c r="B93" s="32">
        <f>IFERROR(LARGE(智能流水!$B$2:$B$1001,92),"")</f>
        <v/>
      </c>
      <c r="C93" s="33">
        <f>IF($B93="","",IFERROR(INDEX(智能流水!$C$2:$C$1001,MATCH($B93,智能流水!$B$2:$B$1001,0)),""))</f>
        <v/>
      </c>
      <c r="D93" s="34">
        <f>IF($B93="","",IFERROR(INDEX(智能流水!$D$2:$D$1001,MATCH($B93,智能流水!$B$2:$B$1001,0)),""))</f>
        <v/>
      </c>
      <c r="E93" s="34">
        <f>IF($B93="","",IFERROR(INDEX(智能流水!$E$2:$E$1001,MATCH($B93,智能流水!$B$2:$B$1001,0)),""))</f>
        <v/>
      </c>
      <c r="F93" s="34">
        <f>IF($B93="","",IFERROR(INDEX(智能流水!$F$2:$F$1001,MATCH($B93,智能流水!$B$2:$B$1001,0)),""))</f>
        <v/>
      </c>
      <c r="G93" s="32">
        <f>IF($B93="","",IFERROR(INDEX(智能流水!$G$2:$G$1001,MATCH($B93,智能流水!$B$2:$B$1001,0)),""))</f>
        <v/>
      </c>
      <c r="H93" s="32">
        <f>IF($B93="","",IFERROR(INDEX(智能流水!$H$2:$H$1001,MATCH($B93,智能流水!$B$2:$B$1001,0)),""))</f>
        <v/>
      </c>
      <c r="I93" s="32">
        <f>IF($B93="","",IFERROR(INDEX(智能流水!$I$2:$I$1001,MATCH($B93,智能流水!$B$2:$B$1001,0)),""))</f>
        <v/>
      </c>
      <c r="J93" s="32">
        <f>IF($B93="","",IFERROR(INDEX(智能流水!$J$2:$J$1001,MATCH($B93,智能流水!$B$2:$B$1001,0)),""))</f>
        <v/>
      </c>
      <c r="K93" s="35">
        <f>IF($B93="","",IFERROR(INDEX(智能流水!$K$2:$K$1001,MATCH($B93,智能流水!$B$2:$B$1001,0)),""))</f>
        <v/>
      </c>
      <c r="L93" s="32">
        <f>IF($B93="","",IFERROR(INDEX(智能流水!$L$2:$L$1001,MATCH($B93,智能流水!$B$2:$B$1001,0)),""))</f>
        <v/>
      </c>
      <c r="M93" s="32">
        <f>IF($B93="","",IFERROR(INDEX(智能流水!$M$2:$M$1001,MATCH($B93,智能流水!$B$2:$B$1001,0)),""))</f>
        <v/>
      </c>
      <c r="N93" s="32">
        <f>IF($B93="","",IFERROR(INDEX(智能流水!$N$2:$N$1001,MATCH($B93,智能流水!$B$2:$B$1001,0)),""))</f>
        <v/>
      </c>
      <c r="O93" s="32">
        <f>IF($B93="","",IFERROR(INDEX(智能流水!$O$2:$O$1001,MATCH($B93,智能流水!$B$2:$B$1001,0)),""))</f>
        <v/>
      </c>
    </row>
    <row r="94" ht="23" customHeight="1" s="21">
      <c r="A94" s="32">
        <f>IF($B94="","",93)</f>
        <v/>
      </c>
      <c r="B94" s="32">
        <f>IFERROR(LARGE(智能流水!$B$2:$B$1001,93),"")</f>
        <v/>
      </c>
      <c r="C94" s="33">
        <f>IF($B94="","",IFERROR(INDEX(智能流水!$C$2:$C$1001,MATCH($B94,智能流水!$B$2:$B$1001,0)),""))</f>
        <v/>
      </c>
      <c r="D94" s="34">
        <f>IF($B94="","",IFERROR(INDEX(智能流水!$D$2:$D$1001,MATCH($B94,智能流水!$B$2:$B$1001,0)),""))</f>
        <v/>
      </c>
      <c r="E94" s="34">
        <f>IF($B94="","",IFERROR(INDEX(智能流水!$E$2:$E$1001,MATCH($B94,智能流水!$B$2:$B$1001,0)),""))</f>
        <v/>
      </c>
      <c r="F94" s="34">
        <f>IF($B94="","",IFERROR(INDEX(智能流水!$F$2:$F$1001,MATCH($B94,智能流水!$B$2:$B$1001,0)),""))</f>
        <v/>
      </c>
      <c r="G94" s="32">
        <f>IF($B94="","",IFERROR(INDEX(智能流水!$G$2:$G$1001,MATCH($B94,智能流水!$B$2:$B$1001,0)),""))</f>
        <v/>
      </c>
      <c r="H94" s="32">
        <f>IF($B94="","",IFERROR(INDEX(智能流水!$H$2:$H$1001,MATCH($B94,智能流水!$B$2:$B$1001,0)),""))</f>
        <v/>
      </c>
      <c r="I94" s="32">
        <f>IF($B94="","",IFERROR(INDEX(智能流水!$I$2:$I$1001,MATCH($B94,智能流水!$B$2:$B$1001,0)),""))</f>
        <v/>
      </c>
      <c r="J94" s="32">
        <f>IF($B94="","",IFERROR(INDEX(智能流水!$J$2:$J$1001,MATCH($B94,智能流水!$B$2:$B$1001,0)),""))</f>
        <v/>
      </c>
      <c r="K94" s="35">
        <f>IF($B94="","",IFERROR(INDEX(智能流水!$K$2:$K$1001,MATCH($B94,智能流水!$B$2:$B$1001,0)),""))</f>
        <v/>
      </c>
      <c r="L94" s="32">
        <f>IF($B94="","",IFERROR(INDEX(智能流水!$L$2:$L$1001,MATCH($B94,智能流水!$B$2:$B$1001,0)),""))</f>
        <v/>
      </c>
      <c r="M94" s="32">
        <f>IF($B94="","",IFERROR(INDEX(智能流水!$M$2:$M$1001,MATCH($B94,智能流水!$B$2:$B$1001,0)),""))</f>
        <v/>
      </c>
      <c r="N94" s="32">
        <f>IF($B94="","",IFERROR(INDEX(智能流水!$N$2:$N$1001,MATCH($B94,智能流水!$B$2:$B$1001,0)),""))</f>
        <v/>
      </c>
      <c r="O94" s="32">
        <f>IF($B94="","",IFERROR(INDEX(智能流水!$O$2:$O$1001,MATCH($B94,智能流水!$B$2:$B$1001,0)),""))</f>
        <v/>
      </c>
    </row>
    <row r="95" ht="23" customHeight="1" s="21">
      <c r="A95" s="32">
        <f>IF($B95="","",94)</f>
        <v/>
      </c>
      <c r="B95" s="32">
        <f>IFERROR(LARGE(智能流水!$B$2:$B$1001,94),"")</f>
        <v/>
      </c>
      <c r="C95" s="33">
        <f>IF($B95="","",IFERROR(INDEX(智能流水!$C$2:$C$1001,MATCH($B95,智能流水!$B$2:$B$1001,0)),""))</f>
        <v/>
      </c>
      <c r="D95" s="34">
        <f>IF($B95="","",IFERROR(INDEX(智能流水!$D$2:$D$1001,MATCH($B95,智能流水!$B$2:$B$1001,0)),""))</f>
        <v/>
      </c>
      <c r="E95" s="34">
        <f>IF($B95="","",IFERROR(INDEX(智能流水!$E$2:$E$1001,MATCH($B95,智能流水!$B$2:$B$1001,0)),""))</f>
        <v/>
      </c>
      <c r="F95" s="34">
        <f>IF($B95="","",IFERROR(INDEX(智能流水!$F$2:$F$1001,MATCH($B95,智能流水!$B$2:$B$1001,0)),""))</f>
        <v/>
      </c>
      <c r="G95" s="32">
        <f>IF($B95="","",IFERROR(INDEX(智能流水!$G$2:$G$1001,MATCH($B95,智能流水!$B$2:$B$1001,0)),""))</f>
        <v/>
      </c>
      <c r="H95" s="32">
        <f>IF($B95="","",IFERROR(INDEX(智能流水!$H$2:$H$1001,MATCH($B95,智能流水!$B$2:$B$1001,0)),""))</f>
        <v/>
      </c>
      <c r="I95" s="32">
        <f>IF($B95="","",IFERROR(INDEX(智能流水!$I$2:$I$1001,MATCH($B95,智能流水!$B$2:$B$1001,0)),""))</f>
        <v/>
      </c>
      <c r="J95" s="32">
        <f>IF($B95="","",IFERROR(INDEX(智能流水!$J$2:$J$1001,MATCH($B95,智能流水!$B$2:$B$1001,0)),""))</f>
        <v/>
      </c>
      <c r="K95" s="35">
        <f>IF($B95="","",IFERROR(INDEX(智能流水!$K$2:$K$1001,MATCH($B95,智能流水!$B$2:$B$1001,0)),""))</f>
        <v/>
      </c>
      <c r="L95" s="32">
        <f>IF($B95="","",IFERROR(INDEX(智能流水!$L$2:$L$1001,MATCH($B95,智能流水!$B$2:$B$1001,0)),""))</f>
        <v/>
      </c>
      <c r="M95" s="32">
        <f>IF($B95="","",IFERROR(INDEX(智能流水!$M$2:$M$1001,MATCH($B95,智能流水!$B$2:$B$1001,0)),""))</f>
        <v/>
      </c>
      <c r="N95" s="32">
        <f>IF($B95="","",IFERROR(INDEX(智能流水!$N$2:$N$1001,MATCH($B95,智能流水!$B$2:$B$1001,0)),""))</f>
        <v/>
      </c>
      <c r="O95" s="32">
        <f>IF($B95="","",IFERROR(INDEX(智能流水!$O$2:$O$1001,MATCH($B95,智能流水!$B$2:$B$1001,0)),""))</f>
        <v/>
      </c>
    </row>
    <row r="96" ht="23" customHeight="1" s="21">
      <c r="A96" s="32">
        <f>IF($B96="","",95)</f>
        <v/>
      </c>
      <c r="B96" s="32">
        <f>IFERROR(LARGE(智能流水!$B$2:$B$1001,95),"")</f>
        <v/>
      </c>
      <c r="C96" s="33">
        <f>IF($B96="","",IFERROR(INDEX(智能流水!$C$2:$C$1001,MATCH($B96,智能流水!$B$2:$B$1001,0)),""))</f>
        <v/>
      </c>
      <c r="D96" s="34">
        <f>IF($B96="","",IFERROR(INDEX(智能流水!$D$2:$D$1001,MATCH($B96,智能流水!$B$2:$B$1001,0)),""))</f>
        <v/>
      </c>
      <c r="E96" s="34">
        <f>IF($B96="","",IFERROR(INDEX(智能流水!$E$2:$E$1001,MATCH($B96,智能流水!$B$2:$B$1001,0)),""))</f>
        <v/>
      </c>
      <c r="F96" s="34">
        <f>IF($B96="","",IFERROR(INDEX(智能流水!$F$2:$F$1001,MATCH($B96,智能流水!$B$2:$B$1001,0)),""))</f>
        <v/>
      </c>
      <c r="G96" s="32">
        <f>IF($B96="","",IFERROR(INDEX(智能流水!$G$2:$G$1001,MATCH($B96,智能流水!$B$2:$B$1001,0)),""))</f>
        <v/>
      </c>
      <c r="H96" s="32">
        <f>IF($B96="","",IFERROR(INDEX(智能流水!$H$2:$H$1001,MATCH($B96,智能流水!$B$2:$B$1001,0)),""))</f>
        <v/>
      </c>
      <c r="I96" s="32">
        <f>IF($B96="","",IFERROR(INDEX(智能流水!$I$2:$I$1001,MATCH($B96,智能流水!$B$2:$B$1001,0)),""))</f>
        <v/>
      </c>
      <c r="J96" s="32">
        <f>IF($B96="","",IFERROR(INDEX(智能流水!$J$2:$J$1001,MATCH($B96,智能流水!$B$2:$B$1001,0)),""))</f>
        <v/>
      </c>
      <c r="K96" s="35">
        <f>IF($B96="","",IFERROR(INDEX(智能流水!$K$2:$K$1001,MATCH($B96,智能流水!$B$2:$B$1001,0)),""))</f>
        <v/>
      </c>
      <c r="L96" s="32">
        <f>IF($B96="","",IFERROR(INDEX(智能流水!$L$2:$L$1001,MATCH($B96,智能流水!$B$2:$B$1001,0)),""))</f>
        <v/>
      </c>
      <c r="M96" s="32">
        <f>IF($B96="","",IFERROR(INDEX(智能流水!$M$2:$M$1001,MATCH($B96,智能流水!$B$2:$B$1001,0)),""))</f>
        <v/>
      </c>
      <c r="N96" s="32">
        <f>IF($B96="","",IFERROR(INDEX(智能流水!$N$2:$N$1001,MATCH($B96,智能流水!$B$2:$B$1001,0)),""))</f>
        <v/>
      </c>
      <c r="O96" s="32">
        <f>IF($B96="","",IFERROR(INDEX(智能流水!$O$2:$O$1001,MATCH($B96,智能流水!$B$2:$B$1001,0)),""))</f>
        <v/>
      </c>
    </row>
    <row r="97" ht="23" customHeight="1" s="21">
      <c r="A97" s="32">
        <f>IF($B97="","",96)</f>
        <v/>
      </c>
      <c r="B97" s="32">
        <f>IFERROR(LARGE(智能流水!$B$2:$B$1001,96),"")</f>
        <v/>
      </c>
      <c r="C97" s="33">
        <f>IF($B97="","",IFERROR(INDEX(智能流水!$C$2:$C$1001,MATCH($B97,智能流水!$B$2:$B$1001,0)),""))</f>
        <v/>
      </c>
      <c r="D97" s="34">
        <f>IF($B97="","",IFERROR(INDEX(智能流水!$D$2:$D$1001,MATCH($B97,智能流水!$B$2:$B$1001,0)),""))</f>
        <v/>
      </c>
      <c r="E97" s="34">
        <f>IF($B97="","",IFERROR(INDEX(智能流水!$E$2:$E$1001,MATCH($B97,智能流水!$B$2:$B$1001,0)),""))</f>
        <v/>
      </c>
      <c r="F97" s="34">
        <f>IF($B97="","",IFERROR(INDEX(智能流水!$F$2:$F$1001,MATCH($B97,智能流水!$B$2:$B$1001,0)),""))</f>
        <v/>
      </c>
      <c r="G97" s="32">
        <f>IF($B97="","",IFERROR(INDEX(智能流水!$G$2:$G$1001,MATCH($B97,智能流水!$B$2:$B$1001,0)),""))</f>
        <v/>
      </c>
      <c r="H97" s="32">
        <f>IF($B97="","",IFERROR(INDEX(智能流水!$H$2:$H$1001,MATCH($B97,智能流水!$B$2:$B$1001,0)),""))</f>
        <v/>
      </c>
      <c r="I97" s="32">
        <f>IF($B97="","",IFERROR(INDEX(智能流水!$I$2:$I$1001,MATCH($B97,智能流水!$B$2:$B$1001,0)),""))</f>
        <v/>
      </c>
      <c r="J97" s="32">
        <f>IF($B97="","",IFERROR(INDEX(智能流水!$J$2:$J$1001,MATCH($B97,智能流水!$B$2:$B$1001,0)),""))</f>
        <v/>
      </c>
      <c r="K97" s="35">
        <f>IF($B97="","",IFERROR(INDEX(智能流水!$K$2:$K$1001,MATCH($B97,智能流水!$B$2:$B$1001,0)),""))</f>
        <v/>
      </c>
      <c r="L97" s="32">
        <f>IF($B97="","",IFERROR(INDEX(智能流水!$L$2:$L$1001,MATCH($B97,智能流水!$B$2:$B$1001,0)),""))</f>
        <v/>
      </c>
      <c r="M97" s="32">
        <f>IF($B97="","",IFERROR(INDEX(智能流水!$M$2:$M$1001,MATCH($B97,智能流水!$B$2:$B$1001,0)),""))</f>
        <v/>
      </c>
      <c r="N97" s="32">
        <f>IF($B97="","",IFERROR(INDEX(智能流水!$N$2:$N$1001,MATCH($B97,智能流水!$B$2:$B$1001,0)),""))</f>
        <v/>
      </c>
      <c r="O97" s="32">
        <f>IF($B97="","",IFERROR(INDEX(智能流水!$O$2:$O$1001,MATCH($B97,智能流水!$B$2:$B$1001,0)),""))</f>
        <v/>
      </c>
    </row>
    <row r="98" ht="23" customHeight="1" s="21">
      <c r="A98" s="32">
        <f>IF($B98="","",97)</f>
        <v/>
      </c>
      <c r="B98" s="32">
        <f>IFERROR(LARGE(智能流水!$B$2:$B$1001,97),"")</f>
        <v/>
      </c>
      <c r="C98" s="33">
        <f>IF($B98="","",IFERROR(INDEX(智能流水!$C$2:$C$1001,MATCH($B98,智能流水!$B$2:$B$1001,0)),""))</f>
        <v/>
      </c>
      <c r="D98" s="34">
        <f>IF($B98="","",IFERROR(INDEX(智能流水!$D$2:$D$1001,MATCH($B98,智能流水!$B$2:$B$1001,0)),""))</f>
        <v/>
      </c>
      <c r="E98" s="34">
        <f>IF($B98="","",IFERROR(INDEX(智能流水!$E$2:$E$1001,MATCH($B98,智能流水!$B$2:$B$1001,0)),""))</f>
        <v/>
      </c>
      <c r="F98" s="34">
        <f>IF($B98="","",IFERROR(INDEX(智能流水!$F$2:$F$1001,MATCH($B98,智能流水!$B$2:$B$1001,0)),""))</f>
        <v/>
      </c>
      <c r="G98" s="32">
        <f>IF($B98="","",IFERROR(INDEX(智能流水!$G$2:$G$1001,MATCH($B98,智能流水!$B$2:$B$1001,0)),""))</f>
        <v/>
      </c>
      <c r="H98" s="32">
        <f>IF($B98="","",IFERROR(INDEX(智能流水!$H$2:$H$1001,MATCH($B98,智能流水!$B$2:$B$1001,0)),""))</f>
        <v/>
      </c>
      <c r="I98" s="32">
        <f>IF($B98="","",IFERROR(INDEX(智能流水!$I$2:$I$1001,MATCH($B98,智能流水!$B$2:$B$1001,0)),""))</f>
        <v/>
      </c>
      <c r="J98" s="32">
        <f>IF($B98="","",IFERROR(INDEX(智能流水!$J$2:$J$1001,MATCH($B98,智能流水!$B$2:$B$1001,0)),""))</f>
        <v/>
      </c>
      <c r="K98" s="35">
        <f>IF($B98="","",IFERROR(INDEX(智能流水!$K$2:$K$1001,MATCH($B98,智能流水!$B$2:$B$1001,0)),""))</f>
        <v/>
      </c>
      <c r="L98" s="32">
        <f>IF($B98="","",IFERROR(INDEX(智能流水!$L$2:$L$1001,MATCH($B98,智能流水!$B$2:$B$1001,0)),""))</f>
        <v/>
      </c>
      <c r="M98" s="32">
        <f>IF($B98="","",IFERROR(INDEX(智能流水!$M$2:$M$1001,MATCH($B98,智能流水!$B$2:$B$1001,0)),""))</f>
        <v/>
      </c>
      <c r="N98" s="32">
        <f>IF($B98="","",IFERROR(INDEX(智能流水!$N$2:$N$1001,MATCH($B98,智能流水!$B$2:$B$1001,0)),""))</f>
        <v/>
      </c>
      <c r="O98" s="32">
        <f>IF($B98="","",IFERROR(INDEX(智能流水!$O$2:$O$1001,MATCH($B98,智能流水!$B$2:$B$1001,0)),""))</f>
        <v/>
      </c>
    </row>
    <row r="99" ht="23" customHeight="1" s="21">
      <c r="A99" s="32">
        <f>IF($B99="","",98)</f>
        <v/>
      </c>
      <c r="B99" s="32">
        <f>IFERROR(LARGE(智能流水!$B$2:$B$1001,98),"")</f>
        <v/>
      </c>
      <c r="C99" s="33">
        <f>IF($B99="","",IFERROR(INDEX(智能流水!$C$2:$C$1001,MATCH($B99,智能流水!$B$2:$B$1001,0)),""))</f>
        <v/>
      </c>
      <c r="D99" s="34">
        <f>IF($B99="","",IFERROR(INDEX(智能流水!$D$2:$D$1001,MATCH($B99,智能流水!$B$2:$B$1001,0)),""))</f>
        <v/>
      </c>
      <c r="E99" s="34">
        <f>IF($B99="","",IFERROR(INDEX(智能流水!$E$2:$E$1001,MATCH($B99,智能流水!$B$2:$B$1001,0)),""))</f>
        <v/>
      </c>
      <c r="F99" s="34">
        <f>IF($B99="","",IFERROR(INDEX(智能流水!$F$2:$F$1001,MATCH($B99,智能流水!$B$2:$B$1001,0)),""))</f>
        <v/>
      </c>
      <c r="G99" s="32">
        <f>IF($B99="","",IFERROR(INDEX(智能流水!$G$2:$G$1001,MATCH($B99,智能流水!$B$2:$B$1001,0)),""))</f>
        <v/>
      </c>
      <c r="H99" s="32">
        <f>IF($B99="","",IFERROR(INDEX(智能流水!$H$2:$H$1001,MATCH($B99,智能流水!$B$2:$B$1001,0)),""))</f>
        <v/>
      </c>
      <c r="I99" s="32">
        <f>IF($B99="","",IFERROR(INDEX(智能流水!$I$2:$I$1001,MATCH($B99,智能流水!$B$2:$B$1001,0)),""))</f>
        <v/>
      </c>
      <c r="J99" s="32">
        <f>IF($B99="","",IFERROR(INDEX(智能流水!$J$2:$J$1001,MATCH($B99,智能流水!$B$2:$B$1001,0)),""))</f>
        <v/>
      </c>
      <c r="K99" s="35">
        <f>IF($B99="","",IFERROR(INDEX(智能流水!$K$2:$K$1001,MATCH($B99,智能流水!$B$2:$B$1001,0)),""))</f>
        <v/>
      </c>
      <c r="L99" s="32">
        <f>IF($B99="","",IFERROR(INDEX(智能流水!$L$2:$L$1001,MATCH($B99,智能流水!$B$2:$B$1001,0)),""))</f>
        <v/>
      </c>
      <c r="M99" s="32">
        <f>IF($B99="","",IFERROR(INDEX(智能流水!$M$2:$M$1001,MATCH($B99,智能流水!$B$2:$B$1001,0)),""))</f>
        <v/>
      </c>
      <c r="N99" s="32">
        <f>IF($B99="","",IFERROR(INDEX(智能流水!$N$2:$N$1001,MATCH($B99,智能流水!$B$2:$B$1001,0)),""))</f>
        <v/>
      </c>
      <c r="O99" s="32">
        <f>IF($B99="","",IFERROR(INDEX(智能流水!$O$2:$O$1001,MATCH($B99,智能流水!$B$2:$B$1001,0)),""))</f>
        <v/>
      </c>
    </row>
    <row r="100" ht="23" customHeight="1" s="21">
      <c r="A100" s="32">
        <f>IF($B100="","",99)</f>
        <v/>
      </c>
      <c r="B100" s="32">
        <f>IFERROR(LARGE(智能流水!$B$2:$B$1001,99),"")</f>
        <v/>
      </c>
      <c r="C100" s="33">
        <f>IF($B100="","",IFERROR(INDEX(智能流水!$C$2:$C$1001,MATCH($B100,智能流水!$B$2:$B$1001,0)),""))</f>
        <v/>
      </c>
      <c r="D100" s="34">
        <f>IF($B100="","",IFERROR(INDEX(智能流水!$D$2:$D$1001,MATCH($B100,智能流水!$B$2:$B$1001,0)),""))</f>
        <v/>
      </c>
      <c r="E100" s="34">
        <f>IF($B100="","",IFERROR(INDEX(智能流水!$E$2:$E$1001,MATCH($B100,智能流水!$B$2:$B$1001,0)),""))</f>
        <v/>
      </c>
      <c r="F100" s="34">
        <f>IF($B100="","",IFERROR(INDEX(智能流水!$F$2:$F$1001,MATCH($B100,智能流水!$B$2:$B$1001,0)),""))</f>
        <v/>
      </c>
      <c r="G100" s="32">
        <f>IF($B100="","",IFERROR(INDEX(智能流水!$G$2:$G$1001,MATCH($B100,智能流水!$B$2:$B$1001,0)),""))</f>
        <v/>
      </c>
      <c r="H100" s="32">
        <f>IF($B100="","",IFERROR(INDEX(智能流水!$H$2:$H$1001,MATCH($B100,智能流水!$B$2:$B$1001,0)),""))</f>
        <v/>
      </c>
      <c r="I100" s="32">
        <f>IF($B100="","",IFERROR(INDEX(智能流水!$I$2:$I$1001,MATCH($B100,智能流水!$B$2:$B$1001,0)),""))</f>
        <v/>
      </c>
      <c r="J100" s="32">
        <f>IF($B100="","",IFERROR(INDEX(智能流水!$J$2:$J$1001,MATCH($B100,智能流水!$B$2:$B$1001,0)),""))</f>
        <v/>
      </c>
      <c r="K100" s="35">
        <f>IF($B100="","",IFERROR(INDEX(智能流水!$K$2:$K$1001,MATCH($B100,智能流水!$B$2:$B$1001,0)),""))</f>
        <v/>
      </c>
      <c r="L100" s="32">
        <f>IF($B100="","",IFERROR(INDEX(智能流水!$L$2:$L$1001,MATCH($B100,智能流水!$B$2:$B$1001,0)),""))</f>
        <v/>
      </c>
      <c r="M100" s="32">
        <f>IF($B100="","",IFERROR(INDEX(智能流水!$M$2:$M$1001,MATCH($B100,智能流水!$B$2:$B$1001,0)),""))</f>
        <v/>
      </c>
      <c r="N100" s="32">
        <f>IF($B100="","",IFERROR(INDEX(智能流水!$N$2:$N$1001,MATCH($B100,智能流水!$B$2:$B$1001,0)),""))</f>
        <v/>
      </c>
      <c r="O100" s="32">
        <f>IF($B100="","",IFERROR(INDEX(智能流水!$O$2:$O$1001,MATCH($B100,智能流水!$B$2:$B$1001,0)),""))</f>
        <v/>
      </c>
    </row>
    <row r="101" ht="23" customHeight="1" s="21">
      <c r="A101" s="32">
        <f>IF($B101="","",100)</f>
        <v/>
      </c>
      <c r="B101" s="32">
        <f>IFERROR(LARGE(智能流水!$B$2:$B$1001,100),"")</f>
        <v/>
      </c>
      <c r="C101" s="33">
        <f>IF($B101="","",IFERROR(INDEX(智能流水!$C$2:$C$1001,MATCH($B101,智能流水!$B$2:$B$1001,0)),""))</f>
        <v/>
      </c>
      <c r="D101" s="34">
        <f>IF($B101="","",IFERROR(INDEX(智能流水!$D$2:$D$1001,MATCH($B101,智能流水!$B$2:$B$1001,0)),""))</f>
        <v/>
      </c>
      <c r="E101" s="34">
        <f>IF($B101="","",IFERROR(INDEX(智能流水!$E$2:$E$1001,MATCH($B101,智能流水!$B$2:$B$1001,0)),""))</f>
        <v/>
      </c>
      <c r="F101" s="34">
        <f>IF($B101="","",IFERROR(INDEX(智能流水!$F$2:$F$1001,MATCH($B101,智能流水!$B$2:$B$1001,0)),""))</f>
        <v/>
      </c>
      <c r="G101" s="32">
        <f>IF($B101="","",IFERROR(INDEX(智能流水!$G$2:$G$1001,MATCH($B101,智能流水!$B$2:$B$1001,0)),""))</f>
        <v/>
      </c>
      <c r="H101" s="32">
        <f>IF($B101="","",IFERROR(INDEX(智能流水!$H$2:$H$1001,MATCH($B101,智能流水!$B$2:$B$1001,0)),""))</f>
        <v/>
      </c>
      <c r="I101" s="32">
        <f>IF($B101="","",IFERROR(INDEX(智能流水!$I$2:$I$1001,MATCH($B101,智能流水!$B$2:$B$1001,0)),""))</f>
        <v/>
      </c>
      <c r="J101" s="32">
        <f>IF($B101="","",IFERROR(INDEX(智能流水!$J$2:$J$1001,MATCH($B101,智能流水!$B$2:$B$1001,0)),""))</f>
        <v/>
      </c>
      <c r="K101" s="35">
        <f>IF($B101="","",IFERROR(INDEX(智能流水!$K$2:$K$1001,MATCH($B101,智能流水!$B$2:$B$1001,0)),""))</f>
        <v/>
      </c>
      <c r="L101" s="32">
        <f>IF($B101="","",IFERROR(INDEX(智能流水!$L$2:$L$1001,MATCH($B101,智能流水!$B$2:$B$1001,0)),""))</f>
        <v/>
      </c>
      <c r="M101" s="32">
        <f>IF($B101="","",IFERROR(INDEX(智能流水!$M$2:$M$1001,MATCH($B101,智能流水!$B$2:$B$1001,0)),""))</f>
        <v/>
      </c>
      <c r="N101" s="32">
        <f>IF($B101="","",IFERROR(INDEX(智能流水!$N$2:$N$1001,MATCH($B101,智能流水!$B$2:$B$1001,0)),""))</f>
        <v/>
      </c>
      <c r="O101" s="32">
        <f>IF($B101="","",IFERROR(INDEX(智能流水!$O$2:$O$1001,MATCH($B101,智能流水!$B$2:$B$1001,0)),""))</f>
        <v/>
      </c>
    </row>
    <row r="102" ht="23" customHeight="1" s="21">
      <c r="A102" s="32">
        <f>IF($B102="","",101)</f>
        <v/>
      </c>
      <c r="B102" s="32">
        <f>IFERROR(LARGE(智能流水!$B$2:$B$1001,101),"")</f>
        <v/>
      </c>
      <c r="C102" s="33">
        <f>IF($B102="","",IFERROR(INDEX(智能流水!$C$2:$C$1001,MATCH($B102,智能流水!$B$2:$B$1001,0)),""))</f>
        <v/>
      </c>
      <c r="D102" s="34">
        <f>IF($B102="","",IFERROR(INDEX(智能流水!$D$2:$D$1001,MATCH($B102,智能流水!$B$2:$B$1001,0)),""))</f>
        <v/>
      </c>
      <c r="E102" s="34">
        <f>IF($B102="","",IFERROR(INDEX(智能流水!$E$2:$E$1001,MATCH($B102,智能流水!$B$2:$B$1001,0)),""))</f>
        <v/>
      </c>
      <c r="F102" s="34">
        <f>IF($B102="","",IFERROR(INDEX(智能流水!$F$2:$F$1001,MATCH($B102,智能流水!$B$2:$B$1001,0)),""))</f>
        <v/>
      </c>
      <c r="G102" s="32">
        <f>IF($B102="","",IFERROR(INDEX(智能流水!$G$2:$G$1001,MATCH($B102,智能流水!$B$2:$B$1001,0)),""))</f>
        <v/>
      </c>
      <c r="H102" s="32">
        <f>IF($B102="","",IFERROR(INDEX(智能流水!$H$2:$H$1001,MATCH($B102,智能流水!$B$2:$B$1001,0)),""))</f>
        <v/>
      </c>
      <c r="I102" s="32">
        <f>IF($B102="","",IFERROR(INDEX(智能流水!$I$2:$I$1001,MATCH($B102,智能流水!$B$2:$B$1001,0)),""))</f>
        <v/>
      </c>
      <c r="J102" s="32">
        <f>IF($B102="","",IFERROR(INDEX(智能流水!$J$2:$J$1001,MATCH($B102,智能流水!$B$2:$B$1001,0)),""))</f>
        <v/>
      </c>
      <c r="K102" s="35">
        <f>IF($B102="","",IFERROR(INDEX(智能流水!$K$2:$K$1001,MATCH($B102,智能流水!$B$2:$B$1001,0)),""))</f>
        <v/>
      </c>
      <c r="L102" s="32">
        <f>IF($B102="","",IFERROR(INDEX(智能流水!$L$2:$L$1001,MATCH($B102,智能流水!$B$2:$B$1001,0)),""))</f>
        <v/>
      </c>
      <c r="M102" s="32">
        <f>IF($B102="","",IFERROR(INDEX(智能流水!$M$2:$M$1001,MATCH($B102,智能流水!$B$2:$B$1001,0)),""))</f>
        <v/>
      </c>
      <c r="N102" s="32">
        <f>IF($B102="","",IFERROR(INDEX(智能流水!$N$2:$N$1001,MATCH($B102,智能流水!$B$2:$B$1001,0)),""))</f>
        <v/>
      </c>
      <c r="O102" s="32">
        <f>IF($B102="","",IFERROR(INDEX(智能流水!$O$2:$O$1001,MATCH($B102,智能流水!$B$2:$B$1001,0)),""))</f>
        <v/>
      </c>
    </row>
    <row r="103" ht="23" customHeight="1" s="21">
      <c r="A103" s="32">
        <f>IF($B103="","",102)</f>
        <v/>
      </c>
      <c r="B103" s="32">
        <f>IFERROR(LARGE(智能流水!$B$2:$B$1001,102),"")</f>
        <v/>
      </c>
      <c r="C103" s="33">
        <f>IF($B103="","",IFERROR(INDEX(智能流水!$C$2:$C$1001,MATCH($B103,智能流水!$B$2:$B$1001,0)),""))</f>
        <v/>
      </c>
      <c r="D103" s="34">
        <f>IF($B103="","",IFERROR(INDEX(智能流水!$D$2:$D$1001,MATCH($B103,智能流水!$B$2:$B$1001,0)),""))</f>
        <v/>
      </c>
      <c r="E103" s="34">
        <f>IF($B103="","",IFERROR(INDEX(智能流水!$E$2:$E$1001,MATCH($B103,智能流水!$B$2:$B$1001,0)),""))</f>
        <v/>
      </c>
      <c r="F103" s="34">
        <f>IF($B103="","",IFERROR(INDEX(智能流水!$F$2:$F$1001,MATCH($B103,智能流水!$B$2:$B$1001,0)),""))</f>
        <v/>
      </c>
      <c r="G103" s="32">
        <f>IF($B103="","",IFERROR(INDEX(智能流水!$G$2:$G$1001,MATCH($B103,智能流水!$B$2:$B$1001,0)),""))</f>
        <v/>
      </c>
      <c r="H103" s="32">
        <f>IF($B103="","",IFERROR(INDEX(智能流水!$H$2:$H$1001,MATCH($B103,智能流水!$B$2:$B$1001,0)),""))</f>
        <v/>
      </c>
      <c r="I103" s="32">
        <f>IF($B103="","",IFERROR(INDEX(智能流水!$I$2:$I$1001,MATCH($B103,智能流水!$B$2:$B$1001,0)),""))</f>
        <v/>
      </c>
      <c r="J103" s="32">
        <f>IF($B103="","",IFERROR(INDEX(智能流水!$J$2:$J$1001,MATCH($B103,智能流水!$B$2:$B$1001,0)),""))</f>
        <v/>
      </c>
      <c r="K103" s="35">
        <f>IF($B103="","",IFERROR(INDEX(智能流水!$K$2:$K$1001,MATCH($B103,智能流水!$B$2:$B$1001,0)),""))</f>
        <v/>
      </c>
      <c r="L103" s="32">
        <f>IF($B103="","",IFERROR(INDEX(智能流水!$L$2:$L$1001,MATCH($B103,智能流水!$B$2:$B$1001,0)),""))</f>
        <v/>
      </c>
      <c r="M103" s="32">
        <f>IF($B103="","",IFERROR(INDEX(智能流水!$M$2:$M$1001,MATCH($B103,智能流水!$B$2:$B$1001,0)),""))</f>
        <v/>
      </c>
      <c r="N103" s="32">
        <f>IF($B103="","",IFERROR(INDEX(智能流水!$N$2:$N$1001,MATCH($B103,智能流水!$B$2:$B$1001,0)),""))</f>
        <v/>
      </c>
      <c r="O103" s="32">
        <f>IF($B103="","",IFERROR(INDEX(智能流水!$O$2:$O$1001,MATCH($B103,智能流水!$B$2:$B$1001,0)),""))</f>
        <v/>
      </c>
    </row>
    <row r="104" ht="23" customHeight="1" s="21">
      <c r="A104" s="32">
        <f>IF($B104="","",103)</f>
        <v/>
      </c>
      <c r="B104" s="32">
        <f>IFERROR(LARGE(智能流水!$B$2:$B$1001,103),"")</f>
        <v/>
      </c>
      <c r="C104" s="33">
        <f>IF($B104="","",IFERROR(INDEX(智能流水!$C$2:$C$1001,MATCH($B104,智能流水!$B$2:$B$1001,0)),""))</f>
        <v/>
      </c>
      <c r="D104" s="34">
        <f>IF($B104="","",IFERROR(INDEX(智能流水!$D$2:$D$1001,MATCH($B104,智能流水!$B$2:$B$1001,0)),""))</f>
        <v/>
      </c>
      <c r="E104" s="34">
        <f>IF($B104="","",IFERROR(INDEX(智能流水!$E$2:$E$1001,MATCH($B104,智能流水!$B$2:$B$1001,0)),""))</f>
        <v/>
      </c>
      <c r="F104" s="34">
        <f>IF($B104="","",IFERROR(INDEX(智能流水!$F$2:$F$1001,MATCH($B104,智能流水!$B$2:$B$1001,0)),""))</f>
        <v/>
      </c>
      <c r="G104" s="32">
        <f>IF($B104="","",IFERROR(INDEX(智能流水!$G$2:$G$1001,MATCH($B104,智能流水!$B$2:$B$1001,0)),""))</f>
        <v/>
      </c>
      <c r="H104" s="32">
        <f>IF($B104="","",IFERROR(INDEX(智能流水!$H$2:$H$1001,MATCH($B104,智能流水!$B$2:$B$1001,0)),""))</f>
        <v/>
      </c>
      <c r="I104" s="32">
        <f>IF($B104="","",IFERROR(INDEX(智能流水!$I$2:$I$1001,MATCH($B104,智能流水!$B$2:$B$1001,0)),""))</f>
        <v/>
      </c>
      <c r="J104" s="32">
        <f>IF($B104="","",IFERROR(INDEX(智能流水!$J$2:$J$1001,MATCH($B104,智能流水!$B$2:$B$1001,0)),""))</f>
        <v/>
      </c>
      <c r="K104" s="35">
        <f>IF($B104="","",IFERROR(INDEX(智能流水!$K$2:$K$1001,MATCH($B104,智能流水!$B$2:$B$1001,0)),""))</f>
        <v/>
      </c>
      <c r="L104" s="32">
        <f>IF($B104="","",IFERROR(INDEX(智能流水!$L$2:$L$1001,MATCH($B104,智能流水!$B$2:$B$1001,0)),""))</f>
        <v/>
      </c>
      <c r="M104" s="32">
        <f>IF($B104="","",IFERROR(INDEX(智能流水!$M$2:$M$1001,MATCH($B104,智能流水!$B$2:$B$1001,0)),""))</f>
        <v/>
      </c>
      <c r="N104" s="32">
        <f>IF($B104="","",IFERROR(INDEX(智能流水!$N$2:$N$1001,MATCH($B104,智能流水!$B$2:$B$1001,0)),""))</f>
        <v/>
      </c>
      <c r="O104" s="32">
        <f>IF($B104="","",IFERROR(INDEX(智能流水!$O$2:$O$1001,MATCH($B104,智能流水!$B$2:$B$1001,0)),""))</f>
        <v/>
      </c>
    </row>
    <row r="105" ht="23" customHeight="1" s="21">
      <c r="A105" s="32">
        <f>IF($B105="","",104)</f>
        <v/>
      </c>
      <c r="B105" s="32">
        <f>IFERROR(LARGE(智能流水!$B$2:$B$1001,104),"")</f>
        <v/>
      </c>
      <c r="C105" s="33">
        <f>IF($B105="","",IFERROR(INDEX(智能流水!$C$2:$C$1001,MATCH($B105,智能流水!$B$2:$B$1001,0)),""))</f>
        <v/>
      </c>
      <c r="D105" s="34">
        <f>IF($B105="","",IFERROR(INDEX(智能流水!$D$2:$D$1001,MATCH($B105,智能流水!$B$2:$B$1001,0)),""))</f>
        <v/>
      </c>
      <c r="E105" s="34">
        <f>IF($B105="","",IFERROR(INDEX(智能流水!$E$2:$E$1001,MATCH($B105,智能流水!$B$2:$B$1001,0)),""))</f>
        <v/>
      </c>
      <c r="F105" s="34">
        <f>IF($B105="","",IFERROR(INDEX(智能流水!$F$2:$F$1001,MATCH($B105,智能流水!$B$2:$B$1001,0)),""))</f>
        <v/>
      </c>
      <c r="G105" s="32">
        <f>IF($B105="","",IFERROR(INDEX(智能流水!$G$2:$G$1001,MATCH($B105,智能流水!$B$2:$B$1001,0)),""))</f>
        <v/>
      </c>
      <c r="H105" s="32">
        <f>IF($B105="","",IFERROR(INDEX(智能流水!$H$2:$H$1001,MATCH($B105,智能流水!$B$2:$B$1001,0)),""))</f>
        <v/>
      </c>
      <c r="I105" s="32">
        <f>IF($B105="","",IFERROR(INDEX(智能流水!$I$2:$I$1001,MATCH($B105,智能流水!$B$2:$B$1001,0)),""))</f>
        <v/>
      </c>
      <c r="J105" s="32">
        <f>IF($B105="","",IFERROR(INDEX(智能流水!$J$2:$J$1001,MATCH($B105,智能流水!$B$2:$B$1001,0)),""))</f>
        <v/>
      </c>
      <c r="K105" s="35">
        <f>IF($B105="","",IFERROR(INDEX(智能流水!$K$2:$K$1001,MATCH($B105,智能流水!$B$2:$B$1001,0)),""))</f>
        <v/>
      </c>
      <c r="L105" s="32">
        <f>IF($B105="","",IFERROR(INDEX(智能流水!$L$2:$L$1001,MATCH($B105,智能流水!$B$2:$B$1001,0)),""))</f>
        <v/>
      </c>
      <c r="M105" s="32">
        <f>IF($B105="","",IFERROR(INDEX(智能流水!$M$2:$M$1001,MATCH($B105,智能流水!$B$2:$B$1001,0)),""))</f>
        <v/>
      </c>
      <c r="N105" s="32">
        <f>IF($B105="","",IFERROR(INDEX(智能流水!$N$2:$N$1001,MATCH($B105,智能流水!$B$2:$B$1001,0)),""))</f>
        <v/>
      </c>
      <c r="O105" s="32">
        <f>IF($B105="","",IFERROR(INDEX(智能流水!$O$2:$O$1001,MATCH($B105,智能流水!$B$2:$B$1001,0)),""))</f>
        <v/>
      </c>
    </row>
    <row r="106" ht="23" customHeight="1" s="21">
      <c r="A106" s="32">
        <f>IF($B106="","",105)</f>
        <v/>
      </c>
      <c r="B106" s="32">
        <f>IFERROR(LARGE(智能流水!$B$2:$B$1001,105),"")</f>
        <v/>
      </c>
      <c r="C106" s="33">
        <f>IF($B106="","",IFERROR(INDEX(智能流水!$C$2:$C$1001,MATCH($B106,智能流水!$B$2:$B$1001,0)),""))</f>
        <v/>
      </c>
      <c r="D106" s="34">
        <f>IF($B106="","",IFERROR(INDEX(智能流水!$D$2:$D$1001,MATCH($B106,智能流水!$B$2:$B$1001,0)),""))</f>
        <v/>
      </c>
      <c r="E106" s="34">
        <f>IF($B106="","",IFERROR(INDEX(智能流水!$E$2:$E$1001,MATCH($B106,智能流水!$B$2:$B$1001,0)),""))</f>
        <v/>
      </c>
      <c r="F106" s="34">
        <f>IF($B106="","",IFERROR(INDEX(智能流水!$F$2:$F$1001,MATCH($B106,智能流水!$B$2:$B$1001,0)),""))</f>
        <v/>
      </c>
      <c r="G106" s="32">
        <f>IF($B106="","",IFERROR(INDEX(智能流水!$G$2:$G$1001,MATCH($B106,智能流水!$B$2:$B$1001,0)),""))</f>
        <v/>
      </c>
      <c r="H106" s="32">
        <f>IF($B106="","",IFERROR(INDEX(智能流水!$H$2:$H$1001,MATCH($B106,智能流水!$B$2:$B$1001,0)),""))</f>
        <v/>
      </c>
      <c r="I106" s="32">
        <f>IF($B106="","",IFERROR(INDEX(智能流水!$I$2:$I$1001,MATCH($B106,智能流水!$B$2:$B$1001,0)),""))</f>
        <v/>
      </c>
      <c r="J106" s="32">
        <f>IF($B106="","",IFERROR(INDEX(智能流水!$J$2:$J$1001,MATCH($B106,智能流水!$B$2:$B$1001,0)),""))</f>
        <v/>
      </c>
      <c r="K106" s="35">
        <f>IF($B106="","",IFERROR(INDEX(智能流水!$K$2:$K$1001,MATCH($B106,智能流水!$B$2:$B$1001,0)),""))</f>
        <v/>
      </c>
      <c r="L106" s="32">
        <f>IF($B106="","",IFERROR(INDEX(智能流水!$L$2:$L$1001,MATCH($B106,智能流水!$B$2:$B$1001,0)),""))</f>
        <v/>
      </c>
      <c r="M106" s="32">
        <f>IF($B106="","",IFERROR(INDEX(智能流水!$M$2:$M$1001,MATCH($B106,智能流水!$B$2:$B$1001,0)),""))</f>
        <v/>
      </c>
      <c r="N106" s="32">
        <f>IF($B106="","",IFERROR(INDEX(智能流水!$N$2:$N$1001,MATCH($B106,智能流水!$B$2:$B$1001,0)),""))</f>
        <v/>
      </c>
      <c r="O106" s="32">
        <f>IF($B106="","",IFERROR(INDEX(智能流水!$O$2:$O$1001,MATCH($B106,智能流水!$B$2:$B$1001,0)),""))</f>
        <v/>
      </c>
    </row>
    <row r="107" ht="23" customHeight="1" s="21">
      <c r="A107" s="32">
        <f>IF($B107="","",106)</f>
        <v/>
      </c>
      <c r="B107" s="32">
        <f>IFERROR(LARGE(智能流水!$B$2:$B$1001,106),"")</f>
        <v/>
      </c>
      <c r="C107" s="33">
        <f>IF($B107="","",IFERROR(INDEX(智能流水!$C$2:$C$1001,MATCH($B107,智能流水!$B$2:$B$1001,0)),""))</f>
        <v/>
      </c>
      <c r="D107" s="34">
        <f>IF($B107="","",IFERROR(INDEX(智能流水!$D$2:$D$1001,MATCH($B107,智能流水!$B$2:$B$1001,0)),""))</f>
        <v/>
      </c>
      <c r="E107" s="34">
        <f>IF($B107="","",IFERROR(INDEX(智能流水!$E$2:$E$1001,MATCH($B107,智能流水!$B$2:$B$1001,0)),""))</f>
        <v/>
      </c>
      <c r="F107" s="34">
        <f>IF($B107="","",IFERROR(INDEX(智能流水!$F$2:$F$1001,MATCH($B107,智能流水!$B$2:$B$1001,0)),""))</f>
        <v/>
      </c>
      <c r="G107" s="32">
        <f>IF($B107="","",IFERROR(INDEX(智能流水!$G$2:$G$1001,MATCH($B107,智能流水!$B$2:$B$1001,0)),""))</f>
        <v/>
      </c>
      <c r="H107" s="32">
        <f>IF($B107="","",IFERROR(INDEX(智能流水!$H$2:$H$1001,MATCH($B107,智能流水!$B$2:$B$1001,0)),""))</f>
        <v/>
      </c>
      <c r="I107" s="32">
        <f>IF($B107="","",IFERROR(INDEX(智能流水!$I$2:$I$1001,MATCH($B107,智能流水!$B$2:$B$1001,0)),""))</f>
        <v/>
      </c>
      <c r="J107" s="32">
        <f>IF($B107="","",IFERROR(INDEX(智能流水!$J$2:$J$1001,MATCH($B107,智能流水!$B$2:$B$1001,0)),""))</f>
        <v/>
      </c>
      <c r="K107" s="35">
        <f>IF($B107="","",IFERROR(INDEX(智能流水!$K$2:$K$1001,MATCH($B107,智能流水!$B$2:$B$1001,0)),""))</f>
        <v/>
      </c>
      <c r="L107" s="32">
        <f>IF($B107="","",IFERROR(INDEX(智能流水!$L$2:$L$1001,MATCH($B107,智能流水!$B$2:$B$1001,0)),""))</f>
        <v/>
      </c>
      <c r="M107" s="32">
        <f>IF($B107="","",IFERROR(INDEX(智能流水!$M$2:$M$1001,MATCH($B107,智能流水!$B$2:$B$1001,0)),""))</f>
        <v/>
      </c>
      <c r="N107" s="32">
        <f>IF($B107="","",IFERROR(INDEX(智能流水!$N$2:$N$1001,MATCH($B107,智能流水!$B$2:$B$1001,0)),""))</f>
        <v/>
      </c>
      <c r="O107" s="32">
        <f>IF($B107="","",IFERROR(INDEX(智能流水!$O$2:$O$1001,MATCH($B107,智能流水!$B$2:$B$1001,0)),""))</f>
        <v/>
      </c>
    </row>
    <row r="108" ht="23" customHeight="1" s="21">
      <c r="A108" s="32">
        <f>IF($B108="","",107)</f>
        <v/>
      </c>
      <c r="B108" s="32">
        <f>IFERROR(LARGE(智能流水!$B$2:$B$1001,107),"")</f>
        <v/>
      </c>
      <c r="C108" s="33">
        <f>IF($B108="","",IFERROR(INDEX(智能流水!$C$2:$C$1001,MATCH($B108,智能流水!$B$2:$B$1001,0)),""))</f>
        <v/>
      </c>
      <c r="D108" s="34">
        <f>IF($B108="","",IFERROR(INDEX(智能流水!$D$2:$D$1001,MATCH($B108,智能流水!$B$2:$B$1001,0)),""))</f>
        <v/>
      </c>
      <c r="E108" s="34">
        <f>IF($B108="","",IFERROR(INDEX(智能流水!$E$2:$E$1001,MATCH($B108,智能流水!$B$2:$B$1001,0)),""))</f>
        <v/>
      </c>
      <c r="F108" s="34">
        <f>IF($B108="","",IFERROR(INDEX(智能流水!$F$2:$F$1001,MATCH($B108,智能流水!$B$2:$B$1001,0)),""))</f>
        <v/>
      </c>
      <c r="G108" s="32">
        <f>IF($B108="","",IFERROR(INDEX(智能流水!$G$2:$G$1001,MATCH($B108,智能流水!$B$2:$B$1001,0)),""))</f>
        <v/>
      </c>
      <c r="H108" s="32">
        <f>IF($B108="","",IFERROR(INDEX(智能流水!$H$2:$H$1001,MATCH($B108,智能流水!$B$2:$B$1001,0)),""))</f>
        <v/>
      </c>
      <c r="I108" s="32">
        <f>IF($B108="","",IFERROR(INDEX(智能流水!$I$2:$I$1001,MATCH($B108,智能流水!$B$2:$B$1001,0)),""))</f>
        <v/>
      </c>
      <c r="J108" s="32">
        <f>IF($B108="","",IFERROR(INDEX(智能流水!$J$2:$J$1001,MATCH($B108,智能流水!$B$2:$B$1001,0)),""))</f>
        <v/>
      </c>
      <c r="K108" s="35">
        <f>IF($B108="","",IFERROR(INDEX(智能流水!$K$2:$K$1001,MATCH($B108,智能流水!$B$2:$B$1001,0)),""))</f>
        <v/>
      </c>
      <c r="L108" s="32">
        <f>IF($B108="","",IFERROR(INDEX(智能流水!$L$2:$L$1001,MATCH($B108,智能流水!$B$2:$B$1001,0)),""))</f>
        <v/>
      </c>
      <c r="M108" s="32">
        <f>IF($B108="","",IFERROR(INDEX(智能流水!$M$2:$M$1001,MATCH($B108,智能流水!$B$2:$B$1001,0)),""))</f>
        <v/>
      </c>
      <c r="N108" s="32">
        <f>IF($B108="","",IFERROR(INDEX(智能流水!$N$2:$N$1001,MATCH($B108,智能流水!$B$2:$B$1001,0)),""))</f>
        <v/>
      </c>
      <c r="O108" s="32">
        <f>IF($B108="","",IFERROR(INDEX(智能流水!$O$2:$O$1001,MATCH($B108,智能流水!$B$2:$B$1001,0)),""))</f>
        <v/>
      </c>
    </row>
    <row r="109" ht="23" customHeight="1" s="21">
      <c r="A109" s="32">
        <f>IF($B109="","",108)</f>
        <v/>
      </c>
      <c r="B109" s="32">
        <f>IFERROR(LARGE(智能流水!$B$2:$B$1001,108),"")</f>
        <v/>
      </c>
      <c r="C109" s="33">
        <f>IF($B109="","",IFERROR(INDEX(智能流水!$C$2:$C$1001,MATCH($B109,智能流水!$B$2:$B$1001,0)),""))</f>
        <v/>
      </c>
      <c r="D109" s="34">
        <f>IF($B109="","",IFERROR(INDEX(智能流水!$D$2:$D$1001,MATCH($B109,智能流水!$B$2:$B$1001,0)),""))</f>
        <v/>
      </c>
      <c r="E109" s="34">
        <f>IF($B109="","",IFERROR(INDEX(智能流水!$E$2:$E$1001,MATCH($B109,智能流水!$B$2:$B$1001,0)),""))</f>
        <v/>
      </c>
      <c r="F109" s="34">
        <f>IF($B109="","",IFERROR(INDEX(智能流水!$F$2:$F$1001,MATCH($B109,智能流水!$B$2:$B$1001,0)),""))</f>
        <v/>
      </c>
      <c r="G109" s="32">
        <f>IF($B109="","",IFERROR(INDEX(智能流水!$G$2:$G$1001,MATCH($B109,智能流水!$B$2:$B$1001,0)),""))</f>
        <v/>
      </c>
      <c r="H109" s="32">
        <f>IF($B109="","",IFERROR(INDEX(智能流水!$H$2:$H$1001,MATCH($B109,智能流水!$B$2:$B$1001,0)),""))</f>
        <v/>
      </c>
      <c r="I109" s="32">
        <f>IF($B109="","",IFERROR(INDEX(智能流水!$I$2:$I$1001,MATCH($B109,智能流水!$B$2:$B$1001,0)),""))</f>
        <v/>
      </c>
      <c r="J109" s="32">
        <f>IF($B109="","",IFERROR(INDEX(智能流水!$J$2:$J$1001,MATCH($B109,智能流水!$B$2:$B$1001,0)),""))</f>
        <v/>
      </c>
      <c r="K109" s="35">
        <f>IF($B109="","",IFERROR(INDEX(智能流水!$K$2:$K$1001,MATCH($B109,智能流水!$B$2:$B$1001,0)),""))</f>
        <v/>
      </c>
      <c r="L109" s="32">
        <f>IF($B109="","",IFERROR(INDEX(智能流水!$L$2:$L$1001,MATCH($B109,智能流水!$B$2:$B$1001,0)),""))</f>
        <v/>
      </c>
      <c r="M109" s="32">
        <f>IF($B109="","",IFERROR(INDEX(智能流水!$M$2:$M$1001,MATCH($B109,智能流水!$B$2:$B$1001,0)),""))</f>
        <v/>
      </c>
      <c r="N109" s="32">
        <f>IF($B109="","",IFERROR(INDEX(智能流水!$N$2:$N$1001,MATCH($B109,智能流水!$B$2:$B$1001,0)),""))</f>
        <v/>
      </c>
      <c r="O109" s="32">
        <f>IF($B109="","",IFERROR(INDEX(智能流水!$O$2:$O$1001,MATCH($B109,智能流水!$B$2:$B$1001,0)),""))</f>
        <v/>
      </c>
    </row>
    <row r="110" ht="23" customHeight="1" s="21">
      <c r="A110" s="32">
        <f>IF($B110="","",109)</f>
        <v/>
      </c>
      <c r="B110" s="32">
        <f>IFERROR(LARGE(智能流水!$B$2:$B$1001,109),"")</f>
        <v/>
      </c>
      <c r="C110" s="33">
        <f>IF($B110="","",IFERROR(INDEX(智能流水!$C$2:$C$1001,MATCH($B110,智能流水!$B$2:$B$1001,0)),""))</f>
        <v/>
      </c>
      <c r="D110" s="34">
        <f>IF($B110="","",IFERROR(INDEX(智能流水!$D$2:$D$1001,MATCH($B110,智能流水!$B$2:$B$1001,0)),""))</f>
        <v/>
      </c>
      <c r="E110" s="34">
        <f>IF($B110="","",IFERROR(INDEX(智能流水!$E$2:$E$1001,MATCH($B110,智能流水!$B$2:$B$1001,0)),""))</f>
        <v/>
      </c>
      <c r="F110" s="34">
        <f>IF($B110="","",IFERROR(INDEX(智能流水!$F$2:$F$1001,MATCH($B110,智能流水!$B$2:$B$1001,0)),""))</f>
        <v/>
      </c>
      <c r="G110" s="32">
        <f>IF($B110="","",IFERROR(INDEX(智能流水!$G$2:$G$1001,MATCH($B110,智能流水!$B$2:$B$1001,0)),""))</f>
        <v/>
      </c>
      <c r="H110" s="32">
        <f>IF($B110="","",IFERROR(INDEX(智能流水!$H$2:$H$1001,MATCH($B110,智能流水!$B$2:$B$1001,0)),""))</f>
        <v/>
      </c>
      <c r="I110" s="32">
        <f>IF($B110="","",IFERROR(INDEX(智能流水!$I$2:$I$1001,MATCH($B110,智能流水!$B$2:$B$1001,0)),""))</f>
        <v/>
      </c>
      <c r="J110" s="32">
        <f>IF($B110="","",IFERROR(INDEX(智能流水!$J$2:$J$1001,MATCH($B110,智能流水!$B$2:$B$1001,0)),""))</f>
        <v/>
      </c>
      <c r="K110" s="35">
        <f>IF($B110="","",IFERROR(INDEX(智能流水!$K$2:$K$1001,MATCH($B110,智能流水!$B$2:$B$1001,0)),""))</f>
        <v/>
      </c>
      <c r="L110" s="32">
        <f>IF($B110="","",IFERROR(INDEX(智能流水!$L$2:$L$1001,MATCH($B110,智能流水!$B$2:$B$1001,0)),""))</f>
        <v/>
      </c>
      <c r="M110" s="32">
        <f>IF($B110="","",IFERROR(INDEX(智能流水!$M$2:$M$1001,MATCH($B110,智能流水!$B$2:$B$1001,0)),""))</f>
        <v/>
      </c>
      <c r="N110" s="32">
        <f>IF($B110="","",IFERROR(INDEX(智能流水!$N$2:$N$1001,MATCH($B110,智能流水!$B$2:$B$1001,0)),""))</f>
        <v/>
      </c>
      <c r="O110" s="32">
        <f>IF($B110="","",IFERROR(INDEX(智能流水!$O$2:$O$1001,MATCH($B110,智能流水!$B$2:$B$1001,0)),""))</f>
        <v/>
      </c>
    </row>
    <row r="111" ht="23" customHeight="1" s="21">
      <c r="A111" s="32">
        <f>IF($B111="","",110)</f>
        <v/>
      </c>
      <c r="B111" s="32">
        <f>IFERROR(LARGE(智能流水!$B$2:$B$1001,110),"")</f>
        <v/>
      </c>
      <c r="C111" s="33">
        <f>IF($B111="","",IFERROR(INDEX(智能流水!$C$2:$C$1001,MATCH($B111,智能流水!$B$2:$B$1001,0)),""))</f>
        <v/>
      </c>
      <c r="D111" s="34">
        <f>IF($B111="","",IFERROR(INDEX(智能流水!$D$2:$D$1001,MATCH($B111,智能流水!$B$2:$B$1001,0)),""))</f>
        <v/>
      </c>
      <c r="E111" s="34">
        <f>IF($B111="","",IFERROR(INDEX(智能流水!$E$2:$E$1001,MATCH($B111,智能流水!$B$2:$B$1001,0)),""))</f>
        <v/>
      </c>
      <c r="F111" s="34">
        <f>IF($B111="","",IFERROR(INDEX(智能流水!$F$2:$F$1001,MATCH($B111,智能流水!$B$2:$B$1001,0)),""))</f>
        <v/>
      </c>
      <c r="G111" s="32">
        <f>IF($B111="","",IFERROR(INDEX(智能流水!$G$2:$G$1001,MATCH($B111,智能流水!$B$2:$B$1001,0)),""))</f>
        <v/>
      </c>
      <c r="H111" s="32">
        <f>IF($B111="","",IFERROR(INDEX(智能流水!$H$2:$H$1001,MATCH($B111,智能流水!$B$2:$B$1001,0)),""))</f>
        <v/>
      </c>
      <c r="I111" s="32">
        <f>IF($B111="","",IFERROR(INDEX(智能流水!$I$2:$I$1001,MATCH($B111,智能流水!$B$2:$B$1001,0)),""))</f>
        <v/>
      </c>
      <c r="J111" s="32">
        <f>IF($B111="","",IFERROR(INDEX(智能流水!$J$2:$J$1001,MATCH($B111,智能流水!$B$2:$B$1001,0)),""))</f>
        <v/>
      </c>
      <c r="K111" s="35">
        <f>IF($B111="","",IFERROR(INDEX(智能流水!$K$2:$K$1001,MATCH($B111,智能流水!$B$2:$B$1001,0)),""))</f>
        <v/>
      </c>
      <c r="L111" s="32">
        <f>IF($B111="","",IFERROR(INDEX(智能流水!$L$2:$L$1001,MATCH($B111,智能流水!$B$2:$B$1001,0)),""))</f>
        <v/>
      </c>
      <c r="M111" s="32">
        <f>IF($B111="","",IFERROR(INDEX(智能流水!$M$2:$M$1001,MATCH($B111,智能流水!$B$2:$B$1001,0)),""))</f>
        <v/>
      </c>
      <c r="N111" s="32">
        <f>IF($B111="","",IFERROR(INDEX(智能流水!$N$2:$N$1001,MATCH($B111,智能流水!$B$2:$B$1001,0)),""))</f>
        <v/>
      </c>
      <c r="O111" s="32">
        <f>IF($B111="","",IFERROR(INDEX(智能流水!$O$2:$O$1001,MATCH($B111,智能流水!$B$2:$B$1001,0)),""))</f>
        <v/>
      </c>
    </row>
    <row r="112" ht="23" customHeight="1" s="21">
      <c r="A112" s="32">
        <f>IF($B112="","",111)</f>
        <v/>
      </c>
      <c r="B112" s="32">
        <f>IFERROR(LARGE(智能流水!$B$2:$B$1001,111),"")</f>
        <v/>
      </c>
      <c r="C112" s="33">
        <f>IF($B112="","",IFERROR(INDEX(智能流水!$C$2:$C$1001,MATCH($B112,智能流水!$B$2:$B$1001,0)),""))</f>
        <v/>
      </c>
      <c r="D112" s="34">
        <f>IF($B112="","",IFERROR(INDEX(智能流水!$D$2:$D$1001,MATCH($B112,智能流水!$B$2:$B$1001,0)),""))</f>
        <v/>
      </c>
      <c r="E112" s="34">
        <f>IF($B112="","",IFERROR(INDEX(智能流水!$E$2:$E$1001,MATCH($B112,智能流水!$B$2:$B$1001,0)),""))</f>
        <v/>
      </c>
      <c r="F112" s="34">
        <f>IF($B112="","",IFERROR(INDEX(智能流水!$F$2:$F$1001,MATCH($B112,智能流水!$B$2:$B$1001,0)),""))</f>
        <v/>
      </c>
      <c r="G112" s="32">
        <f>IF($B112="","",IFERROR(INDEX(智能流水!$G$2:$G$1001,MATCH($B112,智能流水!$B$2:$B$1001,0)),""))</f>
        <v/>
      </c>
      <c r="H112" s="32">
        <f>IF($B112="","",IFERROR(INDEX(智能流水!$H$2:$H$1001,MATCH($B112,智能流水!$B$2:$B$1001,0)),""))</f>
        <v/>
      </c>
      <c r="I112" s="32">
        <f>IF($B112="","",IFERROR(INDEX(智能流水!$I$2:$I$1001,MATCH($B112,智能流水!$B$2:$B$1001,0)),""))</f>
        <v/>
      </c>
      <c r="J112" s="32">
        <f>IF($B112="","",IFERROR(INDEX(智能流水!$J$2:$J$1001,MATCH($B112,智能流水!$B$2:$B$1001,0)),""))</f>
        <v/>
      </c>
      <c r="K112" s="35">
        <f>IF($B112="","",IFERROR(INDEX(智能流水!$K$2:$K$1001,MATCH($B112,智能流水!$B$2:$B$1001,0)),""))</f>
        <v/>
      </c>
      <c r="L112" s="32">
        <f>IF($B112="","",IFERROR(INDEX(智能流水!$L$2:$L$1001,MATCH($B112,智能流水!$B$2:$B$1001,0)),""))</f>
        <v/>
      </c>
      <c r="M112" s="32">
        <f>IF($B112="","",IFERROR(INDEX(智能流水!$M$2:$M$1001,MATCH($B112,智能流水!$B$2:$B$1001,0)),""))</f>
        <v/>
      </c>
      <c r="N112" s="32">
        <f>IF($B112="","",IFERROR(INDEX(智能流水!$N$2:$N$1001,MATCH($B112,智能流水!$B$2:$B$1001,0)),""))</f>
        <v/>
      </c>
      <c r="O112" s="32">
        <f>IF($B112="","",IFERROR(INDEX(智能流水!$O$2:$O$1001,MATCH($B112,智能流水!$B$2:$B$1001,0)),""))</f>
        <v/>
      </c>
    </row>
    <row r="113" ht="23" customHeight="1" s="21">
      <c r="A113" s="32">
        <f>IF($B113="","",112)</f>
        <v/>
      </c>
      <c r="B113" s="32">
        <f>IFERROR(LARGE(智能流水!$B$2:$B$1001,112),"")</f>
        <v/>
      </c>
      <c r="C113" s="33">
        <f>IF($B113="","",IFERROR(INDEX(智能流水!$C$2:$C$1001,MATCH($B113,智能流水!$B$2:$B$1001,0)),""))</f>
        <v/>
      </c>
      <c r="D113" s="34">
        <f>IF($B113="","",IFERROR(INDEX(智能流水!$D$2:$D$1001,MATCH($B113,智能流水!$B$2:$B$1001,0)),""))</f>
        <v/>
      </c>
      <c r="E113" s="34">
        <f>IF($B113="","",IFERROR(INDEX(智能流水!$E$2:$E$1001,MATCH($B113,智能流水!$B$2:$B$1001,0)),""))</f>
        <v/>
      </c>
      <c r="F113" s="34">
        <f>IF($B113="","",IFERROR(INDEX(智能流水!$F$2:$F$1001,MATCH($B113,智能流水!$B$2:$B$1001,0)),""))</f>
        <v/>
      </c>
      <c r="G113" s="32">
        <f>IF($B113="","",IFERROR(INDEX(智能流水!$G$2:$G$1001,MATCH($B113,智能流水!$B$2:$B$1001,0)),""))</f>
        <v/>
      </c>
      <c r="H113" s="32">
        <f>IF($B113="","",IFERROR(INDEX(智能流水!$H$2:$H$1001,MATCH($B113,智能流水!$B$2:$B$1001,0)),""))</f>
        <v/>
      </c>
      <c r="I113" s="32">
        <f>IF($B113="","",IFERROR(INDEX(智能流水!$I$2:$I$1001,MATCH($B113,智能流水!$B$2:$B$1001,0)),""))</f>
        <v/>
      </c>
      <c r="J113" s="32">
        <f>IF($B113="","",IFERROR(INDEX(智能流水!$J$2:$J$1001,MATCH($B113,智能流水!$B$2:$B$1001,0)),""))</f>
        <v/>
      </c>
      <c r="K113" s="35">
        <f>IF($B113="","",IFERROR(INDEX(智能流水!$K$2:$K$1001,MATCH($B113,智能流水!$B$2:$B$1001,0)),""))</f>
        <v/>
      </c>
      <c r="L113" s="32">
        <f>IF($B113="","",IFERROR(INDEX(智能流水!$L$2:$L$1001,MATCH($B113,智能流水!$B$2:$B$1001,0)),""))</f>
        <v/>
      </c>
      <c r="M113" s="32">
        <f>IF($B113="","",IFERROR(INDEX(智能流水!$M$2:$M$1001,MATCH($B113,智能流水!$B$2:$B$1001,0)),""))</f>
        <v/>
      </c>
      <c r="N113" s="32">
        <f>IF($B113="","",IFERROR(INDEX(智能流水!$N$2:$N$1001,MATCH($B113,智能流水!$B$2:$B$1001,0)),""))</f>
        <v/>
      </c>
      <c r="O113" s="32">
        <f>IF($B113="","",IFERROR(INDEX(智能流水!$O$2:$O$1001,MATCH($B113,智能流水!$B$2:$B$1001,0)),""))</f>
        <v/>
      </c>
    </row>
    <row r="114" ht="23" customHeight="1" s="21">
      <c r="A114" s="32">
        <f>IF($B114="","",113)</f>
        <v/>
      </c>
      <c r="B114" s="32">
        <f>IFERROR(LARGE(智能流水!$B$2:$B$1001,113),"")</f>
        <v/>
      </c>
      <c r="C114" s="33">
        <f>IF($B114="","",IFERROR(INDEX(智能流水!$C$2:$C$1001,MATCH($B114,智能流水!$B$2:$B$1001,0)),""))</f>
        <v/>
      </c>
      <c r="D114" s="34">
        <f>IF($B114="","",IFERROR(INDEX(智能流水!$D$2:$D$1001,MATCH($B114,智能流水!$B$2:$B$1001,0)),""))</f>
        <v/>
      </c>
      <c r="E114" s="34">
        <f>IF($B114="","",IFERROR(INDEX(智能流水!$E$2:$E$1001,MATCH($B114,智能流水!$B$2:$B$1001,0)),""))</f>
        <v/>
      </c>
      <c r="F114" s="34">
        <f>IF($B114="","",IFERROR(INDEX(智能流水!$F$2:$F$1001,MATCH($B114,智能流水!$B$2:$B$1001,0)),""))</f>
        <v/>
      </c>
      <c r="G114" s="32">
        <f>IF($B114="","",IFERROR(INDEX(智能流水!$G$2:$G$1001,MATCH($B114,智能流水!$B$2:$B$1001,0)),""))</f>
        <v/>
      </c>
      <c r="H114" s="32">
        <f>IF($B114="","",IFERROR(INDEX(智能流水!$H$2:$H$1001,MATCH($B114,智能流水!$B$2:$B$1001,0)),""))</f>
        <v/>
      </c>
      <c r="I114" s="32">
        <f>IF($B114="","",IFERROR(INDEX(智能流水!$I$2:$I$1001,MATCH($B114,智能流水!$B$2:$B$1001,0)),""))</f>
        <v/>
      </c>
      <c r="J114" s="32">
        <f>IF($B114="","",IFERROR(INDEX(智能流水!$J$2:$J$1001,MATCH($B114,智能流水!$B$2:$B$1001,0)),""))</f>
        <v/>
      </c>
      <c r="K114" s="35">
        <f>IF($B114="","",IFERROR(INDEX(智能流水!$K$2:$K$1001,MATCH($B114,智能流水!$B$2:$B$1001,0)),""))</f>
        <v/>
      </c>
      <c r="L114" s="32">
        <f>IF($B114="","",IFERROR(INDEX(智能流水!$L$2:$L$1001,MATCH($B114,智能流水!$B$2:$B$1001,0)),""))</f>
        <v/>
      </c>
      <c r="M114" s="32">
        <f>IF($B114="","",IFERROR(INDEX(智能流水!$M$2:$M$1001,MATCH($B114,智能流水!$B$2:$B$1001,0)),""))</f>
        <v/>
      </c>
      <c r="N114" s="32">
        <f>IF($B114="","",IFERROR(INDEX(智能流水!$N$2:$N$1001,MATCH($B114,智能流水!$B$2:$B$1001,0)),""))</f>
        <v/>
      </c>
      <c r="O114" s="32">
        <f>IF($B114="","",IFERROR(INDEX(智能流水!$O$2:$O$1001,MATCH($B114,智能流水!$B$2:$B$1001,0)),""))</f>
        <v/>
      </c>
    </row>
    <row r="115" ht="23" customHeight="1" s="21">
      <c r="A115" s="32">
        <f>IF($B115="","",114)</f>
        <v/>
      </c>
      <c r="B115" s="32">
        <f>IFERROR(LARGE(智能流水!$B$2:$B$1001,114),"")</f>
        <v/>
      </c>
      <c r="C115" s="33">
        <f>IF($B115="","",IFERROR(INDEX(智能流水!$C$2:$C$1001,MATCH($B115,智能流水!$B$2:$B$1001,0)),""))</f>
        <v/>
      </c>
      <c r="D115" s="34">
        <f>IF($B115="","",IFERROR(INDEX(智能流水!$D$2:$D$1001,MATCH($B115,智能流水!$B$2:$B$1001,0)),""))</f>
        <v/>
      </c>
      <c r="E115" s="34">
        <f>IF($B115="","",IFERROR(INDEX(智能流水!$E$2:$E$1001,MATCH($B115,智能流水!$B$2:$B$1001,0)),""))</f>
        <v/>
      </c>
      <c r="F115" s="34">
        <f>IF($B115="","",IFERROR(INDEX(智能流水!$F$2:$F$1001,MATCH($B115,智能流水!$B$2:$B$1001,0)),""))</f>
        <v/>
      </c>
      <c r="G115" s="32">
        <f>IF($B115="","",IFERROR(INDEX(智能流水!$G$2:$G$1001,MATCH($B115,智能流水!$B$2:$B$1001,0)),""))</f>
        <v/>
      </c>
      <c r="H115" s="32">
        <f>IF($B115="","",IFERROR(INDEX(智能流水!$H$2:$H$1001,MATCH($B115,智能流水!$B$2:$B$1001,0)),""))</f>
        <v/>
      </c>
      <c r="I115" s="32">
        <f>IF($B115="","",IFERROR(INDEX(智能流水!$I$2:$I$1001,MATCH($B115,智能流水!$B$2:$B$1001,0)),""))</f>
        <v/>
      </c>
      <c r="J115" s="32">
        <f>IF($B115="","",IFERROR(INDEX(智能流水!$J$2:$J$1001,MATCH($B115,智能流水!$B$2:$B$1001,0)),""))</f>
        <v/>
      </c>
      <c r="K115" s="35">
        <f>IF($B115="","",IFERROR(INDEX(智能流水!$K$2:$K$1001,MATCH($B115,智能流水!$B$2:$B$1001,0)),""))</f>
        <v/>
      </c>
      <c r="L115" s="32">
        <f>IF($B115="","",IFERROR(INDEX(智能流水!$L$2:$L$1001,MATCH($B115,智能流水!$B$2:$B$1001,0)),""))</f>
        <v/>
      </c>
      <c r="M115" s="32">
        <f>IF($B115="","",IFERROR(INDEX(智能流水!$M$2:$M$1001,MATCH($B115,智能流水!$B$2:$B$1001,0)),""))</f>
        <v/>
      </c>
      <c r="N115" s="32">
        <f>IF($B115="","",IFERROR(INDEX(智能流水!$N$2:$N$1001,MATCH($B115,智能流水!$B$2:$B$1001,0)),""))</f>
        <v/>
      </c>
      <c r="O115" s="32">
        <f>IF($B115="","",IFERROR(INDEX(智能流水!$O$2:$O$1001,MATCH($B115,智能流水!$B$2:$B$1001,0)),""))</f>
        <v/>
      </c>
    </row>
    <row r="116" ht="23" customHeight="1" s="21">
      <c r="A116" s="32">
        <f>IF($B116="","",115)</f>
        <v/>
      </c>
      <c r="B116" s="32">
        <f>IFERROR(LARGE(智能流水!$B$2:$B$1001,115),"")</f>
        <v/>
      </c>
      <c r="C116" s="33">
        <f>IF($B116="","",IFERROR(INDEX(智能流水!$C$2:$C$1001,MATCH($B116,智能流水!$B$2:$B$1001,0)),""))</f>
        <v/>
      </c>
      <c r="D116" s="34">
        <f>IF($B116="","",IFERROR(INDEX(智能流水!$D$2:$D$1001,MATCH($B116,智能流水!$B$2:$B$1001,0)),""))</f>
        <v/>
      </c>
      <c r="E116" s="34">
        <f>IF($B116="","",IFERROR(INDEX(智能流水!$E$2:$E$1001,MATCH($B116,智能流水!$B$2:$B$1001,0)),""))</f>
        <v/>
      </c>
      <c r="F116" s="34">
        <f>IF($B116="","",IFERROR(INDEX(智能流水!$F$2:$F$1001,MATCH($B116,智能流水!$B$2:$B$1001,0)),""))</f>
        <v/>
      </c>
      <c r="G116" s="32">
        <f>IF($B116="","",IFERROR(INDEX(智能流水!$G$2:$G$1001,MATCH($B116,智能流水!$B$2:$B$1001,0)),""))</f>
        <v/>
      </c>
      <c r="H116" s="32">
        <f>IF($B116="","",IFERROR(INDEX(智能流水!$H$2:$H$1001,MATCH($B116,智能流水!$B$2:$B$1001,0)),""))</f>
        <v/>
      </c>
      <c r="I116" s="32">
        <f>IF($B116="","",IFERROR(INDEX(智能流水!$I$2:$I$1001,MATCH($B116,智能流水!$B$2:$B$1001,0)),""))</f>
        <v/>
      </c>
      <c r="J116" s="32">
        <f>IF($B116="","",IFERROR(INDEX(智能流水!$J$2:$J$1001,MATCH($B116,智能流水!$B$2:$B$1001,0)),""))</f>
        <v/>
      </c>
      <c r="K116" s="35">
        <f>IF($B116="","",IFERROR(INDEX(智能流水!$K$2:$K$1001,MATCH($B116,智能流水!$B$2:$B$1001,0)),""))</f>
        <v/>
      </c>
      <c r="L116" s="32">
        <f>IF($B116="","",IFERROR(INDEX(智能流水!$L$2:$L$1001,MATCH($B116,智能流水!$B$2:$B$1001,0)),""))</f>
        <v/>
      </c>
      <c r="M116" s="32">
        <f>IF($B116="","",IFERROR(INDEX(智能流水!$M$2:$M$1001,MATCH($B116,智能流水!$B$2:$B$1001,0)),""))</f>
        <v/>
      </c>
      <c r="N116" s="32">
        <f>IF($B116="","",IFERROR(INDEX(智能流水!$N$2:$N$1001,MATCH($B116,智能流水!$B$2:$B$1001,0)),""))</f>
        <v/>
      </c>
      <c r="O116" s="32">
        <f>IF($B116="","",IFERROR(INDEX(智能流水!$O$2:$O$1001,MATCH($B116,智能流水!$B$2:$B$1001,0)),""))</f>
        <v/>
      </c>
    </row>
    <row r="117" ht="23" customHeight="1" s="21">
      <c r="A117" s="32">
        <f>IF($B117="","",116)</f>
        <v/>
      </c>
      <c r="B117" s="32">
        <f>IFERROR(LARGE(智能流水!$B$2:$B$1001,116),"")</f>
        <v/>
      </c>
      <c r="C117" s="33">
        <f>IF($B117="","",IFERROR(INDEX(智能流水!$C$2:$C$1001,MATCH($B117,智能流水!$B$2:$B$1001,0)),""))</f>
        <v/>
      </c>
      <c r="D117" s="34">
        <f>IF($B117="","",IFERROR(INDEX(智能流水!$D$2:$D$1001,MATCH($B117,智能流水!$B$2:$B$1001,0)),""))</f>
        <v/>
      </c>
      <c r="E117" s="34">
        <f>IF($B117="","",IFERROR(INDEX(智能流水!$E$2:$E$1001,MATCH($B117,智能流水!$B$2:$B$1001,0)),""))</f>
        <v/>
      </c>
      <c r="F117" s="34">
        <f>IF($B117="","",IFERROR(INDEX(智能流水!$F$2:$F$1001,MATCH($B117,智能流水!$B$2:$B$1001,0)),""))</f>
        <v/>
      </c>
      <c r="G117" s="32">
        <f>IF($B117="","",IFERROR(INDEX(智能流水!$G$2:$G$1001,MATCH($B117,智能流水!$B$2:$B$1001,0)),""))</f>
        <v/>
      </c>
      <c r="H117" s="32">
        <f>IF($B117="","",IFERROR(INDEX(智能流水!$H$2:$H$1001,MATCH($B117,智能流水!$B$2:$B$1001,0)),""))</f>
        <v/>
      </c>
      <c r="I117" s="32">
        <f>IF($B117="","",IFERROR(INDEX(智能流水!$I$2:$I$1001,MATCH($B117,智能流水!$B$2:$B$1001,0)),""))</f>
        <v/>
      </c>
      <c r="J117" s="32">
        <f>IF($B117="","",IFERROR(INDEX(智能流水!$J$2:$J$1001,MATCH($B117,智能流水!$B$2:$B$1001,0)),""))</f>
        <v/>
      </c>
      <c r="K117" s="35">
        <f>IF($B117="","",IFERROR(INDEX(智能流水!$K$2:$K$1001,MATCH($B117,智能流水!$B$2:$B$1001,0)),""))</f>
        <v/>
      </c>
      <c r="L117" s="32">
        <f>IF($B117="","",IFERROR(INDEX(智能流水!$L$2:$L$1001,MATCH($B117,智能流水!$B$2:$B$1001,0)),""))</f>
        <v/>
      </c>
      <c r="M117" s="32">
        <f>IF($B117="","",IFERROR(INDEX(智能流水!$M$2:$M$1001,MATCH($B117,智能流水!$B$2:$B$1001,0)),""))</f>
        <v/>
      </c>
      <c r="N117" s="32">
        <f>IF($B117="","",IFERROR(INDEX(智能流水!$N$2:$N$1001,MATCH($B117,智能流水!$B$2:$B$1001,0)),""))</f>
        <v/>
      </c>
      <c r="O117" s="32">
        <f>IF($B117="","",IFERROR(INDEX(智能流水!$O$2:$O$1001,MATCH($B117,智能流水!$B$2:$B$1001,0)),""))</f>
        <v/>
      </c>
    </row>
    <row r="118" ht="23" customHeight="1" s="21">
      <c r="A118" s="32">
        <f>IF($B118="","",117)</f>
        <v/>
      </c>
      <c r="B118" s="32">
        <f>IFERROR(LARGE(智能流水!$B$2:$B$1001,117),"")</f>
        <v/>
      </c>
      <c r="C118" s="33">
        <f>IF($B118="","",IFERROR(INDEX(智能流水!$C$2:$C$1001,MATCH($B118,智能流水!$B$2:$B$1001,0)),""))</f>
        <v/>
      </c>
      <c r="D118" s="34">
        <f>IF($B118="","",IFERROR(INDEX(智能流水!$D$2:$D$1001,MATCH($B118,智能流水!$B$2:$B$1001,0)),""))</f>
        <v/>
      </c>
      <c r="E118" s="34">
        <f>IF($B118="","",IFERROR(INDEX(智能流水!$E$2:$E$1001,MATCH($B118,智能流水!$B$2:$B$1001,0)),""))</f>
        <v/>
      </c>
      <c r="F118" s="34">
        <f>IF($B118="","",IFERROR(INDEX(智能流水!$F$2:$F$1001,MATCH($B118,智能流水!$B$2:$B$1001,0)),""))</f>
        <v/>
      </c>
      <c r="G118" s="32">
        <f>IF($B118="","",IFERROR(INDEX(智能流水!$G$2:$G$1001,MATCH($B118,智能流水!$B$2:$B$1001,0)),""))</f>
        <v/>
      </c>
      <c r="H118" s="32">
        <f>IF($B118="","",IFERROR(INDEX(智能流水!$H$2:$H$1001,MATCH($B118,智能流水!$B$2:$B$1001,0)),""))</f>
        <v/>
      </c>
      <c r="I118" s="32">
        <f>IF($B118="","",IFERROR(INDEX(智能流水!$I$2:$I$1001,MATCH($B118,智能流水!$B$2:$B$1001,0)),""))</f>
        <v/>
      </c>
      <c r="J118" s="32">
        <f>IF($B118="","",IFERROR(INDEX(智能流水!$J$2:$J$1001,MATCH($B118,智能流水!$B$2:$B$1001,0)),""))</f>
        <v/>
      </c>
      <c r="K118" s="35">
        <f>IF($B118="","",IFERROR(INDEX(智能流水!$K$2:$K$1001,MATCH($B118,智能流水!$B$2:$B$1001,0)),""))</f>
        <v/>
      </c>
      <c r="L118" s="32">
        <f>IF($B118="","",IFERROR(INDEX(智能流水!$L$2:$L$1001,MATCH($B118,智能流水!$B$2:$B$1001,0)),""))</f>
        <v/>
      </c>
      <c r="M118" s="32">
        <f>IF($B118="","",IFERROR(INDEX(智能流水!$M$2:$M$1001,MATCH($B118,智能流水!$B$2:$B$1001,0)),""))</f>
        <v/>
      </c>
      <c r="N118" s="32">
        <f>IF($B118="","",IFERROR(INDEX(智能流水!$N$2:$N$1001,MATCH($B118,智能流水!$B$2:$B$1001,0)),""))</f>
        <v/>
      </c>
      <c r="O118" s="32">
        <f>IF($B118="","",IFERROR(INDEX(智能流水!$O$2:$O$1001,MATCH($B118,智能流水!$B$2:$B$1001,0)),""))</f>
        <v/>
      </c>
    </row>
    <row r="119" ht="23" customHeight="1" s="21">
      <c r="A119" s="32">
        <f>IF($B119="","",118)</f>
        <v/>
      </c>
      <c r="B119" s="32">
        <f>IFERROR(LARGE(智能流水!$B$2:$B$1001,118),"")</f>
        <v/>
      </c>
      <c r="C119" s="33">
        <f>IF($B119="","",IFERROR(INDEX(智能流水!$C$2:$C$1001,MATCH($B119,智能流水!$B$2:$B$1001,0)),""))</f>
        <v/>
      </c>
      <c r="D119" s="34">
        <f>IF($B119="","",IFERROR(INDEX(智能流水!$D$2:$D$1001,MATCH($B119,智能流水!$B$2:$B$1001,0)),""))</f>
        <v/>
      </c>
      <c r="E119" s="34">
        <f>IF($B119="","",IFERROR(INDEX(智能流水!$E$2:$E$1001,MATCH($B119,智能流水!$B$2:$B$1001,0)),""))</f>
        <v/>
      </c>
      <c r="F119" s="34">
        <f>IF($B119="","",IFERROR(INDEX(智能流水!$F$2:$F$1001,MATCH($B119,智能流水!$B$2:$B$1001,0)),""))</f>
        <v/>
      </c>
      <c r="G119" s="32">
        <f>IF($B119="","",IFERROR(INDEX(智能流水!$G$2:$G$1001,MATCH($B119,智能流水!$B$2:$B$1001,0)),""))</f>
        <v/>
      </c>
      <c r="H119" s="32">
        <f>IF($B119="","",IFERROR(INDEX(智能流水!$H$2:$H$1001,MATCH($B119,智能流水!$B$2:$B$1001,0)),""))</f>
        <v/>
      </c>
      <c r="I119" s="32">
        <f>IF($B119="","",IFERROR(INDEX(智能流水!$I$2:$I$1001,MATCH($B119,智能流水!$B$2:$B$1001,0)),""))</f>
        <v/>
      </c>
      <c r="J119" s="32">
        <f>IF($B119="","",IFERROR(INDEX(智能流水!$J$2:$J$1001,MATCH($B119,智能流水!$B$2:$B$1001,0)),""))</f>
        <v/>
      </c>
      <c r="K119" s="35">
        <f>IF($B119="","",IFERROR(INDEX(智能流水!$K$2:$K$1001,MATCH($B119,智能流水!$B$2:$B$1001,0)),""))</f>
        <v/>
      </c>
      <c r="L119" s="32">
        <f>IF($B119="","",IFERROR(INDEX(智能流水!$L$2:$L$1001,MATCH($B119,智能流水!$B$2:$B$1001,0)),""))</f>
        <v/>
      </c>
      <c r="M119" s="32">
        <f>IF($B119="","",IFERROR(INDEX(智能流水!$M$2:$M$1001,MATCH($B119,智能流水!$B$2:$B$1001,0)),""))</f>
        <v/>
      </c>
      <c r="N119" s="32">
        <f>IF($B119="","",IFERROR(INDEX(智能流水!$N$2:$N$1001,MATCH($B119,智能流水!$B$2:$B$1001,0)),""))</f>
        <v/>
      </c>
      <c r="O119" s="32">
        <f>IF($B119="","",IFERROR(INDEX(智能流水!$O$2:$O$1001,MATCH($B119,智能流水!$B$2:$B$1001,0)),""))</f>
        <v/>
      </c>
    </row>
    <row r="120" ht="23" customHeight="1" s="21">
      <c r="A120" s="32">
        <f>IF($B120="","",119)</f>
        <v/>
      </c>
      <c r="B120" s="32">
        <f>IFERROR(LARGE(智能流水!$B$2:$B$1001,119),"")</f>
        <v/>
      </c>
      <c r="C120" s="33">
        <f>IF($B120="","",IFERROR(INDEX(智能流水!$C$2:$C$1001,MATCH($B120,智能流水!$B$2:$B$1001,0)),""))</f>
        <v/>
      </c>
      <c r="D120" s="34">
        <f>IF($B120="","",IFERROR(INDEX(智能流水!$D$2:$D$1001,MATCH($B120,智能流水!$B$2:$B$1001,0)),""))</f>
        <v/>
      </c>
      <c r="E120" s="34">
        <f>IF($B120="","",IFERROR(INDEX(智能流水!$E$2:$E$1001,MATCH($B120,智能流水!$B$2:$B$1001,0)),""))</f>
        <v/>
      </c>
      <c r="F120" s="34">
        <f>IF($B120="","",IFERROR(INDEX(智能流水!$F$2:$F$1001,MATCH($B120,智能流水!$B$2:$B$1001,0)),""))</f>
        <v/>
      </c>
      <c r="G120" s="32">
        <f>IF($B120="","",IFERROR(INDEX(智能流水!$G$2:$G$1001,MATCH($B120,智能流水!$B$2:$B$1001,0)),""))</f>
        <v/>
      </c>
      <c r="H120" s="32">
        <f>IF($B120="","",IFERROR(INDEX(智能流水!$H$2:$H$1001,MATCH($B120,智能流水!$B$2:$B$1001,0)),""))</f>
        <v/>
      </c>
      <c r="I120" s="32">
        <f>IF($B120="","",IFERROR(INDEX(智能流水!$I$2:$I$1001,MATCH($B120,智能流水!$B$2:$B$1001,0)),""))</f>
        <v/>
      </c>
      <c r="J120" s="32">
        <f>IF($B120="","",IFERROR(INDEX(智能流水!$J$2:$J$1001,MATCH($B120,智能流水!$B$2:$B$1001,0)),""))</f>
        <v/>
      </c>
      <c r="K120" s="35">
        <f>IF($B120="","",IFERROR(INDEX(智能流水!$K$2:$K$1001,MATCH($B120,智能流水!$B$2:$B$1001,0)),""))</f>
        <v/>
      </c>
      <c r="L120" s="32">
        <f>IF($B120="","",IFERROR(INDEX(智能流水!$L$2:$L$1001,MATCH($B120,智能流水!$B$2:$B$1001,0)),""))</f>
        <v/>
      </c>
      <c r="M120" s="32">
        <f>IF($B120="","",IFERROR(INDEX(智能流水!$M$2:$M$1001,MATCH($B120,智能流水!$B$2:$B$1001,0)),""))</f>
        <v/>
      </c>
      <c r="N120" s="32">
        <f>IF($B120="","",IFERROR(INDEX(智能流水!$N$2:$N$1001,MATCH($B120,智能流水!$B$2:$B$1001,0)),""))</f>
        <v/>
      </c>
      <c r="O120" s="32">
        <f>IF($B120="","",IFERROR(INDEX(智能流水!$O$2:$O$1001,MATCH($B120,智能流水!$B$2:$B$1001,0)),""))</f>
        <v/>
      </c>
    </row>
    <row r="121" ht="23" customHeight="1" s="21">
      <c r="A121" s="32">
        <f>IF($B121="","",120)</f>
        <v/>
      </c>
      <c r="B121" s="32">
        <f>IFERROR(LARGE(智能流水!$B$2:$B$1001,120),"")</f>
        <v/>
      </c>
      <c r="C121" s="33">
        <f>IF($B121="","",IFERROR(INDEX(智能流水!$C$2:$C$1001,MATCH($B121,智能流水!$B$2:$B$1001,0)),""))</f>
        <v/>
      </c>
      <c r="D121" s="34">
        <f>IF($B121="","",IFERROR(INDEX(智能流水!$D$2:$D$1001,MATCH($B121,智能流水!$B$2:$B$1001,0)),""))</f>
        <v/>
      </c>
      <c r="E121" s="34">
        <f>IF($B121="","",IFERROR(INDEX(智能流水!$E$2:$E$1001,MATCH($B121,智能流水!$B$2:$B$1001,0)),""))</f>
        <v/>
      </c>
      <c r="F121" s="34">
        <f>IF($B121="","",IFERROR(INDEX(智能流水!$F$2:$F$1001,MATCH($B121,智能流水!$B$2:$B$1001,0)),""))</f>
        <v/>
      </c>
      <c r="G121" s="32">
        <f>IF($B121="","",IFERROR(INDEX(智能流水!$G$2:$G$1001,MATCH($B121,智能流水!$B$2:$B$1001,0)),""))</f>
        <v/>
      </c>
      <c r="H121" s="32">
        <f>IF($B121="","",IFERROR(INDEX(智能流水!$H$2:$H$1001,MATCH($B121,智能流水!$B$2:$B$1001,0)),""))</f>
        <v/>
      </c>
      <c r="I121" s="32">
        <f>IF($B121="","",IFERROR(INDEX(智能流水!$I$2:$I$1001,MATCH($B121,智能流水!$B$2:$B$1001,0)),""))</f>
        <v/>
      </c>
      <c r="J121" s="32">
        <f>IF($B121="","",IFERROR(INDEX(智能流水!$J$2:$J$1001,MATCH($B121,智能流水!$B$2:$B$1001,0)),""))</f>
        <v/>
      </c>
      <c r="K121" s="35">
        <f>IF($B121="","",IFERROR(INDEX(智能流水!$K$2:$K$1001,MATCH($B121,智能流水!$B$2:$B$1001,0)),""))</f>
        <v/>
      </c>
      <c r="L121" s="32">
        <f>IF($B121="","",IFERROR(INDEX(智能流水!$L$2:$L$1001,MATCH($B121,智能流水!$B$2:$B$1001,0)),""))</f>
        <v/>
      </c>
      <c r="M121" s="32">
        <f>IF($B121="","",IFERROR(INDEX(智能流水!$M$2:$M$1001,MATCH($B121,智能流水!$B$2:$B$1001,0)),""))</f>
        <v/>
      </c>
      <c r="N121" s="32">
        <f>IF($B121="","",IFERROR(INDEX(智能流水!$N$2:$N$1001,MATCH($B121,智能流水!$B$2:$B$1001,0)),""))</f>
        <v/>
      </c>
      <c r="O121" s="32">
        <f>IF($B121="","",IFERROR(INDEX(智能流水!$O$2:$O$1001,MATCH($B121,智能流水!$B$2:$B$1001,0)),""))</f>
        <v/>
      </c>
    </row>
    <row r="122" ht="23" customHeight="1" s="21">
      <c r="A122" s="32">
        <f>IF($B122="","",121)</f>
        <v/>
      </c>
      <c r="B122" s="32">
        <f>IFERROR(LARGE(智能流水!$B$2:$B$1001,121),"")</f>
        <v/>
      </c>
      <c r="C122" s="33">
        <f>IF($B122="","",IFERROR(INDEX(智能流水!$C$2:$C$1001,MATCH($B122,智能流水!$B$2:$B$1001,0)),""))</f>
        <v/>
      </c>
      <c r="D122" s="34">
        <f>IF($B122="","",IFERROR(INDEX(智能流水!$D$2:$D$1001,MATCH($B122,智能流水!$B$2:$B$1001,0)),""))</f>
        <v/>
      </c>
      <c r="E122" s="34">
        <f>IF($B122="","",IFERROR(INDEX(智能流水!$E$2:$E$1001,MATCH($B122,智能流水!$B$2:$B$1001,0)),""))</f>
        <v/>
      </c>
      <c r="F122" s="34">
        <f>IF($B122="","",IFERROR(INDEX(智能流水!$F$2:$F$1001,MATCH($B122,智能流水!$B$2:$B$1001,0)),""))</f>
        <v/>
      </c>
      <c r="G122" s="32">
        <f>IF($B122="","",IFERROR(INDEX(智能流水!$G$2:$G$1001,MATCH($B122,智能流水!$B$2:$B$1001,0)),""))</f>
        <v/>
      </c>
      <c r="H122" s="32">
        <f>IF($B122="","",IFERROR(INDEX(智能流水!$H$2:$H$1001,MATCH($B122,智能流水!$B$2:$B$1001,0)),""))</f>
        <v/>
      </c>
      <c r="I122" s="32">
        <f>IF($B122="","",IFERROR(INDEX(智能流水!$I$2:$I$1001,MATCH($B122,智能流水!$B$2:$B$1001,0)),""))</f>
        <v/>
      </c>
      <c r="J122" s="32">
        <f>IF($B122="","",IFERROR(INDEX(智能流水!$J$2:$J$1001,MATCH($B122,智能流水!$B$2:$B$1001,0)),""))</f>
        <v/>
      </c>
      <c r="K122" s="35">
        <f>IF($B122="","",IFERROR(INDEX(智能流水!$K$2:$K$1001,MATCH($B122,智能流水!$B$2:$B$1001,0)),""))</f>
        <v/>
      </c>
      <c r="L122" s="32">
        <f>IF($B122="","",IFERROR(INDEX(智能流水!$L$2:$L$1001,MATCH($B122,智能流水!$B$2:$B$1001,0)),""))</f>
        <v/>
      </c>
      <c r="M122" s="32">
        <f>IF($B122="","",IFERROR(INDEX(智能流水!$M$2:$M$1001,MATCH($B122,智能流水!$B$2:$B$1001,0)),""))</f>
        <v/>
      </c>
      <c r="N122" s="32">
        <f>IF($B122="","",IFERROR(INDEX(智能流水!$N$2:$N$1001,MATCH($B122,智能流水!$B$2:$B$1001,0)),""))</f>
        <v/>
      </c>
      <c r="O122" s="32">
        <f>IF($B122="","",IFERROR(INDEX(智能流水!$O$2:$O$1001,MATCH($B122,智能流水!$B$2:$B$1001,0)),""))</f>
        <v/>
      </c>
    </row>
    <row r="123" ht="23" customHeight="1" s="21">
      <c r="A123" s="32">
        <f>IF($B123="","",122)</f>
        <v/>
      </c>
      <c r="B123" s="32">
        <f>IFERROR(LARGE(智能流水!$B$2:$B$1001,122),"")</f>
        <v/>
      </c>
      <c r="C123" s="33">
        <f>IF($B123="","",IFERROR(INDEX(智能流水!$C$2:$C$1001,MATCH($B123,智能流水!$B$2:$B$1001,0)),""))</f>
        <v/>
      </c>
      <c r="D123" s="34">
        <f>IF($B123="","",IFERROR(INDEX(智能流水!$D$2:$D$1001,MATCH($B123,智能流水!$B$2:$B$1001,0)),""))</f>
        <v/>
      </c>
      <c r="E123" s="34">
        <f>IF($B123="","",IFERROR(INDEX(智能流水!$E$2:$E$1001,MATCH($B123,智能流水!$B$2:$B$1001,0)),""))</f>
        <v/>
      </c>
      <c r="F123" s="34">
        <f>IF($B123="","",IFERROR(INDEX(智能流水!$F$2:$F$1001,MATCH($B123,智能流水!$B$2:$B$1001,0)),""))</f>
        <v/>
      </c>
      <c r="G123" s="32">
        <f>IF($B123="","",IFERROR(INDEX(智能流水!$G$2:$G$1001,MATCH($B123,智能流水!$B$2:$B$1001,0)),""))</f>
        <v/>
      </c>
      <c r="H123" s="32">
        <f>IF($B123="","",IFERROR(INDEX(智能流水!$H$2:$H$1001,MATCH($B123,智能流水!$B$2:$B$1001,0)),""))</f>
        <v/>
      </c>
      <c r="I123" s="32">
        <f>IF($B123="","",IFERROR(INDEX(智能流水!$I$2:$I$1001,MATCH($B123,智能流水!$B$2:$B$1001,0)),""))</f>
        <v/>
      </c>
      <c r="J123" s="32">
        <f>IF($B123="","",IFERROR(INDEX(智能流水!$J$2:$J$1001,MATCH($B123,智能流水!$B$2:$B$1001,0)),""))</f>
        <v/>
      </c>
      <c r="K123" s="35">
        <f>IF($B123="","",IFERROR(INDEX(智能流水!$K$2:$K$1001,MATCH($B123,智能流水!$B$2:$B$1001,0)),""))</f>
        <v/>
      </c>
      <c r="L123" s="32">
        <f>IF($B123="","",IFERROR(INDEX(智能流水!$L$2:$L$1001,MATCH($B123,智能流水!$B$2:$B$1001,0)),""))</f>
        <v/>
      </c>
      <c r="M123" s="32">
        <f>IF($B123="","",IFERROR(INDEX(智能流水!$M$2:$M$1001,MATCH($B123,智能流水!$B$2:$B$1001,0)),""))</f>
        <v/>
      </c>
      <c r="N123" s="32">
        <f>IF($B123="","",IFERROR(INDEX(智能流水!$N$2:$N$1001,MATCH($B123,智能流水!$B$2:$B$1001,0)),""))</f>
        <v/>
      </c>
      <c r="O123" s="32">
        <f>IF($B123="","",IFERROR(INDEX(智能流水!$O$2:$O$1001,MATCH($B123,智能流水!$B$2:$B$1001,0)),""))</f>
        <v/>
      </c>
    </row>
    <row r="124" ht="23" customHeight="1" s="21">
      <c r="A124" s="32">
        <f>IF($B124="","",123)</f>
        <v/>
      </c>
      <c r="B124" s="32">
        <f>IFERROR(LARGE(智能流水!$B$2:$B$1001,123),"")</f>
        <v/>
      </c>
      <c r="C124" s="33">
        <f>IF($B124="","",IFERROR(INDEX(智能流水!$C$2:$C$1001,MATCH($B124,智能流水!$B$2:$B$1001,0)),""))</f>
        <v/>
      </c>
      <c r="D124" s="34">
        <f>IF($B124="","",IFERROR(INDEX(智能流水!$D$2:$D$1001,MATCH($B124,智能流水!$B$2:$B$1001,0)),""))</f>
        <v/>
      </c>
      <c r="E124" s="34">
        <f>IF($B124="","",IFERROR(INDEX(智能流水!$E$2:$E$1001,MATCH($B124,智能流水!$B$2:$B$1001,0)),""))</f>
        <v/>
      </c>
      <c r="F124" s="34">
        <f>IF($B124="","",IFERROR(INDEX(智能流水!$F$2:$F$1001,MATCH($B124,智能流水!$B$2:$B$1001,0)),""))</f>
        <v/>
      </c>
      <c r="G124" s="32">
        <f>IF($B124="","",IFERROR(INDEX(智能流水!$G$2:$G$1001,MATCH($B124,智能流水!$B$2:$B$1001,0)),""))</f>
        <v/>
      </c>
      <c r="H124" s="32">
        <f>IF($B124="","",IFERROR(INDEX(智能流水!$H$2:$H$1001,MATCH($B124,智能流水!$B$2:$B$1001,0)),""))</f>
        <v/>
      </c>
      <c r="I124" s="32">
        <f>IF($B124="","",IFERROR(INDEX(智能流水!$I$2:$I$1001,MATCH($B124,智能流水!$B$2:$B$1001,0)),""))</f>
        <v/>
      </c>
      <c r="J124" s="32">
        <f>IF($B124="","",IFERROR(INDEX(智能流水!$J$2:$J$1001,MATCH($B124,智能流水!$B$2:$B$1001,0)),""))</f>
        <v/>
      </c>
      <c r="K124" s="35">
        <f>IF($B124="","",IFERROR(INDEX(智能流水!$K$2:$K$1001,MATCH($B124,智能流水!$B$2:$B$1001,0)),""))</f>
        <v/>
      </c>
      <c r="L124" s="32">
        <f>IF($B124="","",IFERROR(INDEX(智能流水!$L$2:$L$1001,MATCH($B124,智能流水!$B$2:$B$1001,0)),""))</f>
        <v/>
      </c>
      <c r="M124" s="32">
        <f>IF($B124="","",IFERROR(INDEX(智能流水!$M$2:$M$1001,MATCH($B124,智能流水!$B$2:$B$1001,0)),""))</f>
        <v/>
      </c>
      <c r="N124" s="32">
        <f>IF($B124="","",IFERROR(INDEX(智能流水!$N$2:$N$1001,MATCH($B124,智能流水!$B$2:$B$1001,0)),""))</f>
        <v/>
      </c>
      <c r="O124" s="32">
        <f>IF($B124="","",IFERROR(INDEX(智能流水!$O$2:$O$1001,MATCH($B124,智能流水!$B$2:$B$1001,0)),""))</f>
        <v/>
      </c>
    </row>
    <row r="125" ht="23" customHeight="1" s="21">
      <c r="A125" s="32">
        <f>IF($B125="","",124)</f>
        <v/>
      </c>
      <c r="B125" s="32">
        <f>IFERROR(LARGE(智能流水!$B$2:$B$1001,124),"")</f>
        <v/>
      </c>
      <c r="C125" s="33">
        <f>IF($B125="","",IFERROR(INDEX(智能流水!$C$2:$C$1001,MATCH($B125,智能流水!$B$2:$B$1001,0)),""))</f>
        <v/>
      </c>
      <c r="D125" s="34">
        <f>IF($B125="","",IFERROR(INDEX(智能流水!$D$2:$D$1001,MATCH($B125,智能流水!$B$2:$B$1001,0)),""))</f>
        <v/>
      </c>
      <c r="E125" s="34">
        <f>IF($B125="","",IFERROR(INDEX(智能流水!$E$2:$E$1001,MATCH($B125,智能流水!$B$2:$B$1001,0)),""))</f>
        <v/>
      </c>
      <c r="F125" s="34">
        <f>IF($B125="","",IFERROR(INDEX(智能流水!$F$2:$F$1001,MATCH($B125,智能流水!$B$2:$B$1001,0)),""))</f>
        <v/>
      </c>
      <c r="G125" s="32">
        <f>IF($B125="","",IFERROR(INDEX(智能流水!$G$2:$G$1001,MATCH($B125,智能流水!$B$2:$B$1001,0)),""))</f>
        <v/>
      </c>
      <c r="H125" s="32">
        <f>IF($B125="","",IFERROR(INDEX(智能流水!$H$2:$H$1001,MATCH($B125,智能流水!$B$2:$B$1001,0)),""))</f>
        <v/>
      </c>
      <c r="I125" s="32">
        <f>IF($B125="","",IFERROR(INDEX(智能流水!$I$2:$I$1001,MATCH($B125,智能流水!$B$2:$B$1001,0)),""))</f>
        <v/>
      </c>
      <c r="J125" s="32">
        <f>IF($B125="","",IFERROR(INDEX(智能流水!$J$2:$J$1001,MATCH($B125,智能流水!$B$2:$B$1001,0)),""))</f>
        <v/>
      </c>
      <c r="K125" s="35">
        <f>IF($B125="","",IFERROR(INDEX(智能流水!$K$2:$K$1001,MATCH($B125,智能流水!$B$2:$B$1001,0)),""))</f>
        <v/>
      </c>
      <c r="L125" s="32">
        <f>IF($B125="","",IFERROR(INDEX(智能流水!$L$2:$L$1001,MATCH($B125,智能流水!$B$2:$B$1001,0)),""))</f>
        <v/>
      </c>
      <c r="M125" s="32">
        <f>IF($B125="","",IFERROR(INDEX(智能流水!$M$2:$M$1001,MATCH($B125,智能流水!$B$2:$B$1001,0)),""))</f>
        <v/>
      </c>
      <c r="N125" s="32">
        <f>IF($B125="","",IFERROR(INDEX(智能流水!$N$2:$N$1001,MATCH($B125,智能流水!$B$2:$B$1001,0)),""))</f>
        <v/>
      </c>
      <c r="O125" s="32">
        <f>IF($B125="","",IFERROR(INDEX(智能流水!$O$2:$O$1001,MATCH($B125,智能流水!$B$2:$B$1001,0)),""))</f>
        <v/>
      </c>
    </row>
    <row r="126" ht="23" customHeight="1" s="21">
      <c r="A126" s="32">
        <f>IF($B126="","",125)</f>
        <v/>
      </c>
      <c r="B126" s="32">
        <f>IFERROR(LARGE(智能流水!$B$2:$B$1001,125),"")</f>
        <v/>
      </c>
      <c r="C126" s="33">
        <f>IF($B126="","",IFERROR(INDEX(智能流水!$C$2:$C$1001,MATCH($B126,智能流水!$B$2:$B$1001,0)),""))</f>
        <v/>
      </c>
      <c r="D126" s="34">
        <f>IF($B126="","",IFERROR(INDEX(智能流水!$D$2:$D$1001,MATCH($B126,智能流水!$B$2:$B$1001,0)),""))</f>
        <v/>
      </c>
      <c r="E126" s="34">
        <f>IF($B126="","",IFERROR(INDEX(智能流水!$E$2:$E$1001,MATCH($B126,智能流水!$B$2:$B$1001,0)),""))</f>
        <v/>
      </c>
      <c r="F126" s="34">
        <f>IF($B126="","",IFERROR(INDEX(智能流水!$F$2:$F$1001,MATCH($B126,智能流水!$B$2:$B$1001,0)),""))</f>
        <v/>
      </c>
      <c r="G126" s="32">
        <f>IF($B126="","",IFERROR(INDEX(智能流水!$G$2:$G$1001,MATCH($B126,智能流水!$B$2:$B$1001,0)),""))</f>
        <v/>
      </c>
      <c r="H126" s="32">
        <f>IF($B126="","",IFERROR(INDEX(智能流水!$H$2:$H$1001,MATCH($B126,智能流水!$B$2:$B$1001,0)),""))</f>
        <v/>
      </c>
      <c r="I126" s="32">
        <f>IF($B126="","",IFERROR(INDEX(智能流水!$I$2:$I$1001,MATCH($B126,智能流水!$B$2:$B$1001,0)),""))</f>
        <v/>
      </c>
      <c r="J126" s="32">
        <f>IF($B126="","",IFERROR(INDEX(智能流水!$J$2:$J$1001,MATCH($B126,智能流水!$B$2:$B$1001,0)),""))</f>
        <v/>
      </c>
      <c r="K126" s="35">
        <f>IF($B126="","",IFERROR(INDEX(智能流水!$K$2:$K$1001,MATCH($B126,智能流水!$B$2:$B$1001,0)),""))</f>
        <v/>
      </c>
      <c r="L126" s="32">
        <f>IF($B126="","",IFERROR(INDEX(智能流水!$L$2:$L$1001,MATCH($B126,智能流水!$B$2:$B$1001,0)),""))</f>
        <v/>
      </c>
      <c r="M126" s="32">
        <f>IF($B126="","",IFERROR(INDEX(智能流水!$M$2:$M$1001,MATCH($B126,智能流水!$B$2:$B$1001,0)),""))</f>
        <v/>
      </c>
      <c r="N126" s="32">
        <f>IF($B126="","",IFERROR(INDEX(智能流水!$N$2:$N$1001,MATCH($B126,智能流水!$B$2:$B$1001,0)),""))</f>
        <v/>
      </c>
      <c r="O126" s="32">
        <f>IF($B126="","",IFERROR(INDEX(智能流水!$O$2:$O$1001,MATCH($B126,智能流水!$B$2:$B$1001,0)),""))</f>
        <v/>
      </c>
    </row>
    <row r="127" ht="23" customHeight="1" s="21">
      <c r="A127" s="32">
        <f>IF($B127="","",126)</f>
        <v/>
      </c>
      <c r="B127" s="32">
        <f>IFERROR(LARGE(智能流水!$B$2:$B$1001,126),"")</f>
        <v/>
      </c>
      <c r="C127" s="33">
        <f>IF($B127="","",IFERROR(INDEX(智能流水!$C$2:$C$1001,MATCH($B127,智能流水!$B$2:$B$1001,0)),""))</f>
        <v/>
      </c>
      <c r="D127" s="34">
        <f>IF($B127="","",IFERROR(INDEX(智能流水!$D$2:$D$1001,MATCH($B127,智能流水!$B$2:$B$1001,0)),""))</f>
        <v/>
      </c>
      <c r="E127" s="34">
        <f>IF($B127="","",IFERROR(INDEX(智能流水!$E$2:$E$1001,MATCH($B127,智能流水!$B$2:$B$1001,0)),""))</f>
        <v/>
      </c>
      <c r="F127" s="34">
        <f>IF($B127="","",IFERROR(INDEX(智能流水!$F$2:$F$1001,MATCH($B127,智能流水!$B$2:$B$1001,0)),""))</f>
        <v/>
      </c>
      <c r="G127" s="32">
        <f>IF($B127="","",IFERROR(INDEX(智能流水!$G$2:$G$1001,MATCH($B127,智能流水!$B$2:$B$1001,0)),""))</f>
        <v/>
      </c>
      <c r="H127" s="32">
        <f>IF($B127="","",IFERROR(INDEX(智能流水!$H$2:$H$1001,MATCH($B127,智能流水!$B$2:$B$1001,0)),""))</f>
        <v/>
      </c>
      <c r="I127" s="32">
        <f>IF($B127="","",IFERROR(INDEX(智能流水!$I$2:$I$1001,MATCH($B127,智能流水!$B$2:$B$1001,0)),""))</f>
        <v/>
      </c>
      <c r="J127" s="32">
        <f>IF($B127="","",IFERROR(INDEX(智能流水!$J$2:$J$1001,MATCH($B127,智能流水!$B$2:$B$1001,0)),""))</f>
        <v/>
      </c>
      <c r="K127" s="35">
        <f>IF($B127="","",IFERROR(INDEX(智能流水!$K$2:$K$1001,MATCH($B127,智能流水!$B$2:$B$1001,0)),""))</f>
        <v/>
      </c>
      <c r="L127" s="32">
        <f>IF($B127="","",IFERROR(INDEX(智能流水!$L$2:$L$1001,MATCH($B127,智能流水!$B$2:$B$1001,0)),""))</f>
        <v/>
      </c>
      <c r="M127" s="32">
        <f>IF($B127="","",IFERROR(INDEX(智能流水!$M$2:$M$1001,MATCH($B127,智能流水!$B$2:$B$1001,0)),""))</f>
        <v/>
      </c>
      <c r="N127" s="32">
        <f>IF($B127="","",IFERROR(INDEX(智能流水!$N$2:$N$1001,MATCH($B127,智能流水!$B$2:$B$1001,0)),""))</f>
        <v/>
      </c>
      <c r="O127" s="32">
        <f>IF($B127="","",IFERROR(INDEX(智能流水!$O$2:$O$1001,MATCH($B127,智能流水!$B$2:$B$1001,0)),""))</f>
        <v/>
      </c>
    </row>
    <row r="128" ht="23" customHeight="1" s="21">
      <c r="A128" s="32">
        <f>IF($B128="","",127)</f>
        <v/>
      </c>
      <c r="B128" s="32">
        <f>IFERROR(LARGE(智能流水!$B$2:$B$1001,127),"")</f>
        <v/>
      </c>
      <c r="C128" s="33">
        <f>IF($B128="","",IFERROR(INDEX(智能流水!$C$2:$C$1001,MATCH($B128,智能流水!$B$2:$B$1001,0)),""))</f>
        <v/>
      </c>
      <c r="D128" s="34">
        <f>IF($B128="","",IFERROR(INDEX(智能流水!$D$2:$D$1001,MATCH($B128,智能流水!$B$2:$B$1001,0)),""))</f>
        <v/>
      </c>
      <c r="E128" s="34">
        <f>IF($B128="","",IFERROR(INDEX(智能流水!$E$2:$E$1001,MATCH($B128,智能流水!$B$2:$B$1001,0)),""))</f>
        <v/>
      </c>
      <c r="F128" s="34">
        <f>IF($B128="","",IFERROR(INDEX(智能流水!$F$2:$F$1001,MATCH($B128,智能流水!$B$2:$B$1001,0)),""))</f>
        <v/>
      </c>
      <c r="G128" s="32">
        <f>IF($B128="","",IFERROR(INDEX(智能流水!$G$2:$G$1001,MATCH($B128,智能流水!$B$2:$B$1001,0)),""))</f>
        <v/>
      </c>
      <c r="H128" s="32">
        <f>IF($B128="","",IFERROR(INDEX(智能流水!$H$2:$H$1001,MATCH($B128,智能流水!$B$2:$B$1001,0)),""))</f>
        <v/>
      </c>
      <c r="I128" s="32">
        <f>IF($B128="","",IFERROR(INDEX(智能流水!$I$2:$I$1001,MATCH($B128,智能流水!$B$2:$B$1001,0)),""))</f>
        <v/>
      </c>
      <c r="J128" s="32">
        <f>IF($B128="","",IFERROR(INDEX(智能流水!$J$2:$J$1001,MATCH($B128,智能流水!$B$2:$B$1001,0)),""))</f>
        <v/>
      </c>
      <c r="K128" s="35">
        <f>IF($B128="","",IFERROR(INDEX(智能流水!$K$2:$K$1001,MATCH($B128,智能流水!$B$2:$B$1001,0)),""))</f>
        <v/>
      </c>
      <c r="L128" s="32">
        <f>IF($B128="","",IFERROR(INDEX(智能流水!$L$2:$L$1001,MATCH($B128,智能流水!$B$2:$B$1001,0)),""))</f>
        <v/>
      </c>
      <c r="M128" s="32">
        <f>IF($B128="","",IFERROR(INDEX(智能流水!$M$2:$M$1001,MATCH($B128,智能流水!$B$2:$B$1001,0)),""))</f>
        <v/>
      </c>
      <c r="N128" s="32">
        <f>IF($B128="","",IFERROR(INDEX(智能流水!$N$2:$N$1001,MATCH($B128,智能流水!$B$2:$B$1001,0)),""))</f>
        <v/>
      </c>
      <c r="O128" s="32">
        <f>IF($B128="","",IFERROR(INDEX(智能流水!$O$2:$O$1001,MATCH($B128,智能流水!$B$2:$B$1001,0)),""))</f>
        <v/>
      </c>
    </row>
    <row r="129" ht="23" customHeight="1" s="21">
      <c r="A129" s="32">
        <f>IF($B129="","",128)</f>
        <v/>
      </c>
      <c r="B129" s="32">
        <f>IFERROR(LARGE(智能流水!$B$2:$B$1001,128),"")</f>
        <v/>
      </c>
      <c r="C129" s="33">
        <f>IF($B129="","",IFERROR(INDEX(智能流水!$C$2:$C$1001,MATCH($B129,智能流水!$B$2:$B$1001,0)),""))</f>
        <v/>
      </c>
      <c r="D129" s="34">
        <f>IF($B129="","",IFERROR(INDEX(智能流水!$D$2:$D$1001,MATCH($B129,智能流水!$B$2:$B$1001,0)),""))</f>
        <v/>
      </c>
      <c r="E129" s="34">
        <f>IF($B129="","",IFERROR(INDEX(智能流水!$E$2:$E$1001,MATCH($B129,智能流水!$B$2:$B$1001,0)),""))</f>
        <v/>
      </c>
      <c r="F129" s="34">
        <f>IF($B129="","",IFERROR(INDEX(智能流水!$F$2:$F$1001,MATCH($B129,智能流水!$B$2:$B$1001,0)),""))</f>
        <v/>
      </c>
      <c r="G129" s="32">
        <f>IF($B129="","",IFERROR(INDEX(智能流水!$G$2:$G$1001,MATCH($B129,智能流水!$B$2:$B$1001,0)),""))</f>
        <v/>
      </c>
      <c r="H129" s="32">
        <f>IF($B129="","",IFERROR(INDEX(智能流水!$H$2:$H$1001,MATCH($B129,智能流水!$B$2:$B$1001,0)),""))</f>
        <v/>
      </c>
      <c r="I129" s="32">
        <f>IF($B129="","",IFERROR(INDEX(智能流水!$I$2:$I$1001,MATCH($B129,智能流水!$B$2:$B$1001,0)),""))</f>
        <v/>
      </c>
      <c r="J129" s="32">
        <f>IF($B129="","",IFERROR(INDEX(智能流水!$J$2:$J$1001,MATCH($B129,智能流水!$B$2:$B$1001,0)),""))</f>
        <v/>
      </c>
      <c r="K129" s="35">
        <f>IF($B129="","",IFERROR(INDEX(智能流水!$K$2:$K$1001,MATCH($B129,智能流水!$B$2:$B$1001,0)),""))</f>
        <v/>
      </c>
      <c r="L129" s="32">
        <f>IF($B129="","",IFERROR(INDEX(智能流水!$L$2:$L$1001,MATCH($B129,智能流水!$B$2:$B$1001,0)),""))</f>
        <v/>
      </c>
      <c r="M129" s="32">
        <f>IF($B129="","",IFERROR(INDEX(智能流水!$M$2:$M$1001,MATCH($B129,智能流水!$B$2:$B$1001,0)),""))</f>
        <v/>
      </c>
      <c r="N129" s="32">
        <f>IF($B129="","",IFERROR(INDEX(智能流水!$N$2:$N$1001,MATCH($B129,智能流水!$B$2:$B$1001,0)),""))</f>
        <v/>
      </c>
      <c r="O129" s="32">
        <f>IF($B129="","",IFERROR(INDEX(智能流水!$O$2:$O$1001,MATCH($B129,智能流水!$B$2:$B$1001,0)),""))</f>
        <v/>
      </c>
    </row>
    <row r="130" ht="23" customHeight="1" s="21">
      <c r="A130" s="32">
        <f>IF($B130="","",129)</f>
        <v/>
      </c>
      <c r="B130" s="32">
        <f>IFERROR(LARGE(智能流水!$B$2:$B$1001,129),"")</f>
        <v/>
      </c>
      <c r="C130" s="33">
        <f>IF($B130="","",IFERROR(INDEX(智能流水!$C$2:$C$1001,MATCH($B130,智能流水!$B$2:$B$1001,0)),""))</f>
        <v/>
      </c>
      <c r="D130" s="34">
        <f>IF($B130="","",IFERROR(INDEX(智能流水!$D$2:$D$1001,MATCH($B130,智能流水!$B$2:$B$1001,0)),""))</f>
        <v/>
      </c>
      <c r="E130" s="34">
        <f>IF($B130="","",IFERROR(INDEX(智能流水!$E$2:$E$1001,MATCH($B130,智能流水!$B$2:$B$1001,0)),""))</f>
        <v/>
      </c>
      <c r="F130" s="34">
        <f>IF($B130="","",IFERROR(INDEX(智能流水!$F$2:$F$1001,MATCH($B130,智能流水!$B$2:$B$1001,0)),""))</f>
        <v/>
      </c>
      <c r="G130" s="32">
        <f>IF($B130="","",IFERROR(INDEX(智能流水!$G$2:$G$1001,MATCH($B130,智能流水!$B$2:$B$1001,0)),""))</f>
        <v/>
      </c>
      <c r="H130" s="32">
        <f>IF($B130="","",IFERROR(INDEX(智能流水!$H$2:$H$1001,MATCH($B130,智能流水!$B$2:$B$1001,0)),""))</f>
        <v/>
      </c>
      <c r="I130" s="32">
        <f>IF($B130="","",IFERROR(INDEX(智能流水!$I$2:$I$1001,MATCH($B130,智能流水!$B$2:$B$1001,0)),""))</f>
        <v/>
      </c>
      <c r="J130" s="32">
        <f>IF($B130="","",IFERROR(INDEX(智能流水!$J$2:$J$1001,MATCH($B130,智能流水!$B$2:$B$1001,0)),""))</f>
        <v/>
      </c>
      <c r="K130" s="35">
        <f>IF($B130="","",IFERROR(INDEX(智能流水!$K$2:$K$1001,MATCH($B130,智能流水!$B$2:$B$1001,0)),""))</f>
        <v/>
      </c>
      <c r="L130" s="32">
        <f>IF($B130="","",IFERROR(INDEX(智能流水!$L$2:$L$1001,MATCH($B130,智能流水!$B$2:$B$1001,0)),""))</f>
        <v/>
      </c>
      <c r="M130" s="32">
        <f>IF($B130="","",IFERROR(INDEX(智能流水!$M$2:$M$1001,MATCH($B130,智能流水!$B$2:$B$1001,0)),""))</f>
        <v/>
      </c>
      <c r="N130" s="32">
        <f>IF($B130="","",IFERROR(INDEX(智能流水!$N$2:$N$1001,MATCH($B130,智能流水!$B$2:$B$1001,0)),""))</f>
        <v/>
      </c>
      <c r="O130" s="32">
        <f>IF($B130="","",IFERROR(INDEX(智能流水!$O$2:$O$1001,MATCH($B130,智能流水!$B$2:$B$1001,0)),""))</f>
        <v/>
      </c>
    </row>
    <row r="131" ht="23" customHeight="1" s="21">
      <c r="A131" s="32">
        <f>IF($B131="","",130)</f>
        <v/>
      </c>
      <c r="B131" s="32">
        <f>IFERROR(LARGE(智能流水!$B$2:$B$1001,130),"")</f>
        <v/>
      </c>
      <c r="C131" s="33">
        <f>IF($B131="","",IFERROR(INDEX(智能流水!$C$2:$C$1001,MATCH($B131,智能流水!$B$2:$B$1001,0)),""))</f>
        <v/>
      </c>
      <c r="D131" s="34">
        <f>IF($B131="","",IFERROR(INDEX(智能流水!$D$2:$D$1001,MATCH($B131,智能流水!$B$2:$B$1001,0)),""))</f>
        <v/>
      </c>
      <c r="E131" s="34">
        <f>IF($B131="","",IFERROR(INDEX(智能流水!$E$2:$E$1001,MATCH($B131,智能流水!$B$2:$B$1001,0)),""))</f>
        <v/>
      </c>
      <c r="F131" s="34">
        <f>IF($B131="","",IFERROR(INDEX(智能流水!$F$2:$F$1001,MATCH($B131,智能流水!$B$2:$B$1001,0)),""))</f>
        <v/>
      </c>
      <c r="G131" s="32">
        <f>IF($B131="","",IFERROR(INDEX(智能流水!$G$2:$G$1001,MATCH($B131,智能流水!$B$2:$B$1001,0)),""))</f>
        <v/>
      </c>
      <c r="H131" s="32">
        <f>IF($B131="","",IFERROR(INDEX(智能流水!$H$2:$H$1001,MATCH($B131,智能流水!$B$2:$B$1001,0)),""))</f>
        <v/>
      </c>
      <c r="I131" s="32">
        <f>IF($B131="","",IFERROR(INDEX(智能流水!$I$2:$I$1001,MATCH($B131,智能流水!$B$2:$B$1001,0)),""))</f>
        <v/>
      </c>
      <c r="J131" s="32">
        <f>IF($B131="","",IFERROR(INDEX(智能流水!$J$2:$J$1001,MATCH($B131,智能流水!$B$2:$B$1001,0)),""))</f>
        <v/>
      </c>
      <c r="K131" s="35">
        <f>IF($B131="","",IFERROR(INDEX(智能流水!$K$2:$K$1001,MATCH($B131,智能流水!$B$2:$B$1001,0)),""))</f>
        <v/>
      </c>
      <c r="L131" s="32">
        <f>IF($B131="","",IFERROR(INDEX(智能流水!$L$2:$L$1001,MATCH($B131,智能流水!$B$2:$B$1001,0)),""))</f>
        <v/>
      </c>
      <c r="M131" s="32">
        <f>IF($B131="","",IFERROR(INDEX(智能流水!$M$2:$M$1001,MATCH($B131,智能流水!$B$2:$B$1001,0)),""))</f>
        <v/>
      </c>
      <c r="N131" s="32">
        <f>IF($B131="","",IFERROR(INDEX(智能流水!$N$2:$N$1001,MATCH($B131,智能流水!$B$2:$B$1001,0)),""))</f>
        <v/>
      </c>
      <c r="O131" s="32">
        <f>IF($B131="","",IFERROR(INDEX(智能流水!$O$2:$O$1001,MATCH($B131,智能流水!$B$2:$B$1001,0)),""))</f>
        <v/>
      </c>
    </row>
    <row r="132" ht="23" customHeight="1" s="21">
      <c r="A132" s="32">
        <f>IF($B132="","",131)</f>
        <v/>
      </c>
      <c r="B132" s="32">
        <f>IFERROR(LARGE(智能流水!$B$2:$B$1001,131),"")</f>
        <v/>
      </c>
      <c r="C132" s="33">
        <f>IF($B132="","",IFERROR(INDEX(智能流水!$C$2:$C$1001,MATCH($B132,智能流水!$B$2:$B$1001,0)),""))</f>
        <v/>
      </c>
      <c r="D132" s="34">
        <f>IF($B132="","",IFERROR(INDEX(智能流水!$D$2:$D$1001,MATCH($B132,智能流水!$B$2:$B$1001,0)),""))</f>
        <v/>
      </c>
      <c r="E132" s="34">
        <f>IF($B132="","",IFERROR(INDEX(智能流水!$E$2:$E$1001,MATCH($B132,智能流水!$B$2:$B$1001,0)),""))</f>
        <v/>
      </c>
      <c r="F132" s="34">
        <f>IF($B132="","",IFERROR(INDEX(智能流水!$F$2:$F$1001,MATCH($B132,智能流水!$B$2:$B$1001,0)),""))</f>
        <v/>
      </c>
      <c r="G132" s="32">
        <f>IF($B132="","",IFERROR(INDEX(智能流水!$G$2:$G$1001,MATCH($B132,智能流水!$B$2:$B$1001,0)),""))</f>
        <v/>
      </c>
      <c r="H132" s="32">
        <f>IF($B132="","",IFERROR(INDEX(智能流水!$H$2:$H$1001,MATCH($B132,智能流水!$B$2:$B$1001,0)),""))</f>
        <v/>
      </c>
      <c r="I132" s="32">
        <f>IF($B132="","",IFERROR(INDEX(智能流水!$I$2:$I$1001,MATCH($B132,智能流水!$B$2:$B$1001,0)),""))</f>
        <v/>
      </c>
      <c r="J132" s="32">
        <f>IF($B132="","",IFERROR(INDEX(智能流水!$J$2:$J$1001,MATCH($B132,智能流水!$B$2:$B$1001,0)),""))</f>
        <v/>
      </c>
      <c r="K132" s="35">
        <f>IF($B132="","",IFERROR(INDEX(智能流水!$K$2:$K$1001,MATCH($B132,智能流水!$B$2:$B$1001,0)),""))</f>
        <v/>
      </c>
      <c r="L132" s="32">
        <f>IF($B132="","",IFERROR(INDEX(智能流水!$L$2:$L$1001,MATCH($B132,智能流水!$B$2:$B$1001,0)),""))</f>
        <v/>
      </c>
      <c r="M132" s="32">
        <f>IF($B132="","",IFERROR(INDEX(智能流水!$M$2:$M$1001,MATCH($B132,智能流水!$B$2:$B$1001,0)),""))</f>
        <v/>
      </c>
      <c r="N132" s="32">
        <f>IF($B132="","",IFERROR(INDEX(智能流水!$N$2:$N$1001,MATCH($B132,智能流水!$B$2:$B$1001,0)),""))</f>
        <v/>
      </c>
      <c r="O132" s="32">
        <f>IF($B132="","",IFERROR(INDEX(智能流水!$O$2:$O$1001,MATCH($B132,智能流水!$B$2:$B$1001,0)),""))</f>
        <v/>
      </c>
    </row>
    <row r="133" ht="23" customHeight="1" s="21">
      <c r="A133" s="32">
        <f>IF($B133="","",132)</f>
        <v/>
      </c>
      <c r="B133" s="32">
        <f>IFERROR(LARGE(智能流水!$B$2:$B$1001,132),"")</f>
        <v/>
      </c>
      <c r="C133" s="33">
        <f>IF($B133="","",IFERROR(INDEX(智能流水!$C$2:$C$1001,MATCH($B133,智能流水!$B$2:$B$1001,0)),""))</f>
        <v/>
      </c>
      <c r="D133" s="34">
        <f>IF($B133="","",IFERROR(INDEX(智能流水!$D$2:$D$1001,MATCH($B133,智能流水!$B$2:$B$1001,0)),""))</f>
        <v/>
      </c>
      <c r="E133" s="34">
        <f>IF($B133="","",IFERROR(INDEX(智能流水!$E$2:$E$1001,MATCH($B133,智能流水!$B$2:$B$1001,0)),""))</f>
        <v/>
      </c>
      <c r="F133" s="34">
        <f>IF($B133="","",IFERROR(INDEX(智能流水!$F$2:$F$1001,MATCH($B133,智能流水!$B$2:$B$1001,0)),""))</f>
        <v/>
      </c>
      <c r="G133" s="32">
        <f>IF($B133="","",IFERROR(INDEX(智能流水!$G$2:$G$1001,MATCH($B133,智能流水!$B$2:$B$1001,0)),""))</f>
        <v/>
      </c>
      <c r="H133" s="32">
        <f>IF($B133="","",IFERROR(INDEX(智能流水!$H$2:$H$1001,MATCH($B133,智能流水!$B$2:$B$1001,0)),""))</f>
        <v/>
      </c>
      <c r="I133" s="32">
        <f>IF($B133="","",IFERROR(INDEX(智能流水!$I$2:$I$1001,MATCH($B133,智能流水!$B$2:$B$1001,0)),""))</f>
        <v/>
      </c>
      <c r="J133" s="32">
        <f>IF($B133="","",IFERROR(INDEX(智能流水!$J$2:$J$1001,MATCH($B133,智能流水!$B$2:$B$1001,0)),""))</f>
        <v/>
      </c>
      <c r="K133" s="35">
        <f>IF($B133="","",IFERROR(INDEX(智能流水!$K$2:$K$1001,MATCH($B133,智能流水!$B$2:$B$1001,0)),""))</f>
        <v/>
      </c>
      <c r="L133" s="32">
        <f>IF($B133="","",IFERROR(INDEX(智能流水!$L$2:$L$1001,MATCH($B133,智能流水!$B$2:$B$1001,0)),""))</f>
        <v/>
      </c>
      <c r="M133" s="32">
        <f>IF($B133="","",IFERROR(INDEX(智能流水!$M$2:$M$1001,MATCH($B133,智能流水!$B$2:$B$1001,0)),""))</f>
        <v/>
      </c>
      <c r="N133" s="32">
        <f>IF($B133="","",IFERROR(INDEX(智能流水!$N$2:$N$1001,MATCH($B133,智能流水!$B$2:$B$1001,0)),""))</f>
        <v/>
      </c>
      <c r="O133" s="32">
        <f>IF($B133="","",IFERROR(INDEX(智能流水!$O$2:$O$1001,MATCH($B133,智能流水!$B$2:$B$1001,0)),""))</f>
        <v/>
      </c>
    </row>
    <row r="134" ht="23" customHeight="1" s="21">
      <c r="A134" s="32">
        <f>IF($B134="","",133)</f>
        <v/>
      </c>
      <c r="B134" s="32">
        <f>IFERROR(LARGE(智能流水!$B$2:$B$1001,133),"")</f>
        <v/>
      </c>
      <c r="C134" s="33">
        <f>IF($B134="","",IFERROR(INDEX(智能流水!$C$2:$C$1001,MATCH($B134,智能流水!$B$2:$B$1001,0)),""))</f>
        <v/>
      </c>
      <c r="D134" s="34">
        <f>IF($B134="","",IFERROR(INDEX(智能流水!$D$2:$D$1001,MATCH($B134,智能流水!$B$2:$B$1001,0)),""))</f>
        <v/>
      </c>
      <c r="E134" s="34">
        <f>IF($B134="","",IFERROR(INDEX(智能流水!$E$2:$E$1001,MATCH($B134,智能流水!$B$2:$B$1001,0)),""))</f>
        <v/>
      </c>
      <c r="F134" s="34">
        <f>IF($B134="","",IFERROR(INDEX(智能流水!$F$2:$F$1001,MATCH($B134,智能流水!$B$2:$B$1001,0)),""))</f>
        <v/>
      </c>
      <c r="G134" s="32">
        <f>IF($B134="","",IFERROR(INDEX(智能流水!$G$2:$G$1001,MATCH($B134,智能流水!$B$2:$B$1001,0)),""))</f>
        <v/>
      </c>
      <c r="H134" s="32">
        <f>IF($B134="","",IFERROR(INDEX(智能流水!$H$2:$H$1001,MATCH($B134,智能流水!$B$2:$B$1001,0)),""))</f>
        <v/>
      </c>
      <c r="I134" s="32">
        <f>IF($B134="","",IFERROR(INDEX(智能流水!$I$2:$I$1001,MATCH($B134,智能流水!$B$2:$B$1001,0)),""))</f>
        <v/>
      </c>
      <c r="J134" s="32">
        <f>IF($B134="","",IFERROR(INDEX(智能流水!$J$2:$J$1001,MATCH($B134,智能流水!$B$2:$B$1001,0)),""))</f>
        <v/>
      </c>
      <c r="K134" s="35">
        <f>IF($B134="","",IFERROR(INDEX(智能流水!$K$2:$K$1001,MATCH($B134,智能流水!$B$2:$B$1001,0)),""))</f>
        <v/>
      </c>
      <c r="L134" s="32">
        <f>IF($B134="","",IFERROR(INDEX(智能流水!$L$2:$L$1001,MATCH($B134,智能流水!$B$2:$B$1001,0)),""))</f>
        <v/>
      </c>
      <c r="M134" s="32">
        <f>IF($B134="","",IFERROR(INDEX(智能流水!$M$2:$M$1001,MATCH($B134,智能流水!$B$2:$B$1001,0)),""))</f>
        <v/>
      </c>
      <c r="N134" s="32">
        <f>IF($B134="","",IFERROR(INDEX(智能流水!$N$2:$N$1001,MATCH($B134,智能流水!$B$2:$B$1001,0)),""))</f>
        <v/>
      </c>
      <c r="O134" s="32">
        <f>IF($B134="","",IFERROR(INDEX(智能流水!$O$2:$O$1001,MATCH($B134,智能流水!$B$2:$B$1001,0)),""))</f>
        <v/>
      </c>
    </row>
    <row r="135" ht="23" customHeight="1" s="21">
      <c r="A135" s="32">
        <f>IF($B135="","",134)</f>
        <v/>
      </c>
      <c r="B135" s="32">
        <f>IFERROR(LARGE(智能流水!$B$2:$B$1001,134),"")</f>
        <v/>
      </c>
      <c r="C135" s="33">
        <f>IF($B135="","",IFERROR(INDEX(智能流水!$C$2:$C$1001,MATCH($B135,智能流水!$B$2:$B$1001,0)),""))</f>
        <v/>
      </c>
      <c r="D135" s="34">
        <f>IF($B135="","",IFERROR(INDEX(智能流水!$D$2:$D$1001,MATCH($B135,智能流水!$B$2:$B$1001,0)),""))</f>
        <v/>
      </c>
      <c r="E135" s="34">
        <f>IF($B135="","",IFERROR(INDEX(智能流水!$E$2:$E$1001,MATCH($B135,智能流水!$B$2:$B$1001,0)),""))</f>
        <v/>
      </c>
      <c r="F135" s="34">
        <f>IF($B135="","",IFERROR(INDEX(智能流水!$F$2:$F$1001,MATCH($B135,智能流水!$B$2:$B$1001,0)),""))</f>
        <v/>
      </c>
      <c r="G135" s="32">
        <f>IF($B135="","",IFERROR(INDEX(智能流水!$G$2:$G$1001,MATCH($B135,智能流水!$B$2:$B$1001,0)),""))</f>
        <v/>
      </c>
      <c r="H135" s="32">
        <f>IF($B135="","",IFERROR(INDEX(智能流水!$H$2:$H$1001,MATCH($B135,智能流水!$B$2:$B$1001,0)),""))</f>
        <v/>
      </c>
      <c r="I135" s="32">
        <f>IF($B135="","",IFERROR(INDEX(智能流水!$I$2:$I$1001,MATCH($B135,智能流水!$B$2:$B$1001,0)),""))</f>
        <v/>
      </c>
      <c r="J135" s="32">
        <f>IF($B135="","",IFERROR(INDEX(智能流水!$J$2:$J$1001,MATCH($B135,智能流水!$B$2:$B$1001,0)),""))</f>
        <v/>
      </c>
      <c r="K135" s="35">
        <f>IF($B135="","",IFERROR(INDEX(智能流水!$K$2:$K$1001,MATCH($B135,智能流水!$B$2:$B$1001,0)),""))</f>
        <v/>
      </c>
      <c r="L135" s="32">
        <f>IF($B135="","",IFERROR(INDEX(智能流水!$L$2:$L$1001,MATCH($B135,智能流水!$B$2:$B$1001,0)),""))</f>
        <v/>
      </c>
      <c r="M135" s="32">
        <f>IF($B135="","",IFERROR(INDEX(智能流水!$M$2:$M$1001,MATCH($B135,智能流水!$B$2:$B$1001,0)),""))</f>
        <v/>
      </c>
      <c r="N135" s="32">
        <f>IF($B135="","",IFERROR(INDEX(智能流水!$N$2:$N$1001,MATCH($B135,智能流水!$B$2:$B$1001,0)),""))</f>
        <v/>
      </c>
      <c r="O135" s="32">
        <f>IF($B135="","",IFERROR(INDEX(智能流水!$O$2:$O$1001,MATCH($B135,智能流水!$B$2:$B$1001,0)),""))</f>
        <v/>
      </c>
    </row>
    <row r="136" ht="23" customHeight="1" s="21">
      <c r="A136" s="32">
        <f>IF($B136="","",135)</f>
        <v/>
      </c>
      <c r="B136" s="32">
        <f>IFERROR(LARGE(智能流水!$B$2:$B$1001,135),"")</f>
        <v/>
      </c>
      <c r="C136" s="33">
        <f>IF($B136="","",IFERROR(INDEX(智能流水!$C$2:$C$1001,MATCH($B136,智能流水!$B$2:$B$1001,0)),""))</f>
        <v/>
      </c>
      <c r="D136" s="34">
        <f>IF($B136="","",IFERROR(INDEX(智能流水!$D$2:$D$1001,MATCH($B136,智能流水!$B$2:$B$1001,0)),""))</f>
        <v/>
      </c>
      <c r="E136" s="34">
        <f>IF($B136="","",IFERROR(INDEX(智能流水!$E$2:$E$1001,MATCH($B136,智能流水!$B$2:$B$1001,0)),""))</f>
        <v/>
      </c>
      <c r="F136" s="34">
        <f>IF($B136="","",IFERROR(INDEX(智能流水!$F$2:$F$1001,MATCH($B136,智能流水!$B$2:$B$1001,0)),""))</f>
        <v/>
      </c>
      <c r="G136" s="32">
        <f>IF($B136="","",IFERROR(INDEX(智能流水!$G$2:$G$1001,MATCH($B136,智能流水!$B$2:$B$1001,0)),""))</f>
        <v/>
      </c>
      <c r="H136" s="32">
        <f>IF($B136="","",IFERROR(INDEX(智能流水!$H$2:$H$1001,MATCH($B136,智能流水!$B$2:$B$1001,0)),""))</f>
        <v/>
      </c>
      <c r="I136" s="32">
        <f>IF($B136="","",IFERROR(INDEX(智能流水!$I$2:$I$1001,MATCH($B136,智能流水!$B$2:$B$1001,0)),""))</f>
        <v/>
      </c>
      <c r="J136" s="32">
        <f>IF($B136="","",IFERROR(INDEX(智能流水!$J$2:$J$1001,MATCH($B136,智能流水!$B$2:$B$1001,0)),""))</f>
        <v/>
      </c>
      <c r="K136" s="35">
        <f>IF($B136="","",IFERROR(INDEX(智能流水!$K$2:$K$1001,MATCH($B136,智能流水!$B$2:$B$1001,0)),""))</f>
        <v/>
      </c>
      <c r="L136" s="32">
        <f>IF($B136="","",IFERROR(INDEX(智能流水!$L$2:$L$1001,MATCH($B136,智能流水!$B$2:$B$1001,0)),""))</f>
        <v/>
      </c>
      <c r="M136" s="32">
        <f>IF($B136="","",IFERROR(INDEX(智能流水!$M$2:$M$1001,MATCH($B136,智能流水!$B$2:$B$1001,0)),""))</f>
        <v/>
      </c>
      <c r="N136" s="32">
        <f>IF($B136="","",IFERROR(INDEX(智能流水!$N$2:$N$1001,MATCH($B136,智能流水!$B$2:$B$1001,0)),""))</f>
        <v/>
      </c>
      <c r="O136" s="32">
        <f>IF($B136="","",IFERROR(INDEX(智能流水!$O$2:$O$1001,MATCH($B136,智能流水!$B$2:$B$1001,0)),""))</f>
        <v/>
      </c>
    </row>
    <row r="137" ht="23" customHeight="1" s="21">
      <c r="A137" s="32">
        <f>IF($B137="","",136)</f>
        <v/>
      </c>
      <c r="B137" s="32">
        <f>IFERROR(LARGE(智能流水!$B$2:$B$1001,136),"")</f>
        <v/>
      </c>
      <c r="C137" s="33">
        <f>IF($B137="","",IFERROR(INDEX(智能流水!$C$2:$C$1001,MATCH($B137,智能流水!$B$2:$B$1001,0)),""))</f>
        <v/>
      </c>
      <c r="D137" s="34">
        <f>IF($B137="","",IFERROR(INDEX(智能流水!$D$2:$D$1001,MATCH($B137,智能流水!$B$2:$B$1001,0)),""))</f>
        <v/>
      </c>
      <c r="E137" s="34">
        <f>IF($B137="","",IFERROR(INDEX(智能流水!$E$2:$E$1001,MATCH($B137,智能流水!$B$2:$B$1001,0)),""))</f>
        <v/>
      </c>
      <c r="F137" s="34">
        <f>IF($B137="","",IFERROR(INDEX(智能流水!$F$2:$F$1001,MATCH($B137,智能流水!$B$2:$B$1001,0)),""))</f>
        <v/>
      </c>
      <c r="G137" s="32">
        <f>IF($B137="","",IFERROR(INDEX(智能流水!$G$2:$G$1001,MATCH($B137,智能流水!$B$2:$B$1001,0)),""))</f>
        <v/>
      </c>
      <c r="H137" s="32">
        <f>IF($B137="","",IFERROR(INDEX(智能流水!$H$2:$H$1001,MATCH($B137,智能流水!$B$2:$B$1001,0)),""))</f>
        <v/>
      </c>
      <c r="I137" s="32">
        <f>IF($B137="","",IFERROR(INDEX(智能流水!$I$2:$I$1001,MATCH($B137,智能流水!$B$2:$B$1001,0)),""))</f>
        <v/>
      </c>
      <c r="J137" s="32">
        <f>IF($B137="","",IFERROR(INDEX(智能流水!$J$2:$J$1001,MATCH($B137,智能流水!$B$2:$B$1001,0)),""))</f>
        <v/>
      </c>
      <c r="K137" s="35">
        <f>IF($B137="","",IFERROR(INDEX(智能流水!$K$2:$K$1001,MATCH($B137,智能流水!$B$2:$B$1001,0)),""))</f>
        <v/>
      </c>
      <c r="L137" s="32">
        <f>IF($B137="","",IFERROR(INDEX(智能流水!$L$2:$L$1001,MATCH($B137,智能流水!$B$2:$B$1001,0)),""))</f>
        <v/>
      </c>
      <c r="M137" s="32">
        <f>IF($B137="","",IFERROR(INDEX(智能流水!$M$2:$M$1001,MATCH($B137,智能流水!$B$2:$B$1001,0)),""))</f>
        <v/>
      </c>
      <c r="N137" s="32">
        <f>IF($B137="","",IFERROR(INDEX(智能流水!$N$2:$N$1001,MATCH($B137,智能流水!$B$2:$B$1001,0)),""))</f>
        <v/>
      </c>
      <c r="O137" s="32">
        <f>IF($B137="","",IFERROR(INDEX(智能流水!$O$2:$O$1001,MATCH($B137,智能流水!$B$2:$B$1001,0)),""))</f>
        <v/>
      </c>
    </row>
    <row r="138" ht="23" customHeight="1" s="21">
      <c r="A138" s="32">
        <f>IF($B138="","",137)</f>
        <v/>
      </c>
      <c r="B138" s="32">
        <f>IFERROR(LARGE(智能流水!$B$2:$B$1001,137),"")</f>
        <v/>
      </c>
      <c r="C138" s="33">
        <f>IF($B138="","",IFERROR(INDEX(智能流水!$C$2:$C$1001,MATCH($B138,智能流水!$B$2:$B$1001,0)),""))</f>
        <v/>
      </c>
      <c r="D138" s="34">
        <f>IF($B138="","",IFERROR(INDEX(智能流水!$D$2:$D$1001,MATCH($B138,智能流水!$B$2:$B$1001,0)),""))</f>
        <v/>
      </c>
      <c r="E138" s="34">
        <f>IF($B138="","",IFERROR(INDEX(智能流水!$E$2:$E$1001,MATCH($B138,智能流水!$B$2:$B$1001,0)),""))</f>
        <v/>
      </c>
      <c r="F138" s="34">
        <f>IF($B138="","",IFERROR(INDEX(智能流水!$F$2:$F$1001,MATCH($B138,智能流水!$B$2:$B$1001,0)),""))</f>
        <v/>
      </c>
      <c r="G138" s="32">
        <f>IF($B138="","",IFERROR(INDEX(智能流水!$G$2:$G$1001,MATCH($B138,智能流水!$B$2:$B$1001,0)),""))</f>
        <v/>
      </c>
      <c r="H138" s="32">
        <f>IF($B138="","",IFERROR(INDEX(智能流水!$H$2:$H$1001,MATCH($B138,智能流水!$B$2:$B$1001,0)),""))</f>
        <v/>
      </c>
      <c r="I138" s="32">
        <f>IF($B138="","",IFERROR(INDEX(智能流水!$I$2:$I$1001,MATCH($B138,智能流水!$B$2:$B$1001,0)),""))</f>
        <v/>
      </c>
      <c r="J138" s="32">
        <f>IF($B138="","",IFERROR(INDEX(智能流水!$J$2:$J$1001,MATCH($B138,智能流水!$B$2:$B$1001,0)),""))</f>
        <v/>
      </c>
      <c r="K138" s="35">
        <f>IF($B138="","",IFERROR(INDEX(智能流水!$K$2:$K$1001,MATCH($B138,智能流水!$B$2:$B$1001,0)),""))</f>
        <v/>
      </c>
      <c r="L138" s="32">
        <f>IF($B138="","",IFERROR(INDEX(智能流水!$L$2:$L$1001,MATCH($B138,智能流水!$B$2:$B$1001,0)),""))</f>
        <v/>
      </c>
      <c r="M138" s="32">
        <f>IF($B138="","",IFERROR(INDEX(智能流水!$M$2:$M$1001,MATCH($B138,智能流水!$B$2:$B$1001,0)),""))</f>
        <v/>
      </c>
      <c r="N138" s="32">
        <f>IF($B138="","",IFERROR(INDEX(智能流水!$N$2:$N$1001,MATCH($B138,智能流水!$B$2:$B$1001,0)),""))</f>
        <v/>
      </c>
      <c r="O138" s="32">
        <f>IF($B138="","",IFERROR(INDEX(智能流水!$O$2:$O$1001,MATCH($B138,智能流水!$B$2:$B$1001,0)),""))</f>
        <v/>
      </c>
    </row>
    <row r="139" ht="23" customHeight="1" s="21">
      <c r="A139" s="32">
        <f>IF($B139="","",138)</f>
        <v/>
      </c>
      <c r="B139" s="32">
        <f>IFERROR(LARGE(智能流水!$B$2:$B$1001,138),"")</f>
        <v/>
      </c>
      <c r="C139" s="33">
        <f>IF($B139="","",IFERROR(INDEX(智能流水!$C$2:$C$1001,MATCH($B139,智能流水!$B$2:$B$1001,0)),""))</f>
        <v/>
      </c>
      <c r="D139" s="34">
        <f>IF($B139="","",IFERROR(INDEX(智能流水!$D$2:$D$1001,MATCH($B139,智能流水!$B$2:$B$1001,0)),""))</f>
        <v/>
      </c>
      <c r="E139" s="34">
        <f>IF($B139="","",IFERROR(INDEX(智能流水!$E$2:$E$1001,MATCH($B139,智能流水!$B$2:$B$1001,0)),""))</f>
        <v/>
      </c>
      <c r="F139" s="34">
        <f>IF($B139="","",IFERROR(INDEX(智能流水!$F$2:$F$1001,MATCH($B139,智能流水!$B$2:$B$1001,0)),""))</f>
        <v/>
      </c>
      <c r="G139" s="32">
        <f>IF($B139="","",IFERROR(INDEX(智能流水!$G$2:$G$1001,MATCH($B139,智能流水!$B$2:$B$1001,0)),""))</f>
        <v/>
      </c>
      <c r="H139" s="32">
        <f>IF($B139="","",IFERROR(INDEX(智能流水!$H$2:$H$1001,MATCH($B139,智能流水!$B$2:$B$1001,0)),""))</f>
        <v/>
      </c>
      <c r="I139" s="32">
        <f>IF($B139="","",IFERROR(INDEX(智能流水!$I$2:$I$1001,MATCH($B139,智能流水!$B$2:$B$1001,0)),""))</f>
        <v/>
      </c>
      <c r="J139" s="32">
        <f>IF($B139="","",IFERROR(INDEX(智能流水!$J$2:$J$1001,MATCH($B139,智能流水!$B$2:$B$1001,0)),""))</f>
        <v/>
      </c>
      <c r="K139" s="35">
        <f>IF($B139="","",IFERROR(INDEX(智能流水!$K$2:$K$1001,MATCH($B139,智能流水!$B$2:$B$1001,0)),""))</f>
        <v/>
      </c>
      <c r="L139" s="32">
        <f>IF($B139="","",IFERROR(INDEX(智能流水!$L$2:$L$1001,MATCH($B139,智能流水!$B$2:$B$1001,0)),""))</f>
        <v/>
      </c>
      <c r="M139" s="32">
        <f>IF($B139="","",IFERROR(INDEX(智能流水!$M$2:$M$1001,MATCH($B139,智能流水!$B$2:$B$1001,0)),""))</f>
        <v/>
      </c>
      <c r="N139" s="32">
        <f>IF($B139="","",IFERROR(INDEX(智能流水!$N$2:$N$1001,MATCH($B139,智能流水!$B$2:$B$1001,0)),""))</f>
        <v/>
      </c>
      <c r="O139" s="32">
        <f>IF($B139="","",IFERROR(INDEX(智能流水!$O$2:$O$1001,MATCH($B139,智能流水!$B$2:$B$1001,0)),""))</f>
        <v/>
      </c>
    </row>
    <row r="140" ht="23" customHeight="1" s="21">
      <c r="A140" s="32">
        <f>IF($B140="","",139)</f>
        <v/>
      </c>
      <c r="B140" s="32">
        <f>IFERROR(LARGE(智能流水!$B$2:$B$1001,139),"")</f>
        <v/>
      </c>
      <c r="C140" s="33">
        <f>IF($B140="","",IFERROR(INDEX(智能流水!$C$2:$C$1001,MATCH($B140,智能流水!$B$2:$B$1001,0)),""))</f>
        <v/>
      </c>
      <c r="D140" s="34">
        <f>IF($B140="","",IFERROR(INDEX(智能流水!$D$2:$D$1001,MATCH($B140,智能流水!$B$2:$B$1001,0)),""))</f>
        <v/>
      </c>
      <c r="E140" s="34">
        <f>IF($B140="","",IFERROR(INDEX(智能流水!$E$2:$E$1001,MATCH($B140,智能流水!$B$2:$B$1001,0)),""))</f>
        <v/>
      </c>
      <c r="F140" s="34">
        <f>IF($B140="","",IFERROR(INDEX(智能流水!$F$2:$F$1001,MATCH($B140,智能流水!$B$2:$B$1001,0)),""))</f>
        <v/>
      </c>
      <c r="G140" s="32">
        <f>IF($B140="","",IFERROR(INDEX(智能流水!$G$2:$G$1001,MATCH($B140,智能流水!$B$2:$B$1001,0)),""))</f>
        <v/>
      </c>
      <c r="H140" s="32">
        <f>IF($B140="","",IFERROR(INDEX(智能流水!$H$2:$H$1001,MATCH($B140,智能流水!$B$2:$B$1001,0)),""))</f>
        <v/>
      </c>
      <c r="I140" s="32">
        <f>IF($B140="","",IFERROR(INDEX(智能流水!$I$2:$I$1001,MATCH($B140,智能流水!$B$2:$B$1001,0)),""))</f>
        <v/>
      </c>
      <c r="J140" s="32">
        <f>IF($B140="","",IFERROR(INDEX(智能流水!$J$2:$J$1001,MATCH($B140,智能流水!$B$2:$B$1001,0)),""))</f>
        <v/>
      </c>
      <c r="K140" s="35">
        <f>IF($B140="","",IFERROR(INDEX(智能流水!$K$2:$K$1001,MATCH($B140,智能流水!$B$2:$B$1001,0)),""))</f>
        <v/>
      </c>
      <c r="L140" s="32">
        <f>IF($B140="","",IFERROR(INDEX(智能流水!$L$2:$L$1001,MATCH($B140,智能流水!$B$2:$B$1001,0)),""))</f>
        <v/>
      </c>
      <c r="M140" s="32">
        <f>IF($B140="","",IFERROR(INDEX(智能流水!$M$2:$M$1001,MATCH($B140,智能流水!$B$2:$B$1001,0)),""))</f>
        <v/>
      </c>
      <c r="N140" s="32">
        <f>IF($B140="","",IFERROR(INDEX(智能流水!$N$2:$N$1001,MATCH($B140,智能流水!$B$2:$B$1001,0)),""))</f>
        <v/>
      </c>
      <c r="O140" s="32">
        <f>IF($B140="","",IFERROR(INDEX(智能流水!$O$2:$O$1001,MATCH($B140,智能流水!$B$2:$B$1001,0)),""))</f>
        <v/>
      </c>
    </row>
    <row r="141" ht="23" customHeight="1" s="21">
      <c r="A141" s="32">
        <f>IF($B141="","",140)</f>
        <v/>
      </c>
      <c r="B141" s="32">
        <f>IFERROR(LARGE(智能流水!$B$2:$B$1001,140),"")</f>
        <v/>
      </c>
      <c r="C141" s="33">
        <f>IF($B141="","",IFERROR(INDEX(智能流水!$C$2:$C$1001,MATCH($B141,智能流水!$B$2:$B$1001,0)),""))</f>
        <v/>
      </c>
      <c r="D141" s="34">
        <f>IF($B141="","",IFERROR(INDEX(智能流水!$D$2:$D$1001,MATCH($B141,智能流水!$B$2:$B$1001,0)),""))</f>
        <v/>
      </c>
      <c r="E141" s="34">
        <f>IF($B141="","",IFERROR(INDEX(智能流水!$E$2:$E$1001,MATCH($B141,智能流水!$B$2:$B$1001,0)),""))</f>
        <v/>
      </c>
      <c r="F141" s="34">
        <f>IF($B141="","",IFERROR(INDEX(智能流水!$F$2:$F$1001,MATCH($B141,智能流水!$B$2:$B$1001,0)),""))</f>
        <v/>
      </c>
      <c r="G141" s="32">
        <f>IF($B141="","",IFERROR(INDEX(智能流水!$G$2:$G$1001,MATCH($B141,智能流水!$B$2:$B$1001,0)),""))</f>
        <v/>
      </c>
      <c r="H141" s="32">
        <f>IF($B141="","",IFERROR(INDEX(智能流水!$H$2:$H$1001,MATCH($B141,智能流水!$B$2:$B$1001,0)),""))</f>
        <v/>
      </c>
      <c r="I141" s="32">
        <f>IF($B141="","",IFERROR(INDEX(智能流水!$I$2:$I$1001,MATCH($B141,智能流水!$B$2:$B$1001,0)),""))</f>
        <v/>
      </c>
      <c r="J141" s="32">
        <f>IF($B141="","",IFERROR(INDEX(智能流水!$J$2:$J$1001,MATCH($B141,智能流水!$B$2:$B$1001,0)),""))</f>
        <v/>
      </c>
      <c r="K141" s="35">
        <f>IF($B141="","",IFERROR(INDEX(智能流水!$K$2:$K$1001,MATCH($B141,智能流水!$B$2:$B$1001,0)),""))</f>
        <v/>
      </c>
      <c r="L141" s="32">
        <f>IF($B141="","",IFERROR(INDEX(智能流水!$L$2:$L$1001,MATCH($B141,智能流水!$B$2:$B$1001,0)),""))</f>
        <v/>
      </c>
      <c r="M141" s="32">
        <f>IF($B141="","",IFERROR(INDEX(智能流水!$M$2:$M$1001,MATCH($B141,智能流水!$B$2:$B$1001,0)),""))</f>
        <v/>
      </c>
      <c r="N141" s="32">
        <f>IF($B141="","",IFERROR(INDEX(智能流水!$N$2:$N$1001,MATCH($B141,智能流水!$B$2:$B$1001,0)),""))</f>
        <v/>
      </c>
      <c r="O141" s="32">
        <f>IF($B141="","",IFERROR(INDEX(智能流水!$O$2:$O$1001,MATCH($B141,智能流水!$B$2:$B$1001,0)),""))</f>
        <v/>
      </c>
    </row>
    <row r="142" ht="23" customHeight="1" s="21">
      <c r="A142" s="32">
        <f>IF($B142="","",141)</f>
        <v/>
      </c>
      <c r="B142" s="32">
        <f>IFERROR(LARGE(智能流水!$B$2:$B$1001,141),"")</f>
        <v/>
      </c>
      <c r="C142" s="33">
        <f>IF($B142="","",IFERROR(INDEX(智能流水!$C$2:$C$1001,MATCH($B142,智能流水!$B$2:$B$1001,0)),""))</f>
        <v/>
      </c>
      <c r="D142" s="34">
        <f>IF($B142="","",IFERROR(INDEX(智能流水!$D$2:$D$1001,MATCH($B142,智能流水!$B$2:$B$1001,0)),""))</f>
        <v/>
      </c>
      <c r="E142" s="34">
        <f>IF($B142="","",IFERROR(INDEX(智能流水!$E$2:$E$1001,MATCH($B142,智能流水!$B$2:$B$1001,0)),""))</f>
        <v/>
      </c>
      <c r="F142" s="34">
        <f>IF($B142="","",IFERROR(INDEX(智能流水!$F$2:$F$1001,MATCH($B142,智能流水!$B$2:$B$1001,0)),""))</f>
        <v/>
      </c>
      <c r="G142" s="32">
        <f>IF($B142="","",IFERROR(INDEX(智能流水!$G$2:$G$1001,MATCH($B142,智能流水!$B$2:$B$1001,0)),""))</f>
        <v/>
      </c>
      <c r="H142" s="32">
        <f>IF($B142="","",IFERROR(INDEX(智能流水!$H$2:$H$1001,MATCH($B142,智能流水!$B$2:$B$1001,0)),""))</f>
        <v/>
      </c>
      <c r="I142" s="32">
        <f>IF($B142="","",IFERROR(INDEX(智能流水!$I$2:$I$1001,MATCH($B142,智能流水!$B$2:$B$1001,0)),""))</f>
        <v/>
      </c>
      <c r="J142" s="32">
        <f>IF($B142="","",IFERROR(INDEX(智能流水!$J$2:$J$1001,MATCH($B142,智能流水!$B$2:$B$1001,0)),""))</f>
        <v/>
      </c>
      <c r="K142" s="35">
        <f>IF($B142="","",IFERROR(INDEX(智能流水!$K$2:$K$1001,MATCH($B142,智能流水!$B$2:$B$1001,0)),""))</f>
        <v/>
      </c>
      <c r="L142" s="32">
        <f>IF($B142="","",IFERROR(INDEX(智能流水!$L$2:$L$1001,MATCH($B142,智能流水!$B$2:$B$1001,0)),""))</f>
        <v/>
      </c>
      <c r="M142" s="32">
        <f>IF($B142="","",IFERROR(INDEX(智能流水!$M$2:$M$1001,MATCH($B142,智能流水!$B$2:$B$1001,0)),""))</f>
        <v/>
      </c>
      <c r="N142" s="32">
        <f>IF($B142="","",IFERROR(INDEX(智能流水!$N$2:$N$1001,MATCH($B142,智能流水!$B$2:$B$1001,0)),""))</f>
        <v/>
      </c>
      <c r="O142" s="32">
        <f>IF($B142="","",IFERROR(INDEX(智能流水!$O$2:$O$1001,MATCH($B142,智能流水!$B$2:$B$1001,0)),""))</f>
        <v/>
      </c>
    </row>
    <row r="143" ht="23" customHeight="1" s="21">
      <c r="A143" s="32">
        <f>IF($B143="","",142)</f>
        <v/>
      </c>
      <c r="B143" s="32">
        <f>IFERROR(LARGE(智能流水!$B$2:$B$1001,142),"")</f>
        <v/>
      </c>
      <c r="C143" s="33">
        <f>IF($B143="","",IFERROR(INDEX(智能流水!$C$2:$C$1001,MATCH($B143,智能流水!$B$2:$B$1001,0)),""))</f>
        <v/>
      </c>
      <c r="D143" s="34">
        <f>IF($B143="","",IFERROR(INDEX(智能流水!$D$2:$D$1001,MATCH($B143,智能流水!$B$2:$B$1001,0)),""))</f>
        <v/>
      </c>
      <c r="E143" s="34">
        <f>IF($B143="","",IFERROR(INDEX(智能流水!$E$2:$E$1001,MATCH($B143,智能流水!$B$2:$B$1001,0)),""))</f>
        <v/>
      </c>
      <c r="F143" s="34">
        <f>IF($B143="","",IFERROR(INDEX(智能流水!$F$2:$F$1001,MATCH($B143,智能流水!$B$2:$B$1001,0)),""))</f>
        <v/>
      </c>
      <c r="G143" s="32">
        <f>IF($B143="","",IFERROR(INDEX(智能流水!$G$2:$G$1001,MATCH($B143,智能流水!$B$2:$B$1001,0)),""))</f>
        <v/>
      </c>
      <c r="H143" s="32">
        <f>IF($B143="","",IFERROR(INDEX(智能流水!$H$2:$H$1001,MATCH($B143,智能流水!$B$2:$B$1001,0)),""))</f>
        <v/>
      </c>
      <c r="I143" s="32">
        <f>IF($B143="","",IFERROR(INDEX(智能流水!$I$2:$I$1001,MATCH($B143,智能流水!$B$2:$B$1001,0)),""))</f>
        <v/>
      </c>
      <c r="J143" s="32">
        <f>IF($B143="","",IFERROR(INDEX(智能流水!$J$2:$J$1001,MATCH($B143,智能流水!$B$2:$B$1001,0)),""))</f>
        <v/>
      </c>
      <c r="K143" s="35">
        <f>IF($B143="","",IFERROR(INDEX(智能流水!$K$2:$K$1001,MATCH($B143,智能流水!$B$2:$B$1001,0)),""))</f>
        <v/>
      </c>
      <c r="L143" s="32">
        <f>IF($B143="","",IFERROR(INDEX(智能流水!$L$2:$L$1001,MATCH($B143,智能流水!$B$2:$B$1001,0)),""))</f>
        <v/>
      </c>
      <c r="M143" s="32">
        <f>IF($B143="","",IFERROR(INDEX(智能流水!$M$2:$M$1001,MATCH($B143,智能流水!$B$2:$B$1001,0)),""))</f>
        <v/>
      </c>
      <c r="N143" s="32">
        <f>IF($B143="","",IFERROR(INDEX(智能流水!$N$2:$N$1001,MATCH($B143,智能流水!$B$2:$B$1001,0)),""))</f>
        <v/>
      </c>
      <c r="O143" s="32">
        <f>IF($B143="","",IFERROR(INDEX(智能流水!$O$2:$O$1001,MATCH($B143,智能流水!$B$2:$B$1001,0)),""))</f>
        <v/>
      </c>
    </row>
    <row r="144" ht="23" customHeight="1" s="21">
      <c r="A144" s="32">
        <f>IF($B144="","",143)</f>
        <v/>
      </c>
      <c r="B144" s="32">
        <f>IFERROR(LARGE(智能流水!$B$2:$B$1001,143),"")</f>
        <v/>
      </c>
      <c r="C144" s="33">
        <f>IF($B144="","",IFERROR(INDEX(智能流水!$C$2:$C$1001,MATCH($B144,智能流水!$B$2:$B$1001,0)),""))</f>
        <v/>
      </c>
      <c r="D144" s="34">
        <f>IF($B144="","",IFERROR(INDEX(智能流水!$D$2:$D$1001,MATCH($B144,智能流水!$B$2:$B$1001,0)),""))</f>
        <v/>
      </c>
      <c r="E144" s="34">
        <f>IF($B144="","",IFERROR(INDEX(智能流水!$E$2:$E$1001,MATCH($B144,智能流水!$B$2:$B$1001,0)),""))</f>
        <v/>
      </c>
      <c r="F144" s="34">
        <f>IF($B144="","",IFERROR(INDEX(智能流水!$F$2:$F$1001,MATCH($B144,智能流水!$B$2:$B$1001,0)),""))</f>
        <v/>
      </c>
      <c r="G144" s="32">
        <f>IF($B144="","",IFERROR(INDEX(智能流水!$G$2:$G$1001,MATCH($B144,智能流水!$B$2:$B$1001,0)),""))</f>
        <v/>
      </c>
      <c r="H144" s="32">
        <f>IF($B144="","",IFERROR(INDEX(智能流水!$H$2:$H$1001,MATCH($B144,智能流水!$B$2:$B$1001,0)),""))</f>
        <v/>
      </c>
      <c r="I144" s="32">
        <f>IF($B144="","",IFERROR(INDEX(智能流水!$I$2:$I$1001,MATCH($B144,智能流水!$B$2:$B$1001,0)),""))</f>
        <v/>
      </c>
      <c r="J144" s="32">
        <f>IF($B144="","",IFERROR(INDEX(智能流水!$J$2:$J$1001,MATCH($B144,智能流水!$B$2:$B$1001,0)),""))</f>
        <v/>
      </c>
      <c r="K144" s="35">
        <f>IF($B144="","",IFERROR(INDEX(智能流水!$K$2:$K$1001,MATCH($B144,智能流水!$B$2:$B$1001,0)),""))</f>
        <v/>
      </c>
      <c r="L144" s="32">
        <f>IF($B144="","",IFERROR(INDEX(智能流水!$L$2:$L$1001,MATCH($B144,智能流水!$B$2:$B$1001,0)),""))</f>
        <v/>
      </c>
      <c r="M144" s="32">
        <f>IF($B144="","",IFERROR(INDEX(智能流水!$M$2:$M$1001,MATCH($B144,智能流水!$B$2:$B$1001,0)),""))</f>
        <v/>
      </c>
      <c r="N144" s="32">
        <f>IF($B144="","",IFERROR(INDEX(智能流水!$N$2:$N$1001,MATCH($B144,智能流水!$B$2:$B$1001,0)),""))</f>
        <v/>
      </c>
      <c r="O144" s="32">
        <f>IF($B144="","",IFERROR(INDEX(智能流水!$O$2:$O$1001,MATCH($B144,智能流水!$B$2:$B$1001,0)),""))</f>
        <v/>
      </c>
    </row>
    <row r="145" ht="23" customHeight="1" s="21">
      <c r="A145" s="32">
        <f>IF($B145="","",144)</f>
        <v/>
      </c>
      <c r="B145" s="32">
        <f>IFERROR(LARGE(智能流水!$B$2:$B$1001,144),"")</f>
        <v/>
      </c>
      <c r="C145" s="33">
        <f>IF($B145="","",IFERROR(INDEX(智能流水!$C$2:$C$1001,MATCH($B145,智能流水!$B$2:$B$1001,0)),""))</f>
        <v/>
      </c>
      <c r="D145" s="34">
        <f>IF($B145="","",IFERROR(INDEX(智能流水!$D$2:$D$1001,MATCH($B145,智能流水!$B$2:$B$1001,0)),""))</f>
        <v/>
      </c>
      <c r="E145" s="34">
        <f>IF($B145="","",IFERROR(INDEX(智能流水!$E$2:$E$1001,MATCH($B145,智能流水!$B$2:$B$1001,0)),""))</f>
        <v/>
      </c>
      <c r="F145" s="34">
        <f>IF($B145="","",IFERROR(INDEX(智能流水!$F$2:$F$1001,MATCH($B145,智能流水!$B$2:$B$1001,0)),""))</f>
        <v/>
      </c>
      <c r="G145" s="32">
        <f>IF($B145="","",IFERROR(INDEX(智能流水!$G$2:$G$1001,MATCH($B145,智能流水!$B$2:$B$1001,0)),""))</f>
        <v/>
      </c>
      <c r="H145" s="32">
        <f>IF($B145="","",IFERROR(INDEX(智能流水!$H$2:$H$1001,MATCH($B145,智能流水!$B$2:$B$1001,0)),""))</f>
        <v/>
      </c>
      <c r="I145" s="32">
        <f>IF($B145="","",IFERROR(INDEX(智能流水!$I$2:$I$1001,MATCH($B145,智能流水!$B$2:$B$1001,0)),""))</f>
        <v/>
      </c>
      <c r="J145" s="32">
        <f>IF($B145="","",IFERROR(INDEX(智能流水!$J$2:$J$1001,MATCH($B145,智能流水!$B$2:$B$1001,0)),""))</f>
        <v/>
      </c>
      <c r="K145" s="35">
        <f>IF($B145="","",IFERROR(INDEX(智能流水!$K$2:$K$1001,MATCH($B145,智能流水!$B$2:$B$1001,0)),""))</f>
        <v/>
      </c>
      <c r="L145" s="32">
        <f>IF($B145="","",IFERROR(INDEX(智能流水!$L$2:$L$1001,MATCH($B145,智能流水!$B$2:$B$1001,0)),""))</f>
        <v/>
      </c>
      <c r="M145" s="32">
        <f>IF($B145="","",IFERROR(INDEX(智能流水!$M$2:$M$1001,MATCH($B145,智能流水!$B$2:$B$1001,0)),""))</f>
        <v/>
      </c>
      <c r="N145" s="32">
        <f>IF($B145="","",IFERROR(INDEX(智能流水!$N$2:$N$1001,MATCH($B145,智能流水!$B$2:$B$1001,0)),""))</f>
        <v/>
      </c>
      <c r="O145" s="32">
        <f>IF($B145="","",IFERROR(INDEX(智能流水!$O$2:$O$1001,MATCH($B145,智能流水!$B$2:$B$1001,0)),""))</f>
        <v/>
      </c>
    </row>
    <row r="146" ht="23" customHeight="1" s="21">
      <c r="A146" s="32">
        <f>IF($B146="","",145)</f>
        <v/>
      </c>
      <c r="B146" s="32">
        <f>IFERROR(LARGE(智能流水!$B$2:$B$1001,145),"")</f>
        <v/>
      </c>
      <c r="C146" s="33">
        <f>IF($B146="","",IFERROR(INDEX(智能流水!$C$2:$C$1001,MATCH($B146,智能流水!$B$2:$B$1001,0)),""))</f>
        <v/>
      </c>
      <c r="D146" s="34">
        <f>IF($B146="","",IFERROR(INDEX(智能流水!$D$2:$D$1001,MATCH($B146,智能流水!$B$2:$B$1001,0)),""))</f>
        <v/>
      </c>
      <c r="E146" s="34">
        <f>IF($B146="","",IFERROR(INDEX(智能流水!$E$2:$E$1001,MATCH($B146,智能流水!$B$2:$B$1001,0)),""))</f>
        <v/>
      </c>
      <c r="F146" s="34">
        <f>IF($B146="","",IFERROR(INDEX(智能流水!$F$2:$F$1001,MATCH($B146,智能流水!$B$2:$B$1001,0)),""))</f>
        <v/>
      </c>
      <c r="G146" s="32">
        <f>IF($B146="","",IFERROR(INDEX(智能流水!$G$2:$G$1001,MATCH($B146,智能流水!$B$2:$B$1001,0)),""))</f>
        <v/>
      </c>
      <c r="H146" s="32">
        <f>IF($B146="","",IFERROR(INDEX(智能流水!$H$2:$H$1001,MATCH($B146,智能流水!$B$2:$B$1001,0)),""))</f>
        <v/>
      </c>
      <c r="I146" s="32">
        <f>IF($B146="","",IFERROR(INDEX(智能流水!$I$2:$I$1001,MATCH($B146,智能流水!$B$2:$B$1001,0)),""))</f>
        <v/>
      </c>
      <c r="J146" s="32">
        <f>IF($B146="","",IFERROR(INDEX(智能流水!$J$2:$J$1001,MATCH($B146,智能流水!$B$2:$B$1001,0)),""))</f>
        <v/>
      </c>
      <c r="K146" s="35">
        <f>IF($B146="","",IFERROR(INDEX(智能流水!$K$2:$K$1001,MATCH($B146,智能流水!$B$2:$B$1001,0)),""))</f>
        <v/>
      </c>
      <c r="L146" s="32">
        <f>IF($B146="","",IFERROR(INDEX(智能流水!$L$2:$L$1001,MATCH($B146,智能流水!$B$2:$B$1001,0)),""))</f>
        <v/>
      </c>
      <c r="M146" s="32">
        <f>IF($B146="","",IFERROR(INDEX(智能流水!$M$2:$M$1001,MATCH($B146,智能流水!$B$2:$B$1001,0)),""))</f>
        <v/>
      </c>
      <c r="N146" s="32">
        <f>IF($B146="","",IFERROR(INDEX(智能流水!$N$2:$N$1001,MATCH($B146,智能流水!$B$2:$B$1001,0)),""))</f>
        <v/>
      </c>
      <c r="O146" s="32">
        <f>IF($B146="","",IFERROR(INDEX(智能流水!$O$2:$O$1001,MATCH($B146,智能流水!$B$2:$B$1001,0)),""))</f>
        <v/>
      </c>
    </row>
    <row r="147" ht="23" customHeight="1" s="21">
      <c r="A147" s="32">
        <f>IF($B147="","",146)</f>
        <v/>
      </c>
      <c r="B147" s="32">
        <f>IFERROR(LARGE(智能流水!$B$2:$B$1001,146),"")</f>
        <v/>
      </c>
      <c r="C147" s="33">
        <f>IF($B147="","",IFERROR(INDEX(智能流水!$C$2:$C$1001,MATCH($B147,智能流水!$B$2:$B$1001,0)),""))</f>
        <v/>
      </c>
      <c r="D147" s="34">
        <f>IF($B147="","",IFERROR(INDEX(智能流水!$D$2:$D$1001,MATCH($B147,智能流水!$B$2:$B$1001,0)),""))</f>
        <v/>
      </c>
      <c r="E147" s="34">
        <f>IF($B147="","",IFERROR(INDEX(智能流水!$E$2:$E$1001,MATCH($B147,智能流水!$B$2:$B$1001,0)),""))</f>
        <v/>
      </c>
      <c r="F147" s="34">
        <f>IF($B147="","",IFERROR(INDEX(智能流水!$F$2:$F$1001,MATCH($B147,智能流水!$B$2:$B$1001,0)),""))</f>
        <v/>
      </c>
      <c r="G147" s="32">
        <f>IF($B147="","",IFERROR(INDEX(智能流水!$G$2:$G$1001,MATCH($B147,智能流水!$B$2:$B$1001,0)),""))</f>
        <v/>
      </c>
      <c r="H147" s="32">
        <f>IF($B147="","",IFERROR(INDEX(智能流水!$H$2:$H$1001,MATCH($B147,智能流水!$B$2:$B$1001,0)),""))</f>
        <v/>
      </c>
      <c r="I147" s="32">
        <f>IF($B147="","",IFERROR(INDEX(智能流水!$I$2:$I$1001,MATCH($B147,智能流水!$B$2:$B$1001,0)),""))</f>
        <v/>
      </c>
      <c r="J147" s="32">
        <f>IF($B147="","",IFERROR(INDEX(智能流水!$J$2:$J$1001,MATCH($B147,智能流水!$B$2:$B$1001,0)),""))</f>
        <v/>
      </c>
      <c r="K147" s="35">
        <f>IF($B147="","",IFERROR(INDEX(智能流水!$K$2:$K$1001,MATCH($B147,智能流水!$B$2:$B$1001,0)),""))</f>
        <v/>
      </c>
      <c r="L147" s="32">
        <f>IF($B147="","",IFERROR(INDEX(智能流水!$L$2:$L$1001,MATCH($B147,智能流水!$B$2:$B$1001,0)),""))</f>
        <v/>
      </c>
      <c r="M147" s="32">
        <f>IF($B147="","",IFERROR(INDEX(智能流水!$M$2:$M$1001,MATCH($B147,智能流水!$B$2:$B$1001,0)),""))</f>
        <v/>
      </c>
      <c r="N147" s="32">
        <f>IF($B147="","",IFERROR(INDEX(智能流水!$N$2:$N$1001,MATCH($B147,智能流水!$B$2:$B$1001,0)),""))</f>
        <v/>
      </c>
      <c r="O147" s="32">
        <f>IF($B147="","",IFERROR(INDEX(智能流水!$O$2:$O$1001,MATCH($B147,智能流水!$B$2:$B$1001,0)),""))</f>
        <v/>
      </c>
    </row>
    <row r="148" ht="23" customHeight="1" s="21">
      <c r="A148" s="32">
        <f>IF($B148="","",147)</f>
        <v/>
      </c>
      <c r="B148" s="32">
        <f>IFERROR(LARGE(智能流水!$B$2:$B$1001,147),"")</f>
        <v/>
      </c>
      <c r="C148" s="33">
        <f>IF($B148="","",IFERROR(INDEX(智能流水!$C$2:$C$1001,MATCH($B148,智能流水!$B$2:$B$1001,0)),""))</f>
        <v/>
      </c>
      <c r="D148" s="34">
        <f>IF($B148="","",IFERROR(INDEX(智能流水!$D$2:$D$1001,MATCH($B148,智能流水!$B$2:$B$1001,0)),""))</f>
        <v/>
      </c>
      <c r="E148" s="34">
        <f>IF($B148="","",IFERROR(INDEX(智能流水!$E$2:$E$1001,MATCH($B148,智能流水!$B$2:$B$1001,0)),""))</f>
        <v/>
      </c>
      <c r="F148" s="34">
        <f>IF($B148="","",IFERROR(INDEX(智能流水!$F$2:$F$1001,MATCH($B148,智能流水!$B$2:$B$1001,0)),""))</f>
        <v/>
      </c>
      <c r="G148" s="32">
        <f>IF($B148="","",IFERROR(INDEX(智能流水!$G$2:$G$1001,MATCH($B148,智能流水!$B$2:$B$1001,0)),""))</f>
        <v/>
      </c>
      <c r="H148" s="32">
        <f>IF($B148="","",IFERROR(INDEX(智能流水!$H$2:$H$1001,MATCH($B148,智能流水!$B$2:$B$1001,0)),""))</f>
        <v/>
      </c>
      <c r="I148" s="32">
        <f>IF($B148="","",IFERROR(INDEX(智能流水!$I$2:$I$1001,MATCH($B148,智能流水!$B$2:$B$1001,0)),""))</f>
        <v/>
      </c>
      <c r="J148" s="32">
        <f>IF($B148="","",IFERROR(INDEX(智能流水!$J$2:$J$1001,MATCH($B148,智能流水!$B$2:$B$1001,0)),""))</f>
        <v/>
      </c>
      <c r="K148" s="35">
        <f>IF($B148="","",IFERROR(INDEX(智能流水!$K$2:$K$1001,MATCH($B148,智能流水!$B$2:$B$1001,0)),""))</f>
        <v/>
      </c>
      <c r="L148" s="32">
        <f>IF($B148="","",IFERROR(INDEX(智能流水!$L$2:$L$1001,MATCH($B148,智能流水!$B$2:$B$1001,0)),""))</f>
        <v/>
      </c>
      <c r="M148" s="32">
        <f>IF($B148="","",IFERROR(INDEX(智能流水!$M$2:$M$1001,MATCH($B148,智能流水!$B$2:$B$1001,0)),""))</f>
        <v/>
      </c>
      <c r="N148" s="32">
        <f>IF($B148="","",IFERROR(INDEX(智能流水!$N$2:$N$1001,MATCH($B148,智能流水!$B$2:$B$1001,0)),""))</f>
        <v/>
      </c>
      <c r="O148" s="32">
        <f>IF($B148="","",IFERROR(INDEX(智能流水!$O$2:$O$1001,MATCH($B148,智能流水!$B$2:$B$1001,0)),""))</f>
        <v/>
      </c>
    </row>
    <row r="149" ht="23" customHeight="1" s="21">
      <c r="A149" s="32">
        <f>IF($B149="","",148)</f>
        <v/>
      </c>
      <c r="B149" s="32">
        <f>IFERROR(LARGE(智能流水!$B$2:$B$1001,148),"")</f>
        <v/>
      </c>
      <c r="C149" s="33">
        <f>IF($B149="","",IFERROR(INDEX(智能流水!$C$2:$C$1001,MATCH($B149,智能流水!$B$2:$B$1001,0)),""))</f>
        <v/>
      </c>
      <c r="D149" s="34">
        <f>IF($B149="","",IFERROR(INDEX(智能流水!$D$2:$D$1001,MATCH($B149,智能流水!$B$2:$B$1001,0)),""))</f>
        <v/>
      </c>
      <c r="E149" s="34">
        <f>IF($B149="","",IFERROR(INDEX(智能流水!$E$2:$E$1001,MATCH($B149,智能流水!$B$2:$B$1001,0)),""))</f>
        <v/>
      </c>
      <c r="F149" s="34">
        <f>IF($B149="","",IFERROR(INDEX(智能流水!$F$2:$F$1001,MATCH($B149,智能流水!$B$2:$B$1001,0)),""))</f>
        <v/>
      </c>
      <c r="G149" s="32">
        <f>IF($B149="","",IFERROR(INDEX(智能流水!$G$2:$G$1001,MATCH($B149,智能流水!$B$2:$B$1001,0)),""))</f>
        <v/>
      </c>
      <c r="H149" s="32">
        <f>IF($B149="","",IFERROR(INDEX(智能流水!$H$2:$H$1001,MATCH($B149,智能流水!$B$2:$B$1001,0)),""))</f>
        <v/>
      </c>
      <c r="I149" s="32">
        <f>IF($B149="","",IFERROR(INDEX(智能流水!$I$2:$I$1001,MATCH($B149,智能流水!$B$2:$B$1001,0)),""))</f>
        <v/>
      </c>
      <c r="J149" s="32">
        <f>IF($B149="","",IFERROR(INDEX(智能流水!$J$2:$J$1001,MATCH($B149,智能流水!$B$2:$B$1001,0)),""))</f>
        <v/>
      </c>
      <c r="K149" s="35">
        <f>IF($B149="","",IFERROR(INDEX(智能流水!$K$2:$K$1001,MATCH($B149,智能流水!$B$2:$B$1001,0)),""))</f>
        <v/>
      </c>
      <c r="L149" s="32">
        <f>IF($B149="","",IFERROR(INDEX(智能流水!$L$2:$L$1001,MATCH($B149,智能流水!$B$2:$B$1001,0)),""))</f>
        <v/>
      </c>
      <c r="M149" s="32">
        <f>IF($B149="","",IFERROR(INDEX(智能流水!$M$2:$M$1001,MATCH($B149,智能流水!$B$2:$B$1001,0)),""))</f>
        <v/>
      </c>
      <c r="N149" s="32">
        <f>IF($B149="","",IFERROR(INDEX(智能流水!$N$2:$N$1001,MATCH($B149,智能流水!$B$2:$B$1001,0)),""))</f>
        <v/>
      </c>
      <c r="O149" s="32">
        <f>IF($B149="","",IFERROR(INDEX(智能流水!$O$2:$O$1001,MATCH($B149,智能流水!$B$2:$B$1001,0)),""))</f>
        <v/>
      </c>
    </row>
    <row r="150" ht="23" customHeight="1" s="21">
      <c r="A150" s="32">
        <f>IF($B150="","",149)</f>
        <v/>
      </c>
      <c r="B150" s="32">
        <f>IFERROR(LARGE(智能流水!$B$2:$B$1001,149),"")</f>
        <v/>
      </c>
      <c r="C150" s="33">
        <f>IF($B150="","",IFERROR(INDEX(智能流水!$C$2:$C$1001,MATCH($B150,智能流水!$B$2:$B$1001,0)),""))</f>
        <v/>
      </c>
      <c r="D150" s="34">
        <f>IF($B150="","",IFERROR(INDEX(智能流水!$D$2:$D$1001,MATCH($B150,智能流水!$B$2:$B$1001,0)),""))</f>
        <v/>
      </c>
      <c r="E150" s="34">
        <f>IF($B150="","",IFERROR(INDEX(智能流水!$E$2:$E$1001,MATCH($B150,智能流水!$B$2:$B$1001,0)),""))</f>
        <v/>
      </c>
      <c r="F150" s="34">
        <f>IF($B150="","",IFERROR(INDEX(智能流水!$F$2:$F$1001,MATCH($B150,智能流水!$B$2:$B$1001,0)),""))</f>
        <v/>
      </c>
      <c r="G150" s="32">
        <f>IF($B150="","",IFERROR(INDEX(智能流水!$G$2:$G$1001,MATCH($B150,智能流水!$B$2:$B$1001,0)),""))</f>
        <v/>
      </c>
      <c r="H150" s="32">
        <f>IF($B150="","",IFERROR(INDEX(智能流水!$H$2:$H$1001,MATCH($B150,智能流水!$B$2:$B$1001,0)),""))</f>
        <v/>
      </c>
      <c r="I150" s="32">
        <f>IF($B150="","",IFERROR(INDEX(智能流水!$I$2:$I$1001,MATCH($B150,智能流水!$B$2:$B$1001,0)),""))</f>
        <v/>
      </c>
      <c r="J150" s="32">
        <f>IF($B150="","",IFERROR(INDEX(智能流水!$J$2:$J$1001,MATCH($B150,智能流水!$B$2:$B$1001,0)),""))</f>
        <v/>
      </c>
      <c r="K150" s="35">
        <f>IF($B150="","",IFERROR(INDEX(智能流水!$K$2:$K$1001,MATCH($B150,智能流水!$B$2:$B$1001,0)),""))</f>
        <v/>
      </c>
      <c r="L150" s="32">
        <f>IF($B150="","",IFERROR(INDEX(智能流水!$L$2:$L$1001,MATCH($B150,智能流水!$B$2:$B$1001,0)),""))</f>
        <v/>
      </c>
      <c r="M150" s="32">
        <f>IF($B150="","",IFERROR(INDEX(智能流水!$M$2:$M$1001,MATCH($B150,智能流水!$B$2:$B$1001,0)),""))</f>
        <v/>
      </c>
      <c r="N150" s="32">
        <f>IF($B150="","",IFERROR(INDEX(智能流水!$N$2:$N$1001,MATCH($B150,智能流水!$B$2:$B$1001,0)),""))</f>
        <v/>
      </c>
      <c r="O150" s="32">
        <f>IF($B150="","",IFERROR(INDEX(智能流水!$O$2:$O$1001,MATCH($B150,智能流水!$B$2:$B$1001,0)),""))</f>
        <v/>
      </c>
    </row>
    <row r="151" ht="23" customHeight="1" s="21">
      <c r="A151" s="32">
        <f>IF($B151="","",150)</f>
        <v/>
      </c>
      <c r="B151" s="32">
        <f>IFERROR(LARGE(智能流水!$B$2:$B$1001,150),"")</f>
        <v/>
      </c>
      <c r="C151" s="33">
        <f>IF($B151="","",IFERROR(INDEX(智能流水!$C$2:$C$1001,MATCH($B151,智能流水!$B$2:$B$1001,0)),""))</f>
        <v/>
      </c>
      <c r="D151" s="34">
        <f>IF($B151="","",IFERROR(INDEX(智能流水!$D$2:$D$1001,MATCH($B151,智能流水!$B$2:$B$1001,0)),""))</f>
        <v/>
      </c>
      <c r="E151" s="34">
        <f>IF($B151="","",IFERROR(INDEX(智能流水!$E$2:$E$1001,MATCH($B151,智能流水!$B$2:$B$1001,0)),""))</f>
        <v/>
      </c>
      <c r="F151" s="34">
        <f>IF($B151="","",IFERROR(INDEX(智能流水!$F$2:$F$1001,MATCH($B151,智能流水!$B$2:$B$1001,0)),""))</f>
        <v/>
      </c>
      <c r="G151" s="32">
        <f>IF($B151="","",IFERROR(INDEX(智能流水!$G$2:$G$1001,MATCH($B151,智能流水!$B$2:$B$1001,0)),""))</f>
        <v/>
      </c>
      <c r="H151" s="32">
        <f>IF($B151="","",IFERROR(INDEX(智能流水!$H$2:$H$1001,MATCH($B151,智能流水!$B$2:$B$1001,0)),""))</f>
        <v/>
      </c>
      <c r="I151" s="32">
        <f>IF($B151="","",IFERROR(INDEX(智能流水!$I$2:$I$1001,MATCH($B151,智能流水!$B$2:$B$1001,0)),""))</f>
        <v/>
      </c>
      <c r="J151" s="32">
        <f>IF($B151="","",IFERROR(INDEX(智能流水!$J$2:$J$1001,MATCH($B151,智能流水!$B$2:$B$1001,0)),""))</f>
        <v/>
      </c>
      <c r="K151" s="35">
        <f>IF($B151="","",IFERROR(INDEX(智能流水!$K$2:$K$1001,MATCH($B151,智能流水!$B$2:$B$1001,0)),""))</f>
        <v/>
      </c>
      <c r="L151" s="32">
        <f>IF($B151="","",IFERROR(INDEX(智能流水!$L$2:$L$1001,MATCH($B151,智能流水!$B$2:$B$1001,0)),""))</f>
        <v/>
      </c>
      <c r="M151" s="32">
        <f>IF($B151="","",IFERROR(INDEX(智能流水!$M$2:$M$1001,MATCH($B151,智能流水!$B$2:$B$1001,0)),""))</f>
        <v/>
      </c>
      <c r="N151" s="32">
        <f>IF($B151="","",IFERROR(INDEX(智能流水!$N$2:$N$1001,MATCH($B151,智能流水!$B$2:$B$1001,0)),""))</f>
        <v/>
      </c>
      <c r="O151" s="32">
        <f>IF($B151="","",IFERROR(INDEX(智能流水!$O$2:$O$1001,MATCH($B151,智能流水!$B$2:$B$1001,0)),""))</f>
        <v/>
      </c>
    </row>
    <row r="152" ht="23" customHeight="1" s="21">
      <c r="A152" s="32">
        <f>IF($B152="","",151)</f>
        <v/>
      </c>
      <c r="B152" s="32">
        <f>IFERROR(LARGE(智能流水!$B$2:$B$1001,151),"")</f>
        <v/>
      </c>
      <c r="C152" s="33">
        <f>IF($B152="","",IFERROR(INDEX(智能流水!$C$2:$C$1001,MATCH($B152,智能流水!$B$2:$B$1001,0)),""))</f>
        <v/>
      </c>
      <c r="D152" s="34">
        <f>IF($B152="","",IFERROR(INDEX(智能流水!$D$2:$D$1001,MATCH($B152,智能流水!$B$2:$B$1001,0)),""))</f>
        <v/>
      </c>
      <c r="E152" s="34">
        <f>IF($B152="","",IFERROR(INDEX(智能流水!$E$2:$E$1001,MATCH($B152,智能流水!$B$2:$B$1001,0)),""))</f>
        <v/>
      </c>
      <c r="F152" s="34">
        <f>IF($B152="","",IFERROR(INDEX(智能流水!$F$2:$F$1001,MATCH($B152,智能流水!$B$2:$B$1001,0)),""))</f>
        <v/>
      </c>
      <c r="G152" s="32">
        <f>IF($B152="","",IFERROR(INDEX(智能流水!$G$2:$G$1001,MATCH($B152,智能流水!$B$2:$B$1001,0)),""))</f>
        <v/>
      </c>
      <c r="H152" s="32">
        <f>IF($B152="","",IFERROR(INDEX(智能流水!$H$2:$H$1001,MATCH($B152,智能流水!$B$2:$B$1001,0)),""))</f>
        <v/>
      </c>
      <c r="I152" s="32">
        <f>IF($B152="","",IFERROR(INDEX(智能流水!$I$2:$I$1001,MATCH($B152,智能流水!$B$2:$B$1001,0)),""))</f>
        <v/>
      </c>
      <c r="J152" s="32">
        <f>IF($B152="","",IFERROR(INDEX(智能流水!$J$2:$J$1001,MATCH($B152,智能流水!$B$2:$B$1001,0)),""))</f>
        <v/>
      </c>
      <c r="K152" s="35">
        <f>IF($B152="","",IFERROR(INDEX(智能流水!$K$2:$K$1001,MATCH($B152,智能流水!$B$2:$B$1001,0)),""))</f>
        <v/>
      </c>
      <c r="L152" s="32">
        <f>IF($B152="","",IFERROR(INDEX(智能流水!$L$2:$L$1001,MATCH($B152,智能流水!$B$2:$B$1001,0)),""))</f>
        <v/>
      </c>
      <c r="M152" s="32">
        <f>IF($B152="","",IFERROR(INDEX(智能流水!$M$2:$M$1001,MATCH($B152,智能流水!$B$2:$B$1001,0)),""))</f>
        <v/>
      </c>
      <c r="N152" s="32">
        <f>IF($B152="","",IFERROR(INDEX(智能流水!$N$2:$N$1001,MATCH($B152,智能流水!$B$2:$B$1001,0)),""))</f>
        <v/>
      </c>
      <c r="O152" s="32">
        <f>IF($B152="","",IFERROR(INDEX(智能流水!$O$2:$O$1001,MATCH($B152,智能流水!$B$2:$B$1001,0)),""))</f>
        <v/>
      </c>
    </row>
    <row r="153" ht="23" customHeight="1" s="21">
      <c r="A153" s="32">
        <f>IF($B153="","",152)</f>
        <v/>
      </c>
      <c r="B153" s="32">
        <f>IFERROR(LARGE(智能流水!$B$2:$B$1001,152),"")</f>
        <v/>
      </c>
      <c r="C153" s="33">
        <f>IF($B153="","",IFERROR(INDEX(智能流水!$C$2:$C$1001,MATCH($B153,智能流水!$B$2:$B$1001,0)),""))</f>
        <v/>
      </c>
      <c r="D153" s="34">
        <f>IF($B153="","",IFERROR(INDEX(智能流水!$D$2:$D$1001,MATCH($B153,智能流水!$B$2:$B$1001,0)),""))</f>
        <v/>
      </c>
      <c r="E153" s="34">
        <f>IF($B153="","",IFERROR(INDEX(智能流水!$E$2:$E$1001,MATCH($B153,智能流水!$B$2:$B$1001,0)),""))</f>
        <v/>
      </c>
      <c r="F153" s="34">
        <f>IF($B153="","",IFERROR(INDEX(智能流水!$F$2:$F$1001,MATCH($B153,智能流水!$B$2:$B$1001,0)),""))</f>
        <v/>
      </c>
      <c r="G153" s="32">
        <f>IF($B153="","",IFERROR(INDEX(智能流水!$G$2:$G$1001,MATCH($B153,智能流水!$B$2:$B$1001,0)),""))</f>
        <v/>
      </c>
      <c r="H153" s="32">
        <f>IF($B153="","",IFERROR(INDEX(智能流水!$H$2:$H$1001,MATCH($B153,智能流水!$B$2:$B$1001,0)),""))</f>
        <v/>
      </c>
      <c r="I153" s="32">
        <f>IF($B153="","",IFERROR(INDEX(智能流水!$I$2:$I$1001,MATCH($B153,智能流水!$B$2:$B$1001,0)),""))</f>
        <v/>
      </c>
      <c r="J153" s="32">
        <f>IF($B153="","",IFERROR(INDEX(智能流水!$J$2:$J$1001,MATCH($B153,智能流水!$B$2:$B$1001,0)),""))</f>
        <v/>
      </c>
      <c r="K153" s="35">
        <f>IF($B153="","",IFERROR(INDEX(智能流水!$K$2:$K$1001,MATCH($B153,智能流水!$B$2:$B$1001,0)),""))</f>
        <v/>
      </c>
      <c r="L153" s="32">
        <f>IF($B153="","",IFERROR(INDEX(智能流水!$L$2:$L$1001,MATCH($B153,智能流水!$B$2:$B$1001,0)),""))</f>
        <v/>
      </c>
      <c r="M153" s="32">
        <f>IF($B153="","",IFERROR(INDEX(智能流水!$M$2:$M$1001,MATCH($B153,智能流水!$B$2:$B$1001,0)),""))</f>
        <v/>
      </c>
      <c r="N153" s="32">
        <f>IF($B153="","",IFERROR(INDEX(智能流水!$N$2:$N$1001,MATCH($B153,智能流水!$B$2:$B$1001,0)),""))</f>
        <v/>
      </c>
      <c r="O153" s="32">
        <f>IF($B153="","",IFERROR(INDEX(智能流水!$O$2:$O$1001,MATCH($B153,智能流水!$B$2:$B$1001,0)),""))</f>
        <v/>
      </c>
    </row>
    <row r="154" ht="23" customHeight="1" s="21">
      <c r="A154" s="32">
        <f>IF($B154="","",153)</f>
        <v/>
      </c>
      <c r="B154" s="32">
        <f>IFERROR(LARGE(智能流水!$B$2:$B$1001,153),"")</f>
        <v/>
      </c>
      <c r="C154" s="33">
        <f>IF($B154="","",IFERROR(INDEX(智能流水!$C$2:$C$1001,MATCH($B154,智能流水!$B$2:$B$1001,0)),""))</f>
        <v/>
      </c>
      <c r="D154" s="34">
        <f>IF($B154="","",IFERROR(INDEX(智能流水!$D$2:$D$1001,MATCH($B154,智能流水!$B$2:$B$1001,0)),""))</f>
        <v/>
      </c>
      <c r="E154" s="34">
        <f>IF($B154="","",IFERROR(INDEX(智能流水!$E$2:$E$1001,MATCH($B154,智能流水!$B$2:$B$1001,0)),""))</f>
        <v/>
      </c>
      <c r="F154" s="34">
        <f>IF($B154="","",IFERROR(INDEX(智能流水!$F$2:$F$1001,MATCH($B154,智能流水!$B$2:$B$1001,0)),""))</f>
        <v/>
      </c>
      <c r="G154" s="32">
        <f>IF($B154="","",IFERROR(INDEX(智能流水!$G$2:$G$1001,MATCH($B154,智能流水!$B$2:$B$1001,0)),""))</f>
        <v/>
      </c>
      <c r="H154" s="32">
        <f>IF($B154="","",IFERROR(INDEX(智能流水!$H$2:$H$1001,MATCH($B154,智能流水!$B$2:$B$1001,0)),""))</f>
        <v/>
      </c>
      <c r="I154" s="32">
        <f>IF($B154="","",IFERROR(INDEX(智能流水!$I$2:$I$1001,MATCH($B154,智能流水!$B$2:$B$1001,0)),""))</f>
        <v/>
      </c>
      <c r="J154" s="32">
        <f>IF($B154="","",IFERROR(INDEX(智能流水!$J$2:$J$1001,MATCH($B154,智能流水!$B$2:$B$1001,0)),""))</f>
        <v/>
      </c>
      <c r="K154" s="35">
        <f>IF($B154="","",IFERROR(INDEX(智能流水!$K$2:$K$1001,MATCH($B154,智能流水!$B$2:$B$1001,0)),""))</f>
        <v/>
      </c>
      <c r="L154" s="32">
        <f>IF($B154="","",IFERROR(INDEX(智能流水!$L$2:$L$1001,MATCH($B154,智能流水!$B$2:$B$1001,0)),""))</f>
        <v/>
      </c>
      <c r="M154" s="32">
        <f>IF($B154="","",IFERROR(INDEX(智能流水!$M$2:$M$1001,MATCH($B154,智能流水!$B$2:$B$1001,0)),""))</f>
        <v/>
      </c>
      <c r="N154" s="32">
        <f>IF($B154="","",IFERROR(INDEX(智能流水!$N$2:$N$1001,MATCH($B154,智能流水!$B$2:$B$1001,0)),""))</f>
        <v/>
      </c>
      <c r="O154" s="32">
        <f>IF($B154="","",IFERROR(INDEX(智能流水!$O$2:$O$1001,MATCH($B154,智能流水!$B$2:$B$1001,0)),""))</f>
        <v/>
      </c>
    </row>
    <row r="155" ht="23" customHeight="1" s="21">
      <c r="A155" s="32">
        <f>IF($B155="","",154)</f>
        <v/>
      </c>
      <c r="B155" s="32">
        <f>IFERROR(LARGE(智能流水!$B$2:$B$1001,154),"")</f>
        <v/>
      </c>
      <c r="C155" s="33">
        <f>IF($B155="","",IFERROR(INDEX(智能流水!$C$2:$C$1001,MATCH($B155,智能流水!$B$2:$B$1001,0)),""))</f>
        <v/>
      </c>
      <c r="D155" s="34">
        <f>IF($B155="","",IFERROR(INDEX(智能流水!$D$2:$D$1001,MATCH($B155,智能流水!$B$2:$B$1001,0)),""))</f>
        <v/>
      </c>
      <c r="E155" s="34">
        <f>IF($B155="","",IFERROR(INDEX(智能流水!$E$2:$E$1001,MATCH($B155,智能流水!$B$2:$B$1001,0)),""))</f>
        <v/>
      </c>
      <c r="F155" s="34">
        <f>IF($B155="","",IFERROR(INDEX(智能流水!$F$2:$F$1001,MATCH($B155,智能流水!$B$2:$B$1001,0)),""))</f>
        <v/>
      </c>
      <c r="G155" s="32">
        <f>IF($B155="","",IFERROR(INDEX(智能流水!$G$2:$G$1001,MATCH($B155,智能流水!$B$2:$B$1001,0)),""))</f>
        <v/>
      </c>
      <c r="H155" s="32">
        <f>IF($B155="","",IFERROR(INDEX(智能流水!$H$2:$H$1001,MATCH($B155,智能流水!$B$2:$B$1001,0)),""))</f>
        <v/>
      </c>
      <c r="I155" s="32">
        <f>IF($B155="","",IFERROR(INDEX(智能流水!$I$2:$I$1001,MATCH($B155,智能流水!$B$2:$B$1001,0)),""))</f>
        <v/>
      </c>
      <c r="J155" s="32">
        <f>IF($B155="","",IFERROR(INDEX(智能流水!$J$2:$J$1001,MATCH($B155,智能流水!$B$2:$B$1001,0)),""))</f>
        <v/>
      </c>
      <c r="K155" s="35">
        <f>IF($B155="","",IFERROR(INDEX(智能流水!$K$2:$K$1001,MATCH($B155,智能流水!$B$2:$B$1001,0)),""))</f>
        <v/>
      </c>
      <c r="L155" s="32">
        <f>IF($B155="","",IFERROR(INDEX(智能流水!$L$2:$L$1001,MATCH($B155,智能流水!$B$2:$B$1001,0)),""))</f>
        <v/>
      </c>
      <c r="M155" s="32">
        <f>IF($B155="","",IFERROR(INDEX(智能流水!$M$2:$M$1001,MATCH($B155,智能流水!$B$2:$B$1001,0)),""))</f>
        <v/>
      </c>
      <c r="N155" s="32">
        <f>IF($B155="","",IFERROR(INDEX(智能流水!$N$2:$N$1001,MATCH($B155,智能流水!$B$2:$B$1001,0)),""))</f>
        <v/>
      </c>
      <c r="O155" s="32">
        <f>IF($B155="","",IFERROR(INDEX(智能流水!$O$2:$O$1001,MATCH($B155,智能流水!$B$2:$B$1001,0)),""))</f>
        <v/>
      </c>
    </row>
    <row r="156" ht="23" customHeight="1" s="21">
      <c r="A156" s="32">
        <f>IF($B156="","",155)</f>
        <v/>
      </c>
      <c r="B156" s="32">
        <f>IFERROR(LARGE(智能流水!$B$2:$B$1001,155),"")</f>
        <v/>
      </c>
      <c r="C156" s="33">
        <f>IF($B156="","",IFERROR(INDEX(智能流水!$C$2:$C$1001,MATCH($B156,智能流水!$B$2:$B$1001,0)),""))</f>
        <v/>
      </c>
      <c r="D156" s="34">
        <f>IF($B156="","",IFERROR(INDEX(智能流水!$D$2:$D$1001,MATCH($B156,智能流水!$B$2:$B$1001,0)),""))</f>
        <v/>
      </c>
      <c r="E156" s="34">
        <f>IF($B156="","",IFERROR(INDEX(智能流水!$E$2:$E$1001,MATCH($B156,智能流水!$B$2:$B$1001,0)),""))</f>
        <v/>
      </c>
      <c r="F156" s="34">
        <f>IF($B156="","",IFERROR(INDEX(智能流水!$F$2:$F$1001,MATCH($B156,智能流水!$B$2:$B$1001,0)),""))</f>
        <v/>
      </c>
      <c r="G156" s="32">
        <f>IF($B156="","",IFERROR(INDEX(智能流水!$G$2:$G$1001,MATCH($B156,智能流水!$B$2:$B$1001,0)),""))</f>
        <v/>
      </c>
      <c r="H156" s="32">
        <f>IF($B156="","",IFERROR(INDEX(智能流水!$H$2:$H$1001,MATCH($B156,智能流水!$B$2:$B$1001,0)),""))</f>
        <v/>
      </c>
      <c r="I156" s="32">
        <f>IF($B156="","",IFERROR(INDEX(智能流水!$I$2:$I$1001,MATCH($B156,智能流水!$B$2:$B$1001,0)),""))</f>
        <v/>
      </c>
      <c r="J156" s="32">
        <f>IF($B156="","",IFERROR(INDEX(智能流水!$J$2:$J$1001,MATCH($B156,智能流水!$B$2:$B$1001,0)),""))</f>
        <v/>
      </c>
      <c r="K156" s="35">
        <f>IF($B156="","",IFERROR(INDEX(智能流水!$K$2:$K$1001,MATCH($B156,智能流水!$B$2:$B$1001,0)),""))</f>
        <v/>
      </c>
      <c r="L156" s="32">
        <f>IF($B156="","",IFERROR(INDEX(智能流水!$L$2:$L$1001,MATCH($B156,智能流水!$B$2:$B$1001,0)),""))</f>
        <v/>
      </c>
      <c r="M156" s="32">
        <f>IF($B156="","",IFERROR(INDEX(智能流水!$M$2:$M$1001,MATCH($B156,智能流水!$B$2:$B$1001,0)),""))</f>
        <v/>
      </c>
      <c r="N156" s="32">
        <f>IF($B156="","",IFERROR(INDEX(智能流水!$N$2:$N$1001,MATCH($B156,智能流水!$B$2:$B$1001,0)),""))</f>
        <v/>
      </c>
      <c r="O156" s="32">
        <f>IF($B156="","",IFERROR(INDEX(智能流水!$O$2:$O$1001,MATCH($B156,智能流水!$B$2:$B$1001,0)),""))</f>
        <v/>
      </c>
    </row>
    <row r="157" ht="23" customHeight="1" s="21">
      <c r="A157" s="32">
        <f>IF($B157="","",156)</f>
        <v/>
      </c>
      <c r="B157" s="32">
        <f>IFERROR(LARGE(智能流水!$B$2:$B$1001,156),"")</f>
        <v/>
      </c>
      <c r="C157" s="33">
        <f>IF($B157="","",IFERROR(INDEX(智能流水!$C$2:$C$1001,MATCH($B157,智能流水!$B$2:$B$1001,0)),""))</f>
        <v/>
      </c>
      <c r="D157" s="34">
        <f>IF($B157="","",IFERROR(INDEX(智能流水!$D$2:$D$1001,MATCH($B157,智能流水!$B$2:$B$1001,0)),""))</f>
        <v/>
      </c>
      <c r="E157" s="34">
        <f>IF($B157="","",IFERROR(INDEX(智能流水!$E$2:$E$1001,MATCH($B157,智能流水!$B$2:$B$1001,0)),""))</f>
        <v/>
      </c>
      <c r="F157" s="34">
        <f>IF($B157="","",IFERROR(INDEX(智能流水!$F$2:$F$1001,MATCH($B157,智能流水!$B$2:$B$1001,0)),""))</f>
        <v/>
      </c>
      <c r="G157" s="32">
        <f>IF($B157="","",IFERROR(INDEX(智能流水!$G$2:$G$1001,MATCH($B157,智能流水!$B$2:$B$1001,0)),""))</f>
        <v/>
      </c>
      <c r="H157" s="32">
        <f>IF($B157="","",IFERROR(INDEX(智能流水!$H$2:$H$1001,MATCH($B157,智能流水!$B$2:$B$1001,0)),""))</f>
        <v/>
      </c>
      <c r="I157" s="32">
        <f>IF($B157="","",IFERROR(INDEX(智能流水!$I$2:$I$1001,MATCH($B157,智能流水!$B$2:$B$1001,0)),""))</f>
        <v/>
      </c>
      <c r="J157" s="32">
        <f>IF($B157="","",IFERROR(INDEX(智能流水!$J$2:$J$1001,MATCH($B157,智能流水!$B$2:$B$1001,0)),""))</f>
        <v/>
      </c>
      <c r="K157" s="35">
        <f>IF($B157="","",IFERROR(INDEX(智能流水!$K$2:$K$1001,MATCH($B157,智能流水!$B$2:$B$1001,0)),""))</f>
        <v/>
      </c>
      <c r="L157" s="32">
        <f>IF($B157="","",IFERROR(INDEX(智能流水!$L$2:$L$1001,MATCH($B157,智能流水!$B$2:$B$1001,0)),""))</f>
        <v/>
      </c>
      <c r="M157" s="32">
        <f>IF($B157="","",IFERROR(INDEX(智能流水!$M$2:$M$1001,MATCH($B157,智能流水!$B$2:$B$1001,0)),""))</f>
        <v/>
      </c>
      <c r="N157" s="32">
        <f>IF($B157="","",IFERROR(INDEX(智能流水!$N$2:$N$1001,MATCH($B157,智能流水!$B$2:$B$1001,0)),""))</f>
        <v/>
      </c>
      <c r="O157" s="32">
        <f>IF($B157="","",IFERROR(INDEX(智能流水!$O$2:$O$1001,MATCH($B157,智能流水!$B$2:$B$1001,0)),""))</f>
        <v/>
      </c>
    </row>
    <row r="158" ht="23" customHeight="1" s="21">
      <c r="A158" s="32">
        <f>IF($B158="","",157)</f>
        <v/>
      </c>
      <c r="B158" s="32">
        <f>IFERROR(LARGE(智能流水!$B$2:$B$1001,157),"")</f>
        <v/>
      </c>
      <c r="C158" s="33">
        <f>IF($B158="","",IFERROR(INDEX(智能流水!$C$2:$C$1001,MATCH($B158,智能流水!$B$2:$B$1001,0)),""))</f>
        <v/>
      </c>
      <c r="D158" s="34">
        <f>IF($B158="","",IFERROR(INDEX(智能流水!$D$2:$D$1001,MATCH($B158,智能流水!$B$2:$B$1001,0)),""))</f>
        <v/>
      </c>
      <c r="E158" s="34">
        <f>IF($B158="","",IFERROR(INDEX(智能流水!$E$2:$E$1001,MATCH($B158,智能流水!$B$2:$B$1001,0)),""))</f>
        <v/>
      </c>
      <c r="F158" s="34">
        <f>IF($B158="","",IFERROR(INDEX(智能流水!$F$2:$F$1001,MATCH($B158,智能流水!$B$2:$B$1001,0)),""))</f>
        <v/>
      </c>
      <c r="G158" s="32">
        <f>IF($B158="","",IFERROR(INDEX(智能流水!$G$2:$G$1001,MATCH($B158,智能流水!$B$2:$B$1001,0)),""))</f>
        <v/>
      </c>
      <c r="H158" s="32">
        <f>IF($B158="","",IFERROR(INDEX(智能流水!$H$2:$H$1001,MATCH($B158,智能流水!$B$2:$B$1001,0)),""))</f>
        <v/>
      </c>
      <c r="I158" s="32">
        <f>IF($B158="","",IFERROR(INDEX(智能流水!$I$2:$I$1001,MATCH($B158,智能流水!$B$2:$B$1001,0)),""))</f>
        <v/>
      </c>
      <c r="J158" s="32">
        <f>IF($B158="","",IFERROR(INDEX(智能流水!$J$2:$J$1001,MATCH($B158,智能流水!$B$2:$B$1001,0)),""))</f>
        <v/>
      </c>
      <c r="K158" s="35">
        <f>IF($B158="","",IFERROR(INDEX(智能流水!$K$2:$K$1001,MATCH($B158,智能流水!$B$2:$B$1001,0)),""))</f>
        <v/>
      </c>
      <c r="L158" s="32">
        <f>IF($B158="","",IFERROR(INDEX(智能流水!$L$2:$L$1001,MATCH($B158,智能流水!$B$2:$B$1001,0)),""))</f>
        <v/>
      </c>
      <c r="M158" s="32">
        <f>IF($B158="","",IFERROR(INDEX(智能流水!$M$2:$M$1001,MATCH($B158,智能流水!$B$2:$B$1001,0)),""))</f>
        <v/>
      </c>
      <c r="N158" s="32">
        <f>IF($B158="","",IFERROR(INDEX(智能流水!$N$2:$N$1001,MATCH($B158,智能流水!$B$2:$B$1001,0)),""))</f>
        <v/>
      </c>
      <c r="O158" s="32">
        <f>IF($B158="","",IFERROR(INDEX(智能流水!$O$2:$O$1001,MATCH($B158,智能流水!$B$2:$B$1001,0)),""))</f>
        <v/>
      </c>
    </row>
    <row r="159" ht="23" customHeight="1" s="21">
      <c r="A159" s="32">
        <f>IF($B159="","",158)</f>
        <v/>
      </c>
      <c r="B159" s="32">
        <f>IFERROR(LARGE(智能流水!$B$2:$B$1001,158),"")</f>
        <v/>
      </c>
      <c r="C159" s="33">
        <f>IF($B159="","",IFERROR(INDEX(智能流水!$C$2:$C$1001,MATCH($B159,智能流水!$B$2:$B$1001,0)),""))</f>
        <v/>
      </c>
      <c r="D159" s="34">
        <f>IF($B159="","",IFERROR(INDEX(智能流水!$D$2:$D$1001,MATCH($B159,智能流水!$B$2:$B$1001,0)),""))</f>
        <v/>
      </c>
      <c r="E159" s="34">
        <f>IF($B159="","",IFERROR(INDEX(智能流水!$E$2:$E$1001,MATCH($B159,智能流水!$B$2:$B$1001,0)),""))</f>
        <v/>
      </c>
      <c r="F159" s="34">
        <f>IF($B159="","",IFERROR(INDEX(智能流水!$F$2:$F$1001,MATCH($B159,智能流水!$B$2:$B$1001,0)),""))</f>
        <v/>
      </c>
      <c r="G159" s="32">
        <f>IF($B159="","",IFERROR(INDEX(智能流水!$G$2:$G$1001,MATCH($B159,智能流水!$B$2:$B$1001,0)),""))</f>
        <v/>
      </c>
      <c r="H159" s="32">
        <f>IF($B159="","",IFERROR(INDEX(智能流水!$H$2:$H$1001,MATCH($B159,智能流水!$B$2:$B$1001,0)),""))</f>
        <v/>
      </c>
      <c r="I159" s="32">
        <f>IF($B159="","",IFERROR(INDEX(智能流水!$I$2:$I$1001,MATCH($B159,智能流水!$B$2:$B$1001,0)),""))</f>
        <v/>
      </c>
      <c r="J159" s="32">
        <f>IF($B159="","",IFERROR(INDEX(智能流水!$J$2:$J$1001,MATCH($B159,智能流水!$B$2:$B$1001,0)),""))</f>
        <v/>
      </c>
      <c r="K159" s="35">
        <f>IF($B159="","",IFERROR(INDEX(智能流水!$K$2:$K$1001,MATCH($B159,智能流水!$B$2:$B$1001,0)),""))</f>
        <v/>
      </c>
      <c r="L159" s="32">
        <f>IF($B159="","",IFERROR(INDEX(智能流水!$L$2:$L$1001,MATCH($B159,智能流水!$B$2:$B$1001,0)),""))</f>
        <v/>
      </c>
      <c r="M159" s="32">
        <f>IF($B159="","",IFERROR(INDEX(智能流水!$M$2:$M$1001,MATCH($B159,智能流水!$B$2:$B$1001,0)),""))</f>
        <v/>
      </c>
      <c r="N159" s="32">
        <f>IF($B159="","",IFERROR(INDEX(智能流水!$N$2:$N$1001,MATCH($B159,智能流水!$B$2:$B$1001,0)),""))</f>
        <v/>
      </c>
      <c r="O159" s="32">
        <f>IF($B159="","",IFERROR(INDEX(智能流水!$O$2:$O$1001,MATCH($B159,智能流水!$B$2:$B$1001,0)),""))</f>
        <v/>
      </c>
    </row>
    <row r="160" ht="23" customHeight="1" s="21">
      <c r="A160" s="32">
        <f>IF($B160="","",159)</f>
        <v/>
      </c>
      <c r="B160" s="32">
        <f>IFERROR(LARGE(智能流水!$B$2:$B$1001,159),"")</f>
        <v/>
      </c>
      <c r="C160" s="33">
        <f>IF($B160="","",IFERROR(INDEX(智能流水!$C$2:$C$1001,MATCH($B160,智能流水!$B$2:$B$1001,0)),""))</f>
        <v/>
      </c>
      <c r="D160" s="34">
        <f>IF($B160="","",IFERROR(INDEX(智能流水!$D$2:$D$1001,MATCH($B160,智能流水!$B$2:$B$1001,0)),""))</f>
        <v/>
      </c>
      <c r="E160" s="34">
        <f>IF($B160="","",IFERROR(INDEX(智能流水!$E$2:$E$1001,MATCH($B160,智能流水!$B$2:$B$1001,0)),""))</f>
        <v/>
      </c>
      <c r="F160" s="34">
        <f>IF($B160="","",IFERROR(INDEX(智能流水!$F$2:$F$1001,MATCH($B160,智能流水!$B$2:$B$1001,0)),""))</f>
        <v/>
      </c>
      <c r="G160" s="32">
        <f>IF($B160="","",IFERROR(INDEX(智能流水!$G$2:$G$1001,MATCH($B160,智能流水!$B$2:$B$1001,0)),""))</f>
        <v/>
      </c>
      <c r="H160" s="32">
        <f>IF($B160="","",IFERROR(INDEX(智能流水!$H$2:$H$1001,MATCH($B160,智能流水!$B$2:$B$1001,0)),""))</f>
        <v/>
      </c>
      <c r="I160" s="32">
        <f>IF($B160="","",IFERROR(INDEX(智能流水!$I$2:$I$1001,MATCH($B160,智能流水!$B$2:$B$1001,0)),""))</f>
        <v/>
      </c>
      <c r="J160" s="32">
        <f>IF($B160="","",IFERROR(INDEX(智能流水!$J$2:$J$1001,MATCH($B160,智能流水!$B$2:$B$1001,0)),""))</f>
        <v/>
      </c>
      <c r="K160" s="35">
        <f>IF($B160="","",IFERROR(INDEX(智能流水!$K$2:$K$1001,MATCH($B160,智能流水!$B$2:$B$1001,0)),""))</f>
        <v/>
      </c>
      <c r="L160" s="32">
        <f>IF($B160="","",IFERROR(INDEX(智能流水!$L$2:$L$1001,MATCH($B160,智能流水!$B$2:$B$1001,0)),""))</f>
        <v/>
      </c>
      <c r="M160" s="32">
        <f>IF($B160="","",IFERROR(INDEX(智能流水!$M$2:$M$1001,MATCH($B160,智能流水!$B$2:$B$1001,0)),""))</f>
        <v/>
      </c>
      <c r="N160" s="32">
        <f>IF($B160="","",IFERROR(INDEX(智能流水!$N$2:$N$1001,MATCH($B160,智能流水!$B$2:$B$1001,0)),""))</f>
        <v/>
      </c>
      <c r="O160" s="32">
        <f>IF($B160="","",IFERROR(INDEX(智能流水!$O$2:$O$1001,MATCH($B160,智能流水!$B$2:$B$1001,0)),""))</f>
        <v/>
      </c>
    </row>
    <row r="161" ht="23" customHeight="1" s="21">
      <c r="A161" s="32">
        <f>IF($B161="","",160)</f>
        <v/>
      </c>
      <c r="B161" s="32">
        <f>IFERROR(LARGE(智能流水!$B$2:$B$1001,160),"")</f>
        <v/>
      </c>
      <c r="C161" s="33">
        <f>IF($B161="","",IFERROR(INDEX(智能流水!$C$2:$C$1001,MATCH($B161,智能流水!$B$2:$B$1001,0)),""))</f>
        <v/>
      </c>
      <c r="D161" s="34">
        <f>IF($B161="","",IFERROR(INDEX(智能流水!$D$2:$D$1001,MATCH($B161,智能流水!$B$2:$B$1001,0)),""))</f>
        <v/>
      </c>
      <c r="E161" s="34">
        <f>IF($B161="","",IFERROR(INDEX(智能流水!$E$2:$E$1001,MATCH($B161,智能流水!$B$2:$B$1001,0)),""))</f>
        <v/>
      </c>
      <c r="F161" s="34">
        <f>IF($B161="","",IFERROR(INDEX(智能流水!$F$2:$F$1001,MATCH($B161,智能流水!$B$2:$B$1001,0)),""))</f>
        <v/>
      </c>
      <c r="G161" s="32">
        <f>IF($B161="","",IFERROR(INDEX(智能流水!$G$2:$G$1001,MATCH($B161,智能流水!$B$2:$B$1001,0)),""))</f>
        <v/>
      </c>
      <c r="H161" s="32">
        <f>IF($B161="","",IFERROR(INDEX(智能流水!$H$2:$H$1001,MATCH($B161,智能流水!$B$2:$B$1001,0)),""))</f>
        <v/>
      </c>
      <c r="I161" s="32">
        <f>IF($B161="","",IFERROR(INDEX(智能流水!$I$2:$I$1001,MATCH($B161,智能流水!$B$2:$B$1001,0)),""))</f>
        <v/>
      </c>
      <c r="J161" s="32">
        <f>IF($B161="","",IFERROR(INDEX(智能流水!$J$2:$J$1001,MATCH($B161,智能流水!$B$2:$B$1001,0)),""))</f>
        <v/>
      </c>
      <c r="K161" s="35">
        <f>IF($B161="","",IFERROR(INDEX(智能流水!$K$2:$K$1001,MATCH($B161,智能流水!$B$2:$B$1001,0)),""))</f>
        <v/>
      </c>
      <c r="L161" s="32">
        <f>IF($B161="","",IFERROR(INDEX(智能流水!$L$2:$L$1001,MATCH($B161,智能流水!$B$2:$B$1001,0)),""))</f>
        <v/>
      </c>
      <c r="M161" s="32">
        <f>IF($B161="","",IFERROR(INDEX(智能流水!$M$2:$M$1001,MATCH($B161,智能流水!$B$2:$B$1001,0)),""))</f>
        <v/>
      </c>
      <c r="N161" s="32">
        <f>IF($B161="","",IFERROR(INDEX(智能流水!$N$2:$N$1001,MATCH($B161,智能流水!$B$2:$B$1001,0)),""))</f>
        <v/>
      </c>
      <c r="O161" s="32">
        <f>IF($B161="","",IFERROR(INDEX(智能流水!$O$2:$O$1001,MATCH($B161,智能流水!$B$2:$B$1001,0)),""))</f>
        <v/>
      </c>
    </row>
    <row r="162" ht="23" customHeight="1" s="21">
      <c r="A162" s="32">
        <f>IF($B162="","",161)</f>
        <v/>
      </c>
      <c r="B162" s="32">
        <f>IFERROR(LARGE(智能流水!$B$2:$B$1001,161),"")</f>
        <v/>
      </c>
      <c r="C162" s="33">
        <f>IF($B162="","",IFERROR(INDEX(智能流水!$C$2:$C$1001,MATCH($B162,智能流水!$B$2:$B$1001,0)),""))</f>
        <v/>
      </c>
      <c r="D162" s="34">
        <f>IF($B162="","",IFERROR(INDEX(智能流水!$D$2:$D$1001,MATCH($B162,智能流水!$B$2:$B$1001,0)),""))</f>
        <v/>
      </c>
      <c r="E162" s="34">
        <f>IF($B162="","",IFERROR(INDEX(智能流水!$E$2:$E$1001,MATCH($B162,智能流水!$B$2:$B$1001,0)),""))</f>
        <v/>
      </c>
      <c r="F162" s="34">
        <f>IF($B162="","",IFERROR(INDEX(智能流水!$F$2:$F$1001,MATCH($B162,智能流水!$B$2:$B$1001,0)),""))</f>
        <v/>
      </c>
      <c r="G162" s="32">
        <f>IF($B162="","",IFERROR(INDEX(智能流水!$G$2:$G$1001,MATCH($B162,智能流水!$B$2:$B$1001,0)),""))</f>
        <v/>
      </c>
      <c r="H162" s="32">
        <f>IF($B162="","",IFERROR(INDEX(智能流水!$H$2:$H$1001,MATCH($B162,智能流水!$B$2:$B$1001,0)),""))</f>
        <v/>
      </c>
      <c r="I162" s="32">
        <f>IF($B162="","",IFERROR(INDEX(智能流水!$I$2:$I$1001,MATCH($B162,智能流水!$B$2:$B$1001,0)),""))</f>
        <v/>
      </c>
      <c r="J162" s="32">
        <f>IF($B162="","",IFERROR(INDEX(智能流水!$J$2:$J$1001,MATCH($B162,智能流水!$B$2:$B$1001,0)),""))</f>
        <v/>
      </c>
      <c r="K162" s="35">
        <f>IF($B162="","",IFERROR(INDEX(智能流水!$K$2:$K$1001,MATCH($B162,智能流水!$B$2:$B$1001,0)),""))</f>
        <v/>
      </c>
      <c r="L162" s="32">
        <f>IF($B162="","",IFERROR(INDEX(智能流水!$L$2:$L$1001,MATCH($B162,智能流水!$B$2:$B$1001,0)),""))</f>
        <v/>
      </c>
      <c r="M162" s="32">
        <f>IF($B162="","",IFERROR(INDEX(智能流水!$M$2:$M$1001,MATCH($B162,智能流水!$B$2:$B$1001,0)),""))</f>
        <v/>
      </c>
      <c r="N162" s="32">
        <f>IF($B162="","",IFERROR(INDEX(智能流水!$N$2:$N$1001,MATCH($B162,智能流水!$B$2:$B$1001,0)),""))</f>
        <v/>
      </c>
      <c r="O162" s="32">
        <f>IF($B162="","",IFERROR(INDEX(智能流水!$O$2:$O$1001,MATCH($B162,智能流水!$B$2:$B$1001,0)),""))</f>
        <v/>
      </c>
    </row>
    <row r="163" ht="23" customHeight="1" s="21">
      <c r="A163" s="32">
        <f>IF($B163="","",162)</f>
        <v/>
      </c>
      <c r="B163" s="32">
        <f>IFERROR(LARGE(智能流水!$B$2:$B$1001,162),"")</f>
        <v/>
      </c>
      <c r="C163" s="33">
        <f>IF($B163="","",IFERROR(INDEX(智能流水!$C$2:$C$1001,MATCH($B163,智能流水!$B$2:$B$1001,0)),""))</f>
        <v/>
      </c>
      <c r="D163" s="34">
        <f>IF($B163="","",IFERROR(INDEX(智能流水!$D$2:$D$1001,MATCH($B163,智能流水!$B$2:$B$1001,0)),""))</f>
        <v/>
      </c>
      <c r="E163" s="34">
        <f>IF($B163="","",IFERROR(INDEX(智能流水!$E$2:$E$1001,MATCH($B163,智能流水!$B$2:$B$1001,0)),""))</f>
        <v/>
      </c>
      <c r="F163" s="34">
        <f>IF($B163="","",IFERROR(INDEX(智能流水!$F$2:$F$1001,MATCH($B163,智能流水!$B$2:$B$1001,0)),""))</f>
        <v/>
      </c>
      <c r="G163" s="32">
        <f>IF($B163="","",IFERROR(INDEX(智能流水!$G$2:$G$1001,MATCH($B163,智能流水!$B$2:$B$1001,0)),""))</f>
        <v/>
      </c>
      <c r="H163" s="32">
        <f>IF($B163="","",IFERROR(INDEX(智能流水!$H$2:$H$1001,MATCH($B163,智能流水!$B$2:$B$1001,0)),""))</f>
        <v/>
      </c>
      <c r="I163" s="32">
        <f>IF($B163="","",IFERROR(INDEX(智能流水!$I$2:$I$1001,MATCH($B163,智能流水!$B$2:$B$1001,0)),""))</f>
        <v/>
      </c>
      <c r="J163" s="32">
        <f>IF($B163="","",IFERROR(INDEX(智能流水!$J$2:$J$1001,MATCH($B163,智能流水!$B$2:$B$1001,0)),""))</f>
        <v/>
      </c>
      <c r="K163" s="35">
        <f>IF($B163="","",IFERROR(INDEX(智能流水!$K$2:$K$1001,MATCH($B163,智能流水!$B$2:$B$1001,0)),""))</f>
        <v/>
      </c>
      <c r="L163" s="32">
        <f>IF($B163="","",IFERROR(INDEX(智能流水!$L$2:$L$1001,MATCH($B163,智能流水!$B$2:$B$1001,0)),""))</f>
        <v/>
      </c>
      <c r="M163" s="32">
        <f>IF($B163="","",IFERROR(INDEX(智能流水!$M$2:$M$1001,MATCH($B163,智能流水!$B$2:$B$1001,0)),""))</f>
        <v/>
      </c>
      <c r="N163" s="32">
        <f>IF($B163="","",IFERROR(INDEX(智能流水!$N$2:$N$1001,MATCH($B163,智能流水!$B$2:$B$1001,0)),""))</f>
        <v/>
      </c>
      <c r="O163" s="32">
        <f>IF($B163="","",IFERROR(INDEX(智能流水!$O$2:$O$1001,MATCH($B163,智能流水!$B$2:$B$1001,0)),""))</f>
        <v/>
      </c>
    </row>
    <row r="164" ht="23" customHeight="1" s="21">
      <c r="A164" s="32">
        <f>IF($B164="","",163)</f>
        <v/>
      </c>
      <c r="B164" s="32">
        <f>IFERROR(LARGE(智能流水!$B$2:$B$1001,163),"")</f>
        <v/>
      </c>
      <c r="C164" s="33">
        <f>IF($B164="","",IFERROR(INDEX(智能流水!$C$2:$C$1001,MATCH($B164,智能流水!$B$2:$B$1001,0)),""))</f>
        <v/>
      </c>
      <c r="D164" s="34">
        <f>IF($B164="","",IFERROR(INDEX(智能流水!$D$2:$D$1001,MATCH($B164,智能流水!$B$2:$B$1001,0)),""))</f>
        <v/>
      </c>
      <c r="E164" s="34">
        <f>IF($B164="","",IFERROR(INDEX(智能流水!$E$2:$E$1001,MATCH($B164,智能流水!$B$2:$B$1001,0)),""))</f>
        <v/>
      </c>
      <c r="F164" s="34">
        <f>IF($B164="","",IFERROR(INDEX(智能流水!$F$2:$F$1001,MATCH($B164,智能流水!$B$2:$B$1001,0)),""))</f>
        <v/>
      </c>
      <c r="G164" s="32">
        <f>IF($B164="","",IFERROR(INDEX(智能流水!$G$2:$G$1001,MATCH($B164,智能流水!$B$2:$B$1001,0)),""))</f>
        <v/>
      </c>
      <c r="H164" s="32">
        <f>IF($B164="","",IFERROR(INDEX(智能流水!$H$2:$H$1001,MATCH($B164,智能流水!$B$2:$B$1001,0)),""))</f>
        <v/>
      </c>
      <c r="I164" s="32">
        <f>IF($B164="","",IFERROR(INDEX(智能流水!$I$2:$I$1001,MATCH($B164,智能流水!$B$2:$B$1001,0)),""))</f>
        <v/>
      </c>
      <c r="J164" s="32">
        <f>IF($B164="","",IFERROR(INDEX(智能流水!$J$2:$J$1001,MATCH($B164,智能流水!$B$2:$B$1001,0)),""))</f>
        <v/>
      </c>
      <c r="K164" s="35">
        <f>IF($B164="","",IFERROR(INDEX(智能流水!$K$2:$K$1001,MATCH($B164,智能流水!$B$2:$B$1001,0)),""))</f>
        <v/>
      </c>
      <c r="L164" s="32">
        <f>IF($B164="","",IFERROR(INDEX(智能流水!$L$2:$L$1001,MATCH($B164,智能流水!$B$2:$B$1001,0)),""))</f>
        <v/>
      </c>
      <c r="M164" s="32">
        <f>IF($B164="","",IFERROR(INDEX(智能流水!$M$2:$M$1001,MATCH($B164,智能流水!$B$2:$B$1001,0)),""))</f>
        <v/>
      </c>
      <c r="N164" s="32">
        <f>IF($B164="","",IFERROR(INDEX(智能流水!$N$2:$N$1001,MATCH($B164,智能流水!$B$2:$B$1001,0)),""))</f>
        <v/>
      </c>
      <c r="O164" s="32">
        <f>IF($B164="","",IFERROR(INDEX(智能流水!$O$2:$O$1001,MATCH($B164,智能流水!$B$2:$B$1001,0)),""))</f>
        <v/>
      </c>
    </row>
    <row r="165" ht="23" customHeight="1" s="21">
      <c r="A165" s="32">
        <f>IF($B165="","",164)</f>
        <v/>
      </c>
      <c r="B165" s="32">
        <f>IFERROR(LARGE(智能流水!$B$2:$B$1001,164),"")</f>
        <v/>
      </c>
      <c r="C165" s="33">
        <f>IF($B165="","",IFERROR(INDEX(智能流水!$C$2:$C$1001,MATCH($B165,智能流水!$B$2:$B$1001,0)),""))</f>
        <v/>
      </c>
      <c r="D165" s="34">
        <f>IF($B165="","",IFERROR(INDEX(智能流水!$D$2:$D$1001,MATCH($B165,智能流水!$B$2:$B$1001,0)),""))</f>
        <v/>
      </c>
      <c r="E165" s="34">
        <f>IF($B165="","",IFERROR(INDEX(智能流水!$E$2:$E$1001,MATCH($B165,智能流水!$B$2:$B$1001,0)),""))</f>
        <v/>
      </c>
      <c r="F165" s="34">
        <f>IF($B165="","",IFERROR(INDEX(智能流水!$F$2:$F$1001,MATCH($B165,智能流水!$B$2:$B$1001,0)),""))</f>
        <v/>
      </c>
      <c r="G165" s="32">
        <f>IF($B165="","",IFERROR(INDEX(智能流水!$G$2:$G$1001,MATCH($B165,智能流水!$B$2:$B$1001,0)),""))</f>
        <v/>
      </c>
      <c r="H165" s="32">
        <f>IF($B165="","",IFERROR(INDEX(智能流水!$H$2:$H$1001,MATCH($B165,智能流水!$B$2:$B$1001,0)),""))</f>
        <v/>
      </c>
      <c r="I165" s="32">
        <f>IF($B165="","",IFERROR(INDEX(智能流水!$I$2:$I$1001,MATCH($B165,智能流水!$B$2:$B$1001,0)),""))</f>
        <v/>
      </c>
      <c r="J165" s="32">
        <f>IF($B165="","",IFERROR(INDEX(智能流水!$J$2:$J$1001,MATCH($B165,智能流水!$B$2:$B$1001,0)),""))</f>
        <v/>
      </c>
      <c r="K165" s="35">
        <f>IF($B165="","",IFERROR(INDEX(智能流水!$K$2:$K$1001,MATCH($B165,智能流水!$B$2:$B$1001,0)),""))</f>
        <v/>
      </c>
      <c r="L165" s="32">
        <f>IF($B165="","",IFERROR(INDEX(智能流水!$L$2:$L$1001,MATCH($B165,智能流水!$B$2:$B$1001,0)),""))</f>
        <v/>
      </c>
      <c r="M165" s="32">
        <f>IF($B165="","",IFERROR(INDEX(智能流水!$M$2:$M$1001,MATCH($B165,智能流水!$B$2:$B$1001,0)),""))</f>
        <v/>
      </c>
      <c r="N165" s="32">
        <f>IF($B165="","",IFERROR(INDEX(智能流水!$N$2:$N$1001,MATCH($B165,智能流水!$B$2:$B$1001,0)),""))</f>
        <v/>
      </c>
      <c r="O165" s="32">
        <f>IF($B165="","",IFERROR(INDEX(智能流水!$O$2:$O$1001,MATCH($B165,智能流水!$B$2:$B$1001,0)),""))</f>
        <v/>
      </c>
    </row>
    <row r="166" ht="23" customHeight="1" s="21">
      <c r="A166" s="32">
        <f>IF($B166="","",165)</f>
        <v/>
      </c>
      <c r="B166" s="32">
        <f>IFERROR(LARGE(智能流水!$B$2:$B$1001,165),"")</f>
        <v/>
      </c>
      <c r="C166" s="33">
        <f>IF($B166="","",IFERROR(INDEX(智能流水!$C$2:$C$1001,MATCH($B166,智能流水!$B$2:$B$1001,0)),""))</f>
        <v/>
      </c>
      <c r="D166" s="34">
        <f>IF($B166="","",IFERROR(INDEX(智能流水!$D$2:$D$1001,MATCH($B166,智能流水!$B$2:$B$1001,0)),""))</f>
        <v/>
      </c>
      <c r="E166" s="34">
        <f>IF($B166="","",IFERROR(INDEX(智能流水!$E$2:$E$1001,MATCH($B166,智能流水!$B$2:$B$1001,0)),""))</f>
        <v/>
      </c>
      <c r="F166" s="34">
        <f>IF($B166="","",IFERROR(INDEX(智能流水!$F$2:$F$1001,MATCH($B166,智能流水!$B$2:$B$1001,0)),""))</f>
        <v/>
      </c>
      <c r="G166" s="32">
        <f>IF($B166="","",IFERROR(INDEX(智能流水!$G$2:$G$1001,MATCH($B166,智能流水!$B$2:$B$1001,0)),""))</f>
        <v/>
      </c>
      <c r="H166" s="32">
        <f>IF($B166="","",IFERROR(INDEX(智能流水!$H$2:$H$1001,MATCH($B166,智能流水!$B$2:$B$1001,0)),""))</f>
        <v/>
      </c>
      <c r="I166" s="32">
        <f>IF($B166="","",IFERROR(INDEX(智能流水!$I$2:$I$1001,MATCH($B166,智能流水!$B$2:$B$1001,0)),""))</f>
        <v/>
      </c>
      <c r="J166" s="32">
        <f>IF($B166="","",IFERROR(INDEX(智能流水!$J$2:$J$1001,MATCH($B166,智能流水!$B$2:$B$1001,0)),""))</f>
        <v/>
      </c>
      <c r="K166" s="35">
        <f>IF($B166="","",IFERROR(INDEX(智能流水!$K$2:$K$1001,MATCH($B166,智能流水!$B$2:$B$1001,0)),""))</f>
        <v/>
      </c>
      <c r="L166" s="32">
        <f>IF($B166="","",IFERROR(INDEX(智能流水!$L$2:$L$1001,MATCH($B166,智能流水!$B$2:$B$1001,0)),""))</f>
        <v/>
      </c>
      <c r="M166" s="32">
        <f>IF($B166="","",IFERROR(INDEX(智能流水!$M$2:$M$1001,MATCH($B166,智能流水!$B$2:$B$1001,0)),""))</f>
        <v/>
      </c>
      <c r="N166" s="32">
        <f>IF($B166="","",IFERROR(INDEX(智能流水!$N$2:$N$1001,MATCH($B166,智能流水!$B$2:$B$1001,0)),""))</f>
        <v/>
      </c>
      <c r="O166" s="32">
        <f>IF($B166="","",IFERROR(INDEX(智能流水!$O$2:$O$1001,MATCH($B166,智能流水!$B$2:$B$1001,0)),""))</f>
        <v/>
      </c>
    </row>
    <row r="167" ht="23" customHeight="1" s="21">
      <c r="A167" s="32">
        <f>IF($B167="","",166)</f>
        <v/>
      </c>
      <c r="B167" s="32">
        <f>IFERROR(LARGE(智能流水!$B$2:$B$1001,166),"")</f>
        <v/>
      </c>
      <c r="C167" s="33">
        <f>IF($B167="","",IFERROR(INDEX(智能流水!$C$2:$C$1001,MATCH($B167,智能流水!$B$2:$B$1001,0)),""))</f>
        <v/>
      </c>
      <c r="D167" s="34">
        <f>IF($B167="","",IFERROR(INDEX(智能流水!$D$2:$D$1001,MATCH($B167,智能流水!$B$2:$B$1001,0)),""))</f>
        <v/>
      </c>
      <c r="E167" s="34">
        <f>IF($B167="","",IFERROR(INDEX(智能流水!$E$2:$E$1001,MATCH($B167,智能流水!$B$2:$B$1001,0)),""))</f>
        <v/>
      </c>
      <c r="F167" s="34">
        <f>IF($B167="","",IFERROR(INDEX(智能流水!$F$2:$F$1001,MATCH($B167,智能流水!$B$2:$B$1001,0)),""))</f>
        <v/>
      </c>
      <c r="G167" s="32">
        <f>IF($B167="","",IFERROR(INDEX(智能流水!$G$2:$G$1001,MATCH($B167,智能流水!$B$2:$B$1001,0)),""))</f>
        <v/>
      </c>
      <c r="H167" s="32">
        <f>IF($B167="","",IFERROR(INDEX(智能流水!$H$2:$H$1001,MATCH($B167,智能流水!$B$2:$B$1001,0)),""))</f>
        <v/>
      </c>
      <c r="I167" s="32">
        <f>IF($B167="","",IFERROR(INDEX(智能流水!$I$2:$I$1001,MATCH($B167,智能流水!$B$2:$B$1001,0)),""))</f>
        <v/>
      </c>
      <c r="J167" s="32">
        <f>IF($B167="","",IFERROR(INDEX(智能流水!$J$2:$J$1001,MATCH($B167,智能流水!$B$2:$B$1001,0)),""))</f>
        <v/>
      </c>
      <c r="K167" s="35">
        <f>IF($B167="","",IFERROR(INDEX(智能流水!$K$2:$K$1001,MATCH($B167,智能流水!$B$2:$B$1001,0)),""))</f>
        <v/>
      </c>
      <c r="L167" s="32">
        <f>IF($B167="","",IFERROR(INDEX(智能流水!$L$2:$L$1001,MATCH($B167,智能流水!$B$2:$B$1001,0)),""))</f>
        <v/>
      </c>
      <c r="M167" s="32">
        <f>IF($B167="","",IFERROR(INDEX(智能流水!$M$2:$M$1001,MATCH($B167,智能流水!$B$2:$B$1001,0)),""))</f>
        <v/>
      </c>
      <c r="N167" s="32">
        <f>IF($B167="","",IFERROR(INDEX(智能流水!$N$2:$N$1001,MATCH($B167,智能流水!$B$2:$B$1001,0)),""))</f>
        <v/>
      </c>
      <c r="O167" s="32">
        <f>IF($B167="","",IFERROR(INDEX(智能流水!$O$2:$O$1001,MATCH($B167,智能流水!$B$2:$B$1001,0)),""))</f>
        <v/>
      </c>
    </row>
    <row r="168" ht="23" customHeight="1" s="21">
      <c r="A168" s="32">
        <f>IF($B168="","",167)</f>
        <v/>
      </c>
      <c r="B168" s="32">
        <f>IFERROR(LARGE(智能流水!$B$2:$B$1001,167),"")</f>
        <v/>
      </c>
      <c r="C168" s="33">
        <f>IF($B168="","",IFERROR(INDEX(智能流水!$C$2:$C$1001,MATCH($B168,智能流水!$B$2:$B$1001,0)),""))</f>
        <v/>
      </c>
      <c r="D168" s="34">
        <f>IF($B168="","",IFERROR(INDEX(智能流水!$D$2:$D$1001,MATCH($B168,智能流水!$B$2:$B$1001,0)),""))</f>
        <v/>
      </c>
      <c r="E168" s="34">
        <f>IF($B168="","",IFERROR(INDEX(智能流水!$E$2:$E$1001,MATCH($B168,智能流水!$B$2:$B$1001,0)),""))</f>
        <v/>
      </c>
      <c r="F168" s="34">
        <f>IF($B168="","",IFERROR(INDEX(智能流水!$F$2:$F$1001,MATCH($B168,智能流水!$B$2:$B$1001,0)),""))</f>
        <v/>
      </c>
      <c r="G168" s="32">
        <f>IF($B168="","",IFERROR(INDEX(智能流水!$G$2:$G$1001,MATCH($B168,智能流水!$B$2:$B$1001,0)),""))</f>
        <v/>
      </c>
      <c r="H168" s="32">
        <f>IF($B168="","",IFERROR(INDEX(智能流水!$H$2:$H$1001,MATCH($B168,智能流水!$B$2:$B$1001,0)),""))</f>
        <v/>
      </c>
      <c r="I168" s="32">
        <f>IF($B168="","",IFERROR(INDEX(智能流水!$I$2:$I$1001,MATCH($B168,智能流水!$B$2:$B$1001,0)),""))</f>
        <v/>
      </c>
      <c r="J168" s="32">
        <f>IF($B168="","",IFERROR(INDEX(智能流水!$J$2:$J$1001,MATCH($B168,智能流水!$B$2:$B$1001,0)),""))</f>
        <v/>
      </c>
      <c r="K168" s="35">
        <f>IF($B168="","",IFERROR(INDEX(智能流水!$K$2:$K$1001,MATCH($B168,智能流水!$B$2:$B$1001,0)),""))</f>
        <v/>
      </c>
      <c r="L168" s="32">
        <f>IF($B168="","",IFERROR(INDEX(智能流水!$L$2:$L$1001,MATCH($B168,智能流水!$B$2:$B$1001,0)),""))</f>
        <v/>
      </c>
      <c r="M168" s="32">
        <f>IF($B168="","",IFERROR(INDEX(智能流水!$M$2:$M$1001,MATCH($B168,智能流水!$B$2:$B$1001,0)),""))</f>
        <v/>
      </c>
      <c r="N168" s="32">
        <f>IF($B168="","",IFERROR(INDEX(智能流水!$N$2:$N$1001,MATCH($B168,智能流水!$B$2:$B$1001,0)),""))</f>
        <v/>
      </c>
      <c r="O168" s="32">
        <f>IF($B168="","",IFERROR(INDEX(智能流水!$O$2:$O$1001,MATCH($B168,智能流水!$B$2:$B$1001,0)),""))</f>
        <v/>
      </c>
    </row>
    <row r="169" ht="23" customHeight="1" s="21">
      <c r="A169" s="32">
        <f>IF($B169="","",168)</f>
        <v/>
      </c>
      <c r="B169" s="32">
        <f>IFERROR(LARGE(智能流水!$B$2:$B$1001,168),"")</f>
        <v/>
      </c>
      <c r="C169" s="33">
        <f>IF($B169="","",IFERROR(INDEX(智能流水!$C$2:$C$1001,MATCH($B169,智能流水!$B$2:$B$1001,0)),""))</f>
        <v/>
      </c>
      <c r="D169" s="34">
        <f>IF($B169="","",IFERROR(INDEX(智能流水!$D$2:$D$1001,MATCH($B169,智能流水!$B$2:$B$1001,0)),""))</f>
        <v/>
      </c>
      <c r="E169" s="34">
        <f>IF($B169="","",IFERROR(INDEX(智能流水!$E$2:$E$1001,MATCH($B169,智能流水!$B$2:$B$1001,0)),""))</f>
        <v/>
      </c>
      <c r="F169" s="34">
        <f>IF($B169="","",IFERROR(INDEX(智能流水!$F$2:$F$1001,MATCH($B169,智能流水!$B$2:$B$1001,0)),""))</f>
        <v/>
      </c>
      <c r="G169" s="32">
        <f>IF($B169="","",IFERROR(INDEX(智能流水!$G$2:$G$1001,MATCH($B169,智能流水!$B$2:$B$1001,0)),""))</f>
        <v/>
      </c>
      <c r="H169" s="32">
        <f>IF($B169="","",IFERROR(INDEX(智能流水!$H$2:$H$1001,MATCH($B169,智能流水!$B$2:$B$1001,0)),""))</f>
        <v/>
      </c>
      <c r="I169" s="32">
        <f>IF($B169="","",IFERROR(INDEX(智能流水!$I$2:$I$1001,MATCH($B169,智能流水!$B$2:$B$1001,0)),""))</f>
        <v/>
      </c>
      <c r="J169" s="32">
        <f>IF($B169="","",IFERROR(INDEX(智能流水!$J$2:$J$1001,MATCH($B169,智能流水!$B$2:$B$1001,0)),""))</f>
        <v/>
      </c>
      <c r="K169" s="35">
        <f>IF($B169="","",IFERROR(INDEX(智能流水!$K$2:$K$1001,MATCH($B169,智能流水!$B$2:$B$1001,0)),""))</f>
        <v/>
      </c>
      <c r="L169" s="32">
        <f>IF($B169="","",IFERROR(INDEX(智能流水!$L$2:$L$1001,MATCH($B169,智能流水!$B$2:$B$1001,0)),""))</f>
        <v/>
      </c>
      <c r="M169" s="32">
        <f>IF($B169="","",IFERROR(INDEX(智能流水!$M$2:$M$1001,MATCH($B169,智能流水!$B$2:$B$1001,0)),""))</f>
        <v/>
      </c>
      <c r="N169" s="32">
        <f>IF($B169="","",IFERROR(INDEX(智能流水!$N$2:$N$1001,MATCH($B169,智能流水!$B$2:$B$1001,0)),""))</f>
        <v/>
      </c>
      <c r="O169" s="32">
        <f>IF($B169="","",IFERROR(INDEX(智能流水!$O$2:$O$1001,MATCH($B169,智能流水!$B$2:$B$1001,0)),""))</f>
        <v/>
      </c>
    </row>
    <row r="170" ht="23" customHeight="1" s="21">
      <c r="A170" s="32">
        <f>IF($B170="","",169)</f>
        <v/>
      </c>
      <c r="B170" s="32">
        <f>IFERROR(LARGE(智能流水!$B$2:$B$1001,169),"")</f>
        <v/>
      </c>
      <c r="C170" s="33">
        <f>IF($B170="","",IFERROR(INDEX(智能流水!$C$2:$C$1001,MATCH($B170,智能流水!$B$2:$B$1001,0)),""))</f>
        <v/>
      </c>
      <c r="D170" s="34">
        <f>IF($B170="","",IFERROR(INDEX(智能流水!$D$2:$D$1001,MATCH($B170,智能流水!$B$2:$B$1001,0)),""))</f>
        <v/>
      </c>
      <c r="E170" s="34">
        <f>IF($B170="","",IFERROR(INDEX(智能流水!$E$2:$E$1001,MATCH($B170,智能流水!$B$2:$B$1001,0)),""))</f>
        <v/>
      </c>
      <c r="F170" s="34">
        <f>IF($B170="","",IFERROR(INDEX(智能流水!$F$2:$F$1001,MATCH($B170,智能流水!$B$2:$B$1001,0)),""))</f>
        <v/>
      </c>
      <c r="G170" s="32">
        <f>IF($B170="","",IFERROR(INDEX(智能流水!$G$2:$G$1001,MATCH($B170,智能流水!$B$2:$B$1001,0)),""))</f>
        <v/>
      </c>
      <c r="H170" s="32">
        <f>IF($B170="","",IFERROR(INDEX(智能流水!$H$2:$H$1001,MATCH($B170,智能流水!$B$2:$B$1001,0)),""))</f>
        <v/>
      </c>
      <c r="I170" s="32">
        <f>IF($B170="","",IFERROR(INDEX(智能流水!$I$2:$I$1001,MATCH($B170,智能流水!$B$2:$B$1001,0)),""))</f>
        <v/>
      </c>
      <c r="J170" s="32">
        <f>IF($B170="","",IFERROR(INDEX(智能流水!$J$2:$J$1001,MATCH($B170,智能流水!$B$2:$B$1001,0)),""))</f>
        <v/>
      </c>
      <c r="K170" s="35">
        <f>IF($B170="","",IFERROR(INDEX(智能流水!$K$2:$K$1001,MATCH($B170,智能流水!$B$2:$B$1001,0)),""))</f>
        <v/>
      </c>
      <c r="L170" s="32">
        <f>IF($B170="","",IFERROR(INDEX(智能流水!$L$2:$L$1001,MATCH($B170,智能流水!$B$2:$B$1001,0)),""))</f>
        <v/>
      </c>
      <c r="M170" s="32">
        <f>IF($B170="","",IFERROR(INDEX(智能流水!$M$2:$M$1001,MATCH($B170,智能流水!$B$2:$B$1001,0)),""))</f>
        <v/>
      </c>
      <c r="N170" s="32">
        <f>IF($B170="","",IFERROR(INDEX(智能流水!$N$2:$N$1001,MATCH($B170,智能流水!$B$2:$B$1001,0)),""))</f>
        <v/>
      </c>
      <c r="O170" s="32">
        <f>IF($B170="","",IFERROR(INDEX(智能流水!$O$2:$O$1001,MATCH($B170,智能流水!$B$2:$B$1001,0)),""))</f>
        <v/>
      </c>
    </row>
    <row r="171" ht="23" customHeight="1" s="21">
      <c r="A171" s="32">
        <f>IF($B171="","",170)</f>
        <v/>
      </c>
      <c r="B171" s="32">
        <f>IFERROR(LARGE(智能流水!$B$2:$B$1001,170),"")</f>
        <v/>
      </c>
      <c r="C171" s="33">
        <f>IF($B171="","",IFERROR(INDEX(智能流水!$C$2:$C$1001,MATCH($B171,智能流水!$B$2:$B$1001,0)),""))</f>
        <v/>
      </c>
      <c r="D171" s="34">
        <f>IF($B171="","",IFERROR(INDEX(智能流水!$D$2:$D$1001,MATCH($B171,智能流水!$B$2:$B$1001,0)),""))</f>
        <v/>
      </c>
      <c r="E171" s="34">
        <f>IF($B171="","",IFERROR(INDEX(智能流水!$E$2:$E$1001,MATCH($B171,智能流水!$B$2:$B$1001,0)),""))</f>
        <v/>
      </c>
      <c r="F171" s="34">
        <f>IF($B171="","",IFERROR(INDEX(智能流水!$F$2:$F$1001,MATCH($B171,智能流水!$B$2:$B$1001,0)),""))</f>
        <v/>
      </c>
      <c r="G171" s="32">
        <f>IF($B171="","",IFERROR(INDEX(智能流水!$G$2:$G$1001,MATCH($B171,智能流水!$B$2:$B$1001,0)),""))</f>
        <v/>
      </c>
      <c r="H171" s="32">
        <f>IF($B171="","",IFERROR(INDEX(智能流水!$H$2:$H$1001,MATCH($B171,智能流水!$B$2:$B$1001,0)),""))</f>
        <v/>
      </c>
      <c r="I171" s="32">
        <f>IF($B171="","",IFERROR(INDEX(智能流水!$I$2:$I$1001,MATCH($B171,智能流水!$B$2:$B$1001,0)),""))</f>
        <v/>
      </c>
      <c r="J171" s="32">
        <f>IF($B171="","",IFERROR(INDEX(智能流水!$J$2:$J$1001,MATCH($B171,智能流水!$B$2:$B$1001,0)),""))</f>
        <v/>
      </c>
      <c r="K171" s="35">
        <f>IF($B171="","",IFERROR(INDEX(智能流水!$K$2:$K$1001,MATCH($B171,智能流水!$B$2:$B$1001,0)),""))</f>
        <v/>
      </c>
      <c r="L171" s="32">
        <f>IF($B171="","",IFERROR(INDEX(智能流水!$L$2:$L$1001,MATCH($B171,智能流水!$B$2:$B$1001,0)),""))</f>
        <v/>
      </c>
      <c r="M171" s="32">
        <f>IF($B171="","",IFERROR(INDEX(智能流水!$M$2:$M$1001,MATCH($B171,智能流水!$B$2:$B$1001,0)),""))</f>
        <v/>
      </c>
      <c r="N171" s="32">
        <f>IF($B171="","",IFERROR(INDEX(智能流水!$N$2:$N$1001,MATCH($B171,智能流水!$B$2:$B$1001,0)),""))</f>
        <v/>
      </c>
      <c r="O171" s="32">
        <f>IF($B171="","",IFERROR(INDEX(智能流水!$O$2:$O$1001,MATCH($B171,智能流水!$B$2:$B$1001,0)),""))</f>
        <v/>
      </c>
    </row>
    <row r="172" ht="23" customHeight="1" s="21">
      <c r="A172" s="32">
        <f>IF($B172="","",171)</f>
        <v/>
      </c>
      <c r="B172" s="32">
        <f>IFERROR(LARGE(智能流水!$B$2:$B$1001,171),"")</f>
        <v/>
      </c>
      <c r="C172" s="33">
        <f>IF($B172="","",IFERROR(INDEX(智能流水!$C$2:$C$1001,MATCH($B172,智能流水!$B$2:$B$1001,0)),""))</f>
        <v/>
      </c>
      <c r="D172" s="34">
        <f>IF($B172="","",IFERROR(INDEX(智能流水!$D$2:$D$1001,MATCH($B172,智能流水!$B$2:$B$1001,0)),""))</f>
        <v/>
      </c>
      <c r="E172" s="34">
        <f>IF($B172="","",IFERROR(INDEX(智能流水!$E$2:$E$1001,MATCH($B172,智能流水!$B$2:$B$1001,0)),""))</f>
        <v/>
      </c>
      <c r="F172" s="34">
        <f>IF($B172="","",IFERROR(INDEX(智能流水!$F$2:$F$1001,MATCH($B172,智能流水!$B$2:$B$1001,0)),""))</f>
        <v/>
      </c>
      <c r="G172" s="32">
        <f>IF($B172="","",IFERROR(INDEX(智能流水!$G$2:$G$1001,MATCH($B172,智能流水!$B$2:$B$1001,0)),""))</f>
        <v/>
      </c>
      <c r="H172" s="32">
        <f>IF($B172="","",IFERROR(INDEX(智能流水!$H$2:$H$1001,MATCH($B172,智能流水!$B$2:$B$1001,0)),""))</f>
        <v/>
      </c>
      <c r="I172" s="32">
        <f>IF($B172="","",IFERROR(INDEX(智能流水!$I$2:$I$1001,MATCH($B172,智能流水!$B$2:$B$1001,0)),""))</f>
        <v/>
      </c>
      <c r="J172" s="32">
        <f>IF($B172="","",IFERROR(INDEX(智能流水!$J$2:$J$1001,MATCH($B172,智能流水!$B$2:$B$1001,0)),""))</f>
        <v/>
      </c>
      <c r="K172" s="35">
        <f>IF($B172="","",IFERROR(INDEX(智能流水!$K$2:$K$1001,MATCH($B172,智能流水!$B$2:$B$1001,0)),""))</f>
        <v/>
      </c>
      <c r="L172" s="32">
        <f>IF($B172="","",IFERROR(INDEX(智能流水!$L$2:$L$1001,MATCH($B172,智能流水!$B$2:$B$1001,0)),""))</f>
        <v/>
      </c>
      <c r="M172" s="32">
        <f>IF($B172="","",IFERROR(INDEX(智能流水!$M$2:$M$1001,MATCH($B172,智能流水!$B$2:$B$1001,0)),""))</f>
        <v/>
      </c>
      <c r="N172" s="32">
        <f>IF($B172="","",IFERROR(INDEX(智能流水!$N$2:$N$1001,MATCH($B172,智能流水!$B$2:$B$1001,0)),""))</f>
        <v/>
      </c>
      <c r="O172" s="32">
        <f>IF($B172="","",IFERROR(INDEX(智能流水!$O$2:$O$1001,MATCH($B172,智能流水!$B$2:$B$1001,0)),""))</f>
        <v/>
      </c>
    </row>
    <row r="173" ht="23" customHeight="1" s="21">
      <c r="A173" s="32">
        <f>IF($B173="","",172)</f>
        <v/>
      </c>
      <c r="B173" s="32">
        <f>IFERROR(LARGE(智能流水!$B$2:$B$1001,172),"")</f>
        <v/>
      </c>
      <c r="C173" s="33">
        <f>IF($B173="","",IFERROR(INDEX(智能流水!$C$2:$C$1001,MATCH($B173,智能流水!$B$2:$B$1001,0)),""))</f>
        <v/>
      </c>
      <c r="D173" s="34">
        <f>IF($B173="","",IFERROR(INDEX(智能流水!$D$2:$D$1001,MATCH($B173,智能流水!$B$2:$B$1001,0)),""))</f>
        <v/>
      </c>
      <c r="E173" s="34">
        <f>IF($B173="","",IFERROR(INDEX(智能流水!$E$2:$E$1001,MATCH($B173,智能流水!$B$2:$B$1001,0)),""))</f>
        <v/>
      </c>
      <c r="F173" s="34">
        <f>IF($B173="","",IFERROR(INDEX(智能流水!$F$2:$F$1001,MATCH($B173,智能流水!$B$2:$B$1001,0)),""))</f>
        <v/>
      </c>
      <c r="G173" s="32">
        <f>IF($B173="","",IFERROR(INDEX(智能流水!$G$2:$G$1001,MATCH($B173,智能流水!$B$2:$B$1001,0)),""))</f>
        <v/>
      </c>
      <c r="H173" s="32">
        <f>IF($B173="","",IFERROR(INDEX(智能流水!$H$2:$H$1001,MATCH($B173,智能流水!$B$2:$B$1001,0)),""))</f>
        <v/>
      </c>
      <c r="I173" s="32">
        <f>IF($B173="","",IFERROR(INDEX(智能流水!$I$2:$I$1001,MATCH($B173,智能流水!$B$2:$B$1001,0)),""))</f>
        <v/>
      </c>
      <c r="J173" s="32">
        <f>IF($B173="","",IFERROR(INDEX(智能流水!$J$2:$J$1001,MATCH($B173,智能流水!$B$2:$B$1001,0)),""))</f>
        <v/>
      </c>
      <c r="K173" s="35">
        <f>IF($B173="","",IFERROR(INDEX(智能流水!$K$2:$K$1001,MATCH($B173,智能流水!$B$2:$B$1001,0)),""))</f>
        <v/>
      </c>
      <c r="L173" s="32">
        <f>IF($B173="","",IFERROR(INDEX(智能流水!$L$2:$L$1001,MATCH($B173,智能流水!$B$2:$B$1001,0)),""))</f>
        <v/>
      </c>
      <c r="M173" s="32">
        <f>IF($B173="","",IFERROR(INDEX(智能流水!$M$2:$M$1001,MATCH($B173,智能流水!$B$2:$B$1001,0)),""))</f>
        <v/>
      </c>
      <c r="N173" s="32">
        <f>IF($B173="","",IFERROR(INDEX(智能流水!$N$2:$N$1001,MATCH($B173,智能流水!$B$2:$B$1001,0)),""))</f>
        <v/>
      </c>
      <c r="O173" s="32">
        <f>IF($B173="","",IFERROR(INDEX(智能流水!$O$2:$O$1001,MATCH($B173,智能流水!$B$2:$B$1001,0)),""))</f>
        <v/>
      </c>
    </row>
    <row r="174" ht="23" customHeight="1" s="21">
      <c r="A174" s="32">
        <f>IF($B174="","",173)</f>
        <v/>
      </c>
      <c r="B174" s="32">
        <f>IFERROR(LARGE(智能流水!$B$2:$B$1001,173),"")</f>
        <v/>
      </c>
      <c r="C174" s="33">
        <f>IF($B174="","",IFERROR(INDEX(智能流水!$C$2:$C$1001,MATCH($B174,智能流水!$B$2:$B$1001,0)),""))</f>
        <v/>
      </c>
      <c r="D174" s="34">
        <f>IF($B174="","",IFERROR(INDEX(智能流水!$D$2:$D$1001,MATCH($B174,智能流水!$B$2:$B$1001,0)),""))</f>
        <v/>
      </c>
      <c r="E174" s="34">
        <f>IF($B174="","",IFERROR(INDEX(智能流水!$E$2:$E$1001,MATCH($B174,智能流水!$B$2:$B$1001,0)),""))</f>
        <v/>
      </c>
      <c r="F174" s="34">
        <f>IF($B174="","",IFERROR(INDEX(智能流水!$F$2:$F$1001,MATCH($B174,智能流水!$B$2:$B$1001,0)),""))</f>
        <v/>
      </c>
      <c r="G174" s="32">
        <f>IF($B174="","",IFERROR(INDEX(智能流水!$G$2:$G$1001,MATCH($B174,智能流水!$B$2:$B$1001,0)),""))</f>
        <v/>
      </c>
      <c r="H174" s="32">
        <f>IF($B174="","",IFERROR(INDEX(智能流水!$H$2:$H$1001,MATCH($B174,智能流水!$B$2:$B$1001,0)),""))</f>
        <v/>
      </c>
      <c r="I174" s="32">
        <f>IF($B174="","",IFERROR(INDEX(智能流水!$I$2:$I$1001,MATCH($B174,智能流水!$B$2:$B$1001,0)),""))</f>
        <v/>
      </c>
      <c r="J174" s="32">
        <f>IF($B174="","",IFERROR(INDEX(智能流水!$J$2:$J$1001,MATCH($B174,智能流水!$B$2:$B$1001,0)),""))</f>
        <v/>
      </c>
      <c r="K174" s="35">
        <f>IF($B174="","",IFERROR(INDEX(智能流水!$K$2:$K$1001,MATCH($B174,智能流水!$B$2:$B$1001,0)),""))</f>
        <v/>
      </c>
      <c r="L174" s="32">
        <f>IF($B174="","",IFERROR(INDEX(智能流水!$L$2:$L$1001,MATCH($B174,智能流水!$B$2:$B$1001,0)),""))</f>
        <v/>
      </c>
      <c r="M174" s="32">
        <f>IF($B174="","",IFERROR(INDEX(智能流水!$M$2:$M$1001,MATCH($B174,智能流水!$B$2:$B$1001,0)),""))</f>
        <v/>
      </c>
      <c r="N174" s="32">
        <f>IF($B174="","",IFERROR(INDEX(智能流水!$N$2:$N$1001,MATCH($B174,智能流水!$B$2:$B$1001,0)),""))</f>
        <v/>
      </c>
      <c r="O174" s="32">
        <f>IF($B174="","",IFERROR(INDEX(智能流水!$O$2:$O$1001,MATCH($B174,智能流水!$B$2:$B$1001,0)),""))</f>
        <v/>
      </c>
    </row>
    <row r="175" ht="23" customHeight="1" s="21">
      <c r="A175" s="32">
        <f>IF($B175="","",174)</f>
        <v/>
      </c>
      <c r="B175" s="32">
        <f>IFERROR(LARGE(智能流水!$B$2:$B$1001,174),"")</f>
        <v/>
      </c>
      <c r="C175" s="33">
        <f>IF($B175="","",IFERROR(INDEX(智能流水!$C$2:$C$1001,MATCH($B175,智能流水!$B$2:$B$1001,0)),""))</f>
        <v/>
      </c>
      <c r="D175" s="34">
        <f>IF($B175="","",IFERROR(INDEX(智能流水!$D$2:$D$1001,MATCH($B175,智能流水!$B$2:$B$1001,0)),""))</f>
        <v/>
      </c>
      <c r="E175" s="34">
        <f>IF($B175="","",IFERROR(INDEX(智能流水!$E$2:$E$1001,MATCH($B175,智能流水!$B$2:$B$1001,0)),""))</f>
        <v/>
      </c>
      <c r="F175" s="34">
        <f>IF($B175="","",IFERROR(INDEX(智能流水!$F$2:$F$1001,MATCH($B175,智能流水!$B$2:$B$1001,0)),""))</f>
        <v/>
      </c>
      <c r="G175" s="32">
        <f>IF($B175="","",IFERROR(INDEX(智能流水!$G$2:$G$1001,MATCH($B175,智能流水!$B$2:$B$1001,0)),""))</f>
        <v/>
      </c>
      <c r="H175" s="32">
        <f>IF($B175="","",IFERROR(INDEX(智能流水!$H$2:$H$1001,MATCH($B175,智能流水!$B$2:$B$1001,0)),""))</f>
        <v/>
      </c>
      <c r="I175" s="32">
        <f>IF($B175="","",IFERROR(INDEX(智能流水!$I$2:$I$1001,MATCH($B175,智能流水!$B$2:$B$1001,0)),""))</f>
        <v/>
      </c>
      <c r="J175" s="32">
        <f>IF($B175="","",IFERROR(INDEX(智能流水!$J$2:$J$1001,MATCH($B175,智能流水!$B$2:$B$1001,0)),""))</f>
        <v/>
      </c>
      <c r="K175" s="35">
        <f>IF($B175="","",IFERROR(INDEX(智能流水!$K$2:$K$1001,MATCH($B175,智能流水!$B$2:$B$1001,0)),""))</f>
        <v/>
      </c>
      <c r="L175" s="32">
        <f>IF($B175="","",IFERROR(INDEX(智能流水!$L$2:$L$1001,MATCH($B175,智能流水!$B$2:$B$1001,0)),""))</f>
        <v/>
      </c>
      <c r="M175" s="32">
        <f>IF($B175="","",IFERROR(INDEX(智能流水!$M$2:$M$1001,MATCH($B175,智能流水!$B$2:$B$1001,0)),""))</f>
        <v/>
      </c>
      <c r="N175" s="32">
        <f>IF($B175="","",IFERROR(INDEX(智能流水!$N$2:$N$1001,MATCH($B175,智能流水!$B$2:$B$1001,0)),""))</f>
        <v/>
      </c>
      <c r="O175" s="32">
        <f>IF($B175="","",IFERROR(INDEX(智能流水!$O$2:$O$1001,MATCH($B175,智能流水!$B$2:$B$1001,0)),""))</f>
        <v/>
      </c>
    </row>
    <row r="176" ht="23" customHeight="1" s="21">
      <c r="A176" s="32">
        <f>IF($B176="","",175)</f>
        <v/>
      </c>
      <c r="B176" s="32">
        <f>IFERROR(LARGE(智能流水!$B$2:$B$1001,175),"")</f>
        <v/>
      </c>
      <c r="C176" s="33">
        <f>IF($B176="","",IFERROR(INDEX(智能流水!$C$2:$C$1001,MATCH($B176,智能流水!$B$2:$B$1001,0)),""))</f>
        <v/>
      </c>
      <c r="D176" s="34">
        <f>IF($B176="","",IFERROR(INDEX(智能流水!$D$2:$D$1001,MATCH($B176,智能流水!$B$2:$B$1001,0)),""))</f>
        <v/>
      </c>
      <c r="E176" s="34">
        <f>IF($B176="","",IFERROR(INDEX(智能流水!$E$2:$E$1001,MATCH($B176,智能流水!$B$2:$B$1001,0)),""))</f>
        <v/>
      </c>
      <c r="F176" s="34">
        <f>IF($B176="","",IFERROR(INDEX(智能流水!$F$2:$F$1001,MATCH($B176,智能流水!$B$2:$B$1001,0)),""))</f>
        <v/>
      </c>
      <c r="G176" s="32">
        <f>IF($B176="","",IFERROR(INDEX(智能流水!$G$2:$G$1001,MATCH($B176,智能流水!$B$2:$B$1001,0)),""))</f>
        <v/>
      </c>
      <c r="H176" s="32">
        <f>IF($B176="","",IFERROR(INDEX(智能流水!$H$2:$H$1001,MATCH($B176,智能流水!$B$2:$B$1001,0)),""))</f>
        <v/>
      </c>
      <c r="I176" s="32">
        <f>IF($B176="","",IFERROR(INDEX(智能流水!$I$2:$I$1001,MATCH($B176,智能流水!$B$2:$B$1001,0)),""))</f>
        <v/>
      </c>
      <c r="J176" s="32">
        <f>IF($B176="","",IFERROR(INDEX(智能流水!$J$2:$J$1001,MATCH($B176,智能流水!$B$2:$B$1001,0)),""))</f>
        <v/>
      </c>
      <c r="K176" s="35">
        <f>IF($B176="","",IFERROR(INDEX(智能流水!$K$2:$K$1001,MATCH($B176,智能流水!$B$2:$B$1001,0)),""))</f>
        <v/>
      </c>
      <c r="L176" s="32">
        <f>IF($B176="","",IFERROR(INDEX(智能流水!$L$2:$L$1001,MATCH($B176,智能流水!$B$2:$B$1001,0)),""))</f>
        <v/>
      </c>
      <c r="M176" s="32">
        <f>IF($B176="","",IFERROR(INDEX(智能流水!$M$2:$M$1001,MATCH($B176,智能流水!$B$2:$B$1001,0)),""))</f>
        <v/>
      </c>
      <c r="N176" s="32">
        <f>IF($B176="","",IFERROR(INDEX(智能流水!$N$2:$N$1001,MATCH($B176,智能流水!$B$2:$B$1001,0)),""))</f>
        <v/>
      </c>
      <c r="O176" s="32">
        <f>IF($B176="","",IFERROR(INDEX(智能流水!$O$2:$O$1001,MATCH($B176,智能流水!$B$2:$B$1001,0)),""))</f>
        <v/>
      </c>
    </row>
    <row r="177" ht="23" customHeight="1" s="21">
      <c r="A177" s="32">
        <f>IF($B177="","",176)</f>
        <v/>
      </c>
      <c r="B177" s="32">
        <f>IFERROR(LARGE(智能流水!$B$2:$B$1001,176),"")</f>
        <v/>
      </c>
      <c r="C177" s="33">
        <f>IF($B177="","",IFERROR(INDEX(智能流水!$C$2:$C$1001,MATCH($B177,智能流水!$B$2:$B$1001,0)),""))</f>
        <v/>
      </c>
      <c r="D177" s="34">
        <f>IF($B177="","",IFERROR(INDEX(智能流水!$D$2:$D$1001,MATCH($B177,智能流水!$B$2:$B$1001,0)),""))</f>
        <v/>
      </c>
      <c r="E177" s="34">
        <f>IF($B177="","",IFERROR(INDEX(智能流水!$E$2:$E$1001,MATCH($B177,智能流水!$B$2:$B$1001,0)),""))</f>
        <v/>
      </c>
      <c r="F177" s="34">
        <f>IF($B177="","",IFERROR(INDEX(智能流水!$F$2:$F$1001,MATCH($B177,智能流水!$B$2:$B$1001,0)),""))</f>
        <v/>
      </c>
      <c r="G177" s="32">
        <f>IF($B177="","",IFERROR(INDEX(智能流水!$G$2:$G$1001,MATCH($B177,智能流水!$B$2:$B$1001,0)),""))</f>
        <v/>
      </c>
      <c r="H177" s="32">
        <f>IF($B177="","",IFERROR(INDEX(智能流水!$H$2:$H$1001,MATCH($B177,智能流水!$B$2:$B$1001,0)),""))</f>
        <v/>
      </c>
      <c r="I177" s="32">
        <f>IF($B177="","",IFERROR(INDEX(智能流水!$I$2:$I$1001,MATCH($B177,智能流水!$B$2:$B$1001,0)),""))</f>
        <v/>
      </c>
      <c r="J177" s="32">
        <f>IF($B177="","",IFERROR(INDEX(智能流水!$J$2:$J$1001,MATCH($B177,智能流水!$B$2:$B$1001,0)),""))</f>
        <v/>
      </c>
      <c r="K177" s="35">
        <f>IF($B177="","",IFERROR(INDEX(智能流水!$K$2:$K$1001,MATCH($B177,智能流水!$B$2:$B$1001,0)),""))</f>
        <v/>
      </c>
      <c r="L177" s="32">
        <f>IF($B177="","",IFERROR(INDEX(智能流水!$L$2:$L$1001,MATCH($B177,智能流水!$B$2:$B$1001,0)),""))</f>
        <v/>
      </c>
      <c r="M177" s="32">
        <f>IF($B177="","",IFERROR(INDEX(智能流水!$M$2:$M$1001,MATCH($B177,智能流水!$B$2:$B$1001,0)),""))</f>
        <v/>
      </c>
      <c r="N177" s="32">
        <f>IF($B177="","",IFERROR(INDEX(智能流水!$N$2:$N$1001,MATCH($B177,智能流水!$B$2:$B$1001,0)),""))</f>
        <v/>
      </c>
      <c r="O177" s="32">
        <f>IF($B177="","",IFERROR(INDEX(智能流水!$O$2:$O$1001,MATCH($B177,智能流水!$B$2:$B$1001,0)),""))</f>
        <v/>
      </c>
    </row>
    <row r="178" ht="23" customHeight="1" s="21">
      <c r="A178" s="32">
        <f>IF($B178="","",177)</f>
        <v/>
      </c>
      <c r="B178" s="32">
        <f>IFERROR(LARGE(智能流水!$B$2:$B$1001,177),"")</f>
        <v/>
      </c>
      <c r="C178" s="33">
        <f>IF($B178="","",IFERROR(INDEX(智能流水!$C$2:$C$1001,MATCH($B178,智能流水!$B$2:$B$1001,0)),""))</f>
        <v/>
      </c>
      <c r="D178" s="34">
        <f>IF($B178="","",IFERROR(INDEX(智能流水!$D$2:$D$1001,MATCH($B178,智能流水!$B$2:$B$1001,0)),""))</f>
        <v/>
      </c>
      <c r="E178" s="34">
        <f>IF($B178="","",IFERROR(INDEX(智能流水!$E$2:$E$1001,MATCH($B178,智能流水!$B$2:$B$1001,0)),""))</f>
        <v/>
      </c>
      <c r="F178" s="34">
        <f>IF($B178="","",IFERROR(INDEX(智能流水!$F$2:$F$1001,MATCH($B178,智能流水!$B$2:$B$1001,0)),""))</f>
        <v/>
      </c>
      <c r="G178" s="32">
        <f>IF($B178="","",IFERROR(INDEX(智能流水!$G$2:$G$1001,MATCH($B178,智能流水!$B$2:$B$1001,0)),""))</f>
        <v/>
      </c>
      <c r="H178" s="32">
        <f>IF($B178="","",IFERROR(INDEX(智能流水!$H$2:$H$1001,MATCH($B178,智能流水!$B$2:$B$1001,0)),""))</f>
        <v/>
      </c>
      <c r="I178" s="32">
        <f>IF($B178="","",IFERROR(INDEX(智能流水!$I$2:$I$1001,MATCH($B178,智能流水!$B$2:$B$1001,0)),""))</f>
        <v/>
      </c>
      <c r="J178" s="32">
        <f>IF($B178="","",IFERROR(INDEX(智能流水!$J$2:$J$1001,MATCH($B178,智能流水!$B$2:$B$1001,0)),""))</f>
        <v/>
      </c>
      <c r="K178" s="35">
        <f>IF($B178="","",IFERROR(INDEX(智能流水!$K$2:$K$1001,MATCH($B178,智能流水!$B$2:$B$1001,0)),""))</f>
        <v/>
      </c>
      <c r="L178" s="32">
        <f>IF($B178="","",IFERROR(INDEX(智能流水!$L$2:$L$1001,MATCH($B178,智能流水!$B$2:$B$1001,0)),""))</f>
        <v/>
      </c>
      <c r="M178" s="32">
        <f>IF($B178="","",IFERROR(INDEX(智能流水!$M$2:$M$1001,MATCH($B178,智能流水!$B$2:$B$1001,0)),""))</f>
        <v/>
      </c>
      <c r="N178" s="32">
        <f>IF($B178="","",IFERROR(INDEX(智能流水!$N$2:$N$1001,MATCH($B178,智能流水!$B$2:$B$1001,0)),""))</f>
        <v/>
      </c>
      <c r="O178" s="32">
        <f>IF($B178="","",IFERROR(INDEX(智能流水!$O$2:$O$1001,MATCH($B178,智能流水!$B$2:$B$1001,0)),""))</f>
        <v/>
      </c>
    </row>
    <row r="179" ht="23" customHeight="1" s="21">
      <c r="A179" s="32">
        <f>IF($B179="","",178)</f>
        <v/>
      </c>
      <c r="B179" s="32">
        <f>IFERROR(LARGE(智能流水!$B$2:$B$1001,178),"")</f>
        <v/>
      </c>
      <c r="C179" s="33">
        <f>IF($B179="","",IFERROR(INDEX(智能流水!$C$2:$C$1001,MATCH($B179,智能流水!$B$2:$B$1001,0)),""))</f>
        <v/>
      </c>
      <c r="D179" s="34">
        <f>IF($B179="","",IFERROR(INDEX(智能流水!$D$2:$D$1001,MATCH($B179,智能流水!$B$2:$B$1001,0)),""))</f>
        <v/>
      </c>
      <c r="E179" s="34">
        <f>IF($B179="","",IFERROR(INDEX(智能流水!$E$2:$E$1001,MATCH($B179,智能流水!$B$2:$B$1001,0)),""))</f>
        <v/>
      </c>
      <c r="F179" s="34">
        <f>IF($B179="","",IFERROR(INDEX(智能流水!$F$2:$F$1001,MATCH($B179,智能流水!$B$2:$B$1001,0)),""))</f>
        <v/>
      </c>
      <c r="G179" s="32">
        <f>IF($B179="","",IFERROR(INDEX(智能流水!$G$2:$G$1001,MATCH($B179,智能流水!$B$2:$B$1001,0)),""))</f>
        <v/>
      </c>
      <c r="H179" s="32">
        <f>IF($B179="","",IFERROR(INDEX(智能流水!$H$2:$H$1001,MATCH($B179,智能流水!$B$2:$B$1001,0)),""))</f>
        <v/>
      </c>
      <c r="I179" s="32">
        <f>IF($B179="","",IFERROR(INDEX(智能流水!$I$2:$I$1001,MATCH($B179,智能流水!$B$2:$B$1001,0)),""))</f>
        <v/>
      </c>
      <c r="J179" s="32">
        <f>IF($B179="","",IFERROR(INDEX(智能流水!$J$2:$J$1001,MATCH($B179,智能流水!$B$2:$B$1001,0)),""))</f>
        <v/>
      </c>
      <c r="K179" s="35">
        <f>IF($B179="","",IFERROR(INDEX(智能流水!$K$2:$K$1001,MATCH($B179,智能流水!$B$2:$B$1001,0)),""))</f>
        <v/>
      </c>
      <c r="L179" s="32">
        <f>IF($B179="","",IFERROR(INDEX(智能流水!$L$2:$L$1001,MATCH($B179,智能流水!$B$2:$B$1001,0)),""))</f>
        <v/>
      </c>
      <c r="M179" s="32">
        <f>IF($B179="","",IFERROR(INDEX(智能流水!$M$2:$M$1001,MATCH($B179,智能流水!$B$2:$B$1001,0)),""))</f>
        <v/>
      </c>
      <c r="N179" s="32">
        <f>IF($B179="","",IFERROR(INDEX(智能流水!$N$2:$N$1001,MATCH($B179,智能流水!$B$2:$B$1001,0)),""))</f>
        <v/>
      </c>
      <c r="O179" s="32">
        <f>IF($B179="","",IFERROR(INDEX(智能流水!$O$2:$O$1001,MATCH($B179,智能流水!$B$2:$B$1001,0)),""))</f>
        <v/>
      </c>
    </row>
    <row r="180" ht="23" customHeight="1" s="21">
      <c r="A180" s="32">
        <f>IF($B180="","",179)</f>
        <v/>
      </c>
      <c r="B180" s="32">
        <f>IFERROR(LARGE(智能流水!$B$2:$B$1001,179),"")</f>
        <v/>
      </c>
      <c r="C180" s="33">
        <f>IF($B180="","",IFERROR(INDEX(智能流水!$C$2:$C$1001,MATCH($B180,智能流水!$B$2:$B$1001,0)),""))</f>
        <v/>
      </c>
      <c r="D180" s="34">
        <f>IF($B180="","",IFERROR(INDEX(智能流水!$D$2:$D$1001,MATCH($B180,智能流水!$B$2:$B$1001,0)),""))</f>
        <v/>
      </c>
      <c r="E180" s="34">
        <f>IF($B180="","",IFERROR(INDEX(智能流水!$E$2:$E$1001,MATCH($B180,智能流水!$B$2:$B$1001,0)),""))</f>
        <v/>
      </c>
      <c r="F180" s="34">
        <f>IF($B180="","",IFERROR(INDEX(智能流水!$F$2:$F$1001,MATCH($B180,智能流水!$B$2:$B$1001,0)),""))</f>
        <v/>
      </c>
      <c r="G180" s="32">
        <f>IF($B180="","",IFERROR(INDEX(智能流水!$G$2:$G$1001,MATCH($B180,智能流水!$B$2:$B$1001,0)),""))</f>
        <v/>
      </c>
      <c r="H180" s="32">
        <f>IF($B180="","",IFERROR(INDEX(智能流水!$H$2:$H$1001,MATCH($B180,智能流水!$B$2:$B$1001,0)),""))</f>
        <v/>
      </c>
      <c r="I180" s="32">
        <f>IF($B180="","",IFERROR(INDEX(智能流水!$I$2:$I$1001,MATCH($B180,智能流水!$B$2:$B$1001,0)),""))</f>
        <v/>
      </c>
      <c r="J180" s="32">
        <f>IF($B180="","",IFERROR(INDEX(智能流水!$J$2:$J$1001,MATCH($B180,智能流水!$B$2:$B$1001,0)),""))</f>
        <v/>
      </c>
      <c r="K180" s="35">
        <f>IF($B180="","",IFERROR(INDEX(智能流水!$K$2:$K$1001,MATCH($B180,智能流水!$B$2:$B$1001,0)),""))</f>
        <v/>
      </c>
      <c r="L180" s="32">
        <f>IF($B180="","",IFERROR(INDEX(智能流水!$L$2:$L$1001,MATCH($B180,智能流水!$B$2:$B$1001,0)),""))</f>
        <v/>
      </c>
      <c r="M180" s="32">
        <f>IF($B180="","",IFERROR(INDEX(智能流水!$M$2:$M$1001,MATCH($B180,智能流水!$B$2:$B$1001,0)),""))</f>
        <v/>
      </c>
      <c r="N180" s="32">
        <f>IF($B180="","",IFERROR(INDEX(智能流水!$N$2:$N$1001,MATCH($B180,智能流水!$B$2:$B$1001,0)),""))</f>
        <v/>
      </c>
      <c r="O180" s="32">
        <f>IF($B180="","",IFERROR(INDEX(智能流水!$O$2:$O$1001,MATCH($B180,智能流水!$B$2:$B$1001,0)),""))</f>
        <v/>
      </c>
    </row>
    <row r="181" ht="23" customHeight="1" s="21">
      <c r="A181" s="32">
        <f>IF($B181="","",180)</f>
        <v/>
      </c>
      <c r="B181" s="32">
        <f>IFERROR(LARGE(智能流水!$B$2:$B$1001,180),"")</f>
        <v/>
      </c>
      <c r="C181" s="33">
        <f>IF($B181="","",IFERROR(INDEX(智能流水!$C$2:$C$1001,MATCH($B181,智能流水!$B$2:$B$1001,0)),""))</f>
        <v/>
      </c>
      <c r="D181" s="34">
        <f>IF($B181="","",IFERROR(INDEX(智能流水!$D$2:$D$1001,MATCH($B181,智能流水!$B$2:$B$1001,0)),""))</f>
        <v/>
      </c>
      <c r="E181" s="34">
        <f>IF($B181="","",IFERROR(INDEX(智能流水!$E$2:$E$1001,MATCH($B181,智能流水!$B$2:$B$1001,0)),""))</f>
        <v/>
      </c>
      <c r="F181" s="34">
        <f>IF($B181="","",IFERROR(INDEX(智能流水!$F$2:$F$1001,MATCH($B181,智能流水!$B$2:$B$1001,0)),""))</f>
        <v/>
      </c>
      <c r="G181" s="32">
        <f>IF($B181="","",IFERROR(INDEX(智能流水!$G$2:$G$1001,MATCH($B181,智能流水!$B$2:$B$1001,0)),""))</f>
        <v/>
      </c>
      <c r="H181" s="32">
        <f>IF($B181="","",IFERROR(INDEX(智能流水!$H$2:$H$1001,MATCH($B181,智能流水!$B$2:$B$1001,0)),""))</f>
        <v/>
      </c>
      <c r="I181" s="32">
        <f>IF($B181="","",IFERROR(INDEX(智能流水!$I$2:$I$1001,MATCH($B181,智能流水!$B$2:$B$1001,0)),""))</f>
        <v/>
      </c>
      <c r="J181" s="32">
        <f>IF($B181="","",IFERROR(INDEX(智能流水!$J$2:$J$1001,MATCH($B181,智能流水!$B$2:$B$1001,0)),""))</f>
        <v/>
      </c>
      <c r="K181" s="35">
        <f>IF($B181="","",IFERROR(INDEX(智能流水!$K$2:$K$1001,MATCH($B181,智能流水!$B$2:$B$1001,0)),""))</f>
        <v/>
      </c>
      <c r="L181" s="32">
        <f>IF($B181="","",IFERROR(INDEX(智能流水!$L$2:$L$1001,MATCH($B181,智能流水!$B$2:$B$1001,0)),""))</f>
        <v/>
      </c>
      <c r="M181" s="32">
        <f>IF($B181="","",IFERROR(INDEX(智能流水!$M$2:$M$1001,MATCH($B181,智能流水!$B$2:$B$1001,0)),""))</f>
        <v/>
      </c>
      <c r="N181" s="32">
        <f>IF($B181="","",IFERROR(INDEX(智能流水!$N$2:$N$1001,MATCH($B181,智能流水!$B$2:$B$1001,0)),""))</f>
        <v/>
      </c>
      <c r="O181" s="32">
        <f>IF($B181="","",IFERROR(INDEX(智能流水!$O$2:$O$1001,MATCH($B181,智能流水!$B$2:$B$1001,0)),""))</f>
        <v/>
      </c>
    </row>
    <row r="182" ht="23" customHeight="1" s="21">
      <c r="A182" s="32">
        <f>IF($B182="","",181)</f>
        <v/>
      </c>
      <c r="B182" s="32">
        <f>IFERROR(LARGE(智能流水!$B$2:$B$1001,181),"")</f>
        <v/>
      </c>
      <c r="C182" s="33">
        <f>IF($B182="","",IFERROR(INDEX(智能流水!$C$2:$C$1001,MATCH($B182,智能流水!$B$2:$B$1001,0)),""))</f>
        <v/>
      </c>
      <c r="D182" s="34">
        <f>IF($B182="","",IFERROR(INDEX(智能流水!$D$2:$D$1001,MATCH($B182,智能流水!$B$2:$B$1001,0)),""))</f>
        <v/>
      </c>
      <c r="E182" s="34">
        <f>IF($B182="","",IFERROR(INDEX(智能流水!$E$2:$E$1001,MATCH($B182,智能流水!$B$2:$B$1001,0)),""))</f>
        <v/>
      </c>
      <c r="F182" s="34">
        <f>IF($B182="","",IFERROR(INDEX(智能流水!$F$2:$F$1001,MATCH($B182,智能流水!$B$2:$B$1001,0)),""))</f>
        <v/>
      </c>
      <c r="G182" s="32">
        <f>IF($B182="","",IFERROR(INDEX(智能流水!$G$2:$G$1001,MATCH($B182,智能流水!$B$2:$B$1001,0)),""))</f>
        <v/>
      </c>
      <c r="H182" s="32">
        <f>IF($B182="","",IFERROR(INDEX(智能流水!$H$2:$H$1001,MATCH($B182,智能流水!$B$2:$B$1001,0)),""))</f>
        <v/>
      </c>
      <c r="I182" s="32">
        <f>IF($B182="","",IFERROR(INDEX(智能流水!$I$2:$I$1001,MATCH($B182,智能流水!$B$2:$B$1001,0)),""))</f>
        <v/>
      </c>
      <c r="J182" s="32">
        <f>IF($B182="","",IFERROR(INDEX(智能流水!$J$2:$J$1001,MATCH($B182,智能流水!$B$2:$B$1001,0)),""))</f>
        <v/>
      </c>
      <c r="K182" s="35">
        <f>IF($B182="","",IFERROR(INDEX(智能流水!$K$2:$K$1001,MATCH($B182,智能流水!$B$2:$B$1001,0)),""))</f>
        <v/>
      </c>
      <c r="L182" s="32">
        <f>IF($B182="","",IFERROR(INDEX(智能流水!$L$2:$L$1001,MATCH($B182,智能流水!$B$2:$B$1001,0)),""))</f>
        <v/>
      </c>
      <c r="M182" s="32">
        <f>IF($B182="","",IFERROR(INDEX(智能流水!$M$2:$M$1001,MATCH($B182,智能流水!$B$2:$B$1001,0)),""))</f>
        <v/>
      </c>
      <c r="N182" s="32">
        <f>IF($B182="","",IFERROR(INDEX(智能流水!$N$2:$N$1001,MATCH($B182,智能流水!$B$2:$B$1001,0)),""))</f>
        <v/>
      </c>
      <c r="O182" s="32">
        <f>IF($B182="","",IFERROR(INDEX(智能流水!$O$2:$O$1001,MATCH($B182,智能流水!$B$2:$B$1001,0)),""))</f>
        <v/>
      </c>
    </row>
    <row r="183" ht="23" customHeight="1" s="21">
      <c r="A183" s="32">
        <f>IF($B183="","",182)</f>
        <v/>
      </c>
      <c r="B183" s="32">
        <f>IFERROR(LARGE(智能流水!$B$2:$B$1001,182),"")</f>
        <v/>
      </c>
      <c r="C183" s="33">
        <f>IF($B183="","",IFERROR(INDEX(智能流水!$C$2:$C$1001,MATCH($B183,智能流水!$B$2:$B$1001,0)),""))</f>
        <v/>
      </c>
      <c r="D183" s="34">
        <f>IF($B183="","",IFERROR(INDEX(智能流水!$D$2:$D$1001,MATCH($B183,智能流水!$B$2:$B$1001,0)),""))</f>
        <v/>
      </c>
      <c r="E183" s="34">
        <f>IF($B183="","",IFERROR(INDEX(智能流水!$E$2:$E$1001,MATCH($B183,智能流水!$B$2:$B$1001,0)),""))</f>
        <v/>
      </c>
      <c r="F183" s="34">
        <f>IF($B183="","",IFERROR(INDEX(智能流水!$F$2:$F$1001,MATCH($B183,智能流水!$B$2:$B$1001,0)),""))</f>
        <v/>
      </c>
      <c r="G183" s="32">
        <f>IF($B183="","",IFERROR(INDEX(智能流水!$G$2:$G$1001,MATCH($B183,智能流水!$B$2:$B$1001,0)),""))</f>
        <v/>
      </c>
      <c r="H183" s="32">
        <f>IF($B183="","",IFERROR(INDEX(智能流水!$H$2:$H$1001,MATCH($B183,智能流水!$B$2:$B$1001,0)),""))</f>
        <v/>
      </c>
      <c r="I183" s="32">
        <f>IF($B183="","",IFERROR(INDEX(智能流水!$I$2:$I$1001,MATCH($B183,智能流水!$B$2:$B$1001,0)),""))</f>
        <v/>
      </c>
      <c r="J183" s="32">
        <f>IF($B183="","",IFERROR(INDEX(智能流水!$J$2:$J$1001,MATCH($B183,智能流水!$B$2:$B$1001,0)),""))</f>
        <v/>
      </c>
      <c r="K183" s="35">
        <f>IF($B183="","",IFERROR(INDEX(智能流水!$K$2:$K$1001,MATCH($B183,智能流水!$B$2:$B$1001,0)),""))</f>
        <v/>
      </c>
      <c r="L183" s="32">
        <f>IF($B183="","",IFERROR(INDEX(智能流水!$L$2:$L$1001,MATCH($B183,智能流水!$B$2:$B$1001,0)),""))</f>
        <v/>
      </c>
      <c r="M183" s="32">
        <f>IF($B183="","",IFERROR(INDEX(智能流水!$M$2:$M$1001,MATCH($B183,智能流水!$B$2:$B$1001,0)),""))</f>
        <v/>
      </c>
      <c r="N183" s="32">
        <f>IF($B183="","",IFERROR(INDEX(智能流水!$N$2:$N$1001,MATCH($B183,智能流水!$B$2:$B$1001,0)),""))</f>
        <v/>
      </c>
      <c r="O183" s="32">
        <f>IF($B183="","",IFERROR(INDEX(智能流水!$O$2:$O$1001,MATCH($B183,智能流水!$B$2:$B$1001,0)),""))</f>
        <v/>
      </c>
    </row>
    <row r="184" ht="23" customHeight="1" s="21">
      <c r="A184" s="32">
        <f>IF($B184="","",183)</f>
        <v/>
      </c>
      <c r="B184" s="32">
        <f>IFERROR(LARGE(智能流水!$B$2:$B$1001,183),"")</f>
        <v/>
      </c>
      <c r="C184" s="33">
        <f>IF($B184="","",IFERROR(INDEX(智能流水!$C$2:$C$1001,MATCH($B184,智能流水!$B$2:$B$1001,0)),""))</f>
        <v/>
      </c>
      <c r="D184" s="34">
        <f>IF($B184="","",IFERROR(INDEX(智能流水!$D$2:$D$1001,MATCH($B184,智能流水!$B$2:$B$1001,0)),""))</f>
        <v/>
      </c>
      <c r="E184" s="34">
        <f>IF($B184="","",IFERROR(INDEX(智能流水!$E$2:$E$1001,MATCH($B184,智能流水!$B$2:$B$1001,0)),""))</f>
        <v/>
      </c>
      <c r="F184" s="34">
        <f>IF($B184="","",IFERROR(INDEX(智能流水!$F$2:$F$1001,MATCH($B184,智能流水!$B$2:$B$1001,0)),""))</f>
        <v/>
      </c>
      <c r="G184" s="32">
        <f>IF($B184="","",IFERROR(INDEX(智能流水!$G$2:$G$1001,MATCH($B184,智能流水!$B$2:$B$1001,0)),""))</f>
        <v/>
      </c>
      <c r="H184" s="32">
        <f>IF($B184="","",IFERROR(INDEX(智能流水!$H$2:$H$1001,MATCH($B184,智能流水!$B$2:$B$1001,0)),""))</f>
        <v/>
      </c>
      <c r="I184" s="32">
        <f>IF($B184="","",IFERROR(INDEX(智能流水!$I$2:$I$1001,MATCH($B184,智能流水!$B$2:$B$1001,0)),""))</f>
        <v/>
      </c>
      <c r="J184" s="32">
        <f>IF($B184="","",IFERROR(INDEX(智能流水!$J$2:$J$1001,MATCH($B184,智能流水!$B$2:$B$1001,0)),""))</f>
        <v/>
      </c>
      <c r="K184" s="35">
        <f>IF($B184="","",IFERROR(INDEX(智能流水!$K$2:$K$1001,MATCH($B184,智能流水!$B$2:$B$1001,0)),""))</f>
        <v/>
      </c>
      <c r="L184" s="32">
        <f>IF($B184="","",IFERROR(INDEX(智能流水!$L$2:$L$1001,MATCH($B184,智能流水!$B$2:$B$1001,0)),""))</f>
        <v/>
      </c>
      <c r="M184" s="32">
        <f>IF($B184="","",IFERROR(INDEX(智能流水!$M$2:$M$1001,MATCH($B184,智能流水!$B$2:$B$1001,0)),""))</f>
        <v/>
      </c>
      <c r="N184" s="32">
        <f>IF($B184="","",IFERROR(INDEX(智能流水!$N$2:$N$1001,MATCH($B184,智能流水!$B$2:$B$1001,0)),""))</f>
        <v/>
      </c>
      <c r="O184" s="32">
        <f>IF($B184="","",IFERROR(INDEX(智能流水!$O$2:$O$1001,MATCH($B184,智能流水!$B$2:$B$1001,0)),""))</f>
        <v/>
      </c>
    </row>
    <row r="185" ht="23" customHeight="1" s="21">
      <c r="A185" s="32">
        <f>IF($B185="","",184)</f>
        <v/>
      </c>
      <c r="B185" s="32">
        <f>IFERROR(LARGE(智能流水!$B$2:$B$1001,184),"")</f>
        <v/>
      </c>
      <c r="C185" s="33">
        <f>IF($B185="","",IFERROR(INDEX(智能流水!$C$2:$C$1001,MATCH($B185,智能流水!$B$2:$B$1001,0)),""))</f>
        <v/>
      </c>
      <c r="D185" s="34">
        <f>IF($B185="","",IFERROR(INDEX(智能流水!$D$2:$D$1001,MATCH($B185,智能流水!$B$2:$B$1001,0)),""))</f>
        <v/>
      </c>
      <c r="E185" s="34">
        <f>IF($B185="","",IFERROR(INDEX(智能流水!$E$2:$E$1001,MATCH($B185,智能流水!$B$2:$B$1001,0)),""))</f>
        <v/>
      </c>
      <c r="F185" s="34">
        <f>IF($B185="","",IFERROR(INDEX(智能流水!$F$2:$F$1001,MATCH($B185,智能流水!$B$2:$B$1001,0)),""))</f>
        <v/>
      </c>
      <c r="G185" s="32">
        <f>IF($B185="","",IFERROR(INDEX(智能流水!$G$2:$G$1001,MATCH($B185,智能流水!$B$2:$B$1001,0)),""))</f>
        <v/>
      </c>
      <c r="H185" s="32">
        <f>IF($B185="","",IFERROR(INDEX(智能流水!$H$2:$H$1001,MATCH($B185,智能流水!$B$2:$B$1001,0)),""))</f>
        <v/>
      </c>
      <c r="I185" s="32">
        <f>IF($B185="","",IFERROR(INDEX(智能流水!$I$2:$I$1001,MATCH($B185,智能流水!$B$2:$B$1001,0)),""))</f>
        <v/>
      </c>
      <c r="J185" s="32">
        <f>IF($B185="","",IFERROR(INDEX(智能流水!$J$2:$J$1001,MATCH($B185,智能流水!$B$2:$B$1001,0)),""))</f>
        <v/>
      </c>
      <c r="K185" s="35">
        <f>IF($B185="","",IFERROR(INDEX(智能流水!$K$2:$K$1001,MATCH($B185,智能流水!$B$2:$B$1001,0)),""))</f>
        <v/>
      </c>
      <c r="L185" s="32">
        <f>IF($B185="","",IFERROR(INDEX(智能流水!$L$2:$L$1001,MATCH($B185,智能流水!$B$2:$B$1001,0)),""))</f>
        <v/>
      </c>
      <c r="M185" s="32">
        <f>IF($B185="","",IFERROR(INDEX(智能流水!$M$2:$M$1001,MATCH($B185,智能流水!$B$2:$B$1001,0)),""))</f>
        <v/>
      </c>
      <c r="N185" s="32">
        <f>IF($B185="","",IFERROR(INDEX(智能流水!$N$2:$N$1001,MATCH($B185,智能流水!$B$2:$B$1001,0)),""))</f>
        <v/>
      </c>
      <c r="O185" s="32">
        <f>IF($B185="","",IFERROR(INDEX(智能流水!$O$2:$O$1001,MATCH($B185,智能流水!$B$2:$B$1001,0)),""))</f>
        <v/>
      </c>
    </row>
    <row r="186" ht="23" customHeight="1" s="21">
      <c r="A186" s="32">
        <f>IF($B186="","",185)</f>
        <v/>
      </c>
      <c r="B186" s="32">
        <f>IFERROR(LARGE(智能流水!$B$2:$B$1001,185),"")</f>
        <v/>
      </c>
      <c r="C186" s="33">
        <f>IF($B186="","",IFERROR(INDEX(智能流水!$C$2:$C$1001,MATCH($B186,智能流水!$B$2:$B$1001,0)),""))</f>
        <v/>
      </c>
      <c r="D186" s="34">
        <f>IF($B186="","",IFERROR(INDEX(智能流水!$D$2:$D$1001,MATCH($B186,智能流水!$B$2:$B$1001,0)),""))</f>
        <v/>
      </c>
      <c r="E186" s="34">
        <f>IF($B186="","",IFERROR(INDEX(智能流水!$E$2:$E$1001,MATCH($B186,智能流水!$B$2:$B$1001,0)),""))</f>
        <v/>
      </c>
      <c r="F186" s="34">
        <f>IF($B186="","",IFERROR(INDEX(智能流水!$F$2:$F$1001,MATCH($B186,智能流水!$B$2:$B$1001,0)),""))</f>
        <v/>
      </c>
      <c r="G186" s="32">
        <f>IF($B186="","",IFERROR(INDEX(智能流水!$G$2:$G$1001,MATCH($B186,智能流水!$B$2:$B$1001,0)),""))</f>
        <v/>
      </c>
      <c r="H186" s="32">
        <f>IF($B186="","",IFERROR(INDEX(智能流水!$H$2:$H$1001,MATCH($B186,智能流水!$B$2:$B$1001,0)),""))</f>
        <v/>
      </c>
      <c r="I186" s="32">
        <f>IF($B186="","",IFERROR(INDEX(智能流水!$I$2:$I$1001,MATCH($B186,智能流水!$B$2:$B$1001,0)),""))</f>
        <v/>
      </c>
      <c r="J186" s="32">
        <f>IF($B186="","",IFERROR(INDEX(智能流水!$J$2:$J$1001,MATCH($B186,智能流水!$B$2:$B$1001,0)),""))</f>
        <v/>
      </c>
      <c r="K186" s="35">
        <f>IF($B186="","",IFERROR(INDEX(智能流水!$K$2:$K$1001,MATCH($B186,智能流水!$B$2:$B$1001,0)),""))</f>
        <v/>
      </c>
      <c r="L186" s="32">
        <f>IF($B186="","",IFERROR(INDEX(智能流水!$L$2:$L$1001,MATCH($B186,智能流水!$B$2:$B$1001,0)),""))</f>
        <v/>
      </c>
      <c r="M186" s="32">
        <f>IF($B186="","",IFERROR(INDEX(智能流水!$M$2:$M$1001,MATCH($B186,智能流水!$B$2:$B$1001,0)),""))</f>
        <v/>
      </c>
      <c r="N186" s="32">
        <f>IF($B186="","",IFERROR(INDEX(智能流水!$N$2:$N$1001,MATCH($B186,智能流水!$B$2:$B$1001,0)),""))</f>
        <v/>
      </c>
      <c r="O186" s="32">
        <f>IF($B186="","",IFERROR(INDEX(智能流水!$O$2:$O$1001,MATCH($B186,智能流水!$B$2:$B$1001,0)),""))</f>
        <v/>
      </c>
    </row>
    <row r="187" ht="23" customHeight="1" s="21">
      <c r="A187" s="32">
        <f>IF($B187="","",186)</f>
        <v/>
      </c>
      <c r="B187" s="32">
        <f>IFERROR(LARGE(智能流水!$B$2:$B$1001,186),"")</f>
        <v/>
      </c>
      <c r="C187" s="33">
        <f>IF($B187="","",IFERROR(INDEX(智能流水!$C$2:$C$1001,MATCH($B187,智能流水!$B$2:$B$1001,0)),""))</f>
        <v/>
      </c>
      <c r="D187" s="34">
        <f>IF($B187="","",IFERROR(INDEX(智能流水!$D$2:$D$1001,MATCH($B187,智能流水!$B$2:$B$1001,0)),""))</f>
        <v/>
      </c>
      <c r="E187" s="34">
        <f>IF($B187="","",IFERROR(INDEX(智能流水!$E$2:$E$1001,MATCH($B187,智能流水!$B$2:$B$1001,0)),""))</f>
        <v/>
      </c>
      <c r="F187" s="34">
        <f>IF($B187="","",IFERROR(INDEX(智能流水!$F$2:$F$1001,MATCH($B187,智能流水!$B$2:$B$1001,0)),""))</f>
        <v/>
      </c>
      <c r="G187" s="32">
        <f>IF($B187="","",IFERROR(INDEX(智能流水!$G$2:$G$1001,MATCH($B187,智能流水!$B$2:$B$1001,0)),""))</f>
        <v/>
      </c>
      <c r="H187" s="32">
        <f>IF($B187="","",IFERROR(INDEX(智能流水!$H$2:$H$1001,MATCH($B187,智能流水!$B$2:$B$1001,0)),""))</f>
        <v/>
      </c>
      <c r="I187" s="32">
        <f>IF($B187="","",IFERROR(INDEX(智能流水!$I$2:$I$1001,MATCH($B187,智能流水!$B$2:$B$1001,0)),""))</f>
        <v/>
      </c>
      <c r="J187" s="32">
        <f>IF($B187="","",IFERROR(INDEX(智能流水!$J$2:$J$1001,MATCH($B187,智能流水!$B$2:$B$1001,0)),""))</f>
        <v/>
      </c>
      <c r="K187" s="35">
        <f>IF($B187="","",IFERROR(INDEX(智能流水!$K$2:$K$1001,MATCH($B187,智能流水!$B$2:$B$1001,0)),""))</f>
        <v/>
      </c>
      <c r="L187" s="32">
        <f>IF($B187="","",IFERROR(INDEX(智能流水!$L$2:$L$1001,MATCH($B187,智能流水!$B$2:$B$1001,0)),""))</f>
        <v/>
      </c>
      <c r="M187" s="32">
        <f>IF($B187="","",IFERROR(INDEX(智能流水!$M$2:$M$1001,MATCH($B187,智能流水!$B$2:$B$1001,0)),""))</f>
        <v/>
      </c>
      <c r="N187" s="32">
        <f>IF($B187="","",IFERROR(INDEX(智能流水!$N$2:$N$1001,MATCH($B187,智能流水!$B$2:$B$1001,0)),""))</f>
        <v/>
      </c>
      <c r="O187" s="32">
        <f>IF($B187="","",IFERROR(INDEX(智能流水!$O$2:$O$1001,MATCH($B187,智能流水!$B$2:$B$1001,0)),""))</f>
        <v/>
      </c>
    </row>
    <row r="188" ht="23" customHeight="1" s="21">
      <c r="A188" s="32">
        <f>IF($B188="","",187)</f>
        <v/>
      </c>
      <c r="B188" s="32">
        <f>IFERROR(LARGE(智能流水!$B$2:$B$1001,187),"")</f>
        <v/>
      </c>
      <c r="C188" s="33">
        <f>IF($B188="","",IFERROR(INDEX(智能流水!$C$2:$C$1001,MATCH($B188,智能流水!$B$2:$B$1001,0)),""))</f>
        <v/>
      </c>
      <c r="D188" s="34">
        <f>IF($B188="","",IFERROR(INDEX(智能流水!$D$2:$D$1001,MATCH($B188,智能流水!$B$2:$B$1001,0)),""))</f>
        <v/>
      </c>
      <c r="E188" s="34">
        <f>IF($B188="","",IFERROR(INDEX(智能流水!$E$2:$E$1001,MATCH($B188,智能流水!$B$2:$B$1001,0)),""))</f>
        <v/>
      </c>
      <c r="F188" s="34">
        <f>IF($B188="","",IFERROR(INDEX(智能流水!$F$2:$F$1001,MATCH($B188,智能流水!$B$2:$B$1001,0)),""))</f>
        <v/>
      </c>
      <c r="G188" s="32">
        <f>IF($B188="","",IFERROR(INDEX(智能流水!$G$2:$G$1001,MATCH($B188,智能流水!$B$2:$B$1001,0)),""))</f>
        <v/>
      </c>
      <c r="H188" s="32">
        <f>IF($B188="","",IFERROR(INDEX(智能流水!$H$2:$H$1001,MATCH($B188,智能流水!$B$2:$B$1001,0)),""))</f>
        <v/>
      </c>
      <c r="I188" s="32">
        <f>IF($B188="","",IFERROR(INDEX(智能流水!$I$2:$I$1001,MATCH($B188,智能流水!$B$2:$B$1001,0)),""))</f>
        <v/>
      </c>
      <c r="J188" s="32">
        <f>IF($B188="","",IFERROR(INDEX(智能流水!$J$2:$J$1001,MATCH($B188,智能流水!$B$2:$B$1001,0)),""))</f>
        <v/>
      </c>
      <c r="K188" s="35">
        <f>IF($B188="","",IFERROR(INDEX(智能流水!$K$2:$K$1001,MATCH($B188,智能流水!$B$2:$B$1001,0)),""))</f>
        <v/>
      </c>
      <c r="L188" s="32">
        <f>IF($B188="","",IFERROR(INDEX(智能流水!$L$2:$L$1001,MATCH($B188,智能流水!$B$2:$B$1001,0)),""))</f>
        <v/>
      </c>
      <c r="M188" s="32">
        <f>IF($B188="","",IFERROR(INDEX(智能流水!$M$2:$M$1001,MATCH($B188,智能流水!$B$2:$B$1001,0)),""))</f>
        <v/>
      </c>
      <c r="N188" s="32">
        <f>IF($B188="","",IFERROR(INDEX(智能流水!$N$2:$N$1001,MATCH($B188,智能流水!$B$2:$B$1001,0)),""))</f>
        <v/>
      </c>
      <c r="O188" s="32">
        <f>IF($B188="","",IFERROR(INDEX(智能流水!$O$2:$O$1001,MATCH($B188,智能流水!$B$2:$B$1001,0)),""))</f>
        <v/>
      </c>
    </row>
    <row r="189" ht="23" customHeight="1" s="21">
      <c r="A189" s="32">
        <f>IF($B189="","",188)</f>
        <v/>
      </c>
      <c r="B189" s="32">
        <f>IFERROR(LARGE(智能流水!$B$2:$B$1001,188),"")</f>
        <v/>
      </c>
      <c r="C189" s="33">
        <f>IF($B189="","",IFERROR(INDEX(智能流水!$C$2:$C$1001,MATCH($B189,智能流水!$B$2:$B$1001,0)),""))</f>
        <v/>
      </c>
      <c r="D189" s="34">
        <f>IF($B189="","",IFERROR(INDEX(智能流水!$D$2:$D$1001,MATCH($B189,智能流水!$B$2:$B$1001,0)),""))</f>
        <v/>
      </c>
      <c r="E189" s="34">
        <f>IF($B189="","",IFERROR(INDEX(智能流水!$E$2:$E$1001,MATCH($B189,智能流水!$B$2:$B$1001,0)),""))</f>
        <v/>
      </c>
      <c r="F189" s="34">
        <f>IF($B189="","",IFERROR(INDEX(智能流水!$F$2:$F$1001,MATCH($B189,智能流水!$B$2:$B$1001,0)),""))</f>
        <v/>
      </c>
      <c r="G189" s="32">
        <f>IF($B189="","",IFERROR(INDEX(智能流水!$G$2:$G$1001,MATCH($B189,智能流水!$B$2:$B$1001,0)),""))</f>
        <v/>
      </c>
      <c r="H189" s="32">
        <f>IF($B189="","",IFERROR(INDEX(智能流水!$H$2:$H$1001,MATCH($B189,智能流水!$B$2:$B$1001,0)),""))</f>
        <v/>
      </c>
      <c r="I189" s="32">
        <f>IF($B189="","",IFERROR(INDEX(智能流水!$I$2:$I$1001,MATCH($B189,智能流水!$B$2:$B$1001,0)),""))</f>
        <v/>
      </c>
      <c r="J189" s="32">
        <f>IF($B189="","",IFERROR(INDEX(智能流水!$J$2:$J$1001,MATCH($B189,智能流水!$B$2:$B$1001,0)),""))</f>
        <v/>
      </c>
      <c r="K189" s="35">
        <f>IF($B189="","",IFERROR(INDEX(智能流水!$K$2:$K$1001,MATCH($B189,智能流水!$B$2:$B$1001,0)),""))</f>
        <v/>
      </c>
      <c r="L189" s="32">
        <f>IF($B189="","",IFERROR(INDEX(智能流水!$L$2:$L$1001,MATCH($B189,智能流水!$B$2:$B$1001,0)),""))</f>
        <v/>
      </c>
      <c r="M189" s="32">
        <f>IF($B189="","",IFERROR(INDEX(智能流水!$M$2:$M$1001,MATCH($B189,智能流水!$B$2:$B$1001,0)),""))</f>
        <v/>
      </c>
      <c r="N189" s="32">
        <f>IF($B189="","",IFERROR(INDEX(智能流水!$N$2:$N$1001,MATCH($B189,智能流水!$B$2:$B$1001,0)),""))</f>
        <v/>
      </c>
      <c r="O189" s="32">
        <f>IF($B189="","",IFERROR(INDEX(智能流水!$O$2:$O$1001,MATCH($B189,智能流水!$B$2:$B$1001,0)),""))</f>
        <v/>
      </c>
    </row>
    <row r="190" ht="23" customHeight="1" s="21">
      <c r="A190" s="32">
        <f>IF($B190="","",189)</f>
        <v/>
      </c>
      <c r="B190" s="32">
        <f>IFERROR(LARGE(智能流水!$B$2:$B$1001,189),"")</f>
        <v/>
      </c>
      <c r="C190" s="33">
        <f>IF($B190="","",IFERROR(INDEX(智能流水!$C$2:$C$1001,MATCH($B190,智能流水!$B$2:$B$1001,0)),""))</f>
        <v/>
      </c>
      <c r="D190" s="34">
        <f>IF($B190="","",IFERROR(INDEX(智能流水!$D$2:$D$1001,MATCH($B190,智能流水!$B$2:$B$1001,0)),""))</f>
        <v/>
      </c>
      <c r="E190" s="34">
        <f>IF($B190="","",IFERROR(INDEX(智能流水!$E$2:$E$1001,MATCH($B190,智能流水!$B$2:$B$1001,0)),""))</f>
        <v/>
      </c>
      <c r="F190" s="34">
        <f>IF($B190="","",IFERROR(INDEX(智能流水!$F$2:$F$1001,MATCH($B190,智能流水!$B$2:$B$1001,0)),""))</f>
        <v/>
      </c>
      <c r="G190" s="32">
        <f>IF($B190="","",IFERROR(INDEX(智能流水!$G$2:$G$1001,MATCH($B190,智能流水!$B$2:$B$1001,0)),""))</f>
        <v/>
      </c>
      <c r="H190" s="32">
        <f>IF($B190="","",IFERROR(INDEX(智能流水!$H$2:$H$1001,MATCH($B190,智能流水!$B$2:$B$1001,0)),""))</f>
        <v/>
      </c>
      <c r="I190" s="32">
        <f>IF($B190="","",IFERROR(INDEX(智能流水!$I$2:$I$1001,MATCH($B190,智能流水!$B$2:$B$1001,0)),""))</f>
        <v/>
      </c>
      <c r="J190" s="32">
        <f>IF($B190="","",IFERROR(INDEX(智能流水!$J$2:$J$1001,MATCH($B190,智能流水!$B$2:$B$1001,0)),""))</f>
        <v/>
      </c>
      <c r="K190" s="35">
        <f>IF($B190="","",IFERROR(INDEX(智能流水!$K$2:$K$1001,MATCH($B190,智能流水!$B$2:$B$1001,0)),""))</f>
        <v/>
      </c>
      <c r="L190" s="32">
        <f>IF($B190="","",IFERROR(INDEX(智能流水!$L$2:$L$1001,MATCH($B190,智能流水!$B$2:$B$1001,0)),""))</f>
        <v/>
      </c>
      <c r="M190" s="32">
        <f>IF($B190="","",IFERROR(INDEX(智能流水!$M$2:$M$1001,MATCH($B190,智能流水!$B$2:$B$1001,0)),""))</f>
        <v/>
      </c>
      <c r="N190" s="32">
        <f>IF($B190="","",IFERROR(INDEX(智能流水!$N$2:$N$1001,MATCH($B190,智能流水!$B$2:$B$1001,0)),""))</f>
        <v/>
      </c>
      <c r="O190" s="32">
        <f>IF($B190="","",IFERROR(INDEX(智能流水!$O$2:$O$1001,MATCH($B190,智能流水!$B$2:$B$1001,0)),""))</f>
        <v/>
      </c>
    </row>
    <row r="191" ht="23" customHeight="1" s="21">
      <c r="A191" s="32">
        <f>IF($B191="","",190)</f>
        <v/>
      </c>
      <c r="B191" s="32">
        <f>IFERROR(LARGE(智能流水!$B$2:$B$1001,190),"")</f>
        <v/>
      </c>
      <c r="C191" s="33">
        <f>IF($B191="","",IFERROR(INDEX(智能流水!$C$2:$C$1001,MATCH($B191,智能流水!$B$2:$B$1001,0)),""))</f>
        <v/>
      </c>
      <c r="D191" s="34">
        <f>IF($B191="","",IFERROR(INDEX(智能流水!$D$2:$D$1001,MATCH($B191,智能流水!$B$2:$B$1001,0)),""))</f>
        <v/>
      </c>
      <c r="E191" s="34">
        <f>IF($B191="","",IFERROR(INDEX(智能流水!$E$2:$E$1001,MATCH($B191,智能流水!$B$2:$B$1001,0)),""))</f>
        <v/>
      </c>
      <c r="F191" s="34">
        <f>IF($B191="","",IFERROR(INDEX(智能流水!$F$2:$F$1001,MATCH($B191,智能流水!$B$2:$B$1001,0)),""))</f>
        <v/>
      </c>
      <c r="G191" s="32">
        <f>IF($B191="","",IFERROR(INDEX(智能流水!$G$2:$G$1001,MATCH($B191,智能流水!$B$2:$B$1001,0)),""))</f>
        <v/>
      </c>
      <c r="H191" s="32">
        <f>IF($B191="","",IFERROR(INDEX(智能流水!$H$2:$H$1001,MATCH($B191,智能流水!$B$2:$B$1001,0)),""))</f>
        <v/>
      </c>
      <c r="I191" s="32">
        <f>IF($B191="","",IFERROR(INDEX(智能流水!$I$2:$I$1001,MATCH($B191,智能流水!$B$2:$B$1001,0)),""))</f>
        <v/>
      </c>
      <c r="J191" s="32">
        <f>IF($B191="","",IFERROR(INDEX(智能流水!$J$2:$J$1001,MATCH($B191,智能流水!$B$2:$B$1001,0)),""))</f>
        <v/>
      </c>
      <c r="K191" s="35">
        <f>IF($B191="","",IFERROR(INDEX(智能流水!$K$2:$K$1001,MATCH($B191,智能流水!$B$2:$B$1001,0)),""))</f>
        <v/>
      </c>
      <c r="L191" s="32">
        <f>IF($B191="","",IFERROR(INDEX(智能流水!$L$2:$L$1001,MATCH($B191,智能流水!$B$2:$B$1001,0)),""))</f>
        <v/>
      </c>
      <c r="M191" s="32">
        <f>IF($B191="","",IFERROR(INDEX(智能流水!$M$2:$M$1001,MATCH($B191,智能流水!$B$2:$B$1001,0)),""))</f>
        <v/>
      </c>
      <c r="N191" s="32">
        <f>IF($B191="","",IFERROR(INDEX(智能流水!$N$2:$N$1001,MATCH($B191,智能流水!$B$2:$B$1001,0)),""))</f>
        <v/>
      </c>
      <c r="O191" s="32">
        <f>IF($B191="","",IFERROR(INDEX(智能流水!$O$2:$O$1001,MATCH($B191,智能流水!$B$2:$B$1001,0)),""))</f>
        <v/>
      </c>
    </row>
    <row r="192" ht="23" customHeight="1" s="21">
      <c r="A192" s="32">
        <f>IF($B192="","",191)</f>
        <v/>
      </c>
      <c r="B192" s="32">
        <f>IFERROR(LARGE(智能流水!$B$2:$B$1001,191),"")</f>
        <v/>
      </c>
      <c r="C192" s="33">
        <f>IF($B192="","",IFERROR(INDEX(智能流水!$C$2:$C$1001,MATCH($B192,智能流水!$B$2:$B$1001,0)),""))</f>
        <v/>
      </c>
      <c r="D192" s="34">
        <f>IF($B192="","",IFERROR(INDEX(智能流水!$D$2:$D$1001,MATCH($B192,智能流水!$B$2:$B$1001,0)),""))</f>
        <v/>
      </c>
      <c r="E192" s="34">
        <f>IF($B192="","",IFERROR(INDEX(智能流水!$E$2:$E$1001,MATCH($B192,智能流水!$B$2:$B$1001,0)),""))</f>
        <v/>
      </c>
      <c r="F192" s="34">
        <f>IF($B192="","",IFERROR(INDEX(智能流水!$F$2:$F$1001,MATCH($B192,智能流水!$B$2:$B$1001,0)),""))</f>
        <v/>
      </c>
      <c r="G192" s="32">
        <f>IF($B192="","",IFERROR(INDEX(智能流水!$G$2:$G$1001,MATCH($B192,智能流水!$B$2:$B$1001,0)),""))</f>
        <v/>
      </c>
      <c r="H192" s="32">
        <f>IF($B192="","",IFERROR(INDEX(智能流水!$H$2:$H$1001,MATCH($B192,智能流水!$B$2:$B$1001,0)),""))</f>
        <v/>
      </c>
      <c r="I192" s="32">
        <f>IF($B192="","",IFERROR(INDEX(智能流水!$I$2:$I$1001,MATCH($B192,智能流水!$B$2:$B$1001,0)),""))</f>
        <v/>
      </c>
      <c r="J192" s="32">
        <f>IF($B192="","",IFERROR(INDEX(智能流水!$J$2:$J$1001,MATCH($B192,智能流水!$B$2:$B$1001,0)),""))</f>
        <v/>
      </c>
      <c r="K192" s="35">
        <f>IF($B192="","",IFERROR(INDEX(智能流水!$K$2:$K$1001,MATCH($B192,智能流水!$B$2:$B$1001,0)),""))</f>
        <v/>
      </c>
      <c r="L192" s="32">
        <f>IF($B192="","",IFERROR(INDEX(智能流水!$L$2:$L$1001,MATCH($B192,智能流水!$B$2:$B$1001,0)),""))</f>
        <v/>
      </c>
      <c r="M192" s="32">
        <f>IF($B192="","",IFERROR(INDEX(智能流水!$M$2:$M$1001,MATCH($B192,智能流水!$B$2:$B$1001,0)),""))</f>
        <v/>
      </c>
      <c r="N192" s="32">
        <f>IF($B192="","",IFERROR(INDEX(智能流水!$N$2:$N$1001,MATCH($B192,智能流水!$B$2:$B$1001,0)),""))</f>
        <v/>
      </c>
      <c r="O192" s="32">
        <f>IF($B192="","",IFERROR(INDEX(智能流水!$O$2:$O$1001,MATCH($B192,智能流水!$B$2:$B$1001,0)),""))</f>
        <v/>
      </c>
    </row>
    <row r="193" ht="23" customHeight="1" s="21">
      <c r="A193" s="32">
        <f>IF($B193="","",192)</f>
        <v/>
      </c>
      <c r="B193" s="32">
        <f>IFERROR(LARGE(智能流水!$B$2:$B$1001,192),"")</f>
        <v/>
      </c>
      <c r="C193" s="33">
        <f>IF($B193="","",IFERROR(INDEX(智能流水!$C$2:$C$1001,MATCH($B193,智能流水!$B$2:$B$1001,0)),""))</f>
        <v/>
      </c>
      <c r="D193" s="34">
        <f>IF($B193="","",IFERROR(INDEX(智能流水!$D$2:$D$1001,MATCH($B193,智能流水!$B$2:$B$1001,0)),""))</f>
        <v/>
      </c>
      <c r="E193" s="34">
        <f>IF($B193="","",IFERROR(INDEX(智能流水!$E$2:$E$1001,MATCH($B193,智能流水!$B$2:$B$1001,0)),""))</f>
        <v/>
      </c>
      <c r="F193" s="34">
        <f>IF($B193="","",IFERROR(INDEX(智能流水!$F$2:$F$1001,MATCH($B193,智能流水!$B$2:$B$1001,0)),""))</f>
        <v/>
      </c>
      <c r="G193" s="32">
        <f>IF($B193="","",IFERROR(INDEX(智能流水!$G$2:$G$1001,MATCH($B193,智能流水!$B$2:$B$1001,0)),""))</f>
        <v/>
      </c>
      <c r="H193" s="32">
        <f>IF($B193="","",IFERROR(INDEX(智能流水!$H$2:$H$1001,MATCH($B193,智能流水!$B$2:$B$1001,0)),""))</f>
        <v/>
      </c>
      <c r="I193" s="32">
        <f>IF($B193="","",IFERROR(INDEX(智能流水!$I$2:$I$1001,MATCH($B193,智能流水!$B$2:$B$1001,0)),""))</f>
        <v/>
      </c>
      <c r="J193" s="32">
        <f>IF($B193="","",IFERROR(INDEX(智能流水!$J$2:$J$1001,MATCH($B193,智能流水!$B$2:$B$1001,0)),""))</f>
        <v/>
      </c>
      <c r="K193" s="35">
        <f>IF($B193="","",IFERROR(INDEX(智能流水!$K$2:$K$1001,MATCH($B193,智能流水!$B$2:$B$1001,0)),""))</f>
        <v/>
      </c>
      <c r="L193" s="32">
        <f>IF($B193="","",IFERROR(INDEX(智能流水!$L$2:$L$1001,MATCH($B193,智能流水!$B$2:$B$1001,0)),""))</f>
        <v/>
      </c>
      <c r="M193" s="32">
        <f>IF($B193="","",IFERROR(INDEX(智能流水!$M$2:$M$1001,MATCH($B193,智能流水!$B$2:$B$1001,0)),""))</f>
        <v/>
      </c>
      <c r="N193" s="32">
        <f>IF($B193="","",IFERROR(INDEX(智能流水!$N$2:$N$1001,MATCH($B193,智能流水!$B$2:$B$1001,0)),""))</f>
        <v/>
      </c>
      <c r="O193" s="32">
        <f>IF($B193="","",IFERROR(INDEX(智能流水!$O$2:$O$1001,MATCH($B193,智能流水!$B$2:$B$1001,0)),""))</f>
        <v/>
      </c>
    </row>
    <row r="194" ht="23" customHeight="1" s="21">
      <c r="A194" s="32">
        <f>IF($B194="","",193)</f>
        <v/>
      </c>
      <c r="B194" s="32">
        <f>IFERROR(LARGE(智能流水!$B$2:$B$1001,193),"")</f>
        <v/>
      </c>
      <c r="C194" s="33">
        <f>IF($B194="","",IFERROR(INDEX(智能流水!$C$2:$C$1001,MATCH($B194,智能流水!$B$2:$B$1001,0)),""))</f>
        <v/>
      </c>
      <c r="D194" s="34">
        <f>IF($B194="","",IFERROR(INDEX(智能流水!$D$2:$D$1001,MATCH($B194,智能流水!$B$2:$B$1001,0)),""))</f>
        <v/>
      </c>
      <c r="E194" s="34">
        <f>IF($B194="","",IFERROR(INDEX(智能流水!$E$2:$E$1001,MATCH($B194,智能流水!$B$2:$B$1001,0)),""))</f>
        <v/>
      </c>
      <c r="F194" s="34">
        <f>IF($B194="","",IFERROR(INDEX(智能流水!$F$2:$F$1001,MATCH($B194,智能流水!$B$2:$B$1001,0)),""))</f>
        <v/>
      </c>
      <c r="G194" s="32">
        <f>IF($B194="","",IFERROR(INDEX(智能流水!$G$2:$G$1001,MATCH($B194,智能流水!$B$2:$B$1001,0)),""))</f>
        <v/>
      </c>
      <c r="H194" s="32">
        <f>IF($B194="","",IFERROR(INDEX(智能流水!$H$2:$H$1001,MATCH($B194,智能流水!$B$2:$B$1001,0)),""))</f>
        <v/>
      </c>
      <c r="I194" s="32">
        <f>IF($B194="","",IFERROR(INDEX(智能流水!$I$2:$I$1001,MATCH($B194,智能流水!$B$2:$B$1001,0)),""))</f>
        <v/>
      </c>
      <c r="J194" s="32">
        <f>IF($B194="","",IFERROR(INDEX(智能流水!$J$2:$J$1001,MATCH($B194,智能流水!$B$2:$B$1001,0)),""))</f>
        <v/>
      </c>
      <c r="K194" s="35">
        <f>IF($B194="","",IFERROR(INDEX(智能流水!$K$2:$K$1001,MATCH($B194,智能流水!$B$2:$B$1001,0)),""))</f>
        <v/>
      </c>
      <c r="L194" s="32">
        <f>IF($B194="","",IFERROR(INDEX(智能流水!$L$2:$L$1001,MATCH($B194,智能流水!$B$2:$B$1001,0)),""))</f>
        <v/>
      </c>
      <c r="M194" s="32">
        <f>IF($B194="","",IFERROR(INDEX(智能流水!$M$2:$M$1001,MATCH($B194,智能流水!$B$2:$B$1001,0)),""))</f>
        <v/>
      </c>
      <c r="N194" s="32">
        <f>IF($B194="","",IFERROR(INDEX(智能流水!$N$2:$N$1001,MATCH($B194,智能流水!$B$2:$B$1001,0)),""))</f>
        <v/>
      </c>
      <c r="O194" s="32">
        <f>IF($B194="","",IFERROR(INDEX(智能流水!$O$2:$O$1001,MATCH($B194,智能流水!$B$2:$B$1001,0)),""))</f>
        <v/>
      </c>
    </row>
    <row r="195" ht="23" customHeight="1" s="21">
      <c r="A195" s="32">
        <f>IF($B195="","",194)</f>
        <v/>
      </c>
      <c r="B195" s="32">
        <f>IFERROR(LARGE(智能流水!$B$2:$B$1001,194),"")</f>
        <v/>
      </c>
      <c r="C195" s="33">
        <f>IF($B195="","",IFERROR(INDEX(智能流水!$C$2:$C$1001,MATCH($B195,智能流水!$B$2:$B$1001,0)),""))</f>
        <v/>
      </c>
      <c r="D195" s="34">
        <f>IF($B195="","",IFERROR(INDEX(智能流水!$D$2:$D$1001,MATCH($B195,智能流水!$B$2:$B$1001,0)),""))</f>
        <v/>
      </c>
      <c r="E195" s="34">
        <f>IF($B195="","",IFERROR(INDEX(智能流水!$E$2:$E$1001,MATCH($B195,智能流水!$B$2:$B$1001,0)),""))</f>
        <v/>
      </c>
      <c r="F195" s="34">
        <f>IF($B195="","",IFERROR(INDEX(智能流水!$F$2:$F$1001,MATCH($B195,智能流水!$B$2:$B$1001,0)),""))</f>
        <v/>
      </c>
      <c r="G195" s="32">
        <f>IF($B195="","",IFERROR(INDEX(智能流水!$G$2:$G$1001,MATCH($B195,智能流水!$B$2:$B$1001,0)),""))</f>
        <v/>
      </c>
      <c r="H195" s="32">
        <f>IF($B195="","",IFERROR(INDEX(智能流水!$H$2:$H$1001,MATCH($B195,智能流水!$B$2:$B$1001,0)),""))</f>
        <v/>
      </c>
      <c r="I195" s="32">
        <f>IF($B195="","",IFERROR(INDEX(智能流水!$I$2:$I$1001,MATCH($B195,智能流水!$B$2:$B$1001,0)),""))</f>
        <v/>
      </c>
      <c r="J195" s="32">
        <f>IF($B195="","",IFERROR(INDEX(智能流水!$J$2:$J$1001,MATCH($B195,智能流水!$B$2:$B$1001,0)),""))</f>
        <v/>
      </c>
      <c r="K195" s="35">
        <f>IF($B195="","",IFERROR(INDEX(智能流水!$K$2:$K$1001,MATCH($B195,智能流水!$B$2:$B$1001,0)),""))</f>
        <v/>
      </c>
      <c r="L195" s="32">
        <f>IF($B195="","",IFERROR(INDEX(智能流水!$L$2:$L$1001,MATCH($B195,智能流水!$B$2:$B$1001,0)),""))</f>
        <v/>
      </c>
      <c r="M195" s="32">
        <f>IF($B195="","",IFERROR(INDEX(智能流水!$M$2:$M$1001,MATCH($B195,智能流水!$B$2:$B$1001,0)),""))</f>
        <v/>
      </c>
      <c r="N195" s="32">
        <f>IF($B195="","",IFERROR(INDEX(智能流水!$N$2:$N$1001,MATCH($B195,智能流水!$B$2:$B$1001,0)),""))</f>
        <v/>
      </c>
      <c r="O195" s="32">
        <f>IF($B195="","",IFERROR(INDEX(智能流水!$O$2:$O$1001,MATCH($B195,智能流水!$B$2:$B$1001,0)),""))</f>
        <v/>
      </c>
    </row>
    <row r="196" ht="23" customHeight="1" s="21">
      <c r="A196" s="32">
        <f>IF($B196="","",195)</f>
        <v/>
      </c>
      <c r="B196" s="32">
        <f>IFERROR(LARGE(智能流水!$B$2:$B$1001,195),"")</f>
        <v/>
      </c>
      <c r="C196" s="33">
        <f>IF($B196="","",IFERROR(INDEX(智能流水!$C$2:$C$1001,MATCH($B196,智能流水!$B$2:$B$1001,0)),""))</f>
        <v/>
      </c>
      <c r="D196" s="34">
        <f>IF($B196="","",IFERROR(INDEX(智能流水!$D$2:$D$1001,MATCH($B196,智能流水!$B$2:$B$1001,0)),""))</f>
        <v/>
      </c>
      <c r="E196" s="34">
        <f>IF($B196="","",IFERROR(INDEX(智能流水!$E$2:$E$1001,MATCH($B196,智能流水!$B$2:$B$1001,0)),""))</f>
        <v/>
      </c>
      <c r="F196" s="34">
        <f>IF($B196="","",IFERROR(INDEX(智能流水!$F$2:$F$1001,MATCH($B196,智能流水!$B$2:$B$1001,0)),""))</f>
        <v/>
      </c>
      <c r="G196" s="32">
        <f>IF($B196="","",IFERROR(INDEX(智能流水!$G$2:$G$1001,MATCH($B196,智能流水!$B$2:$B$1001,0)),""))</f>
        <v/>
      </c>
      <c r="H196" s="32">
        <f>IF($B196="","",IFERROR(INDEX(智能流水!$H$2:$H$1001,MATCH($B196,智能流水!$B$2:$B$1001,0)),""))</f>
        <v/>
      </c>
      <c r="I196" s="32">
        <f>IF($B196="","",IFERROR(INDEX(智能流水!$I$2:$I$1001,MATCH($B196,智能流水!$B$2:$B$1001,0)),""))</f>
        <v/>
      </c>
      <c r="J196" s="32">
        <f>IF($B196="","",IFERROR(INDEX(智能流水!$J$2:$J$1001,MATCH($B196,智能流水!$B$2:$B$1001,0)),""))</f>
        <v/>
      </c>
      <c r="K196" s="35">
        <f>IF($B196="","",IFERROR(INDEX(智能流水!$K$2:$K$1001,MATCH($B196,智能流水!$B$2:$B$1001,0)),""))</f>
        <v/>
      </c>
      <c r="L196" s="32">
        <f>IF($B196="","",IFERROR(INDEX(智能流水!$L$2:$L$1001,MATCH($B196,智能流水!$B$2:$B$1001,0)),""))</f>
        <v/>
      </c>
      <c r="M196" s="32">
        <f>IF($B196="","",IFERROR(INDEX(智能流水!$M$2:$M$1001,MATCH($B196,智能流水!$B$2:$B$1001,0)),""))</f>
        <v/>
      </c>
      <c r="N196" s="32">
        <f>IF($B196="","",IFERROR(INDEX(智能流水!$N$2:$N$1001,MATCH($B196,智能流水!$B$2:$B$1001,0)),""))</f>
        <v/>
      </c>
      <c r="O196" s="32">
        <f>IF($B196="","",IFERROR(INDEX(智能流水!$O$2:$O$1001,MATCH($B196,智能流水!$B$2:$B$1001,0)),""))</f>
        <v/>
      </c>
    </row>
    <row r="197" ht="23" customHeight="1" s="21">
      <c r="A197" s="32">
        <f>IF($B197="","",196)</f>
        <v/>
      </c>
      <c r="B197" s="32">
        <f>IFERROR(LARGE(智能流水!$B$2:$B$1001,196),"")</f>
        <v/>
      </c>
      <c r="C197" s="33">
        <f>IF($B197="","",IFERROR(INDEX(智能流水!$C$2:$C$1001,MATCH($B197,智能流水!$B$2:$B$1001,0)),""))</f>
        <v/>
      </c>
      <c r="D197" s="34">
        <f>IF($B197="","",IFERROR(INDEX(智能流水!$D$2:$D$1001,MATCH($B197,智能流水!$B$2:$B$1001,0)),""))</f>
        <v/>
      </c>
      <c r="E197" s="34">
        <f>IF($B197="","",IFERROR(INDEX(智能流水!$E$2:$E$1001,MATCH($B197,智能流水!$B$2:$B$1001,0)),""))</f>
        <v/>
      </c>
      <c r="F197" s="34">
        <f>IF($B197="","",IFERROR(INDEX(智能流水!$F$2:$F$1001,MATCH($B197,智能流水!$B$2:$B$1001,0)),""))</f>
        <v/>
      </c>
      <c r="G197" s="32">
        <f>IF($B197="","",IFERROR(INDEX(智能流水!$G$2:$G$1001,MATCH($B197,智能流水!$B$2:$B$1001,0)),""))</f>
        <v/>
      </c>
      <c r="H197" s="32">
        <f>IF($B197="","",IFERROR(INDEX(智能流水!$H$2:$H$1001,MATCH($B197,智能流水!$B$2:$B$1001,0)),""))</f>
        <v/>
      </c>
      <c r="I197" s="32">
        <f>IF($B197="","",IFERROR(INDEX(智能流水!$I$2:$I$1001,MATCH($B197,智能流水!$B$2:$B$1001,0)),""))</f>
        <v/>
      </c>
      <c r="J197" s="32">
        <f>IF($B197="","",IFERROR(INDEX(智能流水!$J$2:$J$1001,MATCH($B197,智能流水!$B$2:$B$1001,0)),""))</f>
        <v/>
      </c>
      <c r="K197" s="35">
        <f>IF($B197="","",IFERROR(INDEX(智能流水!$K$2:$K$1001,MATCH($B197,智能流水!$B$2:$B$1001,0)),""))</f>
        <v/>
      </c>
      <c r="L197" s="32">
        <f>IF($B197="","",IFERROR(INDEX(智能流水!$L$2:$L$1001,MATCH($B197,智能流水!$B$2:$B$1001,0)),""))</f>
        <v/>
      </c>
      <c r="M197" s="32">
        <f>IF($B197="","",IFERROR(INDEX(智能流水!$M$2:$M$1001,MATCH($B197,智能流水!$B$2:$B$1001,0)),""))</f>
        <v/>
      </c>
      <c r="N197" s="32">
        <f>IF($B197="","",IFERROR(INDEX(智能流水!$N$2:$N$1001,MATCH($B197,智能流水!$B$2:$B$1001,0)),""))</f>
        <v/>
      </c>
      <c r="O197" s="32">
        <f>IF($B197="","",IFERROR(INDEX(智能流水!$O$2:$O$1001,MATCH($B197,智能流水!$B$2:$B$1001,0)),""))</f>
        <v/>
      </c>
    </row>
    <row r="198" ht="23" customHeight="1" s="21">
      <c r="A198" s="32">
        <f>IF($B198="","",197)</f>
        <v/>
      </c>
      <c r="B198" s="32">
        <f>IFERROR(LARGE(智能流水!$B$2:$B$1001,197),"")</f>
        <v/>
      </c>
      <c r="C198" s="33">
        <f>IF($B198="","",IFERROR(INDEX(智能流水!$C$2:$C$1001,MATCH($B198,智能流水!$B$2:$B$1001,0)),""))</f>
        <v/>
      </c>
      <c r="D198" s="34">
        <f>IF($B198="","",IFERROR(INDEX(智能流水!$D$2:$D$1001,MATCH($B198,智能流水!$B$2:$B$1001,0)),""))</f>
        <v/>
      </c>
      <c r="E198" s="34">
        <f>IF($B198="","",IFERROR(INDEX(智能流水!$E$2:$E$1001,MATCH($B198,智能流水!$B$2:$B$1001,0)),""))</f>
        <v/>
      </c>
      <c r="F198" s="34">
        <f>IF($B198="","",IFERROR(INDEX(智能流水!$F$2:$F$1001,MATCH($B198,智能流水!$B$2:$B$1001,0)),""))</f>
        <v/>
      </c>
      <c r="G198" s="32">
        <f>IF($B198="","",IFERROR(INDEX(智能流水!$G$2:$G$1001,MATCH($B198,智能流水!$B$2:$B$1001,0)),""))</f>
        <v/>
      </c>
      <c r="H198" s="32">
        <f>IF($B198="","",IFERROR(INDEX(智能流水!$H$2:$H$1001,MATCH($B198,智能流水!$B$2:$B$1001,0)),""))</f>
        <v/>
      </c>
      <c r="I198" s="32">
        <f>IF($B198="","",IFERROR(INDEX(智能流水!$I$2:$I$1001,MATCH($B198,智能流水!$B$2:$B$1001,0)),""))</f>
        <v/>
      </c>
      <c r="J198" s="32">
        <f>IF($B198="","",IFERROR(INDEX(智能流水!$J$2:$J$1001,MATCH($B198,智能流水!$B$2:$B$1001,0)),""))</f>
        <v/>
      </c>
      <c r="K198" s="35">
        <f>IF($B198="","",IFERROR(INDEX(智能流水!$K$2:$K$1001,MATCH($B198,智能流水!$B$2:$B$1001,0)),""))</f>
        <v/>
      </c>
      <c r="L198" s="32">
        <f>IF($B198="","",IFERROR(INDEX(智能流水!$L$2:$L$1001,MATCH($B198,智能流水!$B$2:$B$1001,0)),""))</f>
        <v/>
      </c>
      <c r="M198" s="32">
        <f>IF($B198="","",IFERROR(INDEX(智能流水!$M$2:$M$1001,MATCH($B198,智能流水!$B$2:$B$1001,0)),""))</f>
        <v/>
      </c>
      <c r="N198" s="32">
        <f>IF($B198="","",IFERROR(INDEX(智能流水!$N$2:$N$1001,MATCH($B198,智能流水!$B$2:$B$1001,0)),""))</f>
        <v/>
      </c>
      <c r="O198" s="32">
        <f>IF($B198="","",IFERROR(INDEX(智能流水!$O$2:$O$1001,MATCH($B198,智能流水!$B$2:$B$1001,0)),""))</f>
        <v/>
      </c>
    </row>
    <row r="199" ht="23" customHeight="1" s="21">
      <c r="A199" s="32">
        <f>IF($B199="","",198)</f>
        <v/>
      </c>
      <c r="B199" s="32">
        <f>IFERROR(LARGE(智能流水!$B$2:$B$1001,198),"")</f>
        <v/>
      </c>
      <c r="C199" s="33">
        <f>IF($B199="","",IFERROR(INDEX(智能流水!$C$2:$C$1001,MATCH($B199,智能流水!$B$2:$B$1001,0)),""))</f>
        <v/>
      </c>
      <c r="D199" s="34">
        <f>IF($B199="","",IFERROR(INDEX(智能流水!$D$2:$D$1001,MATCH($B199,智能流水!$B$2:$B$1001,0)),""))</f>
        <v/>
      </c>
      <c r="E199" s="34">
        <f>IF($B199="","",IFERROR(INDEX(智能流水!$E$2:$E$1001,MATCH($B199,智能流水!$B$2:$B$1001,0)),""))</f>
        <v/>
      </c>
      <c r="F199" s="34">
        <f>IF($B199="","",IFERROR(INDEX(智能流水!$F$2:$F$1001,MATCH($B199,智能流水!$B$2:$B$1001,0)),""))</f>
        <v/>
      </c>
      <c r="G199" s="32">
        <f>IF($B199="","",IFERROR(INDEX(智能流水!$G$2:$G$1001,MATCH($B199,智能流水!$B$2:$B$1001,0)),""))</f>
        <v/>
      </c>
      <c r="H199" s="32">
        <f>IF($B199="","",IFERROR(INDEX(智能流水!$H$2:$H$1001,MATCH($B199,智能流水!$B$2:$B$1001,0)),""))</f>
        <v/>
      </c>
      <c r="I199" s="32">
        <f>IF($B199="","",IFERROR(INDEX(智能流水!$I$2:$I$1001,MATCH($B199,智能流水!$B$2:$B$1001,0)),""))</f>
        <v/>
      </c>
      <c r="J199" s="32">
        <f>IF($B199="","",IFERROR(INDEX(智能流水!$J$2:$J$1001,MATCH($B199,智能流水!$B$2:$B$1001,0)),""))</f>
        <v/>
      </c>
      <c r="K199" s="35">
        <f>IF($B199="","",IFERROR(INDEX(智能流水!$K$2:$K$1001,MATCH($B199,智能流水!$B$2:$B$1001,0)),""))</f>
        <v/>
      </c>
      <c r="L199" s="32">
        <f>IF($B199="","",IFERROR(INDEX(智能流水!$L$2:$L$1001,MATCH($B199,智能流水!$B$2:$B$1001,0)),""))</f>
        <v/>
      </c>
      <c r="M199" s="32">
        <f>IF($B199="","",IFERROR(INDEX(智能流水!$M$2:$M$1001,MATCH($B199,智能流水!$B$2:$B$1001,0)),""))</f>
        <v/>
      </c>
      <c r="N199" s="32">
        <f>IF($B199="","",IFERROR(INDEX(智能流水!$N$2:$N$1001,MATCH($B199,智能流水!$B$2:$B$1001,0)),""))</f>
        <v/>
      </c>
      <c r="O199" s="32">
        <f>IF($B199="","",IFERROR(INDEX(智能流水!$O$2:$O$1001,MATCH($B199,智能流水!$B$2:$B$1001,0)),""))</f>
        <v/>
      </c>
    </row>
    <row r="200" ht="23" customHeight="1" s="21">
      <c r="A200" s="32">
        <f>IF($B200="","",199)</f>
        <v/>
      </c>
      <c r="B200" s="32">
        <f>IFERROR(LARGE(智能流水!$B$2:$B$1001,199),"")</f>
        <v/>
      </c>
      <c r="C200" s="33">
        <f>IF($B200="","",IFERROR(INDEX(智能流水!$C$2:$C$1001,MATCH($B200,智能流水!$B$2:$B$1001,0)),""))</f>
        <v/>
      </c>
      <c r="D200" s="34">
        <f>IF($B200="","",IFERROR(INDEX(智能流水!$D$2:$D$1001,MATCH($B200,智能流水!$B$2:$B$1001,0)),""))</f>
        <v/>
      </c>
      <c r="E200" s="34">
        <f>IF($B200="","",IFERROR(INDEX(智能流水!$E$2:$E$1001,MATCH($B200,智能流水!$B$2:$B$1001,0)),""))</f>
        <v/>
      </c>
      <c r="F200" s="34">
        <f>IF($B200="","",IFERROR(INDEX(智能流水!$F$2:$F$1001,MATCH($B200,智能流水!$B$2:$B$1001,0)),""))</f>
        <v/>
      </c>
      <c r="G200" s="32">
        <f>IF($B200="","",IFERROR(INDEX(智能流水!$G$2:$G$1001,MATCH($B200,智能流水!$B$2:$B$1001,0)),""))</f>
        <v/>
      </c>
      <c r="H200" s="32">
        <f>IF($B200="","",IFERROR(INDEX(智能流水!$H$2:$H$1001,MATCH($B200,智能流水!$B$2:$B$1001,0)),""))</f>
        <v/>
      </c>
      <c r="I200" s="32">
        <f>IF($B200="","",IFERROR(INDEX(智能流水!$I$2:$I$1001,MATCH($B200,智能流水!$B$2:$B$1001,0)),""))</f>
        <v/>
      </c>
      <c r="J200" s="32">
        <f>IF($B200="","",IFERROR(INDEX(智能流水!$J$2:$J$1001,MATCH($B200,智能流水!$B$2:$B$1001,0)),""))</f>
        <v/>
      </c>
      <c r="K200" s="35">
        <f>IF($B200="","",IFERROR(INDEX(智能流水!$K$2:$K$1001,MATCH($B200,智能流水!$B$2:$B$1001,0)),""))</f>
        <v/>
      </c>
      <c r="L200" s="32">
        <f>IF($B200="","",IFERROR(INDEX(智能流水!$L$2:$L$1001,MATCH($B200,智能流水!$B$2:$B$1001,0)),""))</f>
        <v/>
      </c>
      <c r="M200" s="32">
        <f>IF($B200="","",IFERROR(INDEX(智能流水!$M$2:$M$1001,MATCH($B200,智能流水!$B$2:$B$1001,0)),""))</f>
        <v/>
      </c>
      <c r="N200" s="32">
        <f>IF($B200="","",IFERROR(INDEX(智能流水!$N$2:$N$1001,MATCH($B200,智能流水!$B$2:$B$1001,0)),""))</f>
        <v/>
      </c>
      <c r="O200" s="32">
        <f>IF($B200="","",IFERROR(INDEX(智能流水!$O$2:$O$1001,MATCH($B200,智能流水!$B$2:$B$1001,0)),""))</f>
        <v/>
      </c>
    </row>
    <row r="201" ht="23" customHeight="1" s="21">
      <c r="A201" s="32">
        <f>IF($B201="","",200)</f>
        <v/>
      </c>
      <c r="B201" s="32">
        <f>IFERROR(LARGE(智能流水!$B$2:$B$1001,200),"")</f>
        <v/>
      </c>
      <c r="C201" s="33">
        <f>IF($B201="","",IFERROR(INDEX(智能流水!$C$2:$C$1001,MATCH($B201,智能流水!$B$2:$B$1001,0)),""))</f>
        <v/>
      </c>
      <c r="D201" s="34">
        <f>IF($B201="","",IFERROR(INDEX(智能流水!$D$2:$D$1001,MATCH($B201,智能流水!$B$2:$B$1001,0)),""))</f>
        <v/>
      </c>
      <c r="E201" s="34">
        <f>IF($B201="","",IFERROR(INDEX(智能流水!$E$2:$E$1001,MATCH($B201,智能流水!$B$2:$B$1001,0)),""))</f>
        <v/>
      </c>
      <c r="F201" s="34">
        <f>IF($B201="","",IFERROR(INDEX(智能流水!$F$2:$F$1001,MATCH($B201,智能流水!$B$2:$B$1001,0)),""))</f>
        <v/>
      </c>
      <c r="G201" s="32">
        <f>IF($B201="","",IFERROR(INDEX(智能流水!$G$2:$G$1001,MATCH($B201,智能流水!$B$2:$B$1001,0)),""))</f>
        <v/>
      </c>
      <c r="H201" s="32">
        <f>IF($B201="","",IFERROR(INDEX(智能流水!$H$2:$H$1001,MATCH($B201,智能流水!$B$2:$B$1001,0)),""))</f>
        <v/>
      </c>
      <c r="I201" s="32">
        <f>IF($B201="","",IFERROR(INDEX(智能流水!$I$2:$I$1001,MATCH($B201,智能流水!$B$2:$B$1001,0)),""))</f>
        <v/>
      </c>
      <c r="J201" s="32">
        <f>IF($B201="","",IFERROR(INDEX(智能流水!$J$2:$J$1001,MATCH($B201,智能流水!$B$2:$B$1001,0)),""))</f>
        <v/>
      </c>
      <c r="K201" s="35">
        <f>IF($B201="","",IFERROR(INDEX(智能流水!$K$2:$K$1001,MATCH($B201,智能流水!$B$2:$B$1001,0)),""))</f>
        <v/>
      </c>
      <c r="L201" s="32">
        <f>IF($B201="","",IFERROR(INDEX(智能流水!$L$2:$L$1001,MATCH($B201,智能流水!$B$2:$B$1001,0)),""))</f>
        <v/>
      </c>
      <c r="M201" s="32">
        <f>IF($B201="","",IFERROR(INDEX(智能流水!$M$2:$M$1001,MATCH($B201,智能流水!$B$2:$B$1001,0)),""))</f>
        <v/>
      </c>
      <c r="N201" s="32">
        <f>IF($B201="","",IFERROR(INDEX(智能流水!$N$2:$N$1001,MATCH($B201,智能流水!$B$2:$B$1001,0)),""))</f>
        <v/>
      </c>
      <c r="O201" s="32">
        <f>IF($B201="","",IFERROR(INDEX(智能流水!$O$2:$O$1001,MATCH($B201,智能流水!$B$2:$B$1001,0)),""))</f>
        <v/>
      </c>
    </row>
    <row r="202" ht="23" customHeight="1" s="21">
      <c r="A202" s="32">
        <f>IF($B202="","",201)</f>
        <v/>
      </c>
      <c r="B202" s="32">
        <f>IFERROR(LARGE(智能流水!$B$2:$B$1001,201),"")</f>
        <v/>
      </c>
      <c r="C202" s="33">
        <f>IF($B202="","",IFERROR(INDEX(智能流水!$C$2:$C$1001,MATCH($B202,智能流水!$B$2:$B$1001,0)),""))</f>
        <v/>
      </c>
      <c r="D202" s="34">
        <f>IF($B202="","",IFERROR(INDEX(智能流水!$D$2:$D$1001,MATCH($B202,智能流水!$B$2:$B$1001,0)),""))</f>
        <v/>
      </c>
      <c r="E202" s="34">
        <f>IF($B202="","",IFERROR(INDEX(智能流水!$E$2:$E$1001,MATCH($B202,智能流水!$B$2:$B$1001,0)),""))</f>
        <v/>
      </c>
      <c r="F202" s="34">
        <f>IF($B202="","",IFERROR(INDEX(智能流水!$F$2:$F$1001,MATCH($B202,智能流水!$B$2:$B$1001,0)),""))</f>
        <v/>
      </c>
      <c r="G202" s="32">
        <f>IF($B202="","",IFERROR(INDEX(智能流水!$G$2:$G$1001,MATCH($B202,智能流水!$B$2:$B$1001,0)),""))</f>
        <v/>
      </c>
      <c r="H202" s="32">
        <f>IF($B202="","",IFERROR(INDEX(智能流水!$H$2:$H$1001,MATCH($B202,智能流水!$B$2:$B$1001,0)),""))</f>
        <v/>
      </c>
      <c r="I202" s="32">
        <f>IF($B202="","",IFERROR(INDEX(智能流水!$I$2:$I$1001,MATCH($B202,智能流水!$B$2:$B$1001,0)),""))</f>
        <v/>
      </c>
      <c r="J202" s="32">
        <f>IF($B202="","",IFERROR(INDEX(智能流水!$J$2:$J$1001,MATCH($B202,智能流水!$B$2:$B$1001,0)),""))</f>
        <v/>
      </c>
      <c r="K202" s="35">
        <f>IF($B202="","",IFERROR(INDEX(智能流水!$K$2:$K$1001,MATCH($B202,智能流水!$B$2:$B$1001,0)),""))</f>
        <v/>
      </c>
      <c r="L202" s="32">
        <f>IF($B202="","",IFERROR(INDEX(智能流水!$L$2:$L$1001,MATCH($B202,智能流水!$B$2:$B$1001,0)),""))</f>
        <v/>
      </c>
      <c r="M202" s="32">
        <f>IF($B202="","",IFERROR(INDEX(智能流水!$M$2:$M$1001,MATCH($B202,智能流水!$B$2:$B$1001,0)),""))</f>
        <v/>
      </c>
      <c r="N202" s="32">
        <f>IF($B202="","",IFERROR(INDEX(智能流水!$N$2:$N$1001,MATCH($B202,智能流水!$B$2:$B$1001,0)),""))</f>
        <v/>
      </c>
      <c r="O202" s="32">
        <f>IF($B202="","",IFERROR(INDEX(智能流水!$O$2:$O$1001,MATCH($B202,智能流水!$B$2:$B$1001,0)),""))</f>
        <v/>
      </c>
    </row>
    <row r="203" ht="23" customHeight="1" s="21">
      <c r="A203" s="32">
        <f>IF($B203="","",202)</f>
        <v/>
      </c>
      <c r="B203" s="32">
        <f>IFERROR(LARGE(智能流水!$B$2:$B$1001,202),"")</f>
        <v/>
      </c>
      <c r="C203" s="33">
        <f>IF($B203="","",IFERROR(INDEX(智能流水!$C$2:$C$1001,MATCH($B203,智能流水!$B$2:$B$1001,0)),""))</f>
        <v/>
      </c>
      <c r="D203" s="34">
        <f>IF($B203="","",IFERROR(INDEX(智能流水!$D$2:$D$1001,MATCH($B203,智能流水!$B$2:$B$1001,0)),""))</f>
        <v/>
      </c>
      <c r="E203" s="34">
        <f>IF($B203="","",IFERROR(INDEX(智能流水!$E$2:$E$1001,MATCH($B203,智能流水!$B$2:$B$1001,0)),""))</f>
        <v/>
      </c>
      <c r="F203" s="34">
        <f>IF($B203="","",IFERROR(INDEX(智能流水!$F$2:$F$1001,MATCH($B203,智能流水!$B$2:$B$1001,0)),""))</f>
        <v/>
      </c>
      <c r="G203" s="32">
        <f>IF($B203="","",IFERROR(INDEX(智能流水!$G$2:$G$1001,MATCH($B203,智能流水!$B$2:$B$1001,0)),""))</f>
        <v/>
      </c>
      <c r="H203" s="32">
        <f>IF($B203="","",IFERROR(INDEX(智能流水!$H$2:$H$1001,MATCH($B203,智能流水!$B$2:$B$1001,0)),""))</f>
        <v/>
      </c>
      <c r="I203" s="32">
        <f>IF($B203="","",IFERROR(INDEX(智能流水!$I$2:$I$1001,MATCH($B203,智能流水!$B$2:$B$1001,0)),""))</f>
        <v/>
      </c>
      <c r="J203" s="32">
        <f>IF($B203="","",IFERROR(INDEX(智能流水!$J$2:$J$1001,MATCH($B203,智能流水!$B$2:$B$1001,0)),""))</f>
        <v/>
      </c>
      <c r="K203" s="35">
        <f>IF($B203="","",IFERROR(INDEX(智能流水!$K$2:$K$1001,MATCH($B203,智能流水!$B$2:$B$1001,0)),""))</f>
        <v/>
      </c>
      <c r="L203" s="32">
        <f>IF($B203="","",IFERROR(INDEX(智能流水!$L$2:$L$1001,MATCH($B203,智能流水!$B$2:$B$1001,0)),""))</f>
        <v/>
      </c>
      <c r="M203" s="32">
        <f>IF($B203="","",IFERROR(INDEX(智能流水!$M$2:$M$1001,MATCH($B203,智能流水!$B$2:$B$1001,0)),""))</f>
        <v/>
      </c>
      <c r="N203" s="32">
        <f>IF($B203="","",IFERROR(INDEX(智能流水!$N$2:$N$1001,MATCH($B203,智能流水!$B$2:$B$1001,0)),""))</f>
        <v/>
      </c>
      <c r="O203" s="32">
        <f>IF($B203="","",IFERROR(INDEX(智能流水!$O$2:$O$1001,MATCH($B203,智能流水!$B$2:$B$1001,0)),""))</f>
        <v/>
      </c>
    </row>
    <row r="204" ht="23" customHeight="1" s="21">
      <c r="A204" s="32">
        <f>IF($B204="","",203)</f>
        <v/>
      </c>
      <c r="B204" s="32">
        <f>IFERROR(LARGE(智能流水!$B$2:$B$1001,203),"")</f>
        <v/>
      </c>
      <c r="C204" s="33">
        <f>IF($B204="","",IFERROR(INDEX(智能流水!$C$2:$C$1001,MATCH($B204,智能流水!$B$2:$B$1001,0)),""))</f>
        <v/>
      </c>
      <c r="D204" s="34">
        <f>IF($B204="","",IFERROR(INDEX(智能流水!$D$2:$D$1001,MATCH($B204,智能流水!$B$2:$B$1001,0)),""))</f>
        <v/>
      </c>
      <c r="E204" s="34">
        <f>IF($B204="","",IFERROR(INDEX(智能流水!$E$2:$E$1001,MATCH($B204,智能流水!$B$2:$B$1001,0)),""))</f>
        <v/>
      </c>
      <c r="F204" s="34">
        <f>IF($B204="","",IFERROR(INDEX(智能流水!$F$2:$F$1001,MATCH($B204,智能流水!$B$2:$B$1001,0)),""))</f>
        <v/>
      </c>
      <c r="G204" s="32">
        <f>IF($B204="","",IFERROR(INDEX(智能流水!$G$2:$G$1001,MATCH($B204,智能流水!$B$2:$B$1001,0)),""))</f>
        <v/>
      </c>
      <c r="H204" s="32">
        <f>IF($B204="","",IFERROR(INDEX(智能流水!$H$2:$H$1001,MATCH($B204,智能流水!$B$2:$B$1001,0)),""))</f>
        <v/>
      </c>
      <c r="I204" s="32">
        <f>IF($B204="","",IFERROR(INDEX(智能流水!$I$2:$I$1001,MATCH($B204,智能流水!$B$2:$B$1001,0)),""))</f>
        <v/>
      </c>
      <c r="J204" s="32">
        <f>IF($B204="","",IFERROR(INDEX(智能流水!$J$2:$J$1001,MATCH($B204,智能流水!$B$2:$B$1001,0)),""))</f>
        <v/>
      </c>
      <c r="K204" s="35">
        <f>IF($B204="","",IFERROR(INDEX(智能流水!$K$2:$K$1001,MATCH($B204,智能流水!$B$2:$B$1001,0)),""))</f>
        <v/>
      </c>
      <c r="L204" s="32">
        <f>IF($B204="","",IFERROR(INDEX(智能流水!$L$2:$L$1001,MATCH($B204,智能流水!$B$2:$B$1001,0)),""))</f>
        <v/>
      </c>
      <c r="M204" s="32">
        <f>IF($B204="","",IFERROR(INDEX(智能流水!$M$2:$M$1001,MATCH($B204,智能流水!$B$2:$B$1001,0)),""))</f>
        <v/>
      </c>
      <c r="N204" s="32">
        <f>IF($B204="","",IFERROR(INDEX(智能流水!$N$2:$N$1001,MATCH($B204,智能流水!$B$2:$B$1001,0)),""))</f>
        <v/>
      </c>
      <c r="O204" s="32">
        <f>IF($B204="","",IFERROR(INDEX(智能流水!$O$2:$O$1001,MATCH($B204,智能流水!$B$2:$B$1001,0)),""))</f>
        <v/>
      </c>
    </row>
    <row r="205" ht="23" customHeight="1" s="21">
      <c r="A205" s="32">
        <f>IF($B205="","",204)</f>
        <v/>
      </c>
      <c r="B205" s="32">
        <f>IFERROR(LARGE(智能流水!$B$2:$B$1001,204),"")</f>
        <v/>
      </c>
      <c r="C205" s="33">
        <f>IF($B205="","",IFERROR(INDEX(智能流水!$C$2:$C$1001,MATCH($B205,智能流水!$B$2:$B$1001,0)),""))</f>
        <v/>
      </c>
      <c r="D205" s="34">
        <f>IF($B205="","",IFERROR(INDEX(智能流水!$D$2:$D$1001,MATCH($B205,智能流水!$B$2:$B$1001,0)),""))</f>
        <v/>
      </c>
      <c r="E205" s="34">
        <f>IF($B205="","",IFERROR(INDEX(智能流水!$E$2:$E$1001,MATCH($B205,智能流水!$B$2:$B$1001,0)),""))</f>
        <v/>
      </c>
      <c r="F205" s="34">
        <f>IF($B205="","",IFERROR(INDEX(智能流水!$F$2:$F$1001,MATCH($B205,智能流水!$B$2:$B$1001,0)),""))</f>
        <v/>
      </c>
      <c r="G205" s="32">
        <f>IF($B205="","",IFERROR(INDEX(智能流水!$G$2:$G$1001,MATCH($B205,智能流水!$B$2:$B$1001,0)),""))</f>
        <v/>
      </c>
      <c r="H205" s="32">
        <f>IF($B205="","",IFERROR(INDEX(智能流水!$H$2:$H$1001,MATCH($B205,智能流水!$B$2:$B$1001,0)),""))</f>
        <v/>
      </c>
      <c r="I205" s="32">
        <f>IF($B205="","",IFERROR(INDEX(智能流水!$I$2:$I$1001,MATCH($B205,智能流水!$B$2:$B$1001,0)),""))</f>
        <v/>
      </c>
      <c r="J205" s="32">
        <f>IF($B205="","",IFERROR(INDEX(智能流水!$J$2:$J$1001,MATCH($B205,智能流水!$B$2:$B$1001,0)),""))</f>
        <v/>
      </c>
      <c r="K205" s="35">
        <f>IF($B205="","",IFERROR(INDEX(智能流水!$K$2:$K$1001,MATCH($B205,智能流水!$B$2:$B$1001,0)),""))</f>
        <v/>
      </c>
      <c r="L205" s="32">
        <f>IF($B205="","",IFERROR(INDEX(智能流水!$L$2:$L$1001,MATCH($B205,智能流水!$B$2:$B$1001,0)),""))</f>
        <v/>
      </c>
      <c r="M205" s="32">
        <f>IF($B205="","",IFERROR(INDEX(智能流水!$M$2:$M$1001,MATCH($B205,智能流水!$B$2:$B$1001,0)),""))</f>
        <v/>
      </c>
      <c r="N205" s="32">
        <f>IF($B205="","",IFERROR(INDEX(智能流水!$N$2:$N$1001,MATCH($B205,智能流水!$B$2:$B$1001,0)),""))</f>
        <v/>
      </c>
      <c r="O205" s="32">
        <f>IF($B205="","",IFERROR(INDEX(智能流水!$O$2:$O$1001,MATCH($B205,智能流水!$B$2:$B$1001,0)),""))</f>
        <v/>
      </c>
    </row>
    <row r="206" ht="23" customHeight="1" s="21">
      <c r="A206" s="32">
        <f>IF($B206="","",205)</f>
        <v/>
      </c>
      <c r="B206" s="32">
        <f>IFERROR(LARGE(智能流水!$B$2:$B$1001,205),"")</f>
        <v/>
      </c>
      <c r="C206" s="33">
        <f>IF($B206="","",IFERROR(INDEX(智能流水!$C$2:$C$1001,MATCH($B206,智能流水!$B$2:$B$1001,0)),""))</f>
        <v/>
      </c>
      <c r="D206" s="34">
        <f>IF($B206="","",IFERROR(INDEX(智能流水!$D$2:$D$1001,MATCH($B206,智能流水!$B$2:$B$1001,0)),""))</f>
        <v/>
      </c>
      <c r="E206" s="34">
        <f>IF($B206="","",IFERROR(INDEX(智能流水!$E$2:$E$1001,MATCH($B206,智能流水!$B$2:$B$1001,0)),""))</f>
        <v/>
      </c>
      <c r="F206" s="34">
        <f>IF($B206="","",IFERROR(INDEX(智能流水!$F$2:$F$1001,MATCH($B206,智能流水!$B$2:$B$1001,0)),""))</f>
        <v/>
      </c>
      <c r="G206" s="32">
        <f>IF($B206="","",IFERROR(INDEX(智能流水!$G$2:$G$1001,MATCH($B206,智能流水!$B$2:$B$1001,0)),""))</f>
        <v/>
      </c>
      <c r="H206" s="32">
        <f>IF($B206="","",IFERROR(INDEX(智能流水!$H$2:$H$1001,MATCH($B206,智能流水!$B$2:$B$1001,0)),""))</f>
        <v/>
      </c>
      <c r="I206" s="32">
        <f>IF($B206="","",IFERROR(INDEX(智能流水!$I$2:$I$1001,MATCH($B206,智能流水!$B$2:$B$1001,0)),""))</f>
        <v/>
      </c>
      <c r="J206" s="32">
        <f>IF($B206="","",IFERROR(INDEX(智能流水!$J$2:$J$1001,MATCH($B206,智能流水!$B$2:$B$1001,0)),""))</f>
        <v/>
      </c>
      <c r="K206" s="35">
        <f>IF($B206="","",IFERROR(INDEX(智能流水!$K$2:$K$1001,MATCH($B206,智能流水!$B$2:$B$1001,0)),""))</f>
        <v/>
      </c>
      <c r="L206" s="32">
        <f>IF($B206="","",IFERROR(INDEX(智能流水!$L$2:$L$1001,MATCH($B206,智能流水!$B$2:$B$1001,0)),""))</f>
        <v/>
      </c>
      <c r="M206" s="32">
        <f>IF($B206="","",IFERROR(INDEX(智能流水!$M$2:$M$1001,MATCH($B206,智能流水!$B$2:$B$1001,0)),""))</f>
        <v/>
      </c>
      <c r="N206" s="32">
        <f>IF($B206="","",IFERROR(INDEX(智能流水!$N$2:$N$1001,MATCH($B206,智能流水!$B$2:$B$1001,0)),""))</f>
        <v/>
      </c>
      <c r="O206" s="32">
        <f>IF($B206="","",IFERROR(INDEX(智能流水!$O$2:$O$1001,MATCH($B206,智能流水!$B$2:$B$1001,0)),""))</f>
        <v/>
      </c>
    </row>
    <row r="207" ht="23" customHeight="1" s="21">
      <c r="A207" s="32">
        <f>IF($B207="","",206)</f>
        <v/>
      </c>
      <c r="B207" s="32">
        <f>IFERROR(LARGE(智能流水!$B$2:$B$1001,206),"")</f>
        <v/>
      </c>
      <c r="C207" s="33">
        <f>IF($B207="","",IFERROR(INDEX(智能流水!$C$2:$C$1001,MATCH($B207,智能流水!$B$2:$B$1001,0)),""))</f>
        <v/>
      </c>
      <c r="D207" s="34">
        <f>IF($B207="","",IFERROR(INDEX(智能流水!$D$2:$D$1001,MATCH($B207,智能流水!$B$2:$B$1001,0)),""))</f>
        <v/>
      </c>
      <c r="E207" s="34">
        <f>IF($B207="","",IFERROR(INDEX(智能流水!$E$2:$E$1001,MATCH($B207,智能流水!$B$2:$B$1001,0)),""))</f>
        <v/>
      </c>
      <c r="F207" s="34">
        <f>IF($B207="","",IFERROR(INDEX(智能流水!$F$2:$F$1001,MATCH($B207,智能流水!$B$2:$B$1001,0)),""))</f>
        <v/>
      </c>
      <c r="G207" s="32">
        <f>IF($B207="","",IFERROR(INDEX(智能流水!$G$2:$G$1001,MATCH($B207,智能流水!$B$2:$B$1001,0)),""))</f>
        <v/>
      </c>
      <c r="H207" s="32">
        <f>IF($B207="","",IFERROR(INDEX(智能流水!$H$2:$H$1001,MATCH($B207,智能流水!$B$2:$B$1001,0)),""))</f>
        <v/>
      </c>
      <c r="I207" s="32">
        <f>IF($B207="","",IFERROR(INDEX(智能流水!$I$2:$I$1001,MATCH($B207,智能流水!$B$2:$B$1001,0)),""))</f>
        <v/>
      </c>
      <c r="J207" s="32">
        <f>IF($B207="","",IFERROR(INDEX(智能流水!$J$2:$J$1001,MATCH($B207,智能流水!$B$2:$B$1001,0)),""))</f>
        <v/>
      </c>
      <c r="K207" s="35">
        <f>IF($B207="","",IFERROR(INDEX(智能流水!$K$2:$K$1001,MATCH($B207,智能流水!$B$2:$B$1001,0)),""))</f>
        <v/>
      </c>
      <c r="L207" s="32">
        <f>IF($B207="","",IFERROR(INDEX(智能流水!$L$2:$L$1001,MATCH($B207,智能流水!$B$2:$B$1001,0)),""))</f>
        <v/>
      </c>
      <c r="M207" s="32">
        <f>IF($B207="","",IFERROR(INDEX(智能流水!$M$2:$M$1001,MATCH($B207,智能流水!$B$2:$B$1001,0)),""))</f>
        <v/>
      </c>
      <c r="N207" s="32">
        <f>IF($B207="","",IFERROR(INDEX(智能流水!$N$2:$N$1001,MATCH($B207,智能流水!$B$2:$B$1001,0)),""))</f>
        <v/>
      </c>
      <c r="O207" s="32">
        <f>IF($B207="","",IFERROR(INDEX(智能流水!$O$2:$O$1001,MATCH($B207,智能流水!$B$2:$B$1001,0)),""))</f>
        <v/>
      </c>
    </row>
    <row r="208" ht="23" customHeight="1" s="21">
      <c r="A208" s="32">
        <f>IF($B208="","",207)</f>
        <v/>
      </c>
      <c r="B208" s="32">
        <f>IFERROR(LARGE(智能流水!$B$2:$B$1001,207),"")</f>
        <v/>
      </c>
      <c r="C208" s="33">
        <f>IF($B208="","",IFERROR(INDEX(智能流水!$C$2:$C$1001,MATCH($B208,智能流水!$B$2:$B$1001,0)),""))</f>
        <v/>
      </c>
      <c r="D208" s="34">
        <f>IF($B208="","",IFERROR(INDEX(智能流水!$D$2:$D$1001,MATCH($B208,智能流水!$B$2:$B$1001,0)),""))</f>
        <v/>
      </c>
      <c r="E208" s="34">
        <f>IF($B208="","",IFERROR(INDEX(智能流水!$E$2:$E$1001,MATCH($B208,智能流水!$B$2:$B$1001,0)),""))</f>
        <v/>
      </c>
      <c r="F208" s="34">
        <f>IF($B208="","",IFERROR(INDEX(智能流水!$F$2:$F$1001,MATCH($B208,智能流水!$B$2:$B$1001,0)),""))</f>
        <v/>
      </c>
      <c r="G208" s="32">
        <f>IF($B208="","",IFERROR(INDEX(智能流水!$G$2:$G$1001,MATCH($B208,智能流水!$B$2:$B$1001,0)),""))</f>
        <v/>
      </c>
      <c r="H208" s="32">
        <f>IF($B208="","",IFERROR(INDEX(智能流水!$H$2:$H$1001,MATCH($B208,智能流水!$B$2:$B$1001,0)),""))</f>
        <v/>
      </c>
      <c r="I208" s="32">
        <f>IF($B208="","",IFERROR(INDEX(智能流水!$I$2:$I$1001,MATCH($B208,智能流水!$B$2:$B$1001,0)),""))</f>
        <v/>
      </c>
      <c r="J208" s="32">
        <f>IF($B208="","",IFERROR(INDEX(智能流水!$J$2:$J$1001,MATCH($B208,智能流水!$B$2:$B$1001,0)),""))</f>
        <v/>
      </c>
      <c r="K208" s="35">
        <f>IF($B208="","",IFERROR(INDEX(智能流水!$K$2:$K$1001,MATCH($B208,智能流水!$B$2:$B$1001,0)),""))</f>
        <v/>
      </c>
      <c r="L208" s="32">
        <f>IF($B208="","",IFERROR(INDEX(智能流水!$L$2:$L$1001,MATCH($B208,智能流水!$B$2:$B$1001,0)),""))</f>
        <v/>
      </c>
      <c r="M208" s="32">
        <f>IF($B208="","",IFERROR(INDEX(智能流水!$M$2:$M$1001,MATCH($B208,智能流水!$B$2:$B$1001,0)),""))</f>
        <v/>
      </c>
      <c r="N208" s="32">
        <f>IF($B208="","",IFERROR(INDEX(智能流水!$N$2:$N$1001,MATCH($B208,智能流水!$B$2:$B$1001,0)),""))</f>
        <v/>
      </c>
      <c r="O208" s="32">
        <f>IF($B208="","",IFERROR(INDEX(智能流水!$O$2:$O$1001,MATCH($B208,智能流水!$B$2:$B$1001,0)),""))</f>
        <v/>
      </c>
    </row>
    <row r="209" ht="23" customHeight="1" s="21">
      <c r="A209" s="32">
        <f>IF($B209="","",208)</f>
        <v/>
      </c>
      <c r="B209" s="32">
        <f>IFERROR(LARGE(智能流水!$B$2:$B$1001,208),"")</f>
        <v/>
      </c>
      <c r="C209" s="33">
        <f>IF($B209="","",IFERROR(INDEX(智能流水!$C$2:$C$1001,MATCH($B209,智能流水!$B$2:$B$1001,0)),""))</f>
        <v/>
      </c>
      <c r="D209" s="34">
        <f>IF($B209="","",IFERROR(INDEX(智能流水!$D$2:$D$1001,MATCH($B209,智能流水!$B$2:$B$1001,0)),""))</f>
        <v/>
      </c>
      <c r="E209" s="34">
        <f>IF($B209="","",IFERROR(INDEX(智能流水!$E$2:$E$1001,MATCH($B209,智能流水!$B$2:$B$1001,0)),""))</f>
        <v/>
      </c>
      <c r="F209" s="34">
        <f>IF($B209="","",IFERROR(INDEX(智能流水!$F$2:$F$1001,MATCH($B209,智能流水!$B$2:$B$1001,0)),""))</f>
        <v/>
      </c>
      <c r="G209" s="32">
        <f>IF($B209="","",IFERROR(INDEX(智能流水!$G$2:$G$1001,MATCH($B209,智能流水!$B$2:$B$1001,0)),""))</f>
        <v/>
      </c>
      <c r="H209" s="32">
        <f>IF($B209="","",IFERROR(INDEX(智能流水!$H$2:$H$1001,MATCH($B209,智能流水!$B$2:$B$1001,0)),""))</f>
        <v/>
      </c>
      <c r="I209" s="32">
        <f>IF($B209="","",IFERROR(INDEX(智能流水!$I$2:$I$1001,MATCH($B209,智能流水!$B$2:$B$1001,0)),""))</f>
        <v/>
      </c>
      <c r="J209" s="32">
        <f>IF($B209="","",IFERROR(INDEX(智能流水!$J$2:$J$1001,MATCH($B209,智能流水!$B$2:$B$1001,0)),""))</f>
        <v/>
      </c>
      <c r="K209" s="35">
        <f>IF($B209="","",IFERROR(INDEX(智能流水!$K$2:$K$1001,MATCH($B209,智能流水!$B$2:$B$1001,0)),""))</f>
        <v/>
      </c>
      <c r="L209" s="32">
        <f>IF($B209="","",IFERROR(INDEX(智能流水!$L$2:$L$1001,MATCH($B209,智能流水!$B$2:$B$1001,0)),""))</f>
        <v/>
      </c>
      <c r="M209" s="32">
        <f>IF($B209="","",IFERROR(INDEX(智能流水!$M$2:$M$1001,MATCH($B209,智能流水!$B$2:$B$1001,0)),""))</f>
        <v/>
      </c>
      <c r="N209" s="32">
        <f>IF($B209="","",IFERROR(INDEX(智能流水!$N$2:$N$1001,MATCH($B209,智能流水!$B$2:$B$1001,0)),""))</f>
        <v/>
      </c>
      <c r="O209" s="32">
        <f>IF($B209="","",IFERROR(INDEX(智能流水!$O$2:$O$1001,MATCH($B209,智能流水!$B$2:$B$1001,0)),""))</f>
        <v/>
      </c>
    </row>
    <row r="210" ht="23" customHeight="1" s="21">
      <c r="A210" s="32">
        <f>IF($B210="","",209)</f>
        <v/>
      </c>
      <c r="B210" s="32">
        <f>IFERROR(LARGE(智能流水!$B$2:$B$1001,209),"")</f>
        <v/>
      </c>
      <c r="C210" s="33">
        <f>IF($B210="","",IFERROR(INDEX(智能流水!$C$2:$C$1001,MATCH($B210,智能流水!$B$2:$B$1001,0)),""))</f>
        <v/>
      </c>
      <c r="D210" s="34">
        <f>IF($B210="","",IFERROR(INDEX(智能流水!$D$2:$D$1001,MATCH($B210,智能流水!$B$2:$B$1001,0)),""))</f>
        <v/>
      </c>
      <c r="E210" s="34">
        <f>IF($B210="","",IFERROR(INDEX(智能流水!$E$2:$E$1001,MATCH($B210,智能流水!$B$2:$B$1001,0)),""))</f>
        <v/>
      </c>
      <c r="F210" s="34">
        <f>IF($B210="","",IFERROR(INDEX(智能流水!$F$2:$F$1001,MATCH($B210,智能流水!$B$2:$B$1001,0)),""))</f>
        <v/>
      </c>
      <c r="G210" s="32">
        <f>IF($B210="","",IFERROR(INDEX(智能流水!$G$2:$G$1001,MATCH($B210,智能流水!$B$2:$B$1001,0)),""))</f>
        <v/>
      </c>
      <c r="H210" s="32">
        <f>IF($B210="","",IFERROR(INDEX(智能流水!$H$2:$H$1001,MATCH($B210,智能流水!$B$2:$B$1001,0)),""))</f>
        <v/>
      </c>
      <c r="I210" s="32">
        <f>IF($B210="","",IFERROR(INDEX(智能流水!$I$2:$I$1001,MATCH($B210,智能流水!$B$2:$B$1001,0)),""))</f>
        <v/>
      </c>
      <c r="J210" s="32">
        <f>IF($B210="","",IFERROR(INDEX(智能流水!$J$2:$J$1001,MATCH($B210,智能流水!$B$2:$B$1001,0)),""))</f>
        <v/>
      </c>
      <c r="K210" s="35">
        <f>IF($B210="","",IFERROR(INDEX(智能流水!$K$2:$K$1001,MATCH($B210,智能流水!$B$2:$B$1001,0)),""))</f>
        <v/>
      </c>
      <c r="L210" s="32">
        <f>IF($B210="","",IFERROR(INDEX(智能流水!$L$2:$L$1001,MATCH($B210,智能流水!$B$2:$B$1001,0)),""))</f>
        <v/>
      </c>
      <c r="M210" s="32">
        <f>IF($B210="","",IFERROR(INDEX(智能流水!$M$2:$M$1001,MATCH($B210,智能流水!$B$2:$B$1001,0)),""))</f>
        <v/>
      </c>
      <c r="N210" s="32">
        <f>IF($B210="","",IFERROR(INDEX(智能流水!$N$2:$N$1001,MATCH($B210,智能流水!$B$2:$B$1001,0)),""))</f>
        <v/>
      </c>
      <c r="O210" s="32">
        <f>IF($B210="","",IFERROR(INDEX(智能流水!$O$2:$O$1001,MATCH($B210,智能流水!$B$2:$B$1001,0)),""))</f>
        <v/>
      </c>
    </row>
    <row r="211" ht="23" customHeight="1" s="21">
      <c r="A211" s="32">
        <f>IF($B211="","",210)</f>
        <v/>
      </c>
      <c r="B211" s="32">
        <f>IFERROR(LARGE(智能流水!$B$2:$B$1001,210),"")</f>
        <v/>
      </c>
      <c r="C211" s="33">
        <f>IF($B211="","",IFERROR(INDEX(智能流水!$C$2:$C$1001,MATCH($B211,智能流水!$B$2:$B$1001,0)),""))</f>
        <v/>
      </c>
      <c r="D211" s="34">
        <f>IF($B211="","",IFERROR(INDEX(智能流水!$D$2:$D$1001,MATCH($B211,智能流水!$B$2:$B$1001,0)),""))</f>
        <v/>
      </c>
      <c r="E211" s="34">
        <f>IF($B211="","",IFERROR(INDEX(智能流水!$E$2:$E$1001,MATCH($B211,智能流水!$B$2:$B$1001,0)),""))</f>
        <v/>
      </c>
      <c r="F211" s="34">
        <f>IF($B211="","",IFERROR(INDEX(智能流水!$F$2:$F$1001,MATCH($B211,智能流水!$B$2:$B$1001,0)),""))</f>
        <v/>
      </c>
      <c r="G211" s="32">
        <f>IF($B211="","",IFERROR(INDEX(智能流水!$G$2:$G$1001,MATCH($B211,智能流水!$B$2:$B$1001,0)),""))</f>
        <v/>
      </c>
      <c r="H211" s="32">
        <f>IF($B211="","",IFERROR(INDEX(智能流水!$H$2:$H$1001,MATCH($B211,智能流水!$B$2:$B$1001,0)),""))</f>
        <v/>
      </c>
      <c r="I211" s="32">
        <f>IF($B211="","",IFERROR(INDEX(智能流水!$I$2:$I$1001,MATCH($B211,智能流水!$B$2:$B$1001,0)),""))</f>
        <v/>
      </c>
      <c r="J211" s="32">
        <f>IF($B211="","",IFERROR(INDEX(智能流水!$J$2:$J$1001,MATCH($B211,智能流水!$B$2:$B$1001,0)),""))</f>
        <v/>
      </c>
      <c r="K211" s="35">
        <f>IF($B211="","",IFERROR(INDEX(智能流水!$K$2:$K$1001,MATCH($B211,智能流水!$B$2:$B$1001,0)),""))</f>
        <v/>
      </c>
      <c r="L211" s="32">
        <f>IF($B211="","",IFERROR(INDEX(智能流水!$L$2:$L$1001,MATCH($B211,智能流水!$B$2:$B$1001,0)),""))</f>
        <v/>
      </c>
      <c r="M211" s="32">
        <f>IF($B211="","",IFERROR(INDEX(智能流水!$M$2:$M$1001,MATCH($B211,智能流水!$B$2:$B$1001,0)),""))</f>
        <v/>
      </c>
      <c r="N211" s="32">
        <f>IF($B211="","",IFERROR(INDEX(智能流水!$N$2:$N$1001,MATCH($B211,智能流水!$B$2:$B$1001,0)),""))</f>
        <v/>
      </c>
      <c r="O211" s="32">
        <f>IF($B211="","",IFERROR(INDEX(智能流水!$O$2:$O$1001,MATCH($B211,智能流水!$B$2:$B$1001,0)),""))</f>
        <v/>
      </c>
    </row>
    <row r="212" ht="23" customHeight="1" s="21">
      <c r="A212" s="32">
        <f>IF($B212="","",211)</f>
        <v/>
      </c>
      <c r="B212" s="32">
        <f>IFERROR(LARGE(智能流水!$B$2:$B$1001,211),"")</f>
        <v/>
      </c>
      <c r="C212" s="33">
        <f>IF($B212="","",IFERROR(INDEX(智能流水!$C$2:$C$1001,MATCH($B212,智能流水!$B$2:$B$1001,0)),""))</f>
        <v/>
      </c>
      <c r="D212" s="34">
        <f>IF($B212="","",IFERROR(INDEX(智能流水!$D$2:$D$1001,MATCH($B212,智能流水!$B$2:$B$1001,0)),""))</f>
        <v/>
      </c>
      <c r="E212" s="34">
        <f>IF($B212="","",IFERROR(INDEX(智能流水!$E$2:$E$1001,MATCH($B212,智能流水!$B$2:$B$1001,0)),""))</f>
        <v/>
      </c>
      <c r="F212" s="34">
        <f>IF($B212="","",IFERROR(INDEX(智能流水!$F$2:$F$1001,MATCH($B212,智能流水!$B$2:$B$1001,0)),""))</f>
        <v/>
      </c>
      <c r="G212" s="32">
        <f>IF($B212="","",IFERROR(INDEX(智能流水!$G$2:$G$1001,MATCH($B212,智能流水!$B$2:$B$1001,0)),""))</f>
        <v/>
      </c>
      <c r="H212" s="32">
        <f>IF($B212="","",IFERROR(INDEX(智能流水!$H$2:$H$1001,MATCH($B212,智能流水!$B$2:$B$1001,0)),""))</f>
        <v/>
      </c>
      <c r="I212" s="32">
        <f>IF($B212="","",IFERROR(INDEX(智能流水!$I$2:$I$1001,MATCH($B212,智能流水!$B$2:$B$1001,0)),""))</f>
        <v/>
      </c>
      <c r="J212" s="32">
        <f>IF($B212="","",IFERROR(INDEX(智能流水!$J$2:$J$1001,MATCH($B212,智能流水!$B$2:$B$1001,0)),""))</f>
        <v/>
      </c>
      <c r="K212" s="35">
        <f>IF($B212="","",IFERROR(INDEX(智能流水!$K$2:$K$1001,MATCH($B212,智能流水!$B$2:$B$1001,0)),""))</f>
        <v/>
      </c>
      <c r="L212" s="32">
        <f>IF($B212="","",IFERROR(INDEX(智能流水!$L$2:$L$1001,MATCH($B212,智能流水!$B$2:$B$1001,0)),""))</f>
        <v/>
      </c>
      <c r="M212" s="32">
        <f>IF($B212="","",IFERROR(INDEX(智能流水!$M$2:$M$1001,MATCH($B212,智能流水!$B$2:$B$1001,0)),""))</f>
        <v/>
      </c>
      <c r="N212" s="32">
        <f>IF($B212="","",IFERROR(INDEX(智能流水!$N$2:$N$1001,MATCH($B212,智能流水!$B$2:$B$1001,0)),""))</f>
        <v/>
      </c>
      <c r="O212" s="32">
        <f>IF($B212="","",IFERROR(INDEX(智能流水!$O$2:$O$1001,MATCH($B212,智能流水!$B$2:$B$1001,0)),""))</f>
        <v/>
      </c>
    </row>
    <row r="213" ht="23" customHeight="1" s="21">
      <c r="A213" s="32">
        <f>IF($B213="","",212)</f>
        <v/>
      </c>
      <c r="B213" s="32">
        <f>IFERROR(LARGE(智能流水!$B$2:$B$1001,212),"")</f>
        <v/>
      </c>
      <c r="C213" s="33">
        <f>IF($B213="","",IFERROR(INDEX(智能流水!$C$2:$C$1001,MATCH($B213,智能流水!$B$2:$B$1001,0)),""))</f>
        <v/>
      </c>
      <c r="D213" s="34">
        <f>IF($B213="","",IFERROR(INDEX(智能流水!$D$2:$D$1001,MATCH($B213,智能流水!$B$2:$B$1001,0)),""))</f>
        <v/>
      </c>
      <c r="E213" s="34">
        <f>IF($B213="","",IFERROR(INDEX(智能流水!$E$2:$E$1001,MATCH($B213,智能流水!$B$2:$B$1001,0)),""))</f>
        <v/>
      </c>
      <c r="F213" s="34">
        <f>IF($B213="","",IFERROR(INDEX(智能流水!$F$2:$F$1001,MATCH($B213,智能流水!$B$2:$B$1001,0)),""))</f>
        <v/>
      </c>
      <c r="G213" s="32">
        <f>IF($B213="","",IFERROR(INDEX(智能流水!$G$2:$G$1001,MATCH($B213,智能流水!$B$2:$B$1001,0)),""))</f>
        <v/>
      </c>
      <c r="H213" s="32">
        <f>IF($B213="","",IFERROR(INDEX(智能流水!$H$2:$H$1001,MATCH($B213,智能流水!$B$2:$B$1001,0)),""))</f>
        <v/>
      </c>
      <c r="I213" s="32">
        <f>IF($B213="","",IFERROR(INDEX(智能流水!$I$2:$I$1001,MATCH($B213,智能流水!$B$2:$B$1001,0)),""))</f>
        <v/>
      </c>
      <c r="J213" s="32">
        <f>IF($B213="","",IFERROR(INDEX(智能流水!$J$2:$J$1001,MATCH($B213,智能流水!$B$2:$B$1001,0)),""))</f>
        <v/>
      </c>
      <c r="K213" s="35">
        <f>IF($B213="","",IFERROR(INDEX(智能流水!$K$2:$K$1001,MATCH($B213,智能流水!$B$2:$B$1001,0)),""))</f>
        <v/>
      </c>
      <c r="L213" s="32">
        <f>IF($B213="","",IFERROR(INDEX(智能流水!$L$2:$L$1001,MATCH($B213,智能流水!$B$2:$B$1001,0)),""))</f>
        <v/>
      </c>
      <c r="M213" s="32">
        <f>IF($B213="","",IFERROR(INDEX(智能流水!$M$2:$M$1001,MATCH($B213,智能流水!$B$2:$B$1001,0)),""))</f>
        <v/>
      </c>
      <c r="N213" s="32">
        <f>IF($B213="","",IFERROR(INDEX(智能流水!$N$2:$N$1001,MATCH($B213,智能流水!$B$2:$B$1001,0)),""))</f>
        <v/>
      </c>
      <c r="O213" s="32">
        <f>IF($B213="","",IFERROR(INDEX(智能流水!$O$2:$O$1001,MATCH($B213,智能流水!$B$2:$B$1001,0)),""))</f>
        <v/>
      </c>
    </row>
    <row r="214" ht="23" customHeight="1" s="21">
      <c r="A214" s="32">
        <f>IF($B214="","",213)</f>
        <v/>
      </c>
      <c r="B214" s="32">
        <f>IFERROR(LARGE(智能流水!$B$2:$B$1001,213),"")</f>
        <v/>
      </c>
      <c r="C214" s="33">
        <f>IF($B214="","",IFERROR(INDEX(智能流水!$C$2:$C$1001,MATCH($B214,智能流水!$B$2:$B$1001,0)),""))</f>
        <v/>
      </c>
      <c r="D214" s="34">
        <f>IF($B214="","",IFERROR(INDEX(智能流水!$D$2:$D$1001,MATCH($B214,智能流水!$B$2:$B$1001,0)),""))</f>
        <v/>
      </c>
      <c r="E214" s="34">
        <f>IF($B214="","",IFERROR(INDEX(智能流水!$E$2:$E$1001,MATCH($B214,智能流水!$B$2:$B$1001,0)),""))</f>
        <v/>
      </c>
      <c r="F214" s="34">
        <f>IF($B214="","",IFERROR(INDEX(智能流水!$F$2:$F$1001,MATCH($B214,智能流水!$B$2:$B$1001,0)),""))</f>
        <v/>
      </c>
      <c r="G214" s="32">
        <f>IF($B214="","",IFERROR(INDEX(智能流水!$G$2:$G$1001,MATCH($B214,智能流水!$B$2:$B$1001,0)),""))</f>
        <v/>
      </c>
      <c r="H214" s="32">
        <f>IF($B214="","",IFERROR(INDEX(智能流水!$H$2:$H$1001,MATCH($B214,智能流水!$B$2:$B$1001,0)),""))</f>
        <v/>
      </c>
      <c r="I214" s="32">
        <f>IF($B214="","",IFERROR(INDEX(智能流水!$I$2:$I$1001,MATCH($B214,智能流水!$B$2:$B$1001,0)),""))</f>
        <v/>
      </c>
      <c r="J214" s="32">
        <f>IF($B214="","",IFERROR(INDEX(智能流水!$J$2:$J$1001,MATCH($B214,智能流水!$B$2:$B$1001,0)),""))</f>
        <v/>
      </c>
      <c r="K214" s="35">
        <f>IF($B214="","",IFERROR(INDEX(智能流水!$K$2:$K$1001,MATCH($B214,智能流水!$B$2:$B$1001,0)),""))</f>
        <v/>
      </c>
      <c r="L214" s="32">
        <f>IF($B214="","",IFERROR(INDEX(智能流水!$L$2:$L$1001,MATCH($B214,智能流水!$B$2:$B$1001,0)),""))</f>
        <v/>
      </c>
      <c r="M214" s="32">
        <f>IF($B214="","",IFERROR(INDEX(智能流水!$M$2:$M$1001,MATCH($B214,智能流水!$B$2:$B$1001,0)),""))</f>
        <v/>
      </c>
      <c r="N214" s="32">
        <f>IF($B214="","",IFERROR(INDEX(智能流水!$N$2:$N$1001,MATCH($B214,智能流水!$B$2:$B$1001,0)),""))</f>
        <v/>
      </c>
      <c r="O214" s="32">
        <f>IF($B214="","",IFERROR(INDEX(智能流水!$O$2:$O$1001,MATCH($B214,智能流水!$B$2:$B$1001,0)),""))</f>
        <v/>
      </c>
    </row>
    <row r="215" ht="23" customHeight="1" s="21">
      <c r="A215" s="32">
        <f>IF($B215="","",214)</f>
        <v/>
      </c>
      <c r="B215" s="32">
        <f>IFERROR(LARGE(智能流水!$B$2:$B$1001,214),"")</f>
        <v/>
      </c>
      <c r="C215" s="33">
        <f>IF($B215="","",IFERROR(INDEX(智能流水!$C$2:$C$1001,MATCH($B215,智能流水!$B$2:$B$1001,0)),""))</f>
        <v/>
      </c>
      <c r="D215" s="34">
        <f>IF($B215="","",IFERROR(INDEX(智能流水!$D$2:$D$1001,MATCH($B215,智能流水!$B$2:$B$1001,0)),""))</f>
        <v/>
      </c>
      <c r="E215" s="34">
        <f>IF($B215="","",IFERROR(INDEX(智能流水!$E$2:$E$1001,MATCH($B215,智能流水!$B$2:$B$1001,0)),""))</f>
        <v/>
      </c>
      <c r="F215" s="34">
        <f>IF($B215="","",IFERROR(INDEX(智能流水!$F$2:$F$1001,MATCH($B215,智能流水!$B$2:$B$1001,0)),""))</f>
        <v/>
      </c>
      <c r="G215" s="32">
        <f>IF($B215="","",IFERROR(INDEX(智能流水!$G$2:$G$1001,MATCH($B215,智能流水!$B$2:$B$1001,0)),""))</f>
        <v/>
      </c>
      <c r="H215" s="32">
        <f>IF($B215="","",IFERROR(INDEX(智能流水!$H$2:$H$1001,MATCH($B215,智能流水!$B$2:$B$1001,0)),""))</f>
        <v/>
      </c>
      <c r="I215" s="32">
        <f>IF($B215="","",IFERROR(INDEX(智能流水!$I$2:$I$1001,MATCH($B215,智能流水!$B$2:$B$1001,0)),""))</f>
        <v/>
      </c>
      <c r="J215" s="32">
        <f>IF($B215="","",IFERROR(INDEX(智能流水!$J$2:$J$1001,MATCH($B215,智能流水!$B$2:$B$1001,0)),""))</f>
        <v/>
      </c>
      <c r="K215" s="35">
        <f>IF($B215="","",IFERROR(INDEX(智能流水!$K$2:$K$1001,MATCH($B215,智能流水!$B$2:$B$1001,0)),""))</f>
        <v/>
      </c>
      <c r="L215" s="32">
        <f>IF($B215="","",IFERROR(INDEX(智能流水!$L$2:$L$1001,MATCH($B215,智能流水!$B$2:$B$1001,0)),""))</f>
        <v/>
      </c>
      <c r="M215" s="32">
        <f>IF($B215="","",IFERROR(INDEX(智能流水!$M$2:$M$1001,MATCH($B215,智能流水!$B$2:$B$1001,0)),""))</f>
        <v/>
      </c>
      <c r="N215" s="32">
        <f>IF($B215="","",IFERROR(INDEX(智能流水!$N$2:$N$1001,MATCH($B215,智能流水!$B$2:$B$1001,0)),""))</f>
        <v/>
      </c>
      <c r="O215" s="32">
        <f>IF($B215="","",IFERROR(INDEX(智能流水!$O$2:$O$1001,MATCH($B215,智能流水!$B$2:$B$1001,0)),""))</f>
        <v/>
      </c>
    </row>
    <row r="216" ht="23" customHeight="1" s="21">
      <c r="A216" s="32">
        <f>IF($B216="","",215)</f>
        <v/>
      </c>
      <c r="B216" s="32">
        <f>IFERROR(LARGE(智能流水!$B$2:$B$1001,215),"")</f>
        <v/>
      </c>
      <c r="C216" s="33">
        <f>IF($B216="","",IFERROR(INDEX(智能流水!$C$2:$C$1001,MATCH($B216,智能流水!$B$2:$B$1001,0)),""))</f>
        <v/>
      </c>
      <c r="D216" s="34">
        <f>IF($B216="","",IFERROR(INDEX(智能流水!$D$2:$D$1001,MATCH($B216,智能流水!$B$2:$B$1001,0)),""))</f>
        <v/>
      </c>
      <c r="E216" s="34">
        <f>IF($B216="","",IFERROR(INDEX(智能流水!$E$2:$E$1001,MATCH($B216,智能流水!$B$2:$B$1001,0)),""))</f>
        <v/>
      </c>
      <c r="F216" s="34">
        <f>IF($B216="","",IFERROR(INDEX(智能流水!$F$2:$F$1001,MATCH($B216,智能流水!$B$2:$B$1001,0)),""))</f>
        <v/>
      </c>
      <c r="G216" s="32">
        <f>IF($B216="","",IFERROR(INDEX(智能流水!$G$2:$G$1001,MATCH($B216,智能流水!$B$2:$B$1001,0)),""))</f>
        <v/>
      </c>
      <c r="H216" s="32">
        <f>IF($B216="","",IFERROR(INDEX(智能流水!$H$2:$H$1001,MATCH($B216,智能流水!$B$2:$B$1001,0)),""))</f>
        <v/>
      </c>
      <c r="I216" s="32">
        <f>IF($B216="","",IFERROR(INDEX(智能流水!$I$2:$I$1001,MATCH($B216,智能流水!$B$2:$B$1001,0)),""))</f>
        <v/>
      </c>
      <c r="J216" s="32">
        <f>IF($B216="","",IFERROR(INDEX(智能流水!$J$2:$J$1001,MATCH($B216,智能流水!$B$2:$B$1001,0)),""))</f>
        <v/>
      </c>
      <c r="K216" s="35">
        <f>IF($B216="","",IFERROR(INDEX(智能流水!$K$2:$K$1001,MATCH($B216,智能流水!$B$2:$B$1001,0)),""))</f>
        <v/>
      </c>
      <c r="L216" s="32">
        <f>IF($B216="","",IFERROR(INDEX(智能流水!$L$2:$L$1001,MATCH($B216,智能流水!$B$2:$B$1001,0)),""))</f>
        <v/>
      </c>
      <c r="M216" s="32">
        <f>IF($B216="","",IFERROR(INDEX(智能流水!$M$2:$M$1001,MATCH($B216,智能流水!$B$2:$B$1001,0)),""))</f>
        <v/>
      </c>
      <c r="N216" s="32">
        <f>IF($B216="","",IFERROR(INDEX(智能流水!$N$2:$N$1001,MATCH($B216,智能流水!$B$2:$B$1001,0)),""))</f>
        <v/>
      </c>
      <c r="O216" s="32">
        <f>IF($B216="","",IFERROR(INDEX(智能流水!$O$2:$O$1001,MATCH($B216,智能流水!$B$2:$B$1001,0)),""))</f>
        <v/>
      </c>
    </row>
    <row r="217" ht="23" customHeight="1" s="21">
      <c r="A217" s="32">
        <f>IF($B217="","",216)</f>
        <v/>
      </c>
      <c r="B217" s="32">
        <f>IFERROR(LARGE(智能流水!$B$2:$B$1001,216),"")</f>
        <v/>
      </c>
      <c r="C217" s="33">
        <f>IF($B217="","",IFERROR(INDEX(智能流水!$C$2:$C$1001,MATCH($B217,智能流水!$B$2:$B$1001,0)),""))</f>
        <v/>
      </c>
      <c r="D217" s="34">
        <f>IF($B217="","",IFERROR(INDEX(智能流水!$D$2:$D$1001,MATCH($B217,智能流水!$B$2:$B$1001,0)),""))</f>
        <v/>
      </c>
      <c r="E217" s="34">
        <f>IF($B217="","",IFERROR(INDEX(智能流水!$E$2:$E$1001,MATCH($B217,智能流水!$B$2:$B$1001,0)),""))</f>
        <v/>
      </c>
      <c r="F217" s="34">
        <f>IF($B217="","",IFERROR(INDEX(智能流水!$F$2:$F$1001,MATCH($B217,智能流水!$B$2:$B$1001,0)),""))</f>
        <v/>
      </c>
      <c r="G217" s="32">
        <f>IF($B217="","",IFERROR(INDEX(智能流水!$G$2:$G$1001,MATCH($B217,智能流水!$B$2:$B$1001,0)),""))</f>
        <v/>
      </c>
      <c r="H217" s="32">
        <f>IF($B217="","",IFERROR(INDEX(智能流水!$H$2:$H$1001,MATCH($B217,智能流水!$B$2:$B$1001,0)),""))</f>
        <v/>
      </c>
      <c r="I217" s="32">
        <f>IF($B217="","",IFERROR(INDEX(智能流水!$I$2:$I$1001,MATCH($B217,智能流水!$B$2:$B$1001,0)),""))</f>
        <v/>
      </c>
      <c r="J217" s="32">
        <f>IF($B217="","",IFERROR(INDEX(智能流水!$J$2:$J$1001,MATCH($B217,智能流水!$B$2:$B$1001,0)),""))</f>
        <v/>
      </c>
      <c r="K217" s="35">
        <f>IF($B217="","",IFERROR(INDEX(智能流水!$K$2:$K$1001,MATCH($B217,智能流水!$B$2:$B$1001,0)),""))</f>
        <v/>
      </c>
      <c r="L217" s="32">
        <f>IF($B217="","",IFERROR(INDEX(智能流水!$L$2:$L$1001,MATCH($B217,智能流水!$B$2:$B$1001,0)),""))</f>
        <v/>
      </c>
      <c r="M217" s="32">
        <f>IF($B217="","",IFERROR(INDEX(智能流水!$M$2:$M$1001,MATCH($B217,智能流水!$B$2:$B$1001,0)),""))</f>
        <v/>
      </c>
      <c r="N217" s="32">
        <f>IF($B217="","",IFERROR(INDEX(智能流水!$N$2:$N$1001,MATCH($B217,智能流水!$B$2:$B$1001,0)),""))</f>
        <v/>
      </c>
      <c r="O217" s="32">
        <f>IF($B217="","",IFERROR(INDEX(智能流水!$O$2:$O$1001,MATCH($B217,智能流水!$B$2:$B$1001,0)),""))</f>
        <v/>
      </c>
    </row>
    <row r="218" ht="23" customHeight="1" s="21">
      <c r="A218" s="32">
        <f>IF($B218="","",217)</f>
        <v/>
      </c>
      <c r="B218" s="32">
        <f>IFERROR(LARGE(智能流水!$B$2:$B$1001,217),"")</f>
        <v/>
      </c>
      <c r="C218" s="33">
        <f>IF($B218="","",IFERROR(INDEX(智能流水!$C$2:$C$1001,MATCH($B218,智能流水!$B$2:$B$1001,0)),""))</f>
        <v/>
      </c>
      <c r="D218" s="34">
        <f>IF($B218="","",IFERROR(INDEX(智能流水!$D$2:$D$1001,MATCH($B218,智能流水!$B$2:$B$1001,0)),""))</f>
        <v/>
      </c>
      <c r="E218" s="34">
        <f>IF($B218="","",IFERROR(INDEX(智能流水!$E$2:$E$1001,MATCH($B218,智能流水!$B$2:$B$1001,0)),""))</f>
        <v/>
      </c>
      <c r="F218" s="34">
        <f>IF($B218="","",IFERROR(INDEX(智能流水!$F$2:$F$1001,MATCH($B218,智能流水!$B$2:$B$1001,0)),""))</f>
        <v/>
      </c>
      <c r="G218" s="32">
        <f>IF($B218="","",IFERROR(INDEX(智能流水!$G$2:$G$1001,MATCH($B218,智能流水!$B$2:$B$1001,0)),""))</f>
        <v/>
      </c>
      <c r="H218" s="32">
        <f>IF($B218="","",IFERROR(INDEX(智能流水!$H$2:$H$1001,MATCH($B218,智能流水!$B$2:$B$1001,0)),""))</f>
        <v/>
      </c>
      <c r="I218" s="32">
        <f>IF($B218="","",IFERROR(INDEX(智能流水!$I$2:$I$1001,MATCH($B218,智能流水!$B$2:$B$1001,0)),""))</f>
        <v/>
      </c>
      <c r="J218" s="32">
        <f>IF($B218="","",IFERROR(INDEX(智能流水!$J$2:$J$1001,MATCH($B218,智能流水!$B$2:$B$1001,0)),""))</f>
        <v/>
      </c>
      <c r="K218" s="35">
        <f>IF($B218="","",IFERROR(INDEX(智能流水!$K$2:$K$1001,MATCH($B218,智能流水!$B$2:$B$1001,0)),""))</f>
        <v/>
      </c>
      <c r="L218" s="32">
        <f>IF($B218="","",IFERROR(INDEX(智能流水!$L$2:$L$1001,MATCH($B218,智能流水!$B$2:$B$1001,0)),""))</f>
        <v/>
      </c>
      <c r="M218" s="32">
        <f>IF($B218="","",IFERROR(INDEX(智能流水!$M$2:$M$1001,MATCH($B218,智能流水!$B$2:$B$1001,0)),""))</f>
        <v/>
      </c>
      <c r="N218" s="32">
        <f>IF($B218="","",IFERROR(INDEX(智能流水!$N$2:$N$1001,MATCH($B218,智能流水!$B$2:$B$1001,0)),""))</f>
        <v/>
      </c>
      <c r="O218" s="32">
        <f>IF($B218="","",IFERROR(INDEX(智能流水!$O$2:$O$1001,MATCH($B218,智能流水!$B$2:$B$1001,0)),""))</f>
        <v/>
      </c>
    </row>
    <row r="219" ht="23" customHeight="1" s="21">
      <c r="A219" s="32">
        <f>IF($B219="","",218)</f>
        <v/>
      </c>
      <c r="B219" s="32">
        <f>IFERROR(LARGE(智能流水!$B$2:$B$1001,218),"")</f>
        <v/>
      </c>
      <c r="C219" s="33">
        <f>IF($B219="","",IFERROR(INDEX(智能流水!$C$2:$C$1001,MATCH($B219,智能流水!$B$2:$B$1001,0)),""))</f>
        <v/>
      </c>
      <c r="D219" s="34">
        <f>IF($B219="","",IFERROR(INDEX(智能流水!$D$2:$D$1001,MATCH($B219,智能流水!$B$2:$B$1001,0)),""))</f>
        <v/>
      </c>
      <c r="E219" s="34">
        <f>IF($B219="","",IFERROR(INDEX(智能流水!$E$2:$E$1001,MATCH($B219,智能流水!$B$2:$B$1001,0)),""))</f>
        <v/>
      </c>
      <c r="F219" s="34">
        <f>IF($B219="","",IFERROR(INDEX(智能流水!$F$2:$F$1001,MATCH($B219,智能流水!$B$2:$B$1001,0)),""))</f>
        <v/>
      </c>
      <c r="G219" s="32">
        <f>IF($B219="","",IFERROR(INDEX(智能流水!$G$2:$G$1001,MATCH($B219,智能流水!$B$2:$B$1001,0)),""))</f>
        <v/>
      </c>
      <c r="H219" s="32">
        <f>IF($B219="","",IFERROR(INDEX(智能流水!$H$2:$H$1001,MATCH($B219,智能流水!$B$2:$B$1001,0)),""))</f>
        <v/>
      </c>
      <c r="I219" s="32">
        <f>IF($B219="","",IFERROR(INDEX(智能流水!$I$2:$I$1001,MATCH($B219,智能流水!$B$2:$B$1001,0)),""))</f>
        <v/>
      </c>
      <c r="J219" s="32">
        <f>IF($B219="","",IFERROR(INDEX(智能流水!$J$2:$J$1001,MATCH($B219,智能流水!$B$2:$B$1001,0)),""))</f>
        <v/>
      </c>
      <c r="K219" s="35">
        <f>IF($B219="","",IFERROR(INDEX(智能流水!$K$2:$K$1001,MATCH($B219,智能流水!$B$2:$B$1001,0)),""))</f>
        <v/>
      </c>
      <c r="L219" s="32">
        <f>IF($B219="","",IFERROR(INDEX(智能流水!$L$2:$L$1001,MATCH($B219,智能流水!$B$2:$B$1001,0)),""))</f>
        <v/>
      </c>
      <c r="M219" s="32">
        <f>IF($B219="","",IFERROR(INDEX(智能流水!$M$2:$M$1001,MATCH($B219,智能流水!$B$2:$B$1001,0)),""))</f>
        <v/>
      </c>
      <c r="N219" s="32">
        <f>IF($B219="","",IFERROR(INDEX(智能流水!$N$2:$N$1001,MATCH($B219,智能流水!$B$2:$B$1001,0)),""))</f>
        <v/>
      </c>
      <c r="O219" s="32">
        <f>IF($B219="","",IFERROR(INDEX(智能流水!$O$2:$O$1001,MATCH($B219,智能流水!$B$2:$B$1001,0)),""))</f>
        <v/>
      </c>
    </row>
    <row r="220" ht="23" customHeight="1" s="21">
      <c r="A220" s="32">
        <f>IF($B220="","",219)</f>
        <v/>
      </c>
      <c r="B220" s="32">
        <f>IFERROR(LARGE(智能流水!$B$2:$B$1001,219),"")</f>
        <v/>
      </c>
      <c r="C220" s="33">
        <f>IF($B220="","",IFERROR(INDEX(智能流水!$C$2:$C$1001,MATCH($B220,智能流水!$B$2:$B$1001,0)),""))</f>
        <v/>
      </c>
      <c r="D220" s="34">
        <f>IF($B220="","",IFERROR(INDEX(智能流水!$D$2:$D$1001,MATCH($B220,智能流水!$B$2:$B$1001,0)),""))</f>
        <v/>
      </c>
      <c r="E220" s="34">
        <f>IF($B220="","",IFERROR(INDEX(智能流水!$E$2:$E$1001,MATCH($B220,智能流水!$B$2:$B$1001,0)),""))</f>
        <v/>
      </c>
      <c r="F220" s="34">
        <f>IF($B220="","",IFERROR(INDEX(智能流水!$F$2:$F$1001,MATCH($B220,智能流水!$B$2:$B$1001,0)),""))</f>
        <v/>
      </c>
      <c r="G220" s="32">
        <f>IF($B220="","",IFERROR(INDEX(智能流水!$G$2:$G$1001,MATCH($B220,智能流水!$B$2:$B$1001,0)),""))</f>
        <v/>
      </c>
      <c r="H220" s="32">
        <f>IF($B220="","",IFERROR(INDEX(智能流水!$H$2:$H$1001,MATCH($B220,智能流水!$B$2:$B$1001,0)),""))</f>
        <v/>
      </c>
      <c r="I220" s="32">
        <f>IF($B220="","",IFERROR(INDEX(智能流水!$I$2:$I$1001,MATCH($B220,智能流水!$B$2:$B$1001,0)),""))</f>
        <v/>
      </c>
      <c r="J220" s="32">
        <f>IF($B220="","",IFERROR(INDEX(智能流水!$J$2:$J$1001,MATCH($B220,智能流水!$B$2:$B$1001,0)),""))</f>
        <v/>
      </c>
      <c r="K220" s="35">
        <f>IF($B220="","",IFERROR(INDEX(智能流水!$K$2:$K$1001,MATCH($B220,智能流水!$B$2:$B$1001,0)),""))</f>
        <v/>
      </c>
      <c r="L220" s="32">
        <f>IF($B220="","",IFERROR(INDEX(智能流水!$L$2:$L$1001,MATCH($B220,智能流水!$B$2:$B$1001,0)),""))</f>
        <v/>
      </c>
      <c r="M220" s="32">
        <f>IF($B220="","",IFERROR(INDEX(智能流水!$M$2:$M$1001,MATCH($B220,智能流水!$B$2:$B$1001,0)),""))</f>
        <v/>
      </c>
      <c r="N220" s="32">
        <f>IF($B220="","",IFERROR(INDEX(智能流水!$N$2:$N$1001,MATCH($B220,智能流水!$B$2:$B$1001,0)),""))</f>
        <v/>
      </c>
      <c r="O220" s="32">
        <f>IF($B220="","",IFERROR(INDEX(智能流水!$O$2:$O$1001,MATCH($B220,智能流水!$B$2:$B$1001,0)),""))</f>
        <v/>
      </c>
    </row>
    <row r="221" ht="23" customHeight="1" s="21">
      <c r="A221" s="32">
        <f>IF($B221="","",220)</f>
        <v/>
      </c>
      <c r="B221" s="32">
        <f>IFERROR(LARGE(智能流水!$B$2:$B$1001,220),"")</f>
        <v/>
      </c>
      <c r="C221" s="33">
        <f>IF($B221="","",IFERROR(INDEX(智能流水!$C$2:$C$1001,MATCH($B221,智能流水!$B$2:$B$1001,0)),""))</f>
        <v/>
      </c>
      <c r="D221" s="34">
        <f>IF($B221="","",IFERROR(INDEX(智能流水!$D$2:$D$1001,MATCH($B221,智能流水!$B$2:$B$1001,0)),""))</f>
        <v/>
      </c>
      <c r="E221" s="34">
        <f>IF($B221="","",IFERROR(INDEX(智能流水!$E$2:$E$1001,MATCH($B221,智能流水!$B$2:$B$1001,0)),""))</f>
        <v/>
      </c>
      <c r="F221" s="34">
        <f>IF($B221="","",IFERROR(INDEX(智能流水!$F$2:$F$1001,MATCH($B221,智能流水!$B$2:$B$1001,0)),""))</f>
        <v/>
      </c>
      <c r="G221" s="32">
        <f>IF($B221="","",IFERROR(INDEX(智能流水!$G$2:$G$1001,MATCH($B221,智能流水!$B$2:$B$1001,0)),""))</f>
        <v/>
      </c>
      <c r="H221" s="32">
        <f>IF($B221="","",IFERROR(INDEX(智能流水!$H$2:$H$1001,MATCH($B221,智能流水!$B$2:$B$1001,0)),""))</f>
        <v/>
      </c>
      <c r="I221" s="32">
        <f>IF($B221="","",IFERROR(INDEX(智能流水!$I$2:$I$1001,MATCH($B221,智能流水!$B$2:$B$1001,0)),""))</f>
        <v/>
      </c>
      <c r="J221" s="32">
        <f>IF($B221="","",IFERROR(INDEX(智能流水!$J$2:$J$1001,MATCH($B221,智能流水!$B$2:$B$1001,0)),""))</f>
        <v/>
      </c>
      <c r="K221" s="35">
        <f>IF($B221="","",IFERROR(INDEX(智能流水!$K$2:$K$1001,MATCH($B221,智能流水!$B$2:$B$1001,0)),""))</f>
        <v/>
      </c>
      <c r="L221" s="32">
        <f>IF($B221="","",IFERROR(INDEX(智能流水!$L$2:$L$1001,MATCH($B221,智能流水!$B$2:$B$1001,0)),""))</f>
        <v/>
      </c>
      <c r="M221" s="32">
        <f>IF($B221="","",IFERROR(INDEX(智能流水!$M$2:$M$1001,MATCH($B221,智能流水!$B$2:$B$1001,0)),""))</f>
        <v/>
      </c>
      <c r="N221" s="32">
        <f>IF($B221="","",IFERROR(INDEX(智能流水!$N$2:$N$1001,MATCH($B221,智能流水!$B$2:$B$1001,0)),""))</f>
        <v/>
      </c>
      <c r="O221" s="32">
        <f>IF($B221="","",IFERROR(INDEX(智能流水!$O$2:$O$1001,MATCH($B221,智能流水!$B$2:$B$1001,0)),""))</f>
        <v/>
      </c>
    </row>
    <row r="222" ht="23" customHeight="1" s="21">
      <c r="A222" s="32">
        <f>IF($B222="","",221)</f>
        <v/>
      </c>
      <c r="B222" s="32">
        <f>IFERROR(LARGE(智能流水!$B$2:$B$1001,221),"")</f>
        <v/>
      </c>
      <c r="C222" s="33">
        <f>IF($B222="","",IFERROR(INDEX(智能流水!$C$2:$C$1001,MATCH($B222,智能流水!$B$2:$B$1001,0)),""))</f>
        <v/>
      </c>
      <c r="D222" s="34">
        <f>IF($B222="","",IFERROR(INDEX(智能流水!$D$2:$D$1001,MATCH($B222,智能流水!$B$2:$B$1001,0)),""))</f>
        <v/>
      </c>
      <c r="E222" s="34">
        <f>IF($B222="","",IFERROR(INDEX(智能流水!$E$2:$E$1001,MATCH($B222,智能流水!$B$2:$B$1001,0)),""))</f>
        <v/>
      </c>
      <c r="F222" s="34">
        <f>IF($B222="","",IFERROR(INDEX(智能流水!$F$2:$F$1001,MATCH($B222,智能流水!$B$2:$B$1001,0)),""))</f>
        <v/>
      </c>
      <c r="G222" s="32">
        <f>IF($B222="","",IFERROR(INDEX(智能流水!$G$2:$G$1001,MATCH($B222,智能流水!$B$2:$B$1001,0)),""))</f>
        <v/>
      </c>
      <c r="H222" s="32">
        <f>IF($B222="","",IFERROR(INDEX(智能流水!$H$2:$H$1001,MATCH($B222,智能流水!$B$2:$B$1001,0)),""))</f>
        <v/>
      </c>
      <c r="I222" s="32">
        <f>IF($B222="","",IFERROR(INDEX(智能流水!$I$2:$I$1001,MATCH($B222,智能流水!$B$2:$B$1001,0)),""))</f>
        <v/>
      </c>
      <c r="J222" s="32">
        <f>IF($B222="","",IFERROR(INDEX(智能流水!$J$2:$J$1001,MATCH($B222,智能流水!$B$2:$B$1001,0)),""))</f>
        <v/>
      </c>
      <c r="K222" s="35">
        <f>IF($B222="","",IFERROR(INDEX(智能流水!$K$2:$K$1001,MATCH($B222,智能流水!$B$2:$B$1001,0)),""))</f>
        <v/>
      </c>
      <c r="L222" s="32">
        <f>IF($B222="","",IFERROR(INDEX(智能流水!$L$2:$L$1001,MATCH($B222,智能流水!$B$2:$B$1001,0)),""))</f>
        <v/>
      </c>
      <c r="M222" s="32">
        <f>IF($B222="","",IFERROR(INDEX(智能流水!$M$2:$M$1001,MATCH($B222,智能流水!$B$2:$B$1001,0)),""))</f>
        <v/>
      </c>
      <c r="N222" s="32">
        <f>IF($B222="","",IFERROR(INDEX(智能流水!$N$2:$N$1001,MATCH($B222,智能流水!$B$2:$B$1001,0)),""))</f>
        <v/>
      </c>
      <c r="O222" s="32">
        <f>IF($B222="","",IFERROR(INDEX(智能流水!$O$2:$O$1001,MATCH($B222,智能流水!$B$2:$B$1001,0)),""))</f>
        <v/>
      </c>
    </row>
    <row r="223" ht="23" customHeight="1" s="21">
      <c r="A223" s="32">
        <f>IF($B223="","",222)</f>
        <v/>
      </c>
      <c r="B223" s="32">
        <f>IFERROR(LARGE(智能流水!$B$2:$B$1001,222),"")</f>
        <v/>
      </c>
      <c r="C223" s="33">
        <f>IF($B223="","",IFERROR(INDEX(智能流水!$C$2:$C$1001,MATCH($B223,智能流水!$B$2:$B$1001,0)),""))</f>
        <v/>
      </c>
      <c r="D223" s="34">
        <f>IF($B223="","",IFERROR(INDEX(智能流水!$D$2:$D$1001,MATCH($B223,智能流水!$B$2:$B$1001,0)),""))</f>
        <v/>
      </c>
      <c r="E223" s="34">
        <f>IF($B223="","",IFERROR(INDEX(智能流水!$E$2:$E$1001,MATCH($B223,智能流水!$B$2:$B$1001,0)),""))</f>
        <v/>
      </c>
      <c r="F223" s="34">
        <f>IF($B223="","",IFERROR(INDEX(智能流水!$F$2:$F$1001,MATCH($B223,智能流水!$B$2:$B$1001,0)),""))</f>
        <v/>
      </c>
      <c r="G223" s="32">
        <f>IF($B223="","",IFERROR(INDEX(智能流水!$G$2:$G$1001,MATCH($B223,智能流水!$B$2:$B$1001,0)),""))</f>
        <v/>
      </c>
      <c r="H223" s="32">
        <f>IF($B223="","",IFERROR(INDEX(智能流水!$H$2:$H$1001,MATCH($B223,智能流水!$B$2:$B$1001,0)),""))</f>
        <v/>
      </c>
      <c r="I223" s="32">
        <f>IF($B223="","",IFERROR(INDEX(智能流水!$I$2:$I$1001,MATCH($B223,智能流水!$B$2:$B$1001,0)),""))</f>
        <v/>
      </c>
      <c r="J223" s="32">
        <f>IF($B223="","",IFERROR(INDEX(智能流水!$J$2:$J$1001,MATCH($B223,智能流水!$B$2:$B$1001,0)),""))</f>
        <v/>
      </c>
      <c r="K223" s="35">
        <f>IF($B223="","",IFERROR(INDEX(智能流水!$K$2:$K$1001,MATCH($B223,智能流水!$B$2:$B$1001,0)),""))</f>
        <v/>
      </c>
      <c r="L223" s="32">
        <f>IF($B223="","",IFERROR(INDEX(智能流水!$L$2:$L$1001,MATCH($B223,智能流水!$B$2:$B$1001,0)),""))</f>
        <v/>
      </c>
      <c r="M223" s="32">
        <f>IF($B223="","",IFERROR(INDEX(智能流水!$M$2:$M$1001,MATCH($B223,智能流水!$B$2:$B$1001,0)),""))</f>
        <v/>
      </c>
      <c r="N223" s="32">
        <f>IF($B223="","",IFERROR(INDEX(智能流水!$N$2:$N$1001,MATCH($B223,智能流水!$B$2:$B$1001,0)),""))</f>
        <v/>
      </c>
      <c r="O223" s="32">
        <f>IF($B223="","",IFERROR(INDEX(智能流水!$O$2:$O$1001,MATCH($B223,智能流水!$B$2:$B$1001,0)),""))</f>
        <v/>
      </c>
    </row>
    <row r="224" ht="23" customHeight="1" s="21">
      <c r="A224" s="32">
        <f>IF($B224="","",223)</f>
        <v/>
      </c>
      <c r="B224" s="32">
        <f>IFERROR(LARGE(智能流水!$B$2:$B$1001,223),"")</f>
        <v/>
      </c>
      <c r="C224" s="33">
        <f>IF($B224="","",IFERROR(INDEX(智能流水!$C$2:$C$1001,MATCH($B224,智能流水!$B$2:$B$1001,0)),""))</f>
        <v/>
      </c>
      <c r="D224" s="34">
        <f>IF($B224="","",IFERROR(INDEX(智能流水!$D$2:$D$1001,MATCH($B224,智能流水!$B$2:$B$1001,0)),""))</f>
        <v/>
      </c>
      <c r="E224" s="34">
        <f>IF($B224="","",IFERROR(INDEX(智能流水!$E$2:$E$1001,MATCH($B224,智能流水!$B$2:$B$1001,0)),""))</f>
        <v/>
      </c>
      <c r="F224" s="34">
        <f>IF($B224="","",IFERROR(INDEX(智能流水!$F$2:$F$1001,MATCH($B224,智能流水!$B$2:$B$1001,0)),""))</f>
        <v/>
      </c>
      <c r="G224" s="32">
        <f>IF($B224="","",IFERROR(INDEX(智能流水!$G$2:$G$1001,MATCH($B224,智能流水!$B$2:$B$1001,0)),""))</f>
        <v/>
      </c>
      <c r="H224" s="32">
        <f>IF($B224="","",IFERROR(INDEX(智能流水!$H$2:$H$1001,MATCH($B224,智能流水!$B$2:$B$1001,0)),""))</f>
        <v/>
      </c>
      <c r="I224" s="32">
        <f>IF($B224="","",IFERROR(INDEX(智能流水!$I$2:$I$1001,MATCH($B224,智能流水!$B$2:$B$1001,0)),""))</f>
        <v/>
      </c>
      <c r="J224" s="32">
        <f>IF($B224="","",IFERROR(INDEX(智能流水!$J$2:$J$1001,MATCH($B224,智能流水!$B$2:$B$1001,0)),""))</f>
        <v/>
      </c>
      <c r="K224" s="35">
        <f>IF($B224="","",IFERROR(INDEX(智能流水!$K$2:$K$1001,MATCH($B224,智能流水!$B$2:$B$1001,0)),""))</f>
        <v/>
      </c>
      <c r="L224" s="32">
        <f>IF($B224="","",IFERROR(INDEX(智能流水!$L$2:$L$1001,MATCH($B224,智能流水!$B$2:$B$1001,0)),""))</f>
        <v/>
      </c>
      <c r="M224" s="32">
        <f>IF($B224="","",IFERROR(INDEX(智能流水!$M$2:$M$1001,MATCH($B224,智能流水!$B$2:$B$1001,0)),""))</f>
        <v/>
      </c>
      <c r="N224" s="32">
        <f>IF($B224="","",IFERROR(INDEX(智能流水!$N$2:$N$1001,MATCH($B224,智能流水!$B$2:$B$1001,0)),""))</f>
        <v/>
      </c>
      <c r="O224" s="32">
        <f>IF($B224="","",IFERROR(INDEX(智能流水!$O$2:$O$1001,MATCH($B224,智能流水!$B$2:$B$1001,0)),""))</f>
        <v/>
      </c>
    </row>
    <row r="225" ht="23" customHeight="1" s="21">
      <c r="A225" s="32">
        <f>IF($B225="","",224)</f>
        <v/>
      </c>
      <c r="B225" s="32">
        <f>IFERROR(LARGE(智能流水!$B$2:$B$1001,224),"")</f>
        <v/>
      </c>
      <c r="C225" s="33">
        <f>IF($B225="","",IFERROR(INDEX(智能流水!$C$2:$C$1001,MATCH($B225,智能流水!$B$2:$B$1001,0)),""))</f>
        <v/>
      </c>
      <c r="D225" s="34">
        <f>IF($B225="","",IFERROR(INDEX(智能流水!$D$2:$D$1001,MATCH($B225,智能流水!$B$2:$B$1001,0)),""))</f>
        <v/>
      </c>
      <c r="E225" s="34">
        <f>IF($B225="","",IFERROR(INDEX(智能流水!$E$2:$E$1001,MATCH($B225,智能流水!$B$2:$B$1001,0)),""))</f>
        <v/>
      </c>
      <c r="F225" s="34">
        <f>IF($B225="","",IFERROR(INDEX(智能流水!$F$2:$F$1001,MATCH($B225,智能流水!$B$2:$B$1001,0)),""))</f>
        <v/>
      </c>
      <c r="G225" s="32">
        <f>IF($B225="","",IFERROR(INDEX(智能流水!$G$2:$G$1001,MATCH($B225,智能流水!$B$2:$B$1001,0)),""))</f>
        <v/>
      </c>
      <c r="H225" s="32">
        <f>IF($B225="","",IFERROR(INDEX(智能流水!$H$2:$H$1001,MATCH($B225,智能流水!$B$2:$B$1001,0)),""))</f>
        <v/>
      </c>
      <c r="I225" s="32">
        <f>IF($B225="","",IFERROR(INDEX(智能流水!$I$2:$I$1001,MATCH($B225,智能流水!$B$2:$B$1001,0)),""))</f>
        <v/>
      </c>
      <c r="J225" s="32">
        <f>IF($B225="","",IFERROR(INDEX(智能流水!$J$2:$J$1001,MATCH($B225,智能流水!$B$2:$B$1001,0)),""))</f>
        <v/>
      </c>
      <c r="K225" s="35">
        <f>IF($B225="","",IFERROR(INDEX(智能流水!$K$2:$K$1001,MATCH($B225,智能流水!$B$2:$B$1001,0)),""))</f>
        <v/>
      </c>
      <c r="L225" s="32">
        <f>IF($B225="","",IFERROR(INDEX(智能流水!$L$2:$L$1001,MATCH($B225,智能流水!$B$2:$B$1001,0)),""))</f>
        <v/>
      </c>
      <c r="M225" s="32">
        <f>IF($B225="","",IFERROR(INDEX(智能流水!$M$2:$M$1001,MATCH($B225,智能流水!$B$2:$B$1001,0)),""))</f>
        <v/>
      </c>
      <c r="N225" s="32">
        <f>IF($B225="","",IFERROR(INDEX(智能流水!$N$2:$N$1001,MATCH($B225,智能流水!$B$2:$B$1001,0)),""))</f>
        <v/>
      </c>
      <c r="O225" s="32">
        <f>IF($B225="","",IFERROR(INDEX(智能流水!$O$2:$O$1001,MATCH($B225,智能流水!$B$2:$B$1001,0)),""))</f>
        <v/>
      </c>
    </row>
    <row r="226" ht="23" customHeight="1" s="21">
      <c r="A226" s="32">
        <f>IF($B226="","",225)</f>
        <v/>
      </c>
      <c r="B226" s="32">
        <f>IFERROR(LARGE(智能流水!$B$2:$B$1001,225),"")</f>
        <v/>
      </c>
      <c r="C226" s="33">
        <f>IF($B226="","",IFERROR(INDEX(智能流水!$C$2:$C$1001,MATCH($B226,智能流水!$B$2:$B$1001,0)),""))</f>
        <v/>
      </c>
      <c r="D226" s="34">
        <f>IF($B226="","",IFERROR(INDEX(智能流水!$D$2:$D$1001,MATCH($B226,智能流水!$B$2:$B$1001,0)),""))</f>
        <v/>
      </c>
      <c r="E226" s="34">
        <f>IF($B226="","",IFERROR(INDEX(智能流水!$E$2:$E$1001,MATCH($B226,智能流水!$B$2:$B$1001,0)),""))</f>
        <v/>
      </c>
      <c r="F226" s="34">
        <f>IF($B226="","",IFERROR(INDEX(智能流水!$F$2:$F$1001,MATCH($B226,智能流水!$B$2:$B$1001,0)),""))</f>
        <v/>
      </c>
      <c r="G226" s="32">
        <f>IF($B226="","",IFERROR(INDEX(智能流水!$G$2:$G$1001,MATCH($B226,智能流水!$B$2:$B$1001,0)),""))</f>
        <v/>
      </c>
      <c r="H226" s="32">
        <f>IF($B226="","",IFERROR(INDEX(智能流水!$H$2:$H$1001,MATCH($B226,智能流水!$B$2:$B$1001,0)),""))</f>
        <v/>
      </c>
      <c r="I226" s="32">
        <f>IF($B226="","",IFERROR(INDEX(智能流水!$I$2:$I$1001,MATCH($B226,智能流水!$B$2:$B$1001,0)),""))</f>
        <v/>
      </c>
      <c r="J226" s="32">
        <f>IF($B226="","",IFERROR(INDEX(智能流水!$J$2:$J$1001,MATCH($B226,智能流水!$B$2:$B$1001,0)),""))</f>
        <v/>
      </c>
      <c r="K226" s="35">
        <f>IF($B226="","",IFERROR(INDEX(智能流水!$K$2:$K$1001,MATCH($B226,智能流水!$B$2:$B$1001,0)),""))</f>
        <v/>
      </c>
      <c r="L226" s="32">
        <f>IF($B226="","",IFERROR(INDEX(智能流水!$L$2:$L$1001,MATCH($B226,智能流水!$B$2:$B$1001,0)),""))</f>
        <v/>
      </c>
      <c r="M226" s="32">
        <f>IF($B226="","",IFERROR(INDEX(智能流水!$M$2:$M$1001,MATCH($B226,智能流水!$B$2:$B$1001,0)),""))</f>
        <v/>
      </c>
      <c r="N226" s="32">
        <f>IF($B226="","",IFERROR(INDEX(智能流水!$N$2:$N$1001,MATCH($B226,智能流水!$B$2:$B$1001,0)),""))</f>
        <v/>
      </c>
      <c r="O226" s="32">
        <f>IF($B226="","",IFERROR(INDEX(智能流水!$O$2:$O$1001,MATCH($B226,智能流水!$B$2:$B$1001,0)),""))</f>
        <v/>
      </c>
    </row>
    <row r="227" ht="23" customHeight="1" s="21">
      <c r="A227" s="32">
        <f>IF($B227="","",226)</f>
        <v/>
      </c>
      <c r="B227" s="32">
        <f>IFERROR(LARGE(智能流水!$B$2:$B$1001,226),"")</f>
        <v/>
      </c>
      <c r="C227" s="33">
        <f>IF($B227="","",IFERROR(INDEX(智能流水!$C$2:$C$1001,MATCH($B227,智能流水!$B$2:$B$1001,0)),""))</f>
        <v/>
      </c>
      <c r="D227" s="34">
        <f>IF($B227="","",IFERROR(INDEX(智能流水!$D$2:$D$1001,MATCH($B227,智能流水!$B$2:$B$1001,0)),""))</f>
        <v/>
      </c>
      <c r="E227" s="34">
        <f>IF($B227="","",IFERROR(INDEX(智能流水!$E$2:$E$1001,MATCH($B227,智能流水!$B$2:$B$1001,0)),""))</f>
        <v/>
      </c>
      <c r="F227" s="34">
        <f>IF($B227="","",IFERROR(INDEX(智能流水!$F$2:$F$1001,MATCH($B227,智能流水!$B$2:$B$1001,0)),""))</f>
        <v/>
      </c>
      <c r="G227" s="32">
        <f>IF($B227="","",IFERROR(INDEX(智能流水!$G$2:$G$1001,MATCH($B227,智能流水!$B$2:$B$1001,0)),""))</f>
        <v/>
      </c>
      <c r="H227" s="32">
        <f>IF($B227="","",IFERROR(INDEX(智能流水!$H$2:$H$1001,MATCH($B227,智能流水!$B$2:$B$1001,0)),""))</f>
        <v/>
      </c>
      <c r="I227" s="32">
        <f>IF($B227="","",IFERROR(INDEX(智能流水!$I$2:$I$1001,MATCH($B227,智能流水!$B$2:$B$1001,0)),""))</f>
        <v/>
      </c>
      <c r="J227" s="32">
        <f>IF($B227="","",IFERROR(INDEX(智能流水!$J$2:$J$1001,MATCH($B227,智能流水!$B$2:$B$1001,0)),""))</f>
        <v/>
      </c>
      <c r="K227" s="35">
        <f>IF($B227="","",IFERROR(INDEX(智能流水!$K$2:$K$1001,MATCH($B227,智能流水!$B$2:$B$1001,0)),""))</f>
        <v/>
      </c>
      <c r="L227" s="32">
        <f>IF($B227="","",IFERROR(INDEX(智能流水!$L$2:$L$1001,MATCH($B227,智能流水!$B$2:$B$1001,0)),""))</f>
        <v/>
      </c>
      <c r="M227" s="32">
        <f>IF($B227="","",IFERROR(INDEX(智能流水!$M$2:$M$1001,MATCH($B227,智能流水!$B$2:$B$1001,0)),""))</f>
        <v/>
      </c>
      <c r="N227" s="32">
        <f>IF($B227="","",IFERROR(INDEX(智能流水!$N$2:$N$1001,MATCH($B227,智能流水!$B$2:$B$1001,0)),""))</f>
        <v/>
      </c>
      <c r="O227" s="32">
        <f>IF($B227="","",IFERROR(INDEX(智能流水!$O$2:$O$1001,MATCH($B227,智能流水!$B$2:$B$1001,0)),""))</f>
        <v/>
      </c>
    </row>
    <row r="228" ht="23" customHeight="1" s="21">
      <c r="A228" s="32">
        <f>IF($B228="","",227)</f>
        <v/>
      </c>
      <c r="B228" s="32">
        <f>IFERROR(LARGE(智能流水!$B$2:$B$1001,227),"")</f>
        <v/>
      </c>
      <c r="C228" s="33">
        <f>IF($B228="","",IFERROR(INDEX(智能流水!$C$2:$C$1001,MATCH($B228,智能流水!$B$2:$B$1001,0)),""))</f>
        <v/>
      </c>
      <c r="D228" s="34">
        <f>IF($B228="","",IFERROR(INDEX(智能流水!$D$2:$D$1001,MATCH($B228,智能流水!$B$2:$B$1001,0)),""))</f>
        <v/>
      </c>
      <c r="E228" s="34">
        <f>IF($B228="","",IFERROR(INDEX(智能流水!$E$2:$E$1001,MATCH($B228,智能流水!$B$2:$B$1001,0)),""))</f>
        <v/>
      </c>
      <c r="F228" s="34">
        <f>IF($B228="","",IFERROR(INDEX(智能流水!$F$2:$F$1001,MATCH($B228,智能流水!$B$2:$B$1001,0)),""))</f>
        <v/>
      </c>
      <c r="G228" s="32">
        <f>IF($B228="","",IFERROR(INDEX(智能流水!$G$2:$G$1001,MATCH($B228,智能流水!$B$2:$B$1001,0)),""))</f>
        <v/>
      </c>
      <c r="H228" s="32">
        <f>IF($B228="","",IFERROR(INDEX(智能流水!$H$2:$H$1001,MATCH($B228,智能流水!$B$2:$B$1001,0)),""))</f>
        <v/>
      </c>
      <c r="I228" s="32">
        <f>IF($B228="","",IFERROR(INDEX(智能流水!$I$2:$I$1001,MATCH($B228,智能流水!$B$2:$B$1001,0)),""))</f>
        <v/>
      </c>
      <c r="J228" s="32">
        <f>IF($B228="","",IFERROR(INDEX(智能流水!$J$2:$J$1001,MATCH($B228,智能流水!$B$2:$B$1001,0)),""))</f>
        <v/>
      </c>
      <c r="K228" s="35">
        <f>IF($B228="","",IFERROR(INDEX(智能流水!$K$2:$K$1001,MATCH($B228,智能流水!$B$2:$B$1001,0)),""))</f>
        <v/>
      </c>
      <c r="L228" s="32">
        <f>IF($B228="","",IFERROR(INDEX(智能流水!$L$2:$L$1001,MATCH($B228,智能流水!$B$2:$B$1001,0)),""))</f>
        <v/>
      </c>
      <c r="M228" s="32">
        <f>IF($B228="","",IFERROR(INDEX(智能流水!$M$2:$M$1001,MATCH($B228,智能流水!$B$2:$B$1001,0)),""))</f>
        <v/>
      </c>
      <c r="N228" s="32">
        <f>IF($B228="","",IFERROR(INDEX(智能流水!$N$2:$N$1001,MATCH($B228,智能流水!$B$2:$B$1001,0)),""))</f>
        <v/>
      </c>
      <c r="O228" s="32">
        <f>IF($B228="","",IFERROR(INDEX(智能流水!$O$2:$O$1001,MATCH($B228,智能流水!$B$2:$B$1001,0)),""))</f>
        <v/>
      </c>
    </row>
    <row r="229" ht="23" customHeight="1" s="21">
      <c r="A229" s="32">
        <f>IF($B229="","",228)</f>
        <v/>
      </c>
      <c r="B229" s="32">
        <f>IFERROR(LARGE(智能流水!$B$2:$B$1001,228),"")</f>
        <v/>
      </c>
      <c r="C229" s="33">
        <f>IF($B229="","",IFERROR(INDEX(智能流水!$C$2:$C$1001,MATCH($B229,智能流水!$B$2:$B$1001,0)),""))</f>
        <v/>
      </c>
      <c r="D229" s="34">
        <f>IF($B229="","",IFERROR(INDEX(智能流水!$D$2:$D$1001,MATCH($B229,智能流水!$B$2:$B$1001,0)),""))</f>
        <v/>
      </c>
      <c r="E229" s="34">
        <f>IF($B229="","",IFERROR(INDEX(智能流水!$E$2:$E$1001,MATCH($B229,智能流水!$B$2:$B$1001,0)),""))</f>
        <v/>
      </c>
      <c r="F229" s="34">
        <f>IF($B229="","",IFERROR(INDEX(智能流水!$F$2:$F$1001,MATCH($B229,智能流水!$B$2:$B$1001,0)),""))</f>
        <v/>
      </c>
      <c r="G229" s="32">
        <f>IF($B229="","",IFERROR(INDEX(智能流水!$G$2:$G$1001,MATCH($B229,智能流水!$B$2:$B$1001,0)),""))</f>
        <v/>
      </c>
      <c r="H229" s="32">
        <f>IF($B229="","",IFERROR(INDEX(智能流水!$H$2:$H$1001,MATCH($B229,智能流水!$B$2:$B$1001,0)),""))</f>
        <v/>
      </c>
      <c r="I229" s="32">
        <f>IF($B229="","",IFERROR(INDEX(智能流水!$I$2:$I$1001,MATCH($B229,智能流水!$B$2:$B$1001,0)),""))</f>
        <v/>
      </c>
      <c r="J229" s="32">
        <f>IF($B229="","",IFERROR(INDEX(智能流水!$J$2:$J$1001,MATCH($B229,智能流水!$B$2:$B$1001,0)),""))</f>
        <v/>
      </c>
      <c r="K229" s="35">
        <f>IF($B229="","",IFERROR(INDEX(智能流水!$K$2:$K$1001,MATCH($B229,智能流水!$B$2:$B$1001,0)),""))</f>
        <v/>
      </c>
      <c r="L229" s="32">
        <f>IF($B229="","",IFERROR(INDEX(智能流水!$L$2:$L$1001,MATCH($B229,智能流水!$B$2:$B$1001,0)),""))</f>
        <v/>
      </c>
      <c r="M229" s="32">
        <f>IF($B229="","",IFERROR(INDEX(智能流水!$M$2:$M$1001,MATCH($B229,智能流水!$B$2:$B$1001,0)),""))</f>
        <v/>
      </c>
      <c r="N229" s="32">
        <f>IF($B229="","",IFERROR(INDEX(智能流水!$N$2:$N$1001,MATCH($B229,智能流水!$B$2:$B$1001,0)),""))</f>
        <v/>
      </c>
      <c r="O229" s="32">
        <f>IF($B229="","",IFERROR(INDEX(智能流水!$O$2:$O$1001,MATCH($B229,智能流水!$B$2:$B$1001,0)),""))</f>
        <v/>
      </c>
    </row>
    <row r="230" ht="23" customHeight="1" s="21">
      <c r="A230" s="32">
        <f>IF($B230="","",229)</f>
        <v/>
      </c>
      <c r="B230" s="32">
        <f>IFERROR(LARGE(智能流水!$B$2:$B$1001,229),"")</f>
        <v/>
      </c>
      <c r="C230" s="33">
        <f>IF($B230="","",IFERROR(INDEX(智能流水!$C$2:$C$1001,MATCH($B230,智能流水!$B$2:$B$1001,0)),""))</f>
        <v/>
      </c>
      <c r="D230" s="34">
        <f>IF($B230="","",IFERROR(INDEX(智能流水!$D$2:$D$1001,MATCH($B230,智能流水!$B$2:$B$1001,0)),""))</f>
        <v/>
      </c>
      <c r="E230" s="34">
        <f>IF($B230="","",IFERROR(INDEX(智能流水!$E$2:$E$1001,MATCH($B230,智能流水!$B$2:$B$1001,0)),""))</f>
        <v/>
      </c>
      <c r="F230" s="34">
        <f>IF($B230="","",IFERROR(INDEX(智能流水!$F$2:$F$1001,MATCH($B230,智能流水!$B$2:$B$1001,0)),""))</f>
        <v/>
      </c>
      <c r="G230" s="32">
        <f>IF($B230="","",IFERROR(INDEX(智能流水!$G$2:$G$1001,MATCH($B230,智能流水!$B$2:$B$1001,0)),""))</f>
        <v/>
      </c>
      <c r="H230" s="32">
        <f>IF($B230="","",IFERROR(INDEX(智能流水!$H$2:$H$1001,MATCH($B230,智能流水!$B$2:$B$1001,0)),""))</f>
        <v/>
      </c>
      <c r="I230" s="32">
        <f>IF($B230="","",IFERROR(INDEX(智能流水!$I$2:$I$1001,MATCH($B230,智能流水!$B$2:$B$1001,0)),""))</f>
        <v/>
      </c>
      <c r="J230" s="32">
        <f>IF($B230="","",IFERROR(INDEX(智能流水!$J$2:$J$1001,MATCH($B230,智能流水!$B$2:$B$1001,0)),""))</f>
        <v/>
      </c>
      <c r="K230" s="35">
        <f>IF($B230="","",IFERROR(INDEX(智能流水!$K$2:$K$1001,MATCH($B230,智能流水!$B$2:$B$1001,0)),""))</f>
        <v/>
      </c>
      <c r="L230" s="32">
        <f>IF($B230="","",IFERROR(INDEX(智能流水!$L$2:$L$1001,MATCH($B230,智能流水!$B$2:$B$1001,0)),""))</f>
        <v/>
      </c>
      <c r="M230" s="32">
        <f>IF($B230="","",IFERROR(INDEX(智能流水!$M$2:$M$1001,MATCH($B230,智能流水!$B$2:$B$1001,0)),""))</f>
        <v/>
      </c>
      <c r="N230" s="32">
        <f>IF($B230="","",IFERROR(INDEX(智能流水!$N$2:$N$1001,MATCH($B230,智能流水!$B$2:$B$1001,0)),""))</f>
        <v/>
      </c>
      <c r="O230" s="32">
        <f>IF($B230="","",IFERROR(INDEX(智能流水!$O$2:$O$1001,MATCH($B230,智能流水!$B$2:$B$1001,0)),""))</f>
        <v/>
      </c>
    </row>
    <row r="231" ht="23" customHeight="1" s="21">
      <c r="A231" s="32">
        <f>IF($B231="","",230)</f>
        <v/>
      </c>
      <c r="B231" s="32">
        <f>IFERROR(LARGE(智能流水!$B$2:$B$1001,230),"")</f>
        <v/>
      </c>
      <c r="C231" s="33">
        <f>IF($B231="","",IFERROR(INDEX(智能流水!$C$2:$C$1001,MATCH($B231,智能流水!$B$2:$B$1001,0)),""))</f>
        <v/>
      </c>
      <c r="D231" s="34">
        <f>IF($B231="","",IFERROR(INDEX(智能流水!$D$2:$D$1001,MATCH($B231,智能流水!$B$2:$B$1001,0)),""))</f>
        <v/>
      </c>
      <c r="E231" s="34">
        <f>IF($B231="","",IFERROR(INDEX(智能流水!$E$2:$E$1001,MATCH($B231,智能流水!$B$2:$B$1001,0)),""))</f>
        <v/>
      </c>
      <c r="F231" s="34">
        <f>IF($B231="","",IFERROR(INDEX(智能流水!$F$2:$F$1001,MATCH($B231,智能流水!$B$2:$B$1001,0)),""))</f>
        <v/>
      </c>
      <c r="G231" s="32">
        <f>IF($B231="","",IFERROR(INDEX(智能流水!$G$2:$G$1001,MATCH($B231,智能流水!$B$2:$B$1001,0)),""))</f>
        <v/>
      </c>
      <c r="H231" s="32">
        <f>IF($B231="","",IFERROR(INDEX(智能流水!$H$2:$H$1001,MATCH($B231,智能流水!$B$2:$B$1001,0)),""))</f>
        <v/>
      </c>
      <c r="I231" s="32">
        <f>IF($B231="","",IFERROR(INDEX(智能流水!$I$2:$I$1001,MATCH($B231,智能流水!$B$2:$B$1001,0)),""))</f>
        <v/>
      </c>
      <c r="J231" s="32">
        <f>IF($B231="","",IFERROR(INDEX(智能流水!$J$2:$J$1001,MATCH($B231,智能流水!$B$2:$B$1001,0)),""))</f>
        <v/>
      </c>
      <c r="K231" s="35">
        <f>IF($B231="","",IFERROR(INDEX(智能流水!$K$2:$K$1001,MATCH($B231,智能流水!$B$2:$B$1001,0)),""))</f>
        <v/>
      </c>
      <c r="L231" s="32">
        <f>IF($B231="","",IFERROR(INDEX(智能流水!$L$2:$L$1001,MATCH($B231,智能流水!$B$2:$B$1001,0)),""))</f>
        <v/>
      </c>
      <c r="M231" s="32">
        <f>IF($B231="","",IFERROR(INDEX(智能流水!$M$2:$M$1001,MATCH($B231,智能流水!$B$2:$B$1001,0)),""))</f>
        <v/>
      </c>
      <c r="N231" s="32">
        <f>IF($B231="","",IFERROR(INDEX(智能流水!$N$2:$N$1001,MATCH($B231,智能流水!$B$2:$B$1001,0)),""))</f>
        <v/>
      </c>
      <c r="O231" s="32">
        <f>IF($B231="","",IFERROR(INDEX(智能流水!$O$2:$O$1001,MATCH($B231,智能流水!$B$2:$B$1001,0)),""))</f>
        <v/>
      </c>
    </row>
    <row r="232" ht="23" customHeight="1" s="21">
      <c r="A232" s="32">
        <f>IF($B232="","",231)</f>
        <v/>
      </c>
      <c r="B232" s="32">
        <f>IFERROR(LARGE(智能流水!$B$2:$B$1001,231),"")</f>
        <v/>
      </c>
      <c r="C232" s="33">
        <f>IF($B232="","",IFERROR(INDEX(智能流水!$C$2:$C$1001,MATCH($B232,智能流水!$B$2:$B$1001,0)),""))</f>
        <v/>
      </c>
      <c r="D232" s="34">
        <f>IF($B232="","",IFERROR(INDEX(智能流水!$D$2:$D$1001,MATCH($B232,智能流水!$B$2:$B$1001,0)),""))</f>
        <v/>
      </c>
      <c r="E232" s="34">
        <f>IF($B232="","",IFERROR(INDEX(智能流水!$E$2:$E$1001,MATCH($B232,智能流水!$B$2:$B$1001,0)),""))</f>
        <v/>
      </c>
      <c r="F232" s="34">
        <f>IF($B232="","",IFERROR(INDEX(智能流水!$F$2:$F$1001,MATCH($B232,智能流水!$B$2:$B$1001,0)),""))</f>
        <v/>
      </c>
      <c r="G232" s="32">
        <f>IF($B232="","",IFERROR(INDEX(智能流水!$G$2:$G$1001,MATCH($B232,智能流水!$B$2:$B$1001,0)),""))</f>
        <v/>
      </c>
      <c r="H232" s="32">
        <f>IF($B232="","",IFERROR(INDEX(智能流水!$H$2:$H$1001,MATCH($B232,智能流水!$B$2:$B$1001,0)),""))</f>
        <v/>
      </c>
      <c r="I232" s="32">
        <f>IF($B232="","",IFERROR(INDEX(智能流水!$I$2:$I$1001,MATCH($B232,智能流水!$B$2:$B$1001,0)),""))</f>
        <v/>
      </c>
      <c r="J232" s="32">
        <f>IF($B232="","",IFERROR(INDEX(智能流水!$J$2:$J$1001,MATCH($B232,智能流水!$B$2:$B$1001,0)),""))</f>
        <v/>
      </c>
      <c r="K232" s="35">
        <f>IF($B232="","",IFERROR(INDEX(智能流水!$K$2:$K$1001,MATCH($B232,智能流水!$B$2:$B$1001,0)),""))</f>
        <v/>
      </c>
      <c r="L232" s="32">
        <f>IF($B232="","",IFERROR(INDEX(智能流水!$L$2:$L$1001,MATCH($B232,智能流水!$B$2:$B$1001,0)),""))</f>
        <v/>
      </c>
      <c r="M232" s="32">
        <f>IF($B232="","",IFERROR(INDEX(智能流水!$M$2:$M$1001,MATCH($B232,智能流水!$B$2:$B$1001,0)),""))</f>
        <v/>
      </c>
      <c r="N232" s="32">
        <f>IF($B232="","",IFERROR(INDEX(智能流水!$N$2:$N$1001,MATCH($B232,智能流水!$B$2:$B$1001,0)),""))</f>
        <v/>
      </c>
      <c r="O232" s="32">
        <f>IF($B232="","",IFERROR(INDEX(智能流水!$O$2:$O$1001,MATCH($B232,智能流水!$B$2:$B$1001,0)),""))</f>
        <v/>
      </c>
    </row>
    <row r="233" ht="23" customHeight="1" s="21">
      <c r="A233" s="32">
        <f>IF($B233="","",232)</f>
        <v/>
      </c>
      <c r="B233" s="32">
        <f>IFERROR(LARGE(智能流水!$B$2:$B$1001,232),"")</f>
        <v/>
      </c>
      <c r="C233" s="33">
        <f>IF($B233="","",IFERROR(INDEX(智能流水!$C$2:$C$1001,MATCH($B233,智能流水!$B$2:$B$1001,0)),""))</f>
        <v/>
      </c>
      <c r="D233" s="34">
        <f>IF($B233="","",IFERROR(INDEX(智能流水!$D$2:$D$1001,MATCH($B233,智能流水!$B$2:$B$1001,0)),""))</f>
        <v/>
      </c>
      <c r="E233" s="34">
        <f>IF($B233="","",IFERROR(INDEX(智能流水!$E$2:$E$1001,MATCH($B233,智能流水!$B$2:$B$1001,0)),""))</f>
        <v/>
      </c>
      <c r="F233" s="34">
        <f>IF($B233="","",IFERROR(INDEX(智能流水!$F$2:$F$1001,MATCH($B233,智能流水!$B$2:$B$1001,0)),""))</f>
        <v/>
      </c>
      <c r="G233" s="32">
        <f>IF($B233="","",IFERROR(INDEX(智能流水!$G$2:$G$1001,MATCH($B233,智能流水!$B$2:$B$1001,0)),""))</f>
        <v/>
      </c>
      <c r="H233" s="32">
        <f>IF($B233="","",IFERROR(INDEX(智能流水!$H$2:$H$1001,MATCH($B233,智能流水!$B$2:$B$1001,0)),""))</f>
        <v/>
      </c>
      <c r="I233" s="32">
        <f>IF($B233="","",IFERROR(INDEX(智能流水!$I$2:$I$1001,MATCH($B233,智能流水!$B$2:$B$1001,0)),""))</f>
        <v/>
      </c>
      <c r="J233" s="32">
        <f>IF($B233="","",IFERROR(INDEX(智能流水!$J$2:$J$1001,MATCH($B233,智能流水!$B$2:$B$1001,0)),""))</f>
        <v/>
      </c>
      <c r="K233" s="35">
        <f>IF($B233="","",IFERROR(INDEX(智能流水!$K$2:$K$1001,MATCH($B233,智能流水!$B$2:$B$1001,0)),""))</f>
        <v/>
      </c>
      <c r="L233" s="32">
        <f>IF($B233="","",IFERROR(INDEX(智能流水!$L$2:$L$1001,MATCH($B233,智能流水!$B$2:$B$1001,0)),""))</f>
        <v/>
      </c>
      <c r="M233" s="32">
        <f>IF($B233="","",IFERROR(INDEX(智能流水!$M$2:$M$1001,MATCH($B233,智能流水!$B$2:$B$1001,0)),""))</f>
        <v/>
      </c>
      <c r="N233" s="32">
        <f>IF($B233="","",IFERROR(INDEX(智能流水!$N$2:$N$1001,MATCH($B233,智能流水!$B$2:$B$1001,0)),""))</f>
        <v/>
      </c>
      <c r="O233" s="32">
        <f>IF($B233="","",IFERROR(INDEX(智能流水!$O$2:$O$1001,MATCH($B233,智能流水!$B$2:$B$1001,0)),""))</f>
        <v/>
      </c>
    </row>
    <row r="234" ht="23" customHeight="1" s="21">
      <c r="A234" s="32">
        <f>IF($B234="","",233)</f>
        <v/>
      </c>
      <c r="B234" s="32">
        <f>IFERROR(LARGE(智能流水!$B$2:$B$1001,233),"")</f>
        <v/>
      </c>
      <c r="C234" s="33">
        <f>IF($B234="","",IFERROR(INDEX(智能流水!$C$2:$C$1001,MATCH($B234,智能流水!$B$2:$B$1001,0)),""))</f>
        <v/>
      </c>
      <c r="D234" s="34">
        <f>IF($B234="","",IFERROR(INDEX(智能流水!$D$2:$D$1001,MATCH($B234,智能流水!$B$2:$B$1001,0)),""))</f>
        <v/>
      </c>
      <c r="E234" s="34">
        <f>IF($B234="","",IFERROR(INDEX(智能流水!$E$2:$E$1001,MATCH($B234,智能流水!$B$2:$B$1001,0)),""))</f>
        <v/>
      </c>
      <c r="F234" s="34">
        <f>IF($B234="","",IFERROR(INDEX(智能流水!$F$2:$F$1001,MATCH($B234,智能流水!$B$2:$B$1001,0)),""))</f>
        <v/>
      </c>
      <c r="G234" s="32">
        <f>IF($B234="","",IFERROR(INDEX(智能流水!$G$2:$G$1001,MATCH($B234,智能流水!$B$2:$B$1001,0)),""))</f>
        <v/>
      </c>
      <c r="H234" s="32">
        <f>IF($B234="","",IFERROR(INDEX(智能流水!$H$2:$H$1001,MATCH($B234,智能流水!$B$2:$B$1001,0)),""))</f>
        <v/>
      </c>
      <c r="I234" s="32">
        <f>IF($B234="","",IFERROR(INDEX(智能流水!$I$2:$I$1001,MATCH($B234,智能流水!$B$2:$B$1001,0)),""))</f>
        <v/>
      </c>
      <c r="J234" s="32">
        <f>IF($B234="","",IFERROR(INDEX(智能流水!$J$2:$J$1001,MATCH($B234,智能流水!$B$2:$B$1001,0)),""))</f>
        <v/>
      </c>
      <c r="K234" s="35">
        <f>IF($B234="","",IFERROR(INDEX(智能流水!$K$2:$K$1001,MATCH($B234,智能流水!$B$2:$B$1001,0)),""))</f>
        <v/>
      </c>
      <c r="L234" s="32">
        <f>IF($B234="","",IFERROR(INDEX(智能流水!$L$2:$L$1001,MATCH($B234,智能流水!$B$2:$B$1001,0)),""))</f>
        <v/>
      </c>
      <c r="M234" s="32">
        <f>IF($B234="","",IFERROR(INDEX(智能流水!$M$2:$M$1001,MATCH($B234,智能流水!$B$2:$B$1001,0)),""))</f>
        <v/>
      </c>
      <c r="N234" s="32">
        <f>IF($B234="","",IFERROR(INDEX(智能流水!$N$2:$N$1001,MATCH($B234,智能流水!$B$2:$B$1001,0)),""))</f>
        <v/>
      </c>
      <c r="O234" s="32">
        <f>IF($B234="","",IFERROR(INDEX(智能流水!$O$2:$O$1001,MATCH($B234,智能流水!$B$2:$B$1001,0)),""))</f>
        <v/>
      </c>
    </row>
    <row r="235" ht="23" customHeight="1" s="21">
      <c r="A235" s="32">
        <f>IF($B235="","",234)</f>
        <v/>
      </c>
      <c r="B235" s="32">
        <f>IFERROR(LARGE(智能流水!$B$2:$B$1001,234),"")</f>
        <v/>
      </c>
      <c r="C235" s="33">
        <f>IF($B235="","",IFERROR(INDEX(智能流水!$C$2:$C$1001,MATCH($B235,智能流水!$B$2:$B$1001,0)),""))</f>
        <v/>
      </c>
      <c r="D235" s="34">
        <f>IF($B235="","",IFERROR(INDEX(智能流水!$D$2:$D$1001,MATCH($B235,智能流水!$B$2:$B$1001,0)),""))</f>
        <v/>
      </c>
      <c r="E235" s="34">
        <f>IF($B235="","",IFERROR(INDEX(智能流水!$E$2:$E$1001,MATCH($B235,智能流水!$B$2:$B$1001,0)),""))</f>
        <v/>
      </c>
      <c r="F235" s="34">
        <f>IF($B235="","",IFERROR(INDEX(智能流水!$F$2:$F$1001,MATCH($B235,智能流水!$B$2:$B$1001,0)),""))</f>
        <v/>
      </c>
      <c r="G235" s="32">
        <f>IF($B235="","",IFERROR(INDEX(智能流水!$G$2:$G$1001,MATCH($B235,智能流水!$B$2:$B$1001,0)),""))</f>
        <v/>
      </c>
      <c r="H235" s="32">
        <f>IF($B235="","",IFERROR(INDEX(智能流水!$H$2:$H$1001,MATCH($B235,智能流水!$B$2:$B$1001,0)),""))</f>
        <v/>
      </c>
      <c r="I235" s="32">
        <f>IF($B235="","",IFERROR(INDEX(智能流水!$I$2:$I$1001,MATCH($B235,智能流水!$B$2:$B$1001,0)),""))</f>
        <v/>
      </c>
      <c r="J235" s="32">
        <f>IF($B235="","",IFERROR(INDEX(智能流水!$J$2:$J$1001,MATCH($B235,智能流水!$B$2:$B$1001,0)),""))</f>
        <v/>
      </c>
      <c r="K235" s="35">
        <f>IF($B235="","",IFERROR(INDEX(智能流水!$K$2:$K$1001,MATCH($B235,智能流水!$B$2:$B$1001,0)),""))</f>
        <v/>
      </c>
      <c r="L235" s="32">
        <f>IF($B235="","",IFERROR(INDEX(智能流水!$L$2:$L$1001,MATCH($B235,智能流水!$B$2:$B$1001,0)),""))</f>
        <v/>
      </c>
      <c r="M235" s="32">
        <f>IF($B235="","",IFERROR(INDEX(智能流水!$M$2:$M$1001,MATCH($B235,智能流水!$B$2:$B$1001,0)),""))</f>
        <v/>
      </c>
      <c r="N235" s="32">
        <f>IF($B235="","",IFERROR(INDEX(智能流水!$N$2:$N$1001,MATCH($B235,智能流水!$B$2:$B$1001,0)),""))</f>
        <v/>
      </c>
      <c r="O235" s="32">
        <f>IF($B235="","",IFERROR(INDEX(智能流水!$O$2:$O$1001,MATCH($B235,智能流水!$B$2:$B$1001,0)),""))</f>
        <v/>
      </c>
    </row>
    <row r="236" ht="23" customHeight="1" s="21">
      <c r="A236" s="32">
        <f>IF($B236="","",235)</f>
        <v/>
      </c>
      <c r="B236" s="32">
        <f>IFERROR(LARGE(智能流水!$B$2:$B$1001,235),"")</f>
        <v/>
      </c>
      <c r="C236" s="33">
        <f>IF($B236="","",IFERROR(INDEX(智能流水!$C$2:$C$1001,MATCH($B236,智能流水!$B$2:$B$1001,0)),""))</f>
        <v/>
      </c>
      <c r="D236" s="34">
        <f>IF($B236="","",IFERROR(INDEX(智能流水!$D$2:$D$1001,MATCH($B236,智能流水!$B$2:$B$1001,0)),""))</f>
        <v/>
      </c>
      <c r="E236" s="34">
        <f>IF($B236="","",IFERROR(INDEX(智能流水!$E$2:$E$1001,MATCH($B236,智能流水!$B$2:$B$1001,0)),""))</f>
        <v/>
      </c>
      <c r="F236" s="34">
        <f>IF($B236="","",IFERROR(INDEX(智能流水!$F$2:$F$1001,MATCH($B236,智能流水!$B$2:$B$1001,0)),""))</f>
        <v/>
      </c>
      <c r="G236" s="32">
        <f>IF($B236="","",IFERROR(INDEX(智能流水!$G$2:$G$1001,MATCH($B236,智能流水!$B$2:$B$1001,0)),""))</f>
        <v/>
      </c>
      <c r="H236" s="32">
        <f>IF($B236="","",IFERROR(INDEX(智能流水!$H$2:$H$1001,MATCH($B236,智能流水!$B$2:$B$1001,0)),""))</f>
        <v/>
      </c>
      <c r="I236" s="32">
        <f>IF($B236="","",IFERROR(INDEX(智能流水!$I$2:$I$1001,MATCH($B236,智能流水!$B$2:$B$1001,0)),""))</f>
        <v/>
      </c>
      <c r="J236" s="32">
        <f>IF($B236="","",IFERROR(INDEX(智能流水!$J$2:$J$1001,MATCH($B236,智能流水!$B$2:$B$1001,0)),""))</f>
        <v/>
      </c>
      <c r="K236" s="35">
        <f>IF($B236="","",IFERROR(INDEX(智能流水!$K$2:$K$1001,MATCH($B236,智能流水!$B$2:$B$1001,0)),""))</f>
        <v/>
      </c>
      <c r="L236" s="32">
        <f>IF($B236="","",IFERROR(INDEX(智能流水!$L$2:$L$1001,MATCH($B236,智能流水!$B$2:$B$1001,0)),""))</f>
        <v/>
      </c>
      <c r="M236" s="32">
        <f>IF($B236="","",IFERROR(INDEX(智能流水!$M$2:$M$1001,MATCH($B236,智能流水!$B$2:$B$1001,0)),""))</f>
        <v/>
      </c>
      <c r="N236" s="32">
        <f>IF($B236="","",IFERROR(INDEX(智能流水!$N$2:$N$1001,MATCH($B236,智能流水!$B$2:$B$1001,0)),""))</f>
        <v/>
      </c>
      <c r="O236" s="32">
        <f>IF($B236="","",IFERROR(INDEX(智能流水!$O$2:$O$1001,MATCH($B236,智能流水!$B$2:$B$1001,0)),""))</f>
        <v/>
      </c>
    </row>
    <row r="237" ht="23" customHeight="1" s="21">
      <c r="A237" s="32">
        <f>IF($B237="","",236)</f>
        <v/>
      </c>
      <c r="B237" s="32">
        <f>IFERROR(LARGE(智能流水!$B$2:$B$1001,236),"")</f>
        <v/>
      </c>
      <c r="C237" s="33">
        <f>IF($B237="","",IFERROR(INDEX(智能流水!$C$2:$C$1001,MATCH($B237,智能流水!$B$2:$B$1001,0)),""))</f>
        <v/>
      </c>
      <c r="D237" s="34">
        <f>IF($B237="","",IFERROR(INDEX(智能流水!$D$2:$D$1001,MATCH($B237,智能流水!$B$2:$B$1001,0)),""))</f>
        <v/>
      </c>
      <c r="E237" s="34">
        <f>IF($B237="","",IFERROR(INDEX(智能流水!$E$2:$E$1001,MATCH($B237,智能流水!$B$2:$B$1001,0)),""))</f>
        <v/>
      </c>
      <c r="F237" s="34">
        <f>IF($B237="","",IFERROR(INDEX(智能流水!$F$2:$F$1001,MATCH($B237,智能流水!$B$2:$B$1001,0)),""))</f>
        <v/>
      </c>
      <c r="G237" s="32">
        <f>IF($B237="","",IFERROR(INDEX(智能流水!$G$2:$G$1001,MATCH($B237,智能流水!$B$2:$B$1001,0)),""))</f>
        <v/>
      </c>
      <c r="H237" s="32">
        <f>IF($B237="","",IFERROR(INDEX(智能流水!$H$2:$H$1001,MATCH($B237,智能流水!$B$2:$B$1001,0)),""))</f>
        <v/>
      </c>
      <c r="I237" s="32">
        <f>IF($B237="","",IFERROR(INDEX(智能流水!$I$2:$I$1001,MATCH($B237,智能流水!$B$2:$B$1001,0)),""))</f>
        <v/>
      </c>
      <c r="J237" s="32">
        <f>IF($B237="","",IFERROR(INDEX(智能流水!$J$2:$J$1001,MATCH($B237,智能流水!$B$2:$B$1001,0)),""))</f>
        <v/>
      </c>
      <c r="K237" s="35">
        <f>IF($B237="","",IFERROR(INDEX(智能流水!$K$2:$K$1001,MATCH($B237,智能流水!$B$2:$B$1001,0)),""))</f>
        <v/>
      </c>
      <c r="L237" s="32">
        <f>IF($B237="","",IFERROR(INDEX(智能流水!$L$2:$L$1001,MATCH($B237,智能流水!$B$2:$B$1001,0)),""))</f>
        <v/>
      </c>
      <c r="M237" s="32">
        <f>IF($B237="","",IFERROR(INDEX(智能流水!$M$2:$M$1001,MATCH($B237,智能流水!$B$2:$B$1001,0)),""))</f>
        <v/>
      </c>
      <c r="N237" s="32">
        <f>IF($B237="","",IFERROR(INDEX(智能流水!$N$2:$N$1001,MATCH($B237,智能流水!$B$2:$B$1001,0)),""))</f>
        <v/>
      </c>
      <c r="O237" s="32">
        <f>IF($B237="","",IFERROR(INDEX(智能流水!$O$2:$O$1001,MATCH($B237,智能流水!$B$2:$B$1001,0)),""))</f>
        <v/>
      </c>
    </row>
    <row r="238" ht="23" customHeight="1" s="21">
      <c r="A238" s="32">
        <f>IF($B238="","",237)</f>
        <v/>
      </c>
      <c r="B238" s="32">
        <f>IFERROR(LARGE(智能流水!$B$2:$B$1001,237),"")</f>
        <v/>
      </c>
      <c r="C238" s="33">
        <f>IF($B238="","",IFERROR(INDEX(智能流水!$C$2:$C$1001,MATCH($B238,智能流水!$B$2:$B$1001,0)),""))</f>
        <v/>
      </c>
      <c r="D238" s="34">
        <f>IF($B238="","",IFERROR(INDEX(智能流水!$D$2:$D$1001,MATCH($B238,智能流水!$B$2:$B$1001,0)),""))</f>
        <v/>
      </c>
      <c r="E238" s="34">
        <f>IF($B238="","",IFERROR(INDEX(智能流水!$E$2:$E$1001,MATCH($B238,智能流水!$B$2:$B$1001,0)),""))</f>
        <v/>
      </c>
      <c r="F238" s="34">
        <f>IF($B238="","",IFERROR(INDEX(智能流水!$F$2:$F$1001,MATCH($B238,智能流水!$B$2:$B$1001,0)),""))</f>
        <v/>
      </c>
      <c r="G238" s="32">
        <f>IF($B238="","",IFERROR(INDEX(智能流水!$G$2:$G$1001,MATCH($B238,智能流水!$B$2:$B$1001,0)),""))</f>
        <v/>
      </c>
      <c r="H238" s="32">
        <f>IF($B238="","",IFERROR(INDEX(智能流水!$H$2:$H$1001,MATCH($B238,智能流水!$B$2:$B$1001,0)),""))</f>
        <v/>
      </c>
      <c r="I238" s="32">
        <f>IF($B238="","",IFERROR(INDEX(智能流水!$I$2:$I$1001,MATCH($B238,智能流水!$B$2:$B$1001,0)),""))</f>
        <v/>
      </c>
      <c r="J238" s="32">
        <f>IF($B238="","",IFERROR(INDEX(智能流水!$J$2:$J$1001,MATCH($B238,智能流水!$B$2:$B$1001,0)),""))</f>
        <v/>
      </c>
      <c r="K238" s="35">
        <f>IF($B238="","",IFERROR(INDEX(智能流水!$K$2:$K$1001,MATCH($B238,智能流水!$B$2:$B$1001,0)),""))</f>
        <v/>
      </c>
      <c r="L238" s="32">
        <f>IF($B238="","",IFERROR(INDEX(智能流水!$L$2:$L$1001,MATCH($B238,智能流水!$B$2:$B$1001,0)),""))</f>
        <v/>
      </c>
      <c r="M238" s="32">
        <f>IF($B238="","",IFERROR(INDEX(智能流水!$M$2:$M$1001,MATCH($B238,智能流水!$B$2:$B$1001,0)),""))</f>
        <v/>
      </c>
      <c r="N238" s="32">
        <f>IF($B238="","",IFERROR(INDEX(智能流水!$N$2:$N$1001,MATCH($B238,智能流水!$B$2:$B$1001,0)),""))</f>
        <v/>
      </c>
      <c r="O238" s="32">
        <f>IF($B238="","",IFERROR(INDEX(智能流水!$O$2:$O$1001,MATCH($B238,智能流水!$B$2:$B$1001,0)),""))</f>
        <v/>
      </c>
    </row>
    <row r="239" ht="23" customHeight="1" s="21">
      <c r="A239" s="32">
        <f>IF($B239="","",238)</f>
        <v/>
      </c>
      <c r="B239" s="32">
        <f>IFERROR(LARGE(智能流水!$B$2:$B$1001,238),"")</f>
        <v/>
      </c>
      <c r="C239" s="33">
        <f>IF($B239="","",IFERROR(INDEX(智能流水!$C$2:$C$1001,MATCH($B239,智能流水!$B$2:$B$1001,0)),""))</f>
        <v/>
      </c>
      <c r="D239" s="34">
        <f>IF($B239="","",IFERROR(INDEX(智能流水!$D$2:$D$1001,MATCH($B239,智能流水!$B$2:$B$1001,0)),""))</f>
        <v/>
      </c>
      <c r="E239" s="34">
        <f>IF($B239="","",IFERROR(INDEX(智能流水!$E$2:$E$1001,MATCH($B239,智能流水!$B$2:$B$1001,0)),""))</f>
        <v/>
      </c>
      <c r="F239" s="34">
        <f>IF($B239="","",IFERROR(INDEX(智能流水!$F$2:$F$1001,MATCH($B239,智能流水!$B$2:$B$1001,0)),""))</f>
        <v/>
      </c>
      <c r="G239" s="32">
        <f>IF($B239="","",IFERROR(INDEX(智能流水!$G$2:$G$1001,MATCH($B239,智能流水!$B$2:$B$1001,0)),""))</f>
        <v/>
      </c>
      <c r="H239" s="32">
        <f>IF($B239="","",IFERROR(INDEX(智能流水!$H$2:$H$1001,MATCH($B239,智能流水!$B$2:$B$1001,0)),""))</f>
        <v/>
      </c>
      <c r="I239" s="32">
        <f>IF($B239="","",IFERROR(INDEX(智能流水!$I$2:$I$1001,MATCH($B239,智能流水!$B$2:$B$1001,0)),""))</f>
        <v/>
      </c>
      <c r="J239" s="32">
        <f>IF($B239="","",IFERROR(INDEX(智能流水!$J$2:$J$1001,MATCH($B239,智能流水!$B$2:$B$1001,0)),""))</f>
        <v/>
      </c>
      <c r="K239" s="35">
        <f>IF($B239="","",IFERROR(INDEX(智能流水!$K$2:$K$1001,MATCH($B239,智能流水!$B$2:$B$1001,0)),""))</f>
        <v/>
      </c>
      <c r="L239" s="32">
        <f>IF($B239="","",IFERROR(INDEX(智能流水!$L$2:$L$1001,MATCH($B239,智能流水!$B$2:$B$1001,0)),""))</f>
        <v/>
      </c>
      <c r="M239" s="32">
        <f>IF($B239="","",IFERROR(INDEX(智能流水!$M$2:$M$1001,MATCH($B239,智能流水!$B$2:$B$1001,0)),""))</f>
        <v/>
      </c>
      <c r="N239" s="32">
        <f>IF($B239="","",IFERROR(INDEX(智能流水!$N$2:$N$1001,MATCH($B239,智能流水!$B$2:$B$1001,0)),""))</f>
        <v/>
      </c>
      <c r="O239" s="32">
        <f>IF($B239="","",IFERROR(INDEX(智能流水!$O$2:$O$1001,MATCH($B239,智能流水!$B$2:$B$1001,0)),""))</f>
        <v/>
      </c>
    </row>
    <row r="240" ht="23" customHeight="1" s="21">
      <c r="A240" s="32">
        <f>IF($B240="","",239)</f>
        <v/>
      </c>
      <c r="B240" s="32">
        <f>IFERROR(LARGE(智能流水!$B$2:$B$1001,239),"")</f>
        <v/>
      </c>
      <c r="C240" s="33">
        <f>IF($B240="","",IFERROR(INDEX(智能流水!$C$2:$C$1001,MATCH($B240,智能流水!$B$2:$B$1001,0)),""))</f>
        <v/>
      </c>
      <c r="D240" s="34">
        <f>IF($B240="","",IFERROR(INDEX(智能流水!$D$2:$D$1001,MATCH($B240,智能流水!$B$2:$B$1001,0)),""))</f>
        <v/>
      </c>
      <c r="E240" s="34">
        <f>IF($B240="","",IFERROR(INDEX(智能流水!$E$2:$E$1001,MATCH($B240,智能流水!$B$2:$B$1001,0)),""))</f>
        <v/>
      </c>
      <c r="F240" s="34">
        <f>IF($B240="","",IFERROR(INDEX(智能流水!$F$2:$F$1001,MATCH($B240,智能流水!$B$2:$B$1001,0)),""))</f>
        <v/>
      </c>
      <c r="G240" s="32">
        <f>IF($B240="","",IFERROR(INDEX(智能流水!$G$2:$G$1001,MATCH($B240,智能流水!$B$2:$B$1001,0)),""))</f>
        <v/>
      </c>
      <c r="H240" s="32">
        <f>IF($B240="","",IFERROR(INDEX(智能流水!$H$2:$H$1001,MATCH($B240,智能流水!$B$2:$B$1001,0)),""))</f>
        <v/>
      </c>
      <c r="I240" s="32">
        <f>IF($B240="","",IFERROR(INDEX(智能流水!$I$2:$I$1001,MATCH($B240,智能流水!$B$2:$B$1001,0)),""))</f>
        <v/>
      </c>
      <c r="J240" s="32">
        <f>IF($B240="","",IFERROR(INDEX(智能流水!$J$2:$J$1001,MATCH($B240,智能流水!$B$2:$B$1001,0)),""))</f>
        <v/>
      </c>
      <c r="K240" s="35">
        <f>IF($B240="","",IFERROR(INDEX(智能流水!$K$2:$K$1001,MATCH($B240,智能流水!$B$2:$B$1001,0)),""))</f>
        <v/>
      </c>
      <c r="L240" s="32">
        <f>IF($B240="","",IFERROR(INDEX(智能流水!$L$2:$L$1001,MATCH($B240,智能流水!$B$2:$B$1001,0)),""))</f>
        <v/>
      </c>
      <c r="M240" s="32">
        <f>IF($B240="","",IFERROR(INDEX(智能流水!$M$2:$M$1001,MATCH($B240,智能流水!$B$2:$B$1001,0)),""))</f>
        <v/>
      </c>
      <c r="N240" s="32">
        <f>IF($B240="","",IFERROR(INDEX(智能流水!$N$2:$N$1001,MATCH($B240,智能流水!$B$2:$B$1001,0)),""))</f>
        <v/>
      </c>
      <c r="O240" s="32">
        <f>IF($B240="","",IFERROR(INDEX(智能流水!$O$2:$O$1001,MATCH($B240,智能流水!$B$2:$B$1001,0)),""))</f>
        <v/>
      </c>
    </row>
    <row r="241" ht="23" customHeight="1" s="21">
      <c r="A241" s="32">
        <f>IF($B241="","",240)</f>
        <v/>
      </c>
      <c r="B241" s="32">
        <f>IFERROR(LARGE(智能流水!$B$2:$B$1001,240),"")</f>
        <v/>
      </c>
      <c r="C241" s="33">
        <f>IF($B241="","",IFERROR(INDEX(智能流水!$C$2:$C$1001,MATCH($B241,智能流水!$B$2:$B$1001,0)),""))</f>
        <v/>
      </c>
      <c r="D241" s="34">
        <f>IF($B241="","",IFERROR(INDEX(智能流水!$D$2:$D$1001,MATCH($B241,智能流水!$B$2:$B$1001,0)),""))</f>
        <v/>
      </c>
      <c r="E241" s="34">
        <f>IF($B241="","",IFERROR(INDEX(智能流水!$E$2:$E$1001,MATCH($B241,智能流水!$B$2:$B$1001,0)),""))</f>
        <v/>
      </c>
      <c r="F241" s="34">
        <f>IF($B241="","",IFERROR(INDEX(智能流水!$F$2:$F$1001,MATCH($B241,智能流水!$B$2:$B$1001,0)),""))</f>
        <v/>
      </c>
      <c r="G241" s="32">
        <f>IF($B241="","",IFERROR(INDEX(智能流水!$G$2:$G$1001,MATCH($B241,智能流水!$B$2:$B$1001,0)),""))</f>
        <v/>
      </c>
      <c r="H241" s="32">
        <f>IF($B241="","",IFERROR(INDEX(智能流水!$H$2:$H$1001,MATCH($B241,智能流水!$B$2:$B$1001,0)),""))</f>
        <v/>
      </c>
      <c r="I241" s="32">
        <f>IF($B241="","",IFERROR(INDEX(智能流水!$I$2:$I$1001,MATCH($B241,智能流水!$B$2:$B$1001,0)),""))</f>
        <v/>
      </c>
      <c r="J241" s="32">
        <f>IF($B241="","",IFERROR(INDEX(智能流水!$J$2:$J$1001,MATCH($B241,智能流水!$B$2:$B$1001,0)),""))</f>
        <v/>
      </c>
      <c r="K241" s="35">
        <f>IF($B241="","",IFERROR(INDEX(智能流水!$K$2:$K$1001,MATCH($B241,智能流水!$B$2:$B$1001,0)),""))</f>
        <v/>
      </c>
      <c r="L241" s="32">
        <f>IF($B241="","",IFERROR(INDEX(智能流水!$L$2:$L$1001,MATCH($B241,智能流水!$B$2:$B$1001,0)),""))</f>
        <v/>
      </c>
      <c r="M241" s="32">
        <f>IF($B241="","",IFERROR(INDEX(智能流水!$M$2:$M$1001,MATCH($B241,智能流水!$B$2:$B$1001,0)),""))</f>
        <v/>
      </c>
      <c r="N241" s="32">
        <f>IF($B241="","",IFERROR(INDEX(智能流水!$N$2:$N$1001,MATCH($B241,智能流水!$B$2:$B$1001,0)),""))</f>
        <v/>
      </c>
      <c r="O241" s="32">
        <f>IF($B241="","",IFERROR(INDEX(智能流水!$O$2:$O$1001,MATCH($B241,智能流水!$B$2:$B$1001,0)),""))</f>
        <v/>
      </c>
    </row>
    <row r="242" ht="23" customHeight="1" s="21">
      <c r="A242" s="32">
        <f>IF($B242="","",241)</f>
        <v/>
      </c>
      <c r="B242" s="32">
        <f>IFERROR(LARGE(智能流水!$B$2:$B$1001,241),"")</f>
        <v/>
      </c>
      <c r="C242" s="33">
        <f>IF($B242="","",IFERROR(INDEX(智能流水!$C$2:$C$1001,MATCH($B242,智能流水!$B$2:$B$1001,0)),""))</f>
        <v/>
      </c>
      <c r="D242" s="34">
        <f>IF($B242="","",IFERROR(INDEX(智能流水!$D$2:$D$1001,MATCH($B242,智能流水!$B$2:$B$1001,0)),""))</f>
        <v/>
      </c>
      <c r="E242" s="34">
        <f>IF($B242="","",IFERROR(INDEX(智能流水!$E$2:$E$1001,MATCH($B242,智能流水!$B$2:$B$1001,0)),""))</f>
        <v/>
      </c>
      <c r="F242" s="34">
        <f>IF($B242="","",IFERROR(INDEX(智能流水!$F$2:$F$1001,MATCH($B242,智能流水!$B$2:$B$1001,0)),""))</f>
        <v/>
      </c>
      <c r="G242" s="32">
        <f>IF($B242="","",IFERROR(INDEX(智能流水!$G$2:$G$1001,MATCH($B242,智能流水!$B$2:$B$1001,0)),""))</f>
        <v/>
      </c>
      <c r="H242" s="32">
        <f>IF($B242="","",IFERROR(INDEX(智能流水!$H$2:$H$1001,MATCH($B242,智能流水!$B$2:$B$1001,0)),""))</f>
        <v/>
      </c>
      <c r="I242" s="32">
        <f>IF($B242="","",IFERROR(INDEX(智能流水!$I$2:$I$1001,MATCH($B242,智能流水!$B$2:$B$1001,0)),""))</f>
        <v/>
      </c>
      <c r="J242" s="32">
        <f>IF($B242="","",IFERROR(INDEX(智能流水!$J$2:$J$1001,MATCH($B242,智能流水!$B$2:$B$1001,0)),""))</f>
        <v/>
      </c>
      <c r="K242" s="35">
        <f>IF($B242="","",IFERROR(INDEX(智能流水!$K$2:$K$1001,MATCH($B242,智能流水!$B$2:$B$1001,0)),""))</f>
        <v/>
      </c>
      <c r="L242" s="32">
        <f>IF($B242="","",IFERROR(INDEX(智能流水!$L$2:$L$1001,MATCH($B242,智能流水!$B$2:$B$1001,0)),""))</f>
        <v/>
      </c>
      <c r="M242" s="32">
        <f>IF($B242="","",IFERROR(INDEX(智能流水!$M$2:$M$1001,MATCH($B242,智能流水!$B$2:$B$1001,0)),""))</f>
        <v/>
      </c>
      <c r="N242" s="32">
        <f>IF($B242="","",IFERROR(INDEX(智能流水!$N$2:$N$1001,MATCH($B242,智能流水!$B$2:$B$1001,0)),""))</f>
        <v/>
      </c>
      <c r="O242" s="32">
        <f>IF($B242="","",IFERROR(INDEX(智能流水!$O$2:$O$1001,MATCH($B242,智能流水!$B$2:$B$1001,0)),""))</f>
        <v/>
      </c>
    </row>
    <row r="243" ht="23" customHeight="1" s="21">
      <c r="A243" s="32">
        <f>IF($B243="","",242)</f>
        <v/>
      </c>
      <c r="B243" s="32">
        <f>IFERROR(LARGE(智能流水!$B$2:$B$1001,242),"")</f>
        <v/>
      </c>
      <c r="C243" s="33">
        <f>IF($B243="","",IFERROR(INDEX(智能流水!$C$2:$C$1001,MATCH($B243,智能流水!$B$2:$B$1001,0)),""))</f>
        <v/>
      </c>
      <c r="D243" s="34">
        <f>IF($B243="","",IFERROR(INDEX(智能流水!$D$2:$D$1001,MATCH($B243,智能流水!$B$2:$B$1001,0)),""))</f>
        <v/>
      </c>
      <c r="E243" s="34">
        <f>IF($B243="","",IFERROR(INDEX(智能流水!$E$2:$E$1001,MATCH($B243,智能流水!$B$2:$B$1001,0)),""))</f>
        <v/>
      </c>
      <c r="F243" s="34">
        <f>IF($B243="","",IFERROR(INDEX(智能流水!$F$2:$F$1001,MATCH($B243,智能流水!$B$2:$B$1001,0)),""))</f>
        <v/>
      </c>
      <c r="G243" s="32">
        <f>IF($B243="","",IFERROR(INDEX(智能流水!$G$2:$G$1001,MATCH($B243,智能流水!$B$2:$B$1001,0)),""))</f>
        <v/>
      </c>
      <c r="H243" s="32">
        <f>IF($B243="","",IFERROR(INDEX(智能流水!$H$2:$H$1001,MATCH($B243,智能流水!$B$2:$B$1001,0)),""))</f>
        <v/>
      </c>
      <c r="I243" s="32">
        <f>IF($B243="","",IFERROR(INDEX(智能流水!$I$2:$I$1001,MATCH($B243,智能流水!$B$2:$B$1001,0)),""))</f>
        <v/>
      </c>
      <c r="J243" s="32">
        <f>IF($B243="","",IFERROR(INDEX(智能流水!$J$2:$J$1001,MATCH($B243,智能流水!$B$2:$B$1001,0)),""))</f>
        <v/>
      </c>
      <c r="K243" s="35">
        <f>IF($B243="","",IFERROR(INDEX(智能流水!$K$2:$K$1001,MATCH($B243,智能流水!$B$2:$B$1001,0)),""))</f>
        <v/>
      </c>
      <c r="L243" s="32">
        <f>IF($B243="","",IFERROR(INDEX(智能流水!$L$2:$L$1001,MATCH($B243,智能流水!$B$2:$B$1001,0)),""))</f>
        <v/>
      </c>
      <c r="M243" s="32">
        <f>IF($B243="","",IFERROR(INDEX(智能流水!$M$2:$M$1001,MATCH($B243,智能流水!$B$2:$B$1001,0)),""))</f>
        <v/>
      </c>
      <c r="N243" s="32">
        <f>IF($B243="","",IFERROR(INDEX(智能流水!$N$2:$N$1001,MATCH($B243,智能流水!$B$2:$B$1001,0)),""))</f>
        <v/>
      </c>
      <c r="O243" s="32">
        <f>IF($B243="","",IFERROR(INDEX(智能流水!$O$2:$O$1001,MATCH($B243,智能流水!$B$2:$B$1001,0)),""))</f>
        <v/>
      </c>
    </row>
    <row r="244" ht="23" customHeight="1" s="21">
      <c r="A244" s="32">
        <f>IF($B244="","",243)</f>
        <v/>
      </c>
      <c r="B244" s="32">
        <f>IFERROR(LARGE(智能流水!$B$2:$B$1001,243),"")</f>
        <v/>
      </c>
      <c r="C244" s="33">
        <f>IF($B244="","",IFERROR(INDEX(智能流水!$C$2:$C$1001,MATCH($B244,智能流水!$B$2:$B$1001,0)),""))</f>
        <v/>
      </c>
      <c r="D244" s="34">
        <f>IF($B244="","",IFERROR(INDEX(智能流水!$D$2:$D$1001,MATCH($B244,智能流水!$B$2:$B$1001,0)),""))</f>
        <v/>
      </c>
      <c r="E244" s="34">
        <f>IF($B244="","",IFERROR(INDEX(智能流水!$E$2:$E$1001,MATCH($B244,智能流水!$B$2:$B$1001,0)),""))</f>
        <v/>
      </c>
      <c r="F244" s="34">
        <f>IF($B244="","",IFERROR(INDEX(智能流水!$F$2:$F$1001,MATCH($B244,智能流水!$B$2:$B$1001,0)),""))</f>
        <v/>
      </c>
      <c r="G244" s="32">
        <f>IF($B244="","",IFERROR(INDEX(智能流水!$G$2:$G$1001,MATCH($B244,智能流水!$B$2:$B$1001,0)),""))</f>
        <v/>
      </c>
      <c r="H244" s="32">
        <f>IF($B244="","",IFERROR(INDEX(智能流水!$H$2:$H$1001,MATCH($B244,智能流水!$B$2:$B$1001,0)),""))</f>
        <v/>
      </c>
      <c r="I244" s="32">
        <f>IF($B244="","",IFERROR(INDEX(智能流水!$I$2:$I$1001,MATCH($B244,智能流水!$B$2:$B$1001,0)),""))</f>
        <v/>
      </c>
      <c r="J244" s="32">
        <f>IF($B244="","",IFERROR(INDEX(智能流水!$J$2:$J$1001,MATCH($B244,智能流水!$B$2:$B$1001,0)),""))</f>
        <v/>
      </c>
      <c r="K244" s="35">
        <f>IF($B244="","",IFERROR(INDEX(智能流水!$K$2:$K$1001,MATCH($B244,智能流水!$B$2:$B$1001,0)),""))</f>
        <v/>
      </c>
      <c r="L244" s="32">
        <f>IF($B244="","",IFERROR(INDEX(智能流水!$L$2:$L$1001,MATCH($B244,智能流水!$B$2:$B$1001,0)),""))</f>
        <v/>
      </c>
      <c r="M244" s="32">
        <f>IF($B244="","",IFERROR(INDEX(智能流水!$M$2:$M$1001,MATCH($B244,智能流水!$B$2:$B$1001,0)),""))</f>
        <v/>
      </c>
      <c r="N244" s="32">
        <f>IF($B244="","",IFERROR(INDEX(智能流水!$N$2:$N$1001,MATCH($B244,智能流水!$B$2:$B$1001,0)),""))</f>
        <v/>
      </c>
      <c r="O244" s="32">
        <f>IF($B244="","",IFERROR(INDEX(智能流水!$O$2:$O$1001,MATCH($B244,智能流水!$B$2:$B$1001,0)),""))</f>
        <v/>
      </c>
    </row>
    <row r="245" ht="23" customHeight="1" s="21">
      <c r="A245" s="32">
        <f>IF($B245="","",244)</f>
        <v/>
      </c>
      <c r="B245" s="32">
        <f>IFERROR(LARGE(智能流水!$B$2:$B$1001,244),"")</f>
        <v/>
      </c>
      <c r="C245" s="33">
        <f>IF($B245="","",IFERROR(INDEX(智能流水!$C$2:$C$1001,MATCH($B245,智能流水!$B$2:$B$1001,0)),""))</f>
        <v/>
      </c>
      <c r="D245" s="34">
        <f>IF($B245="","",IFERROR(INDEX(智能流水!$D$2:$D$1001,MATCH($B245,智能流水!$B$2:$B$1001,0)),""))</f>
        <v/>
      </c>
      <c r="E245" s="34">
        <f>IF($B245="","",IFERROR(INDEX(智能流水!$E$2:$E$1001,MATCH($B245,智能流水!$B$2:$B$1001,0)),""))</f>
        <v/>
      </c>
      <c r="F245" s="34">
        <f>IF($B245="","",IFERROR(INDEX(智能流水!$F$2:$F$1001,MATCH($B245,智能流水!$B$2:$B$1001,0)),""))</f>
        <v/>
      </c>
      <c r="G245" s="32">
        <f>IF($B245="","",IFERROR(INDEX(智能流水!$G$2:$G$1001,MATCH($B245,智能流水!$B$2:$B$1001,0)),""))</f>
        <v/>
      </c>
      <c r="H245" s="32">
        <f>IF($B245="","",IFERROR(INDEX(智能流水!$H$2:$H$1001,MATCH($B245,智能流水!$B$2:$B$1001,0)),""))</f>
        <v/>
      </c>
      <c r="I245" s="32">
        <f>IF($B245="","",IFERROR(INDEX(智能流水!$I$2:$I$1001,MATCH($B245,智能流水!$B$2:$B$1001,0)),""))</f>
        <v/>
      </c>
      <c r="J245" s="32">
        <f>IF($B245="","",IFERROR(INDEX(智能流水!$J$2:$J$1001,MATCH($B245,智能流水!$B$2:$B$1001,0)),""))</f>
        <v/>
      </c>
      <c r="K245" s="35">
        <f>IF($B245="","",IFERROR(INDEX(智能流水!$K$2:$K$1001,MATCH($B245,智能流水!$B$2:$B$1001,0)),""))</f>
        <v/>
      </c>
      <c r="L245" s="32">
        <f>IF($B245="","",IFERROR(INDEX(智能流水!$L$2:$L$1001,MATCH($B245,智能流水!$B$2:$B$1001,0)),""))</f>
        <v/>
      </c>
      <c r="M245" s="32">
        <f>IF($B245="","",IFERROR(INDEX(智能流水!$M$2:$M$1001,MATCH($B245,智能流水!$B$2:$B$1001,0)),""))</f>
        <v/>
      </c>
      <c r="N245" s="32">
        <f>IF($B245="","",IFERROR(INDEX(智能流水!$N$2:$N$1001,MATCH($B245,智能流水!$B$2:$B$1001,0)),""))</f>
        <v/>
      </c>
      <c r="O245" s="32">
        <f>IF($B245="","",IFERROR(INDEX(智能流水!$O$2:$O$1001,MATCH($B245,智能流水!$B$2:$B$1001,0)),""))</f>
        <v/>
      </c>
    </row>
    <row r="246" ht="23" customHeight="1" s="21">
      <c r="A246" s="32">
        <f>IF($B246="","",245)</f>
        <v/>
      </c>
      <c r="B246" s="32">
        <f>IFERROR(LARGE(智能流水!$B$2:$B$1001,245),"")</f>
        <v/>
      </c>
      <c r="C246" s="33">
        <f>IF($B246="","",IFERROR(INDEX(智能流水!$C$2:$C$1001,MATCH($B246,智能流水!$B$2:$B$1001,0)),""))</f>
        <v/>
      </c>
      <c r="D246" s="34">
        <f>IF($B246="","",IFERROR(INDEX(智能流水!$D$2:$D$1001,MATCH($B246,智能流水!$B$2:$B$1001,0)),""))</f>
        <v/>
      </c>
      <c r="E246" s="34">
        <f>IF($B246="","",IFERROR(INDEX(智能流水!$E$2:$E$1001,MATCH($B246,智能流水!$B$2:$B$1001,0)),""))</f>
        <v/>
      </c>
      <c r="F246" s="34">
        <f>IF($B246="","",IFERROR(INDEX(智能流水!$F$2:$F$1001,MATCH($B246,智能流水!$B$2:$B$1001,0)),""))</f>
        <v/>
      </c>
      <c r="G246" s="32">
        <f>IF($B246="","",IFERROR(INDEX(智能流水!$G$2:$G$1001,MATCH($B246,智能流水!$B$2:$B$1001,0)),""))</f>
        <v/>
      </c>
      <c r="H246" s="32">
        <f>IF($B246="","",IFERROR(INDEX(智能流水!$H$2:$H$1001,MATCH($B246,智能流水!$B$2:$B$1001,0)),""))</f>
        <v/>
      </c>
      <c r="I246" s="32">
        <f>IF($B246="","",IFERROR(INDEX(智能流水!$I$2:$I$1001,MATCH($B246,智能流水!$B$2:$B$1001,0)),""))</f>
        <v/>
      </c>
      <c r="J246" s="32">
        <f>IF($B246="","",IFERROR(INDEX(智能流水!$J$2:$J$1001,MATCH($B246,智能流水!$B$2:$B$1001,0)),""))</f>
        <v/>
      </c>
      <c r="K246" s="35">
        <f>IF($B246="","",IFERROR(INDEX(智能流水!$K$2:$K$1001,MATCH($B246,智能流水!$B$2:$B$1001,0)),""))</f>
        <v/>
      </c>
      <c r="L246" s="32">
        <f>IF($B246="","",IFERROR(INDEX(智能流水!$L$2:$L$1001,MATCH($B246,智能流水!$B$2:$B$1001,0)),""))</f>
        <v/>
      </c>
      <c r="M246" s="32">
        <f>IF($B246="","",IFERROR(INDEX(智能流水!$M$2:$M$1001,MATCH($B246,智能流水!$B$2:$B$1001,0)),""))</f>
        <v/>
      </c>
      <c r="N246" s="32">
        <f>IF($B246="","",IFERROR(INDEX(智能流水!$N$2:$N$1001,MATCH($B246,智能流水!$B$2:$B$1001,0)),""))</f>
        <v/>
      </c>
      <c r="O246" s="32">
        <f>IF($B246="","",IFERROR(INDEX(智能流水!$O$2:$O$1001,MATCH($B246,智能流水!$B$2:$B$1001,0)),""))</f>
        <v/>
      </c>
    </row>
    <row r="247" ht="23" customHeight="1" s="21">
      <c r="A247" s="32">
        <f>IF($B247="","",246)</f>
        <v/>
      </c>
      <c r="B247" s="32">
        <f>IFERROR(LARGE(智能流水!$B$2:$B$1001,246),"")</f>
        <v/>
      </c>
      <c r="C247" s="33">
        <f>IF($B247="","",IFERROR(INDEX(智能流水!$C$2:$C$1001,MATCH($B247,智能流水!$B$2:$B$1001,0)),""))</f>
        <v/>
      </c>
      <c r="D247" s="34">
        <f>IF($B247="","",IFERROR(INDEX(智能流水!$D$2:$D$1001,MATCH($B247,智能流水!$B$2:$B$1001,0)),""))</f>
        <v/>
      </c>
      <c r="E247" s="34">
        <f>IF($B247="","",IFERROR(INDEX(智能流水!$E$2:$E$1001,MATCH($B247,智能流水!$B$2:$B$1001,0)),""))</f>
        <v/>
      </c>
      <c r="F247" s="34">
        <f>IF($B247="","",IFERROR(INDEX(智能流水!$F$2:$F$1001,MATCH($B247,智能流水!$B$2:$B$1001,0)),""))</f>
        <v/>
      </c>
      <c r="G247" s="32">
        <f>IF($B247="","",IFERROR(INDEX(智能流水!$G$2:$G$1001,MATCH($B247,智能流水!$B$2:$B$1001,0)),""))</f>
        <v/>
      </c>
      <c r="H247" s="32">
        <f>IF($B247="","",IFERROR(INDEX(智能流水!$H$2:$H$1001,MATCH($B247,智能流水!$B$2:$B$1001,0)),""))</f>
        <v/>
      </c>
      <c r="I247" s="32">
        <f>IF($B247="","",IFERROR(INDEX(智能流水!$I$2:$I$1001,MATCH($B247,智能流水!$B$2:$B$1001,0)),""))</f>
        <v/>
      </c>
      <c r="J247" s="32">
        <f>IF($B247="","",IFERROR(INDEX(智能流水!$J$2:$J$1001,MATCH($B247,智能流水!$B$2:$B$1001,0)),""))</f>
        <v/>
      </c>
      <c r="K247" s="35">
        <f>IF($B247="","",IFERROR(INDEX(智能流水!$K$2:$K$1001,MATCH($B247,智能流水!$B$2:$B$1001,0)),""))</f>
        <v/>
      </c>
      <c r="L247" s="32">
        <f>IF($B247="","",IFERROR(INDEX(智能流水!$L$2:$L$1001,MATCH($B247,智能流水!$B$2:$B$1001,0)),""))</f>
        <v/>
      </c>
      <c r="M247" s="32">
        <f>IF($B247="","",IFERROR(INDEX(智能流水!$M$2:$M$1001,MATCH($B247,智能流水!$B$2:$B$1001,0)),""))</f>
        <v/>
      </c>
      <c r="N247" s="32">
        <f>IF($B247="","",IFERROR(INDEX(智能流水!$N$2:$N$1001,MATCH($B247,智能流水!$B$2:$B$1001,0)),""))</f>
        <v/>
      </c>
      <c r="O247" s="32">
        <f>IF($B247="","",IFERROR(INDEX(智能流水!$O$2:$O$1001,MATCH($B247,智能流水!$B$2:$B$1001,0)),""))</f>
        <v/>
      </c>
    </row>
    <row r="248" ht="23" customHeight="1" s="21">
      <c r="A248" s="32">
        <f>IF($B248="","",247)</f>
        <v/>
      </c>
      <c r="B248" s="32">
        <f>IFERROR(LARGE(智能流水!$B$2:$B$1001,247),"")</f>
        <v/>
      </c>
      <c r="C248" s="33">
        <f>IF($B248="","",IFERROR(INDEX(智能流水!$C$2:$C$1001,MATCH($B248,智能流水!$B$2:$B$1001,0)),""))</f>
        <v/>
      </c>
      <c r="D248" s="34">
        <f>IF($B248="","",IFERROR(INDEX(智能流水!$D$2:$D$1001,MATCH($B248,智能流水!$B$2:$B$1001,0)),""))</f>
        <v/>
      </c>
      <c r="E248" s="34">
        <f>IF($B248="","",IFERROR(INDEX(智能流水!$E$2:$E$1001,MATCH($B248,智能流水!$B$2:$B$1001,0)),""))</f>
        <v/>
      </c>
      <c r="F248" s="34">
        <f>IF($B248="","",IFERROR(INDEX(智能流水!$F$2:$F$1001,MATCH($B248,智能流水!$B$2:$B$1001,0)),""))</f>
        <v/>
      </c>
      <c r="G248" s="32">
        <f>IF($B248="","",IFERROR(INDEX(智能流水!$G$2:$G$1001,MATCH($B248,智能流水!$B$2:$B$1001,0)),""))</f>
        <v/>
      </c>
      <c r="H248" s="32">
        <f>IF($B248="","",IFERROR(INDEX(智能流水!$H$2:$H$1001,MATCH($B248,智能流水!$B$2:$B$1001,0)),""))</f>
        <v/>
      </c>
      <c r="I248" s="32">
        <f>IF($B248="","",IFERROR(INDEX(智能流水!$I$2:$I$1001,MATCH($B248,智能流水!$B$2:$B$1001,0)),""))</f>
        <v/>
      </c>
      <c r="J248" s="32">
        <f>IF($B248="","",IFERROR(INDEX(智能流水!$J$2:$J$1001,MATCH($B248,智能流水!$B$2:$B$1001,0)),""))</f>
        <v/>
      </c>
      <c r="K248" s="35">
        <f>IF($B248="","",IFERROR(INDEX(智能流水!$K$2:$K$1001,MATCH($B248,智能流水!$B$2:$B$1001,0)),""))</f>
        <v/>
      </c>
      <c r="L248" s="32">
        <f>IF($B248="","",IFERROR(INDEX(智能流水!$L$2:$L$1001,MATCH($B248,智能流水!$B$2:$B$1001,0)),""))</f>
        <v/>
      </c>
      <c r="M248" s="32">
        <f>IF($B248="","",IFERROR(INDEX(智能流水!$M$2:$M$1001,MATCH($B248,智能流水!$B$2:$B$1001,0)),""))</f>
        <v/>
      </c>
      <c r="N248" s="32">
        <f>IF($B248="","",IFERROR(INDEX(智能流水!$N$2:$N$1001,MATCH($B248,智能流水!$B$2:$B$1001,0)),""))</f>
        <v/>
      </c>
      <c r="O248" s="32">
        <f>IF($B248="","",IFERROR(INDEX(智能流水!$O$2:$O$1001,MATCH($B248,智能流水!$B$2:$B$1001,0)),""))</f>
        <v/>
      </c>
    </row>
    <row r="249" ht="23" customHeight="1" s="21">
      <c r="A249" s="32">
        <f>IF($B249="","",248)</f>
        <v/>
      </c>
      <c r="B249" s="32">
        <f>IFERROR(LARGE(智能流水!$B$2:$B$1001,248),"")</f>
        <v/>
      </c>
      <c r="C249" s="33">
        <f>IF($B249="","",IFERROR(INDEX(智能流水!$C$2:$C$1001,MATCH($B249,智能流水!$B$2:$B$1001,0)),""))</f>
        <v/>
      </c>
      <c r="D249" s="34">
        <f>IF($B249="","",IFERROR(INDEX(智能流水!$D$2:$D$1001,MATCH($B249,智能流水!$B$2:$B$1001,0)),""))</f>
        <v/>
      </c>
      <c r="E249" s="34">
        <f>IF($B249="","",IFERROR(INDEX(智能流水!$E$2:$E$1001,MATCH($B249,智能流水!$B$2:$B$1001,0)),""))</f>
        <v/>
      </c>
      <c r="F249" s="34">
        <f>IF($B249="","",IFERROR(INDEX(智能流水!$F$2:$F$1001,MATCH($B249,智能流水!$B$2:$B$1001,0)),""))</f>
        <v/>
      </c>
      <c r="G249" s="32">
        <f>IF($B249="","",IFERROR(INDEX(智能流水!$G$2:$G$1001,MATCH($B249,智能流水!$B$2:$B$1001,0)),""))</f>
        <v/>
      </c>
      <c r="H249" s="32">
        <f>IF($B249="","",IFERROR(INDEX(智能流水!$H$2:$H$1001,MATCH($B249,智能流水!$B$2:$B$1001,0)),""))</f>
        <v/>
      </c>
      <c r="I249" s="32">
        <f>IF($B249="","",IFERROR(INDEX(智能流水!$I$2:$I$1001,MATCH($B249,智能流水!$B$2:$B$1001,0)),""))</f>
        <v/>
      </c>
      <c r="J249" s="32">
        <f>IF($B249="","",IFERROR(INDEX(智能流水!$J$2:$J$1001,MATCH($B249,智能流水!$B$2:$B$1001,0)),""))</f>
        <v/>
      </c>
      <c r="K249" s="35">
        <f>IF($B249="","",IFERROR(INDEX(智能流水!$K$2:$K$1001,MATCH($B249,智能流水!$B$2:$B$1001,0)),""))</f>
        <v/>
      </c>
      <c r="L249" s="32">
        <f>IF($B249="","",IFERROR(INDEX(智能流水!$L$2:$L$1001,MATCH($B249,智能流水!$B$2:$B$1001,0)),""))</f>
        <v/>
      </c>
      <c r="M249" s="32">
        <f>IF($B249="","",IFERROR(INDEX(智能流水!$M$2:$M$1001,MATCH($B249,智能流水!$B$2:$B$1001,0)),""))</f>
        <v/>
      </c>
      <c r="N249" s="32">
        <f>IF($B249="","",IFERROR(INDEX(智能流水!$N$2:$N$1001,MATCH($B249,智能流水!$B$2:$B$1001,0)),""))</f>
        <v/>
      </c>
      <c r="O249" s="32">
        <f>IF($B249="","",IFERROR(INDEX(智能流水!$O$2:$O$1001,MATCH($B249,智能流水!$B$2:$B$1001,0)),""))</f>
        <v/>
      </c>
    </row>
    <row r="250" ht="23" customHeight="1" s="21">
      <c r="A250" s="32">
        <f>IF($B250="","",249)</f>
        <v/>
      </c>
      <c r="B250" s="32">
        <f>IFERROR(LARGE(智能流水!$B$2:$B$1001,249),"")</f>
        <v/>
      </c>
      <c r="C250" s="33">
        <f>IF($B250="","",IFERROR(INDEX(智能流水!$C$2:$C$1001,MATCH($B250,智能流水!$B$2:$B$1001,0)),""))</f>
        <v/>
      </c>
      <c r="D250" s="34">
        <f>IF($B250="","",IFERROR(INDEX(智能流水!$D$2:$D$1001,MATCH($B250,智能流水!$B$2:$B$1001,0)),""))</f>
        <v/>
      </c>
      <c r="E250" s="34">
        <f>IF($B250="","",IFERROR(INDEX(智能流水!$E$2:$E$1001,MATCH($B250,智能流水!$B$2:$B$1001,0)),""))</f>
        <v/>
      </c>
      <c r="F250" s="34">
        <f>IF($B250="","",IFERROR(INDEX(智能流水!$F$2:$F$1001,MATCH($B250,智能流水!$B$2:$B$1001,0)),""))</f>
        <v/>
      </c>
      <c r="G250" s="32">
        <f>IF($B250="","",IFERROR(INDEX(智能流水!$G$2:$G$1001,MATCH($B250,智能流水!$B$2:$B$1001,0)),""))</f>
        <v/>
      </c>
      <c r="H250" s="32">
        <f>IF($B250="","",IFERROR(INDEX(智能流水!$H$2:$H$1001,MATCH($B250,智能流水!$B$2:$B$1001,0)),""))</f>
        <v/>
      </c>
      <c r="I250" s="32">
        <f>IF($B250="","",IFERROR(INDEX(智能流水!$I$2:$I$1001,MATCH($B250,智能流水!$B$2:$B$1001,0)),""))</f>
        <v/>
      </c>
      <c r="J250" s="32">
        <f>IF($B250="","",IFERROR(INDEX(智能流水!$J$2:$J$1001,MATCH($B250,智能流水!$B$2:$B$1001,0)),""))</f>
        <v/>
      </c>
      <c r="K250" s="35">
        <f>IF($B250="","",IFERROR(INDEX(智能流水!$K$2:$K$1001,MATCH($B250,智能流水!$B$2:$B$1001,0)),""))</f>
        <v/>
      </c>
      <c r="L250" s="32">
        <f>IF($B250="","",IFERROR(INDEX(智能流水!$L$2:$L$1001,MATCH($B250,智能流水!$B$2:$B$1001,0)),""))</f>
        <v/>
      </c>
      <c r="M250" s="32">
        <f>IF($B250="","",IFERROR(INDEX(智能流水!$M$2:$M$1001,MATCH($B250,智能流水!$B$2:$B$1001,0)),""))</f>
        <v/>
      </c>
      <c r="N250" s="32">
        <f>IF($B250="","",IFERROR(INDEX(智能流水!$N$2:$N$1001,MATCH($B250,智能流水!$B$2:$B$1001,0)),""))</f>
        <v/>
      </c>
      <c r="O250" s="32">
        <f>IF($B250="","",IFERROR(INDEX(智能流水!$O$2:$O$1001,MATCH($B250,智能流水!$B$2:$B$1001,0)),""))</f>
        <v/>
      </c>
    </row>
    <row r="251" ht="23" customHeight="1" s="21">
      <c r="A251" s="32">
        <f>IF($B251="","",250)</f>
        <v/>
      </c>
      <c r="B251" s="32">
        <f>IFERROR(LARGE(智能流水!$B$2:$B$1001,250),"")</f>
        <v/>
      </c>
      <c r="C251" s="33">
        <f>IF($B251="","",IFERROR(INDEX(智能流水!$C$2:$C$1001,MATCH($B251,智能流水!$B$2:$B$1001,0)),""))</f>
        <v/>
      </c>
      <c r="D251" s="34">
        <f>IF($B251="","",IFERROR(INDEX(智能流水!$D$2:$D$1001,MATCH($B251,智能流水!$B$2:$B$1001,0)),""))</f>
        <v/>
      </c>
      <c r="E251" s="34">
        <f>IF($B251="","",IFERROR(INDEX(智能流水!$E$2:$E$1001,MATCH($B251,智能流水!$B$2:$B$1001,0)),""))</f>
        <v/>
      </c>
      <c r="F251" s="34">
        <f>IF($B251="","",IFERROR(INDEX(智能流水!$F$2:$F$1001,MATCH($B251,智能流水!$B$2:$B$1001,0)),""))</f>
        <v/>
      </c>
      <c r="G251" s="32">
        <f>IF($B251="","",IFERROR(INDEX(智能流水!$G$2:$G$1001,MATCH($B251,智能流水!$B$2:$B$1001,0)),""))</f>
        <v/>
      </c>
      <c r="H251" s="32">
        <f>IF($B251="","",IFERROR(INDEX(智能流水!$H$2:$H$1001,MATCH($B251,智能流水!$B$2:$B$1001,0)),""))</f>
        <v/>
      </c>
      <c r="I251" s="32">
        <f>IF($B251="","",IFERROR(INDEX(智能流水!$I$2:$I$1001,MATCH($B251,智能流水!$B$2:$B$1001,0)),""))</f>
        <v/>
      </c>
      <c r="J251" s="32">
        <f>IF($B251="","",IFERROR(INDEX(智能流水!$J$2:$J$1001,MATCH($B251,智能流水!$B$2:$B$1001,0)),""))</f>
        <v/>
      </c>
      <c r="K251" s="35">
        <f>IF($B251="","",IFERROR(INDEX(智能流水!$K$2:$K$1001,MATCH($B251,智能流水!$B$2:$B$1001,0)),""))</f>
        <v/>
      </c>
      <c r="L251" s="32">
        <f>IF($B251="","",IFERROR(INDEX(智能流水!$L$2:$L$1001,MATCH($B251,智能流水!$B$2:$B$1001,0)),""))</f>
        <v/>
      </c>
      <c r="M251" s="32">
        <f>IF($B251="","",IFERROR(INDEX(智能流水!$M$2:$M$1001,MATCH($B251,智能流水!$B$2:$B$1001,0)),""))</f>
        <v/>
      </c>
      <c r="N251" s="32">
        <f>IF($B251="","",IFERROR(INDEX(智能流水!$N$2:$N$1001,MATCH($B251,智能流水!$B$2:$B$1001,0)),""))</f>
        <v/>
      </c>
      <c r="O251" s="32">
        <f>IF($B251="","",IFERROR(INDEX(智能流水!$O$2:$O$1001,MATCH($B251,智能流水!$B$2:$B$1001,0)),""))</f>
        <v/>
      </c>
    </row>
    <row r="252" ht="23" customHeight="1" s="21">
      <c r="A252" s="32">
        <f>IF($B252="","",251)</f>
        <v/>
      </c>
      <c r="B252" s="32">
        <f>IFERROR(LARGE(智能流水!$B$2:$B$1001,251),"")</f>
        <v/>
      </c>
      <c r="C252" s="33">
        <f>IF($B252="","",IFERROR(INDEX(智能流水!$C$2:$C$1001,MATCH($B252,智能流水!$B$2:$B$1001,0)),""))</f>
        <v/>
      </c>
      <c r="D252" s="34">
        <f>IF($B252="","",IFERROR(INDEX(智能流水!$D$2:$D$1001,MATCH($B252,智能流水!$B$2:$B$1001,0)),""))</f>
        <v/>
      </c>
      <c r="E252" s="34">
        <f>IF($B252="","",IFERROR(INDEX(智能流水!$E$2:$E$1001,MATCH($B252,智能流水!$B$2:$B$1001,0)),""))</f>
        <v/>
      </c>
      <c r="F252" s="34">
        <f>IF($B252="","",IFERROR(INDEX(智能流水!$F$2:$F$1001,MATCH($B252,智能流水!$B$2:$B$1001,0)),""))</f>
        <v/>
      </c>
      <c r="G252" s="32">
        <f>IF($B252="","",IFERROR(INDEX(智能流水!$G$2:$G$1001,MATCH($B252,智能流水!$B$2:$B$1001,0)),""))</f>
        <v/>
      </c>
      <c r="H252" s="32">
        <f>IF($B252="","",IFERROR(INDEX(智能流水!$H$2:$H$1001,MATCH($B252,智能流水!$B$2:$B$1001,0)),""))</f>
        <v/>
      </c>
      <c r="I252" s="32">
        <f>IF($B252="","",IFERROR(INDEX(智能流水!$I$2:$I$1001,MATCH($B252,智能流水!$B$2:$B$1001,0)),""))</f>
        <v/>
      </c>
      <c r="J252" s="32">
        <f>IF($B252="","",IFERROR(INDEX(智能流水!$J$2:$J$1001,MATCH($B252,智能流水!$B$2:$B$1001,0)),""))</f>
        <v/>
      </c>
      <c r="K252" s="35">
        <f>IF($B252="","",IFERROR(INDEX(智能流水!$K$2:$K$1001,MATCH($B252,智能流水!$B$2:$B$1001,0)),""))</f>
        <v/>
      </c>
      <c r="L252" s="32">
        <f>IF($B252="","",IFERROR(INDEX(智能流水!$L$2:$L$1001,MATCH($B252,智能流水!$B$2:$B$1001,0)),""))</f>
        <v/>
      </c>
      <c r="M252" s="32">
        <f>IF($B252="","",IFERROR(INDEX(智能流水!$M$2:$M$1001,MATCH($B252,智能流水!$B$2:$B$1001,0)),""))</f>
        <v/>
      </c>
      <c r="N252" s="32">
        <f>IF($B252="","",IFERROR(INDEX(智能流水!$N$2:$N$1001,MATCH($B252,智能流水!$B$2:$B$1001,0)),""))</f>
        <v/>
      </c>
      <c r="O252" s="32">
        <f>IF($B252="","",IFERROR(INDEX(智能流水!$O$2:$O$1001,MATCH($B252,智能流水!$B$2:$B$1001,0)),""))</f>
        <v/>
      </c>
    </row>
    <row r="253" ht="23" customHeight="1" s="21">
      <c r="A253" s="32">
        <f>IF($B253="","",252)</f>
        <v/>
      </c>
      <c r="B253" s="32">
        <f>IFERROR(LARGE(智能流水!$B$2:$B$1001,252),"")</f>
        <v/>
      </c>
      <c r="C253" s="33">
        <f>IF($B253="","",IFERROR(INDEX(智能流水!$C$2:$C$1001,MATCH($B253,智能流水!$B$2:$B$1001,0)),""))</f>
        <v/>
      </c>
      <c r="D253" s="34">
        <f>IF($B253="","",IFERROR(INDEX(智能流水!$D$2:$D$1001,MATCH($B253,智能流水!$B$2:$B$1001,0)),""))</f>
        <v/>
      </c>
      <c r="E253" s="34">
        <f>IF($B253="","",IFERROR(INDEX(智能流水!$E$2:$E$1001,MATCH($B253,智能流水!$B$2:$B$1001,0)),""))</f>
        <v/>
      </c>
      <c r="F253" s="34">
        <f>IF($B253="","",IFERROR(INDEX(智能流水!$F$2:$F$1001,MATCH($B253,智能流水!$B$2:$B$1001,0)),""))</f>
        <v/>
      </c>
      <c r="G253" s="32">
        <f>IF($B253="","",IFERROR(INDEX(智能流水!$G$2:$G$1001,MATCH($B253,智能流水!$B$2:$B$1001,0)),""))</f>
        <v/>
      </c>
      <c r="H253" s="32">
        <f>IF($B253="","",IFERROR(INDEX(智能流水!$H$2:$H$1001,MATCH($B253,智能流水!$B$2:$B$1001,0)),""))</f>
        <v/>
      </c>
      <c r="I253" s="32">
        <f>IF($B253="","",IFERROR(INDEX(智能流水!$I$2:$I$1001,MATCH($B253,智能流水!$B$2:$B$1001,0)),""))</f>
        <v/>
      </c>
      <c r="J253" s="32">
        <f>IF($B253="","",IFERROR(INDEX(智能流水!$J$2:$J$1001,MATCH($B253,智能流水!$B$2:$B$1001,0)),""))</f>
        <v/>
      </c>
      <c r="K253" s="35">
        <f>IF($B253="","",IFERROR(INDEX(智能流水!$K$2:$K$1001,MATCH($B253,智能流水!$B$2:$B$1001,0)),""))</f>
        <v/>
      </c>
      <c r="L253" s="32">
        <f>IF($B253="","",IFERROR(INDEX(智能流水!$L$2:$L$1001,MATCH($B253,智能流水!$B$2:$B$1001,0)),""))</f>
        <v/>
      </c>
      <c r="M253" s="32">
        <f>IF($B253="","",IFERROR(INDEX(智能流水!$M$2:$M$1001,MATCH($B253,智能流水!$B$2:$B$1001,0)),""))</f>
        <v/>
      </c>
      <c r="N253" s="32">
        <f>IF($B253="","",IFERROR(INDEX(智能流水!$N$2:$N$1001,MATCH($B253,智能流水!$B$2:$B$1001,0)),""))</f>
        <v/>
      </c>
      <c r="O253" s="32">
        <f>IF($B253="","",IFERROR(INDEX(智能流水!$O$2:$O$1001,MATCH($B253,智能流水!$B$2:$B$1001,0)),""))</f>
        <v/>
      </c>
    </row>
    <row r="254" ht="23" customHeight="1" s="21">
      <c r="A254" s="32">
        <f>IF($B254="","",253)</f>
        <v/>
      </c>
      <c r="B254" s="32">
        <f>IFERROR(LARGE(智能流水!$B$2:$B$1001,253),"")</f>
        <v/>
      </c>
      <c r="C254" s="33">
        <f>IF($B254="","",IFERROR(INDEX(智能流水!$C$2:$C$1001,MATCH($B254,智能流水!$B$2:$B$1001,0)),""))</f>
        <v/>
      </c>
      <c r="D254" s="34">
        <f>IF($B254="","",IFERROR(INDEX(智能流水!$D$2:$D$1001,MATCH($B254,智能流水!$B$2:$B$1001,0)),""))</f>
        <v/>
      </c>
      <c r="E254" s="34">
        <f>IF($B254="","",IFERROR(INDEX(智能流水!$E$2:$E$1001,MATCH($B254,智能流水!$B$2:$B$1001,0)),""))</f>
        <v/>
      </c>
      <c r="F254" s="34">
        <f>IF($B254="","",IFERROR(INDEX(智能流水!$F$2:$F$1001,MATCH($B254,智能流水!$B$2:$B$1001,0)),""))</f>
        <v/>
      </c>
      <c r="G254" s="32">
        <f>IF($B254="","",IFERROR(INDEX(智能流水!$G$2:$G$1001,MATCH($B254,智能流水!$B$2:$B$1001,0)),""))</f>
        <v/>
      </c>
      <c r="H254" s="32">
        <f>IF($B254="","",IFERROR(INDEX(智能流水!$H$2:$H$1001,MATCH($B254,智能流水!$B$2:$B$1001,0)),""))</f>
        <v/>
      </c>
      <c r="I254" s="32">
        <f>IF($B254="","",IFERROR(INDEX(智能流水!$I$2:$I$1001,MATCH($B254,智能流水!$B$2:$B$1001,0)),""))</f>
        <v/>
      </c>
      <c r="J254" s="32">
        <f>IF($B254="","",IFERROR(INDEX(智能流水!$J$2:$J$1001,MATCH($B254,智能流水!$B$2:$B$1001,0)),""))</f>
        <v/>
      </c>
      <c r="K254" s="35">
        <f>IF($B254="","",IFERROR(INDEX(智能流水!$K$2:$K$1001,MATCH($B254,智能流水!$B$2:$B$1001,0)),""))</f>
        <v/>
      </c>
      <c r="L254" s="32">
        <f>IF($B254="","",IFERROR(INDEX(智能流水!$L$2:$L$1001,MATCH($B254,智能流水!$B$2:$B$1001,0)),""))</f>
        <v/>
      </c>
      <c r="M254" s="32">
        <f>IF($B254="","",IFERROR(INDEX(智能流水!$M$2:$M$1001,MATCH($B254,智能流水!$B$2:$B$1001,0)),""))</f>
        <v/>
      </c>
      <c r="N254" s="32">
        <f>IF($B254="","",IFERROR(INDEX(智能流水!$N$2:$N$1001,MATCH($B254,智能流水!$B$2:$B$1001,0)),""))</f>
        <v/>
      </c>
      <c r="O254" s="32">
        <f>IF($B254="","",IFERROR(INDEX(智能流水!$O$2:$O$1001,MATCH($B254,智能流水!$B$2:$B$1001,0)),""))</f>
        <v/>
      </c>
    </row>
    <row r="255" ht="23" customHeight="1" s="21">
      <c r="A255" s="32">
        <f>IF($B255="","",254)</f>
        <v/>
      </c>
      <c r="B255" s="32">
        <f>IFERROR(LARGE(智能流水!$B$2:$B$1001,254),"")</f>
        <v/>
      </c>
      <c r="C255" s="33">
        <f>IF($B255="","",IFERROR(INDEX(智能流水!$C$2:$C$1001,MATCH($B255,智能流水!$B$2:$B$1001,0)),""))</f>
        <v/>
      </c>
      <c r="D255" s="34">
        <f>IF($B255="","",IFERROR(INDEX(智能流水!$D$2:$D$1001,MATCH($B255,智能流水!$B$2:$B$1001,0)),""))</f>
        <v/>
      </c>
      <c r="E255" s="34">
        <f>IF($B255="","",IFERROR(INDEX(智能流水!$E$2:$E$1001,MATCH($B255,智能流水!$B$2:$B$1001,0)),""))</f>
        <v/>
      </c>
      <c r="F255" s="34">
        <f>IF($B255="","",IFERROR(INDEX(智能流水!$F$2:$F$1001,MATCH($B255,智能流水!$B$2:$B$1001,0)),""))</f>
        <v/>
      </c>
      <c r="G255" s="32">
        <f>IF($B255="","",IFERROR(INDEX(智能流水!$G$2:$G$1001,MATCH($B255,智能流水!$B$2:$B$1001,0)),""))</f>
        <v/>
      </c>
      <c r="H255" s="32">
        <f>IF($B255="","",IFERROR(INDEX(智能流水!$H$2:$H$1001,MATCH($B255,智能流水!$B$2:$B$1001,0)),""))</f>
        <v/>
      </c>
      <c r="I255" s="32">
        <f>IF($B255="","",IFERROR(INDEX(智能流水!$I$2:$I$1001,MATCH($B255,智能流水!$B$2:$B$1001,0)),""))</f>
        <v/>
      </c>
      <c r="J255" s="32">
        <f>IF($B255="","",IFERROR(INDEX(智能流水!$J$2:$J$1001,MATCH($B255,智能流水!$B$2:$B$1001,0)),""))</f>
        <v/>
      </c>
      <c r="K255" s="35">
        <f>IF($B255="","",IFERROR(INDEX(智能流水!$K$2:$K$1001,MATCH($B255,智能流水!$B$2:$B$1001,0)),""))</f>
        <v/>
      </c>
      <c r="L255" s="32">
        <f>IF($B255="","",IFERROR(INDEX(智能流水!$L$2:$L$1001,MATCH($B255,智能流水!$B$2:$B$1001,0)),""))</f>
        <v/>
      </c>
      <c r="M255" s="32">
        <f>IF($B255="","",IFERROR(INDEX(智能流水!$M$2:$M$1001,MATCH($B255,智能流水!$B$2:$B$1001,0)),""))</f>
        <v/>
      </c>
      <c r="N255" s="32">
        <f>IF($B255="","",IFERROR(INDEX(智能流水!$N$2:$N$1001,MATCH($B255,智能流水!$B$2:$B$1001,0)),""))</f>
        <v/>
      </c>
      <c r="O255" s="32">
        <f>IF($B255="","",IFERROR(INDEX(智能流水!$O$2:$O$1001,MATCH($B255,智能流水!$B$2:$B$1001,0)),""))</f>
        <v/>
      </c>
    </row>
    <row r="256" ht="23" customHeight="1" s="21">
      <c r="A256" s="32">
        <f>IF($B256="","",255)</f>
        <v/>
      </c>
      <c r="B256" s="32">
        <f>IFERROR(LARGE(智能流水!$B$2:$B$1001,255),"")</f>
        <v/>
      </c>
      <c r="C256" s="33">
        <f>IF($B256="","",IFERROR(INDEX(智能流水!$C$2:$C$1001,MATCH($B256,智能流水!$B$2:$B$1001,0)),""))</f>
        <v/>
      </c>
      <c r="D256" s="34">
        <f>IF($B256="","",IFERROR(INDEX(智能流水!$D$2:$D$1001,MATCH($B256,智能流水!$B$2:$B$1001,0)),""))</f>
        <v/>
      </c>
      <c r="E256" s="34">
        <f>IF($B256="","",IFERROR(INDEX(智能流水!$E$2:$E$1001,MATCH($B256,智能流水!$B$2:$B$1001,0)),""))</f>
        <v/>
      </c>
      <c r="F256" s="34">
        <f>IF($B256="","",IFERROR(INDEX(智能流水!$F$2:$F$1001,MATCH($B256,智能流水!$B$2:$B$1001,0)),""))</f>
        <v/>
      </c>
      <c r="G256" s="32">
        <f>IF($B256="","",IFERROR(INDEX(智能流水!$G$2:$G$1001,MATCH($B256,智能流水!$B$2:$B$1001,0)),""))</f>
        <v/>
      </c>
      <c r="H256" s="32">
        <f>IF($B256="","",IFERROR(INDEX(智能流水!$H$2:$H$1001,MATCH($B256,智能流水!$B$2:$B$1001,0)),""))</f>
        <v/>
      </c>
      <c r="I256" s="32">
        <f>IF($B256="","",IFERROR(INDEX(智能流水!$I$2:$I$1001,MATCH($B256,智能流水!$B$2:$B$1001,0)),""))</f>
        <v/>
      </c>
      <c r="J256" s="32">
        <f>IF($B256="","",IFERROR(INDEX(智能流水!$J$2:$J$1001,MATCH($B256,智能流水!$B$2:$B$1001,0)),""))</f>
        <v/>
      </c>
      <c r="K256" s="35">
        <f>IF($B256="","",IFERROR(INDEX(智能流水!$K$2:$K$1001,MATCH($B256,智能流水!$B$2:$B$1001,0)),""))</f>
        <v/>
      </c>
      <c r="L256" s="32">
        <f>IF($B256="","",IFERROR(INDEX(智能流水!$L$2:$L$1001,MATCH($B256,智能流水!$B$2:$B$1001,0)),""))</f>
        <v/>
      </c>
      <c r="M256" s="32">
        <f>IF($B256="","",IFERROR(INDEX(智能流水!$M$2:$M$1001,MATCH($B256,智能流水!$B$2:$B$1001,0)),""))</f>
        <v/>
      </c>
      <c r="N256" s="32">
        <f>IF($B256="","",IFERROR(INDEX(智能流水!$N$2:$N$1001,MATCH($B256,智能流水!$B$2:$B$1001,0)),""))</f>
        <v/>
      </c>
      <c r="O256" s="32">
        <f>IF($B256="","",IFERROR(INDEX(智能流水!$O$2:$O$1001,MATCH($B256,智能流水!$B$2:$B$1001,0)),""))</f>
        <v/>
      </c>
    </row>
    <row r="257" ht="23" customHeight="1" s="21">
      <c r="A257" s="32">
        <f>IF($B257="","",256)</f>
        <v/>
      </c>
      <c r="B257" s="32">
        <f>IFERROR(LARGE(智能流水!$B$2:$B$1001,256),"")</f>
        <v/>
      </c>
      <c r="C257" s="33">
        <f>IF($B257="","",IFERROR(INDEX(智能流水!$C$2:$C$1001,MATCH($B257,智能流水!$B$2:$B$1001,0)),""))</f>
        <v/>
      </c>
      <c r="D257" s="34">
        <f>IF($B257="","",IFERROR(INDEX(智能流水!$D$2:$D$1001,MATCH($B257,智能流水!$B$2:$B$1001,0)),""))</f>
        <v/>
      </c>
      <c r="E257" s="34">
        <f>IF($B257="","",IFERROR(INDEX(智能流水!$E$2:$E$1001,MATCH($B257,智能流水!$B$2:$B$1001,0)),""))</f>
        <v/>
      </c>
      <c r="F257" s="34">
        <f>IF($B257="","",IFERROR(INDEX(智能流水!$F$2:$F$1001,MATCH($B257,智能流水!$B$2:$B$1001,0)),""))</f>
        <v/>
      </c>
      <c r="G257" s="32">
        <f>IF($B257="","",IFERROR(INDEX(智能流水!$G$2:$G$1001,MATCH($B257,智能流水!$B$2:$B$1001,0)),""))</f>
        <v/>
      </c>
      <c r="H257" s="32">
        <f>IF($B257="","",IFERROR(INDEX(智能流水!$H$2:$H$1001,MATCH($B257,智能流水!$B$2:$B$1001,0)),""))</f>
        <v/>
      </c>
      <c r="I257" s="32">
        <f>IF($B257="","",IFERROR(INDEX(智能流水!$I$2:$I$1001,MATCH($B257,智能流水!$B$2:$B$1001,0)),""))</f>
        <v/>
      </c>
      <c r="J257" s="32">
        <f>IF($B257="","",IFERROR(INDEX(智能流水!$J$2:$J$1001,MATCH($B257,智能流水!$B$2:$B$1001,0)),""))</f>
        <v/>
      </c>
      <c r="K257" s="35">
        <f>IF($B257="","",IFERROR(INDEX(智能流水!$K$2:$K$1001,MATCH($B257,智能流水!$B$2:$B$1001,0)),""))</f>
        <v/>
      </c>
      <c r="L257" s="32">
        <f>IF($B257="","",IFERROR(INDEX(智能流水!$L$2:$L$1001,MATCH($B257,智能流水!$B$2:$B$1001,0)),""))</f>
        <v/>
      </c>
      <c r="M257" s="32">
        <f>IF($B257="","",IFERROR(INDEX(智能流水!$M$2:$M$1001,MATCH($B257,智能流水!$B$2:$B$1001,0)),""))</f>
        <v/>
      </c>
      <c r="N257" s="32">
        <f>IF($B257="","",IFERROR(INDEX(智能流水!$N$2:$N$1001,MATCH($B257,智能流水!$B$2:$B$1001,0)),""))</f>
        <v/>
      </c>
      <c r="O257" s="32">
        <f>IF($B257="","",IFERROR(INDEX(智能流水!$O$2:$O$1001,MATCH($B257,智能流水!$B$2:$B$1001,0)),""))</f>
        <v/>
      </c>
    </row>
    <row r="258" ht="23" customHeight="1" s="21">
      <c r="A258" s="32">
        <f>IF($B258="","",257)</f>
        <v/>
      </c>
      <c r="B258" s="32">
        <f>IFERROR(LARGE(智能流水!$B$2:$B$1001,257),"")</f>
        <v/>
      </c>
      <c r="C258" s="33">
        <f>IF($B258="","",IFERROR(INDEX(智能流水!$C$2:$C$1001,MATCH($B258,智能流水!$B$2:$B$1001,0)),""))</f>
        <v/>
      </c>
      <c r="D258" s="34">
        <f>IF($B258="","",IFERROR(INDEX(智能流水!$D$2:$D$1001,MATCH($B258,智能流水!$B$2:$B$1001,0)),""))</f>
        <v/>
      </c>
      <c r="E258" s="34">
        <f>IF($B258="","",IFERROR(INDEX(智能流水!$E$2:$E$1001,MATCH($B258,智能流水!$B$2:$B$1001,0)),""))</f>
        <v/>
      </c>
      <c r="F258" s="34">
        <f>IF($B258="","",IFERROR(INDEX(智能流水!$F$2:$F$1001,MATCH($B258,智能流水!$B$2:$B$1001,0)),""))</f>
        <v/>
      </c>
      <c r="G258" s="32">
        <f>IF($B258="","",IFERROR(INDEX(智能流水!$G$2:$G$1001,MATCH($B258,智能流水!$B$2:$B$1001,0)),""))</f>
        <v/>
      </c>
      <c r="H258" s="32">
        <f>IF($B258="","",IFERROR(INDEX(智能流水!$H$2:$H$1001,MATCH($B258,智能流水!$B$2:$B$1001,0)),""))</f>
        <v/>
      </c>
      <c r="I258" s="32">
        <f>IF($B258="","",IFERROR(INDEX(智能流水!$I$2:$I$1001,MATCH($B258,智能流水!$B$2:$B$1001,0)),""))</f>
        <v/>
      </c>
      <c r="J258" s="32">
        <f>IF($B258="","",IFERROR(INDEX(智能流水!$J$2:$J$1001,MATCH($B258,智能流水!$B$2:$B$1001,0)),""))</f>
        <v/>
      </c>
      <c r="K258" s="35">
        <f>IF($B258="","",IFERROR(INDEX(智能流水!$K$2:$K$1001,MATCH($B258,智能流水!$B$2:$B$1001,0)),""))</f>
        <v/>
      </c>
      <c r="L258" s="32">
        <f>IF($B258="","",IFERROR(INDEX(智能流水!$L$2:$L$1001,MATCH($B258,智能流水!$B$2:$B$1001,0)),""))</f>
        <v/>
      </c>
      <c r="M258" s="32">
        <f>IF($B258="","",IFERROR(INDEX(智能流水!$M$2:$M$1001,MATCH($B258,智能流水!$B$2:$B$1001,0)),""))</f>
        <v/>
      </c>
      <c r="N258" s="32">
        <f>IF($B258="","",IFERROR(INDEX(智能流水!$N$2:$N$1001,MATCH($B258,智能流水!$B$2:$B$1001,0)),""))</f>
        <v/>
      </c>
      <c r="O258" s="32">
        <f>IF($B258="","",IFERROR(INDEX(智能流水!$O$2:$O$1001,MATCH($B258,智能流水!$B$2:$B$1001,0)),""))</f>
        <v/>
      </c>
    </row>
    <row r="259" ht="23" customHeight="1" s="21">
      <c r="A259" s="32">
        <f>IF($B259="","",258)</f>
        <v/>
      </c>
      <c r="B259" s="32">
        <f>IFERROR(LARGE(智能流水!$B$2:$B$1001,258),"")</f>
        <v/>
      </c>
      <c r="C259" s="33">
        <f>IF($B259="","",IFERROR(INDEX(智能流水!$C$2:$C$1001,MATCH($B259,智能流水!$B$2:$B$1001,0)),""))</f>
        <v/>
      </c>
      <c r="D259" s="34">
        <f>IF($B259="","",IFERROR(INDEX(智能流水!$D$2:$D$1001,MATCH($B259,智能流水!$B$2:$B$1001,0)),""))</f>
        <v/>
      </c>
      <c r="E259" s="34">
        <f>IF($B259="","",IFERROR(INDEX(智能流水!$E$2:$E$1001,MATCH($B259,智能流水!$B$2:$B$1001,0)),""))</f>
        <v/>
      </c>
      <c r="F259" s="34">
        <f>IF($B259="","",IFERROR(INDEX(智能流水!$F$2:$F$1001,MATCH($B259,智能流水!$B$2:$B$1001,0)),""))</f>
        <v/>
      </c>
      <c r="G259" s="32">
        <f>IF($B259="","",IFERROR(INDEX(智能流水!$G$2:$G$1001,MATCH($B259,智能流水!$B$2:$B$1001,0)),""))</f>
        <v/>
      </c>
      <c r="H259" s="32">
        <f>IF($B259="","",IFERROR(INDEX(智能流水!$H$2:$H$1001,MATCH($B259,智能流水!$B$2:$B$1001,0)),""))</f>
        <v/>
      </c>
      <c r="I259" s="32">
        <f>IF($B259="","",IFERROR(INDEX(智能流水!$I$2:$I$1001,MATCH($B259,智能流水!$B$2:$B$1001,0)),""))</f>
        <v/>
      </c>
      <c r="J259" s="32">
        <f>IF($B259="","",IFERROR(INDEX(智能流水!$J$2:$J$1001,MATCH($B259,智能流水!$B$2:$B$1001,0)),""))</f>
        <v/>
      </c>
      <c r="K259" s="35">
        <f>IF($B259="","",IFERROR(INDEX(智能流水!$K$2:$K$1001,MATCH($B259,智能流水!$B$2:$B$1001,0)),""))</f>
        <v/>
      </c>
      <c r="L259" s="32">
        <f>IF($B259="","",IFERROR(INDEX(智能流水!$L$2:$L$1001,MATCH($B259,智能流水!$B$2:$B$1001,0)),""))</f>
        <v/>
      </c>
      <c r="M259" s="32">
        <f>IF($B259="","",IFERROR(INDEX(智能流水!$M$2:$M$1001,MATCH($B259,智能流水!$B$2:$B$1001,0)),""))</f>
        <v/>
      </c>
      <c r="N259" s="32">
        <f>IF($B259="","",IFERROR(INDEX(智能流水!$N$2:$N$1001,MATCH($B259,智能流水!$B$2:$B$1001,0)),""))</f>
        <v/>
      </c>
      <c r="O259" s="32">
        <f>IF($B259="","",IFERROR(INDEX(智能流水!$O$2:$O$1001,MATCH($B259,智能流水!$B$2:$B$1001,0)),""))</f>
        <v/>
      </c>
    </row>
    <row r="260" ht="23" customHeight="1" s="21">
      <c r="A260" s="32">
        <f>IF($B260="","",259)</f>
        <v/>
      </c>
      <c r="B260" s="32">
        <f>IFERROR(LARGE(智能流水!$B$2:$B$1001,259),"")</f>
        <v/>
      </c>
      <c r="C260" s="33">
        <f>IF($B260="","",IFERROR(INDEX(智能流水!$C$2:$C$1001,MATCH($B260,智能流水!$B$2:$B$1001,0)),""))</f>
        <v/>
      </c>
      <c r="D260" s="34">
        <f>IF($B260="","",IFERROR(INDEX(智能流水!$D$2:$D$1001,MATCH($B260,智能流水!$B$2:$B$1001,0)),""))</f>
        <v/>
      </c>
      <c r="E260" s="34">
        <f>IF($B260="","",IFERROR(INDEX(智能流水!$E$2:$E$1001,MATCH($B260,智能流水!$B$2:$B$1001,0)),""))</f>
        <v/>
      </c>
      <c r="F260" s="34">
        <f>IF($B260="","",IFERROR(INDEX(智能流水!$F$2:$F$1001,MATCH($B260,智能流水!$B$2:$B$1001,0)),""))</f>
        <v/>
      </c>
      <c r="G260" s="32">
        <f>IF($B260="","",IFERROR(INDEX(智能流水!$G$2:$G$1001,MATCH($B260,智能流水!$B$2:$B$1001,0)),""))</f>
        <v/>
      </c>
      <c r="H260" s="32">
        <f>IF($B260="","",IFERROR(INDEX(智能流水!$H$2:$H$1001,MATCH($B260,智能流水!$B$2:$B$1001,0)),""))</f>
        <v/>
      </c>
      <c r="I260" s="32">
        <f>IF($B260="","",IFERROR(INDEX(智能流水!$I$2:$I$1001,MATCH($B260,智能流水!$B$2:$B$1001,0)),""))</f>
        <v/>
      </c>
      <c r="J260" s="32">
        <f>IF($B260="","",IFERROR(INDEX(智能流水!$J$2:$J$1001,MATCH($B260,智能流水!$B$2:$B$1001,0)),""))</f>
        <v/>
      </c>
      <c r="K260" s="35">
        <f>IF($B260="","",IFERROR(INDEX(智能流水!$K$2:$K$1001,MATCH($B260,智能流水!$B$2:$B$1001,0)),""))</f>
        <v/>
      </c>
      <c r="L260" s="32">
        <f>IF($B260="","",IFERROR(INDEX(智能流水!$L$2:$L$1001,MATCH($B260,智能流水!$B$2:$B$1001,0)),""))</f>
        <v/>
      </c>
      <c r="M260" s="32">
        <f>IF($B260="","",IFERROR(INDEX(智能流水!$M$2:$M$1001,MATCH($B260,智能流水!$B$2:$B$1001,0)),""))</f>
        <v/>
      </c>
      <c r="N260" s="32">
        <f>IF($B260="","",IFERROR(INDEX(智能流水!$N$2:$N$1001,MATCH($B260,智能流水!$B$2:$B$1001,0)),""))</f>
        <v/>
      </c>
      <c r="O260" s="32">
        <f>IF($B260="","",IFERROR(INDEX(智能流水!$O$2:$O$1001,MATCH($B260,智能流水!$B$2:$B$1001,0)),""))</f>
        <v/>
      </c>
    </row>
    <row r="261" ht="23" customHeight="1" s="21">
      <c r="A261" s="32">
        <f>IF($B261="","",260)</f>
        <v/>
      </c>
      <c r="B261" s="32">
        <f>IFERROR(LARGE(智能流水!$B$2:$B$1001,260),"")</f>
        <v/>
      </c>
      <c r="C261" s="33">
        <f>IF($B261="","",IFERROR(INDEX(智能流水!$C$2:$C$1001,MATCH($B261,智能流水!$B$2:$B$1001,0)),""))</f>
        <v/>
      </c>
      <c r="D261" s="34">
        <f>IF($B261="","",IFERROR(INDEX(智能流水!$D$2:$D$1001,MATCH($B261,智能流水!$B$2:$B$1001,0)),""))</f>
        <v/>
      </c>
      <c r="E261" s="34">
        <f>IF($B261="","",IFERROR(INDEX(智能流水!$E$2:$E$1001,MATCH($B261,智能流水!$B$2:$B$1001,0)),""))</f>
        <v/>
      </c>
      <c r="F261" s="34">
        <f>IF($B261="","",IFERROR(INDEX(智能流水!$F$2:$F$1001,MATCH($B261,智能流水!$B$2:$B$1001,0)),""))</f>
        <v/>
      </c>
      <c r="G261" s="32">
        <f>IF($B261="","",IFERROR(INDEX(智能流水!$G$2:$G$1001,MATCH($B261,智能流水!$B$2:$B$1001,0)),""))</f>
        <v/>
      </c>
      <c r="H261" s="32">
        <f>IF($B261="","",IFERROR(INDEX(智能流水!$H$2:$H$1001,MATCH($B261,智能流水!$B$2:$B$1001,0)),""))</f>
        <v/>
      </c>
      <c r="I261" s="32">
        <f>IF($B261="","",IFERROR(INDEX(智能流水!$I$2:$I$1001,MATCH($B261,智能流水!$B$2:$B$1001,0)),""))</f>
        <v/>
      </c>
      <c r="J261" s="32">
        <f>IF($B261="","",IFERROR(INDEX(智能流水!$J$2:$J$1001,MATCH($B261,智能流水!$B$2:$B$1001,0)),""))</f>
        <v/>
      </c>
      <c r="K261" s="35">
        <f>IF($B261="","",IFERROR(INDEX(智能流水!$K$2:$K$1001,MATCH($B261,智能流水!$B$2:$B$1001,0)),""))</f>
        <v/>
      </c>
      <c r="L261" s="32">
        <f>IF($B261="","",IFERROR(INDEX(智能流水!$L$2:$L$1001,MATCH($B261,智能流水!$B$2:$B$1001,0)),""))</f>
        <v/>
      </c>
      <c r="M261" s="32">
        <f>IF($B261="","",IFERROR(INDEX(智能流水!$M$2:$M$1001,MATCH($B261,智能流水!$B$2:$B$1001,0)),""))</f>
        <v/>
      </c>
      <c r="N261" s="32">
        <f>IF($B261="","",IFERROR(INDEX(智能流水!$N$2:$N$1001,MATCH($B261,智能流水!$B$2:$B$1001,0)),""))</f>
        <v/>
      </c>
      <c r="O261" s="32">
        <f>IF($B261="","",IFERROR(INDEX(智能流水!$O$2:$O$1001,MATCH($B261,智能流水!$B$2:$B$1001,0)),""))</f>
        <v/>
      </c>
    </row>
    <row r="262" ht="23" customHeight="1" s="21">
      <c r="A262" s="32">
        <f>IF($B262="","",261)</f>
        <v/>
      </c>
      <c r="B262" s="32">
        <f>IFERROR(LARGE(智能流水!$B$2:$B$1001,261),"")</f>
        <v/>
      </c>
      <c r="C262" s="33">
        <f>IF($B262="","",IFERROR(INDEX(智能流水!$C$2:$C$1001,MATCH($B262,智能流水!$B$2:$B$1001,0)),""))</f>
        <v/>
      </c>
      <c r="D262" s="34">
        <f>IF($B262="","",IFERROR(INDEX(智能流水!$D$2:$D$1001,MATCH($B262,智能流水!$B$2:$B$1001,0)),""))</f>
        <v/>
      </c>
      <c r="E262" s="34">
        <f>IF($B262="","",IFERROR(INDEX(智能流水!$E$2:$E$1001,MATCH($B262,智能流水!$B$2:$B$1001,0)),""))</f>
        <v/>
      </c>
      <c r="F262" s="34">
        <f>IF($B262="","",IFERROR(INDEX(智能流水!$F$2:$F$1001,MATCH($B262,智能流水!$B$2:$B$1001,0)),""))</f>
        <v/>
      </c>
      <c r="G262" s="32">
        <f>IF($B262="","",IFERROR(INDEX(智能流水!$G$2:$G$1001,MATCH($B262,智能流水!$B$2:$B$1001,0)),""))</f>
        <v/>
      </c>
      <c r="H262" s="32">
        <f>IF($B262="","",IFERROR(INDEX(智能流水!$H$2:$H$1001,MATCH($B262,智能流水!$B$2:$B$1001,0)),""))</f>
        <v/>
      </c>
      <c r="I262" s="32">
        <f>IF($B262="","",IFERROR(INDEX(智能流水!$I$2:$I$1001,MATCH($B262,智能流水!$B$2:$B$1001,0)),""))</f>
        <v/>
      </c>
      <c r="J262" s="32">
        <f>IF($B262="","",IFERROR(INDEX(智能流水!$J$2:$J$1001,MATCH($B262,智能流水!$B$2:$B$1001,0)),""))</f>
        <v/>
      </c>
      <c r="K262" s="35">
        <f>IF($B262="","",IFERROR(INDEX(智能流水!$K$2:$K$1001,MATCH($B262,智能流水!$B$2:$B$1001,0)),""))</f>
        <v/>
      </c>
      <c r="L262" s="32">
        <f>IF($B262="","",IFERROR(INDEX(智能流水!$L$2:$L$1001,MATCH($B262,智能流水!$B$2:$B$1001,0)),""))</f>
        <v/>
      </c>
      <c r="M262" s="32">
        <f>IF($B262="","",IFERROR(INDEX(智能流水!$M$2:$M$1001,MATCH($B262,智能流水!$B$2:$B$1001,0)),""))</f>
        <v/>
      </c>
      <c r="N262" s="32">
        <f>IF($B262="","",IFERROR(INDEX(智能流水!$N$2:$N$1001,MATCH($B262,智能流水!$B$2:$B$1001,0)),""))</f>
        <v/>
      </c>
      <c r="O262" s="32">
        <f>IF($B262="","",IFERROR(INDEX(智能流水!$O$2:$O$1001,MATCH($B262,智能流水!$B$2:$B$1001,0)),""))</f>
        <v/>
      </c>
    </row>
    <row r="263" ht="23" customHeight="1" s="21">
      <c r="A263" s="32">
        <f>IF($B263="","",262)</f>
        <v/>
      </c>
      <c r="B263" s="32">
        <f>IFERROR(LARGE(智能流水!$B$2:$B$1001,262),"")</f>
        <v/>
      </c>
      <c r="C263" s="33">
        <f>IF($B263="","",IFERROR(INDEX(智能流水!$C$2:$C$1001,MATCH($B263,智能流水!$B$2:$B$1001,0)),""))</f>
        <v/>
      </c>
      <c r="D263" s="34">
        <f>IF($B263="","",IFERROR(INDEX(智能流水!$D$2:$D$1001,MATCH($B263,智能流水!$B$2:$B$1001,0)),""))</f>
        <v/>
      </c>
      <c r="E263" s="34">
        <f>IF($B263="","",IFERROR(INDEX(智能流水!$E$2:$E$1001,MATCH($B263,智能流水!$B$2:$B$1001,0)),""))</f>
        <v/>
      </c>
      <c r="F263" s="34">
        <f>IF($B263="","",IFERROR(INDEX(智能流水!$F$2:$F$1001,MATCH($B263,智能流水!$B$2:$B$1001,0)),""))</f>
        <v/>
      </c>
      <c r="G263" s="32">
        <f>IF($B263="","",IFERROR(INDEX(智能流水!$G$2:$G$1001,MATCH($B263,智能流水!$B$2:$B$1001,0)),""))</f>
        <v/>
      </c>
      <c r="H263" s="32">
        <f>IF($B263="","",IFERROR(INDEX(智能流水!$H$2:$H$1001,MATCH($B263,智能流水!$B$2:$B$1001,0)),""))</f>
        <v/>
      </c>
      <c r="I263" s="32">
        <f>IF($B263="","",IFERROR(INDEX(智能流水!$I$2:$I$1001,MATCH($B263,智能流水!$B$2:$B$1001,0)),""))</f>
        <v/>
      </c>
      <c r="J263" s="32">
        <f>IF($B263="","",IFERROR(INDEX(智能流水!$J$2:$J$1001,MATCH($B263,智能流水!$B$2:$B$1001,0)),""))</f>
        <v/>
      </c>
      <c r="K263" s="35">
        <f>IF($B263="","",IFERROR(INDEX(智能流水!$K$2:$K$1001,MATCH($B263,智能流水!$B$2:$B$1001,0)),""))</f>
        <v/>
      </c>
      <c r="L263" s="32">
        <f>IF($B263="","",IFERROR(INDEX(智能流水!$L$2:$L$1001,MATCH($B263,智能流水!$B$2:$B$1001,0)),""))</f>
        <v/>
      </c>
      <c r="M263" s="32">
        <f>IF($B263="","",IFERROR(INDEX(智能流水!$M$2:$M$1001,MATCH($B263,智能流水!$B$2:$B$1001,0)),""))</f>
        <v/>
      </c>
      <c r="N263" s="32">
        <f>IF($B263="","",IFERROR(INDEX(智能流水!$N$2:$N$1001,MATCH($B263,智能流水!$B$2:$B$1001,0)),""))</f>
        <v/>
      </c>
      <c r="O263" s="32">
        <f>IF($B263="","",IFERROR(INDEX(智能流水!$O$2:$O$1001,MATCH($B263,智能流水!$B$2:$B$1001,0)),""))</f>
        <v/>
      </c>
    </row>
    <row r="264" ht="23" customHeight="1" s="21">
      <c r="A264" s="32">
        <f>IF($B264="","",263)</f>
        <v/>
      </c>
      <c r="B264" s="32">
        <f>IFERROR(LARGE(智能流水!$B$2:$B$1001,263),"")</f>
        <v/>
      </c>
      <c r="C264" s="33">
        <f>IF($B264="","",IFERROR(INDEX(智能流水!$C$2:$C$1001,MATCH($B264,智能流水!$B$2:$B$1001,0)),""))</f>
        <v/>
      </c>
      <c r="D264" s="34">
        <f>IF($B264="","",IFERROR(INDEX(智能流水!$D$2:$D$1001,MATCH($B264,智能流水!$B$2:$B$1001,0)),""))</f>
        <v/>
      </c>
      <c r="E264" s="34">
        <f>IF($B264="","",IFERROR(INDEX(智能流水!$E$2:$E$1001,MATCH($B264,智能流水!$B$2:$B$1001,0)),""))</f>
        <v/>
      </c>
      <c r="F264" s="34">
        <f>IF($B264="","",IFERROR(INDEX(智能流水!$F$2:$F$1001,MATCH($B264,智能流水!$B$2:$B$1001,0)),""))</f>
        <v/>
      </c>
      <c r="G264" s="32">
        <f>IF($B264="","",IFERROR(INDEX(智能流水!$G$2:$G$1001,MATCH($B264,智能流水!$B$2:$B$1001,0)),""))</f>
        <v/>
      </c>
      <c r="H264" s="32">
        <f>IF($B264="","",IFERROR(INDEX(智能流水!$H$2:$H$1001,MATCH($B264,智能流水!$B$2:$B$1001,0)),""))</f>
        <v/>
      </c>
      <c r="I264" s="32">
        <f>IF($B264="","",IFERROR(INDEX(智能流水!$I$2:$I$1001,MATCH($B264,智能流水!$B$2:$B$1001,0)),""))</f>
        <v/>
      </c>
      <c r="J264" s="32">
        <f>IF($B264="","",IFERROR(INDEX(智能流水!$J$2:$J$1001,MATCH($B264,智能流水!$B$2:$B$1001,0)),""))</f>
        <v/>
      </c>
      <c r="K264" s="35">
        <f>IF($B264="","",IFERROR(INDEX(智能流水!$K$2:$K$1001,MATCH($B264,智能流水!$B$2:$B$1001,0)),""))</f>
        <v/>
      </c>
      <c r="L264" s="32">
        <f>IF($B264="","",IFERROR(INDEX(智能流水!$L$2:$L$1001,MATCH($B264,智能流水!$B$2:$B$1001,0)),""))</f>
        <v/>
      </c>
      <c r="M264" s="32">
        <f>IF($B264="","",IFERROR(INDEX(智能流水!$M$2:$M$1001,MATCH($B264,智能流水!$B$2:$B$1001,0)),""))</f>
        <v/>
      </c>
      <c r="N264" s="32">
        <f>IF($B264="","",IFERROR(INDEX(智能流水!$N$2:$N$1001,MATCH($B264,智能流水!$B$2:$B$1001,0)),""))</f>
        <v/>
      </c>
      <c r="O264" s="32">
        <f>IF($B264="","",IFERROR(INDEX(智能流水!$O$2:$O$1001,MATCH($B264,智能流水!$B$2:$B$1001,0)),""))</f>
        <v/>
      </c>
    </row>
    <row r="265" ht="23" customHeight="1" s="21">
      <c r="A265" s="32">
        <f>IF($B265="","",264)</f>
        <v/>
      </c>
      <c r="B265" s="32">
        <f>IFERROR(LARGE(智能流水!$B$2:$B$1001,264),"")</f>
        <v/>
      </c>
      <c r="C265" s="33">
        <f>IF($B265="","",IFERROR(INDEX(智能流水!$C$2:$C$1001,MATCH($B265,智能流水!$B$2:$B$1001,0)),""))</f>
        <v/>
      </c>
      <c r="D265" s="34">
        <f>IF($B265="","",IFERROR(INDEX(智能流水!$D$2:$D$1001,MATCH($B265,智能流水!$B$2:$B$1001,0)),""))</f>
        <v/>
      </c>
      <c r="E265" s="34">
        <f>IF($B265="","",IFERROR(INDEX(智能流水!$E$2:$E$1001,MATCH($B265,智能流水!$B$2:$B$1001,0)),""))</f>
        <v/>
      </c>
      <c r="F265" s="34">
        <f>IF($B265="","",IFERROR(INDEX(智能流水!$F$2:$F$1001,MATCH($B265,智能流水!$B$2:$B$1001,0)),""))</f>
        <v/>
      </c>
      <c r="G265" s="32">
        <f>IF($B265="","",IFERROR(INDEX(智能流水!$G$2:$G$1001,MATCH($B265,智能流水!$B$2:$B$1001,0)),""))</f>
        <v/>
      </c>
      <c r="H265" s="32">
        <f>IF($B265="","",IFERROR(INDEX(智能流水!$H$2:$H$1001,MATCH($B265,智能流水!$B$2:$B$1001,0)),""))</f>
        <v/>
      </c>
      <c r="I265" s="32">
        <f>IF($B265="","",IFERROR(INDEX(智能流水!$I$2:$I$1001,MATCH($B265,智能流水!$B$2:$B$1001,0)),""))</f>
        <v/>
      </c>
      <c r="J265" s="32">
        <f>IF($B265="","",IFERROR(INDEX(智能流水!$J$2:$J$1001,MATCH($B265,智能流水!$B$2:$B$1001,0)),""))</f>
        <v/>
      </c>
      <c r="K265" s="35">
        <f>IF($B265="","",IFERROR(INDEX(智能流水!$K$2:$K$1001,MATCH($B265,智能流水!$B$2:$B$1001,0)),""))</f>
        <v/>
      </c>
      <c r="L265" s="32">
        <f>IF($B265="","",IFERROR(INDEX(智能流水!$L$2:$L$1001,MATCH($B265,智能流水!$B$2:$B$1001,0)),""))</f>
        <v/>
      </c>
      <c r="M265" s="32">
        <f>IF($B265="","",IFERROR(INDEX(智能流水!$M$2:$M$1001,MATCH($B265,智能流水!$B$2:$B$1001,0)),""))</f>
        <v/>
      </c>
      <c r="N265" s="32">
        <f>IF($B265="","",IFERROR(INDEX(智能流水!$N$2:$N$1001,MATCH($B265,智能流水!$B$2:$B$1001,0)),""))</f>
        <v/>
      </c>
      <c r="O265" s="32">
        <f>IF($B265="","",IFERROR(INDEX(智能流水!$O$2:$O$1001,MATCH($B265,智能流水!$B$2:$B$1001,0)),""))</f>
        <v/>
      </c>
    </row>
    <row r="266" ht="23" customHeight="1" s="21">
      <c r="A266" s="32">
        <f>IF($B266="","",265)</f>
        <v/>
      </c>
      <c r="B266" s="32">
        <f>IFERROR(LARGE(智能流水!$B$2:$B$1001,265),"")</f>
        <v/>
      </c>
      <c r="C266" s="33">
        <f>IF($B266="","",IFERROR(INDEX(智能流水!$C$2:$C$1001,MATCH($B266,智能流水!$B$2:$B$1001,0)),""))</f>
        <v/>
      </c>
      <c r="D266" s="34">
        <f>IF($B266="","",IFERROR(INDEX(智能流水!$D$2:$D$1001,MATCH($B266,智能流水!$B$2:$B$1001,0)),""))</f>
        <v/>
      </c>
      <c r="E266" s="34">
        <f>IF($B266="","",IFERROR(INDEX(智能流水!$E$2:$E$1001,MATCH($B266,智能流水!$B$2:$B$1001,0)),""))</f>
        <v/>
      </c>
      <c r="F266" s="34">
        <f>IF($B266="","",IFERROR(INDEX(智能流水!$F$2:$F$1001,MATCH($B266,智能流水!$B$2:$B$1001,0)),""))</f>
        <v/>
      </c>
      <c r="G266" s="32">
        <f>IF($B266="","",IFERROR(INDEX(智能流水!$G$2:$G$1001,MATCH($B266,智能流水!$B$2:$B$1001,0)),""))</f>
        <v/>
      </c>
      <c r="H266" s="32">
        <f>IF($B266="","",IFERROR(INDEX(智能流水!$H$2:$H$1001,MATCH($B266,智能流水!$B$2:$B$1001,0)),""))</f>
        <v/>
      </c>
      <c r="I266" s="32">
        <f>IF($B266="","",IFERROR(INDEX(智能流水!$I$2:$I$1001,MATCH($B266,智能流水!$B$2:$B$1001,0)),""))</f>
        <v/>
      </c>
      <c r="J266" s="32">
        <f>IF($B266="","",IFERROR(INDEX(智能流水!$J$2:$J$1001,MATCH($B266,智能流水!$B$2:$B$1001,0)),""))</f>
        <v/>
      </c>
      <c r="K266" s="35">
        <f>IF($B266="","",IFERROR(INDEX(智能流水!$K$2:$K$1001,MATCH($B266,智能流水!$B$2:$B$1001,0)),""))</f>
        <v/>
      </c>
      <c r="L266" s="32">
        <f>IF($B266="","",IFERROR(INDEX(智能流水!$L$2:$L$1001,MATCH($B266,智能流水!$B$2:$B$1001,0)),""))</f>
        <v/>
      </c>
      <c r="M266" s="32">
        <f>IF($B266="","",IFERROR(INDEX(智能流水!$M$2:$M$1001,MATCH($B266,智能流水!$B$2:$B$1001,0)),""))</f>
        <v/>
      </c>
      <c r="N266" s="32">
        <f>IF($B266="","",IFERROR(INDEX(智能流水!$N$2:$N$1001,MATCH($B266,智能流水!$B$2:$B$1001,0)),""))</f>
        <v/>
      </c>
      <c r="O266" s="32">
        <f>IF($B266="","",IFERROR(INDEX(智能流水!$O$2:$O$1001,MATCH($B266,智能流水!$B$2:$B$1001,0)),""))</f>
        <v/>
      </c>
    </row>
    <row r="267" ht="23" customHeight="1" s="21">
      <c r="A267" s="32">
        <f>IF($B267="","",266)</f>
        <v/>
      </c>
      <c r="B267" s="32">
        <f>IFERROR(LARGE(智能流水!$B$2:$B$1001,266),"")</f>
        <v/>
      </c>
      <c r="C267" s="33">
        <f>IF($B267="","",IFERROR(INDEX(智能流水!$C$2:$C$1001,MATCH($B267,智能流水!$B$2:$B$1001,0)),""))</f>
        <v/>
      </c>
      <c r="D267" s="34">
        <f>IF($B267="","",IFERROR(INDEX(智能流水!$D$2:$D$1001,MATCH($B267,智能流水!$B$2:$B$1001,0)),""))</f>
        <v/>
      </c>
      <c r="E267" s="34">
        <f>IF($B267="","",IFERROR(INDEX(智能流水!$E$2:$E$1001,MATCH($B267,智能流水!$B$2:$B$1001,0)),""))</f>
        <v/>
      </c>
      <c r="F267" s="34">
        <f>IF($B267="","",IFERROR(INDEX(智能流水!$F$2:$F$1001,MATCH($B267,智能流水!$B$2:$B$1001,0)),""))</f>
        <v/>
      </c>
      <c r="G267" s="32">
        <f>IF($B267="","",IFERROR(INDEX(智能流水!$G$2:$G$1001,MATCH($B267,智能流水!$B$2:$B$1001,0)),""))</f>
        <v/>
      </c>
      <c r="H267" s="32">
        <f>IF($B267="","",IFERROR(INDEX(智能流水!$H$2:$H$1001,MATCH($B267,智能流水!$B$2:$B$1001,0)),""))</f>
        <v/>
      </c>
      <c r="I267" s="32">
        <f>IF($B267="","",IFERROR(INDEX(智能流水!$I$2:$I$1001,MATCH($B267,智能流水!$B$2:$B$1001,0)),""))</f>
        <v/>
      </c>
      <c r="J267" s="32">
        <f>IF($B267="","",IFERROR(INDEX(智能流水!$J$2:$J$1001,MATCH($B267,智能流水!$B$2:$B$1001,0)),""))</f>
        <v/>
      </c>
      <c r="K267" s="35">
        <f>IF($B267="","",IFERROR(INDEX(智能流水!$K$2:$K$1001,MATCH($B267,智能流水!$B$2:$B$1001,0)),""))</f>
        <v/>
      </c>
      <c r="L267" s="32">
        <f>IF($B267="","",IFERROR(INDEX(智能流水!$L$2:$L$1001,MATCH($B267,智能流水!$B$2:$B$1001,0)),""))</f>
        <v/>
      </c>
      <c r="M267" s="32">
        <f>IF($B267="","",IFERROR(INDEX(智能流水!$M$2:$M$1001,MATCH($B267,智能流水!$B$2:$B$1001,0)),""))</f>
        <v/>
      </c>
      <c r="N267" s="32">
        <f>IF($B267="","",IFERROR(INDEX(智能流水!$N$2:$N$1001,MATCH($B267,智能流水!$B$2:$B$1001,0)),""))</f>
        <v/>
      </c>
      <c r="O267" s="32">
        <f>IF($B267="","",IFERROR(INDEX(智能流水!$O$2:$O$1001,MATCH($B267,智能流水!$B$2:$B$1001,0)),""))</f>
        <v/>
      </c>
    </row>
    <row r="268" ht="23" customHeight="1" s="21">
      <c r="A268" s="32">
        <f>IF($B268="","",267)</f>
        <v/>
      </c>
      <c r="B268" s="32">
        <f>IFERROR(LARGE(智能流水!$B$2:$B$1001,267),"")</f>
        <v/>
      </c>
      <c r="C268" s="33">
        <f>IF($B268="","",IFERROR(INDEX(智能流水!$C$2:$C$1001,MATCH($B268,智能流水!$B$2:$B$1001,0)),""))</f>
        <v/>
      </c>
      <c r="D268" s="34">
        <f>IF($B268="","",IFERROR(INDEX(智能流水!$D$2:$D$1001,MATCH($B268,智能流水!$B$2:$B$1001,0)),""))</f>
        <v/>
      </c>
      <c r="E268" s="34">
        <f>IF($B268="","",IFERROR(INDEX(智能流水!$E$2:$E$1001,MATCH($B268,智能流水!$B$2:$B$1001,0)),""))</f>
        <v/>
      </c>
      <c r="F268" s="34">
        <f>IF($B268="","",IFERROR(INDEX(智能流水!$F$2:$F$1001,MATCH($B268,智能流水!$B$2:$B$1001,0)),""))</f>
        <v/>
      </c>
      <c r="G268" s="32">
        <f>IF($B268="","",IFERROR(INDEX(智能流水!$G$2:$G$1001,MATCH($B268,智能流水!$B$2:$B$1001,0)),""))</f>
        <v/>
      </c>
      <c r="H268" s="32">
        <f>IF($B268="","",IFERROR(INDEX(智能流水!$H$2:$H$1001,MATCH($B268,智能流水!$B$2:$B$1001,0)),""))</f>
        <v/>
      </c>
      <c r="I268" s="32">
        <f>IF($B268="","",IFERROR(INDEX(智能流水!$I$2:$I$1001,MATCH($B268,智能流水!$B$2:$B$1001,0)),""))</f>
        <v/>
      </c>
      <c r="J268" s="32">
        <f>IF($B268="","",IFERROR(INDEX(智能流水!$J$2:$J$1001,MATCH($B268,智能流水!$B$2:$B$1001,0)),""))</f>
        <v/>
      </c>
      <c r="K268" s="35">
        <f>IF($B268="","",IFERROR(INDEX(智能流水!$K$2:$K$1001,MATCH($B268,智能流水!$B$2:$B$1001,0)),""))</f>
        <v/>
      </c>
      <c r="L268" s="32">
        <f>IF($B268="","",IFERROR(INDEX(智能流水!$L$2:$L$1001,MATCH($B268,智能流水!$B$2:$B$1001,0)),""))</f>
        <v/>
      </c>
      <c r="M268" s="32">
        <f>IF($B268="","",IFERROR(INDEX(智能流水!$M$2:$M$1001,MATCH($B268,智能流水!$B$2:$B$1001,0)),""))</f>
        <v/>
      </c>
      <c r="N268" s="32">
        <f>IF($B268="","",IFERROR(INDEX(智能流水!$N$2:$N$1001,MATCH($B268,智能流水!$B$2:$B$1001,0)),""))</f>
        <v/>
      </c>
      <c r="O268" s="32">
        <f>IF($B268="","",IFERROR(INDEX(智能流水!$O$2:$O$1001,MATCH($B268,智能流水!$B$2:$B$1001,0)),""))</f>
        <v/>
      </c>
    </row>
    <row r="269" ht="23" customHeight="1" s="21">
      <c r="A269" s="32">
        <f>IF($B269="","",268)</f>
        <v/>
      </c>
      <c r="B269" s="32">
        <f>IFERROR(LARGE(智能流水!$B$2:$B$1001,268),"")</f>
        <v/>
      </c>
      <c r="C269" s="33">
        <f>IF($B269="","",IFERROR(INDEX(智能流水!$C$2:$C$1001,MATCH($B269,智能流水!$B$2:$B$1001,0)),""))</f>
        <v/>
      </c>
      <c r="D269" s="34">
        <f>IF($B269="","",IFERROR(INDEX(智能流水!$D$2:$D$1001,MATCH($B269,智能流水!$B$2:$B$1001,0)),""))</f>
        <v/>
      </c>
      <c r="E269" s="34">
        <f>IF($B269="","",IFERROR(INDEX(智能流水!$E$2:$E$1001,MATCH($B269,智能流水!$B$2:$B$1001,0)),""))</f>
        <v/>
      </c>
      <c r="F269" s="34">
        <f>IF($B269="","",IFERROR(INDEX(智能流水!$F$2:$F$1001,MATCH($B269,智能流水!$B$2:$B$1001,0)),""))</f>
        <v/>
      </c>
      <c r="G269" s="32">
        <f>IF($B269="","",IFERROR(INDEX(智能流水!$G$2:$G$1001,MATCH($B269,智能流水!$B$2:$B$1001,0)),""))</f>
        <v/>
      </c>
      <c r="H269" s="32">
        <f>IF($B269="","",IFERROR(INDEX(智能流水!$H$2:$H$1001,MATCH($B269,智能流水!$B$2:$B$1001,0)),""))</f>
        <v/>
      </c>
      <c r="I269" s="32">
        <f>IF($B269="","",IFERROR(INDEX(智能流水!$I$2:$I$1001,MATCH($B269,智能流水!$B$2:$B$1001,0)),""))</f>
        <v/>
      </c>
      <c r="J269" s="32">
        <f>IF($B269="","",IFERROR(INDEX(智能流水!$J$2:$J$1001,MATCH($B269,智能流水!$B$2:$B$1001,0)),""))</f>
        <v/>
      </c>
      <c r="K269" s="35">
        <f>IF($B269="","",IFERROR(INDEX(智能流水!$K$2:$K$1001,MATCH($B269,智能流水!$B$2:$B$1001,0)),""))</f>
        <v/>
      </c>
      <c r="L269" s="32">
        <f>IF($B269="","",IFERROR(INDEX(智能流水!$L$2:$L$1001,MATCH($B269,智能流水!$B$2:$B$1001,0)),""))</f>
        <v/>
      </c>
      <c r="M269" s="32">
        <f>IF($B269="","",IFERROR(INDEX(智能流水!$M$2:$M$1001,MATCH($B269,智能流水!$B$2:$B$1001,0)),""))</f>
        <v/>
      </c>
      <c r="N269" s="32">
        <f>IF($B269="","",IFERROR(INDEX(智能流水!$N$2:$N$1001,MATCH($B269,智能流水!$B$2:$B$1001,0)),""))</f>
        <v/>
      </c>
      <c r="O269" s="32">
        <f>IF($B269="","",IFERROR(INDEX(智能流水!$O$2:$O$1001,MATCH($B269,智能流水!$B$2:$B$1001,0)),""))</f>
        <v/>
      </c>
    </row>
    <row r="270" ht="23" customHeight="1" s="21">
      <c r="A270" s="32">
        <f>IF($B270="","",269)</f>
        <v/>
      </c>
      <c r="B270" s="32">
        <f>IFERROR(LARGE(智能流水!$B$2:$B$1001,269),"")</f>
        <v/>
      </c>
      <c r="C270" s="33">
        <f>IF($B270="","",IFERROR(INDEX(智能流水!$C$2:$C$1001,MATCH($B270,智能流水!$B$2:$B$1001,0)),""))</f>
        <v/>
      </c>
      <c r="D270" s="34">
        <f>IF($B270="","",IFERROR(INDEX(智能流水!$D$2:$D$1001,MATCH($B270,智能流水!$B$2:$B$1001,0)),""))</f>
        <v/>
      </c>
      <c r="E270" s="34">
        <f>IF($B270="","",IFERROR(INDEX(智能流水!$E$2:$E$1001,MATCH($B270,智能流水!$B$2:$B$1001,0)),""))</f>
        <v/>
      </c>
      <c r="F270" s="34">
        <f>IF($B270="","",IFERROR(INDEX(智能流水!$F$2:$F$1001,MATCH($B270,智能流水!$B$2:$B$1001,0)),""))</f>
        <v/>
      </c>
      <c r="G270" s="32">
        <f>IF($B270="","",IFERROR(INDEX(智能流水!$G$2:$G$1001,MATCH($B270,智能流水!$B$2:$B$1001,0)),""))</f>
        <v/>
      </c>
      <c r="H270" s="32">
        <f>IF($B270="","",IFERROR(INDEX(智能流水!$H$2:$H$1001,MATCH($B270,智能流水!$B$2:$B$1001,0)),""))</f>
        <v/>
      </c>
      <c r="I270" s="32">
        <f>IF($B270="","",IFERROR(INDEX(智能流水!$I$2:$I$1001,MATCH($B270,智能流水!$B$2:$B$1001,0)),""))</f>
        <v/>
      </c>
      <c r="J270" s="32">
        <f>IF($B270="","",IFERROR(INDEX(智能流水!$J$2:$J$1001,MATCH($B270,智能流水!$B$2:$B$1001,0)),""))</f>
        <v/>
      </c>
      <c r="K270" s="35">
        <f>IF($B270="","",IFERROR(INDEX(智能流水!$K$2:$K$1001,MATCH($B270,智能流水!$B$2:$B$1001,0)),""))</f>
        <v/>
      </c>
      <c r="L270" s="32">
        <f>IF($B270="","",IFERROR(INDEX(智能流水!$L$2:$L$1001,MATCH($B270,智能流水!$B$2:$B$1001,0)),""))</f>
        <v/>
      </c>
      <c r="M270" s="32">
        <f>IF($B270="","",IFERROR(INDEX(智能流水!$M$2:$M$1001,MATCH($B270,智能流水!$B$2:$B$1001,0)),""))</f>
        <v/>
      </c>
      <c r="N270" s="32">
        <f>IF($B270="","",IFERROR(INDEX(智能流水!$N$2:$N$1001,MATCH($B270,智能流水!$B$2:$B$1001,0)),""))</f>
        <v/>
      </c>
      <c r="O270" s="32">
        <f>IF($B270="","",IFERROR(INDEX(智能流水!$O$2:$O$1001,MATCH($B270,智能流水!$B$2:$B$1001,0)),""))</f>
        <v/>
      </c>
    </row>
    <row r="271" ht="23" customHeight="1" s="21">
      <c r="A271" s="32">
        <f>IF($B271="","",270)</f>
        <v/>
      </c>
      <c r="B271" s="32">
        <f>IFERROR(LARGE(智能流水!$B$2:$B$1001,270),"")</f>
        <v/>
      </c>
      <c r="C271" s="33">
        <f>IF($B271="","",IFERROR(INDEX(智能流水!$C$2:$C$1001,MATCH($B271,智能流水!$B$2:$B$1001,0)),""))</f>
        <v/>
      </c>
      <c r="D271" s="34">
        <f>IF($B271="","",IFERROR(INDEX(智能流水!$D$2:$D$1001,MATCH($B271,智能流水!$B$2:$B$1001,0)),""))</f>
        <v/>
      </c>
      <c r="E271" s="34">
        <f>IF($B271="","",IFERROR(INDEX(智能流水!$E$2:$E$1001,MATCH($B271,智能流水!$B$2:$B$1001,0)),""))</f>
        <v/>
      </c>
      <c r="F271" s="34">
        <f>IF($B271="","",IFERROR(INDEX(智能流水!$F$2:$F$1001,MATCH($B271,智能流水!$B$2:$B$1001,0)),""))</f>
        <v/>
      </c>
      <c r="G271" s="32">
        <f>IF($B271="","",IFERROR(INDEX(智能流水!$G$2:$G$1001,MATCH($B271,智能流水!$B$2:$B$1001,0)),""))</f>
        <v/>
      </c>
      <c r="H271" s="32">
        <f>IF($B271="","",IFERROR(INDEX(智能流水!$H$2:$H$1001,MATCH($B271,智能流水!$B$2:$B$1001,0)),""))</f>
        <v/>
      </c>
      <c r="I271" s="32">
        <f>IF($B271="","",IFERROR(INDEX(智能流水!$I$2:$I$1001,MATCH($B271,智能流水!$B$2:$B$1001,0)),""))</f>
        <v/>
      </c>
      <c r="J271" s="32">
        <f>IF($B271="","",IFERROR(INDEX(智能流水!$J$2:$J$1001,MATCH($B271,智能流水!$B$2:$B$1001,0)),""))</f>
        <v/>
      </c>
      <c r="K271" s="35">
        <f>IF($B271="","",IFERROR(INDEX(智能流水!$K$2:$K$1001,MATCH($B271,智能流水!$B$2:$B$1001,0)),""))</f>
        <v/>
      </c>
      <c r="L271" s="32">
        <f>IF($B271="","",IFERROR(INDEX(智能流水!$L$2:$L$1001,MATCH($B271,智能流水!$B$2:$B$1001,0)),""))</f>
        <v/>
      </c>
      <c r="M271" s="32">
        <f>IF($B271="","",IFERROR(INDEX(智能流水!$M$2:$M$1001,MATCH($B271,智能流水!$B$2:$B$1001,0)),""))</f>
        <v/>
      </c>
      <c r="N271" s="32">
        <f>IF($B271="","",IFERROR(INDEX(智能流水!$N$2:$N$1001,MATCH($B271,智能流水!$B$2:$B$1001,0)),""))</f>
        <v/>
      </c>
      <c r="O271" s="32">
        <f>IF($B271="","",IFERROR(INDEX(智能流水!$O$2:$O$1001,MATCH($B271,智能流水!$B$2:$B$1001,0)),""))</f>
        <v/>
      </c>
    </row>
    <row r="272" ht="23" customHeight="1" s="21">
      <c r="A272" s="32">
        <f>IF($B272="","",271)</f>
        <v/>
      </c>
      <c r="B272" s="32">
        <f>IFERROR(LARGE(智能流水!$B$2:$B$1001,271),"")</f>
        <v/>
      </c>
      <c r="C272" s="33">
        <f>IF($B272="","",IFERROR(INDEX(智能流水!$C$2:$C$1001,MATCH($B272,智能流水!$B$2:$B$1001,0)),""))</f>
        <v/>
      </c>
      <c r="D272" s="34">
        <f>IF($B272="","",IFERROR(INDEX(智能流水!$D$2:$D$1001,MATCH($B272,智能流水!$B$2:$B$1001,0)),""))</f>
        <v/>
      </c>
      <c r="E272" s="34">
        <f>IF($B272="","",IFERROR(INDEX(智能流水!$E$2:$E$1001,MATCH($B272,智能流水!$B$2:$B$1001,0)),""))</f>
        <v/>
      </c>
      <c r="F272" s="34">
        <f>IF($B272="","",IFERROR(INDEX(智能流水!$F$2:$F$1001,MATCH($B272,智能流水!$B$2:$B$1001,0)),""))</f>
        <v/>
      </c>
      <c r="G272" s="32">
        <f>IF($B272="","",IFERROR(INDEX(智能流水!$G$2:$G$1001,MATCH($B272,智能流水!$B$2:$B$1001,0)),""))</f>
        <v/>
      </c>
      <c r="H272" s="32">
        <f>IF($B272="","",IFERROR(INDEX(智能流水!$H$2:$H$1001,MATCH($B272,智能流水!$B$2:$B$1001,0)),""))</f>
        <v/>
      </c>
      <c r="I272" s="32">
        <f>IF($B272="","",IFERROR(INDEX(智能流水!$I$2:$I$1001,MATCH($B272,智能流水!$B$2:$B$1001,0)),""))</f>
        <v/>
      </c>
      <c r="J272" s="32">
        <f>IF($B272="","",IFERROR(INDEX(智能流水!$J$2:$J$1001,MATCH($B272,智能流水!$B$2:$B$1001,0)),""))</f>
        <v/>
      </c>
      <c r="K272" s="35">
        <f>IF($B272="","",IFERROR(INDEX(智能流水!$K$2:$K$1001,MATCH($B272,智能流水!$B$2:$B$1001,0)),""))</f>
        <v/>
      </c>
      <c r="L272" s="32">
        <f>IF($B272="","",IFERROR(INDEX(智能流水!$L$2:$L$1001,MATCH($B272,智能流水!$B$2:$B$1001,0)),""))</f>
        <v/>
      </c>
      <c r="M272" s="32">
        <f>IF($B272="","",IFERROR(INDEX(智能流水!$M$2:$M$1001,MATCH($B272,智能流水!$B$2:$B$1001,0)),""))</f>
        <v/>
      </c>
      <c r="N272" s="32">
        <f>IF($B272="","",IFERROR(INDEX(智能流水!$N$2:$N$1001,MATCH($B272,智能流水!$B$2:$B$1001,0)),""))</f>
        <v/>
      </c>
      <c r="O272" s="32">
        <f>IF($B272="","",IFERROR(INDEX(智能流水!$O$2:$O$1001,MATCH($B272,智能流水!$B$2:$B$1001,0)),""))</f>
        <v/>
      </c>
    </row>
    <row r="273" ht="23" customHeight="1" s="21">
      <c r="A273" s="32">
        <f>IF($B273="","",272)</f>
        <v/>
      </c>
      <c r="B273" s="32">
        <f>IFERROR(LARGE(智能流水!$B$2:$B$1001,272),"")</f>
        <v/>
      </c>
      <c r="C273" s="33">
        <f>IF($B273="","",IFERROR(INDEX(智能流水!$C$2:$C$1001,MATCH($B273,智能流水!$B$2:$B$1001,0)),""))</f>
        <v/>
      </c>
      <c r="D273" s="34">
        <f>IF($B273="","",IFERROR(INDEX(智能流水!$D$2:$D$1001,MATCH($B273,智能流水!$B$2:$B$1001,0)),""))</f>
        <v/>
      </c>
      <c r="E273" s="34">
        <f>IF($B273="","",IFERROR(INDEX(智能流水!$E$2:$E$1001,MATCH($B273,智能流水!$B$2:$B$1001,0)),""))</f>
        <v/>
      </c>
      <c r="F273" s="34">
        <f>IF($B273="","",IFERROR(INDEX(智能流水!$F$2:$F$1001,MATCH($B273,智能流水!$B$2:$B$1001,0)),""))</f>
        <v/>
      </c>
      <c r="G273" s="32">
        <f>IF($B273="","",IFERROR(INDEX(智能流水!$G$2:$G$1001,MATCH($B273,智能流水!$B$2:$B$1001,0)),""))</f>
        <v/>
      </c>
      <c r="H273" s="32">
        <f>IF($B273="","",IFERROR(INDEX(智能流水!$H$2:$H$1001,MATCH($B273,智能流水!$B$2:$B$1001,0)),""))</f>
        <v/>
      </c>
      <c r="I273" s="32">
        <f>IF($B273="","",IFERROR(INDEX(智能流水!$I$2:$I$1001,MATCH($B273,智能流水!$B$2:$B$1001,0)),""))</f>
        <v/>
      </c>
      <c r="J273" s="32">
        <f>IF($B273="","",IFERROR(INDEX(智能流水!$J$2:$J$1001,MATCH($B273,智能流水!$B$2:$B$1001,0)),""))</f>
        <v/>
      </c>
      <c r="K273" s="35">
        <f>IF($B273="","",IFERROR(INDEX(智能流水!$K$2:$K$1001,MATCH($B273,智能流水!$B$2:$B$1001,0)),""))</f>
        <v/>
      </c>
      <c r="L273" s="32">
        <f>IF($B273="","",IFERROR(INDEX(智能流水!$L$2:$L$1001,MATCH($B273,智能流水!$B$2:$B$1001,0)),""))</f>
        <v/>
      </c>
      <c r="M273" s="32">
        <f>IF($B273="","",IFERROR(INDEX(智能流水!$M$2:$M$1001,MATCH($B273,智能流水!$B$2:$B$1001,0)),""))</f>
        <v/>
      </c>
      <c r="N273" s="32">
        <f>IF($B273="","",IFERROR(INDEX(智能流水!$N$2:$N$1001,MATCH($B273,智能流水!$B$2:$B$1001,0)),""))</f>
        <v/>
      </c>
      <c r="O273" s="32">
        <f>IF($B273="","",IFERROR(INDEX(智能流水!$O$2:$O$1001,MATCH($B273,智能流水!$B$2:$B$1001,0)),""))</f>
        <v/>
      </c>
    </row>
    <row r="274" ht="23" customHeight="1" s="21">
      <c r="A274" s="32">
        <f>IF($B274="","",273)</f>
        <v/>
      </c>
      <c r="B274" s="32">
        <f>IFERROR(LARGE(智能流水!$B$2:$B$1001,273),"")</f>
        <v/>
      </c>
      <c r="C274" s="33">
        <f>IF($B274="","",IFERROR(INDEX(智能流水!$C$2:$C$1001,MATCH($B274,智能流水!$B$2:$B$1001,0)),""))</f>
        <v/>
      </c>
      <c r="D274" s="34">
        <f>IF($B274="","",IFERROR(INDEX(智能流水!$D$2:$D$1001,MATCH($B274,智能流水!$B$2:$B$1001,0)),""))</f>
        <v/>
      </c>
      <c r="E274" s="34">
        <f>IF($B274="","",IFERROR(INDEX(智能流水!$E$2:$E$1001,MATCH($B274,智能流水!$B$2:$B$1001,0)),""))</f>
        <v/>
      </c>
      <c r="F274" s="34">
        <f>IF($B274="","",IFERROR(INDEX(智能流水!$F$2:$F$1001,MATCH($B274,智能流水!$B$2:$B$1001,0)),""))</f>
        <v/>
      </c>
      <c r="G274" s="32">
        <f>IF($B274="","",IFERROR(INDEX(智能流水!$G$2:$G$1001,MATCH($B274,智能流水!$B$2:$B$1001,0)),""))</f>
        <v/>
      </c>
      <c r="H274" s="32">
        <f>IF($B274="","",IFERROR(INDEX(智能流水!$H$2:$H$1001,MATCH($B274,智能流水!$B$2:$B$1001,0)),""))</f>
        <v/>
      </c>
      <c r="I274" s="32">
        <f>IF($B274="","",IFERROR(INDEX(智能流水!$I$2:$I$1001,MATCH($B274,智能流水!$B$2:$B$1001,0)),""))</f>
        <v/>
      </c>
      <c r="J274" s="32">
        <f>IF($B274="","",IFERROR(INDEX(智能流水!$J$2:$J$1001,MATCH($B274,智能流水!$B$2:$B$1001,0)),""))</f>
        <v/>
      </c>
      <c r="K274" s="35">
        <f>IF($B274="","",IFERROR(INDEX(智能流水!$K$2:$K$1001,MATCH($B274,智能流水!$B$2:$B$1001,0)),""))</f>
        <v/>
      </c>
      <c r="L274" s="32">
        <f>IF($B274="","",IFERROR(INDEX(智能流水!$L$2:$L$1001,MATCH($B274,智能流水!$B$2:$B$1001,0)),""))</f>
        <v/>
      </c>
      <c r="M274" s="32">
        <f>IF($B274="","",IFERROR(INDEX(智能流水!$M$2:$M$1001,MATCH($B274,智能流水!$B$2:$B$1001,0)),""))</f>
        <v/>
      </c>
      <c r="N274" s="32">
        <f>IF($B274="","",IFERROR(INDEX(智能流水!$N$2:$N$1001,MATCH($B274,智能流水!$B$2:$B$1001,0)),""))</f>
        <v/>
      </c>
      <c r="O274" s="32">
        <f>IF($B274="","",IFERROR(INDEX(智能流水!$O$2:$O$1001,MATCH($B274,智能流水!$B$2:$B$1001,0)),""))</f>
        <v/>
      </c>
    </row>
    <row r="275" ht="23" customHeight="1" s="21">
      <c r="A275" s="32">
        <f>IF($B275="","",274)</f>
        <v/>
      </c>
      <c r="B275" s="32">
        <f>IFERROR(LARGE(智能流水!$B$2:$B$1001,274),"")</f>
        <v/>
      </c>
      <c r="C275" s="33">
        <f>IF($B275="","",IFERROR(INDEX(智能流水!$C$2:$C$1001,MATCH($B275,智能流水!$B$2:$B$1001,0)),""))</f>
        <v/>
      </c>
      <c r="D275" s="34">
        <f>IF($B275="","",IFERROR(INDEX(智能流水!$D$2:$D$1001,MATCH($B275,智能流水!$B$2:$B$1001,0)),""))</f>
        <v/>
      </c>
      <c r="E275" s="34">
        <f>IF($B275="","",IFERROR(INDEX(智能流水!$E$2:$E$1001,MATCH($B275,智能流水!$B$2:$B$1001,0)),""))</f>
        <v/>
      </c>
      <c r="F275" s="34">
        <f>IF($B275="","",IFERROR(INDEX(智能流水!$F$2:$F$1001,MATCH($B275,智能流水!$B$2:$B$1001,0)),""))</f>
        <v/>
      </c>
      <c r="G275" s="32">
        <f>IF($B275="","",IFERROR(INDEX(智能流水!$G$2:$G$1001,MATCH($B275,智能流水!$B$2:$B$1001,0)),""))</f>
        <v/>
      </c>
      <c r="H275" s="32">
        <f>IF($B275="","",IFERROR(INDEX(智能流水!$H$2:$H$1001,MATCH($B275,智能流水!$B$2:$B$1001,0)),""))</f>
        <v/>
      </c>
      <c r="I275" s="32">
        <f>IF($B275="","",IFERROR(INDEX(智能流水!$I$2:$I$1001,MATCH($B275,智能流水!$B$2:$B$1001,0)),""))</f>
        <v/>
      </c>
      <c r="J275" s="32">
        <f>IF($B275="","",IFERROR(INDEX(智能流水!$J$2:$J$1001,MATCH($B275,智能流水!$B$2:$B$1001,0)),""))</f>
        <v/>
      </c>
      <c r="K275" s="35">
        <f>IF($B275="","",IFERROR(INDEX(智能流水!$K$2:$K$1001,MATCH($B275,智能流水!$B$2:$B$1001,0)),""))</f>
        <v/>
      </c>
      <c r="L275" s="32">
        <f>IF($B275="","",IFERROR(INDEX(智能流水!$L$2:$L$1001,MATCH($B275,智能流水!$B$2:$B$1001,0)),""))</f>
        <v/>
      </c>
      <c r="M275" s="32">
        <f>IF($B275="","",IFERROR(INDEX(智能流水!$M$2:$M$1001,MATCH($B275,智能流水!$B$2:$B$1001,0)),""))</f>
        <v/>
      </c>
      <c r="N275" s="32">
        <f>IF($B275="","",IFERROR(INDEX(智能流水!$N$2:$N$1001,MATCH($B275,智能流水!$B$2:$B$1001,0)),""))</f>
        <v/>
      </c>
      <c r="O275" s="32">
        <f>IF($B275="","",IFERROR(INDEX(智能流水!$O$2:$O$1001,MATCH($B275,智能流水!$B$2:$B$1001,0)),""))</f>
        <v/>
      </c>
    </row>
    <row r="276" ht="23" customHeight="1" s="21">
      <c r="A276" s="32">
        <f>IF($B276="","",275)</f>
        <v/>
      </c>
      <c r="B276" s="32">
        <f>IFERROR(LARGE(智能流水!$B$2:$B$1001,275),"")</f>
        <v/>
      </c>
      <c r="C276" s="33">
        <f>IF($B276="","",IFERROR(INDEX(智能流水!$C$2:$C$1001,MATCH($B276,智能流水!$B$2:$B$1001,0)),""))</f>
        <v/>
      </c>
      <c r="D276" s="34">
        <f>IF($B276="","",IFERROR(INDEX(智能流水!$D$2:$D$1001,MATCH($B276,智能流水!$B$2:$B$1001,0)),""))</f>
        <v/>
      </c>
      <c r="E276" s="34">
        <f>IF($B276="","",IFERROR(INDEX(智能流水!$E$2:$E$1001,MATCH($B276,智能流水!$B$2:$B$1001,0)),""))</f>
        <v/>
      </c>
      <c r="F276" s="34">
        <f>IF($B276="","",IFERROR(INDEX(智能流水!$F$2:$F$1001,MATCH($B276,智能流水!$B$2:$B$1001,0)),""))</f>
        <v/>
      </c>
      <c r="G276" s="32">
        <f>IF($B276="","",IFERROR(INDEX(智能流水!$G$2:$G$1001,MATCH($B276,智能流水!$B$2:$B$1001,0)),""))</f>
        <v/>
      </c>
      <c r="H276" s="32">
        <f>IF($B276="","",IFERROR(INDEX(智能流水!$H$2:$H$1001,MATCH($B276,智能流水!$B$2:$B$1001,0)),""))</f>
        <v/>
      </c>
      <c r="I276" s="32">
        <f>IF($B276="","",IFERROR(INDEX(智能流水!$I$2:$I$1001,MATCH($B276,智能流水!$B$2:$B$1001,0)),""))</f>
        <v/>
      </c>
      <c r="J276" s="32">
        <f>IF($B276="","",IFERROR(INDEX(智能流水!$J$2:$J$1001,MATCH($B276,智能流水!$B$2:$B$1001,0)),""))</f>
        <v/>
      </c>
      <c r="K276" s="35">
        <f>IF($B276="","",IFERROR(INDEX(智能流水!$K$2:$K$1001,MATCH($B276,智能流水!$B$2:$B$1001,0)),""))</f>
        <v/>
      </c>
      <c r="L276" s="32">
        <f>IF($B276="","",IFERROR(INDEX(智能流水!$L$2:$L$1001,MATCH($B276,智能流水!$B$2:$B$1001,0)),""))</f>
        <v/>
      </c>
      <c r="M276" s="32">
        <f>IF($B276="","",IFERROR(INDEX(智能流水!$M$2:$M$1001,MATCH($B276,智能流水!$B$2:$B$1001,0)),""))</f>
        <v/>
      </c>
      <c r="N276" s="32">
        <f>IF($B276="","",IFERROR(INDEX(智能流水!$N$2:$N$1001,MATCH($B276,智能流水!$B$2:$B$1001,0)),""))</f>
        <v/>
      </c>
      <c r="O276" s="32">
        <f>IF($B276="","",IFERROR(INDEX(智能流水!$O$2:$O$1001,MATCH($B276,智能流水!$B$2:$B$1001,0)),""))</f>
        <v/>
      </c>
    </row>
    <row r="277" ht="23" customHeight="1" s="21">
      <c r="A277" s="32">
        <f>IF($B277="","",276)</f>
        <v/>
      </c>
      <c r="B277" s="32">
        <f>IFERROR(LARGE(智能流水!$B$2:$B$1001,276),"")</f>
        <v/>
      </c>
      <c r="C277" s="33">
        <f>IF($B277="","",IFERROR(INDEX(智能流水!$C$2:$C$1001,MATCH($B277,智能流水!$B$2:$B$1001,0)),""))</f>
        <v/>
      </c>
      <c r="D277" s="34">
        <f>IF($B277="","",IFERROR(INDEX(智能流水!$D$2:$D$1001,MATCH($B277,智能流水!$B$2:$B$1001,0)),""))</f>
        <v/>
      </c>
      <c r="E277" s="34">
        <f>IF($B277="","",IFERROR(INDEX(智能流水!$E$2:$E$1001,MATCH($B277,智能流水!$B$2:$B$1001,0)),""))</f>
        <v/>
      </c>
      <c r="F277" s="34">
        <f>IF($B277="","",IFERROR(INDEX(智能流水!$F$2:$F$1001,MATCH($B277,智能流水!$B$2:$B$1001,0)),""))</f>
        <v/>
      </c>
      <c r="G277" s="32">
        <f>IF($B277="","",IFERROR(INDEX(智能流水!$G$2:$G$1001,MATCH($B277,智能流水!$B$2:$B$1001,0)),""))</f>
        <v/>
      </c>
      <c r="H277" s="32">
        <f>IF($B277="","",IFERROR(INDEX(智能流水!$H$2:$H$1001,MATCH($B277,智能流水!$B$2:$B$1001,0)),""))</f>
        <v/>
      </c>
      <c r="I277" s="32">
        <f>IF($B277="","",IFERROR(INDEX(智能流水!$I$2:$I$1001,MATCH($B277,智能流水!$B$2:$B$1001,0)),""))</f>
        <v/>
      </c>
      <c r="J277" s="32">
        <f>IF($B277="","",IFERROR(INDEX(智能流水!$J$2:$J$1001,MATCH($B277,智能流水!$B$2:$B$1001,0)),""))</f>
        <v/>
      </c>
      <c r="K277" s="35">
        <f>IF($B277="","",IFERROR(INDEX(智能流水!$K$2:$K$1001,MATCH($B277,智能流水!$B$2:$B$1001,0)),""))</f>
        <v/>
      </c>
      <c r="L277" s="32">
        <f>IF($B277="","",IFERROR(INDEX(智能流水!$L$2:$L$1001,MATCH($B277,智能流水!$B$2:$B$1001,0)),""))</f>
        <v/>
      </c>
      <c r="M277" s="32">
        <f>IF($B277="","",IFERROR(INDEX(智能流水!$M$2:$M$1001,MATCH($B277,智能流水!$B$2:$B$1001,0)),""))</f>
        <v/>
      </c>
      <c r="N277" s="32">
        <f>IF($B277="","",IFERROR(INDEX(智能流水!$N$2:$N$1001,MATCH($B277,智能流水!$B$2:$B$1001,0)),""))</f>
        <v/>
      </c>
      <c r="O277" s="32">
        <f>IF($B277="","",IFERROR(INDEX(智能流水!$O$2:$O$1001,MATCH($B277,智能流水!$B$2:$B$1001,0)),""))</f>
        <v/>
      </c>
    </row>
    <row r="278" ht="23" customHeight="1" s="21">
      <c r="A278" s="32">
        <f>IF($B278="","",277)</f>
        <v/>
      </c>
      <c r="B278" s="32">
        <f>IFERROR(LARGE(智能流水!$B$2:$B$1001,277),"")</f>
        <v/>
      </c>
      <c r="C278" s="33">
        <f>IF($B278="","",IFERROR(INDEX(智能流水!$C$2:$C$1001,MATCH($B278,智能流水!$B$2:$B$1001,0)),""))</f>
        <v/>
      </c>
      <c r="D278" s="34">
        <f>IF($B278="","",IFERROR(INDEX(智能流水!$D$2:$D$1001,MATCH($B278,智能流水!$B$2:$B$1001,0)),""))</f>
        <v/>
      </c>
      <c r="E278" s="34">
        <f>IF($B278="","",IFERROR(INDEX(智能流水!$E$2:$E$1001,MATCH($B278,智能流水!$B$2:$B$1001,0)),""))</f>
        <v/>
      </c>
      <c r="F278" s="34">
        <f>IF($B278="","",IFERROR(INDEX(智能流水!$F$2:$F$1001,MATCH($B278,智能流水!$B$2:$B$1001,0)),""))</f>
        <v/>
      </c>
      <c r="G278" s="32">
        <f>IF($B278="","",IFERROR(INDEX(智能流水!$G$2:$G$1001,MATCH($B278,智能流水!$B$2:$B$1001,0)),""))</f>
        <v/>
      </c>
      <c r="H278" s="32">
        <f>IF($B278="","",IFERROR(INDEX(智能流水!$H$2:$H$1001,MATCH($B278,智能流水!$B$2:$B$1001,0)),""))</f>
        <v/>
      </c>
      <c r="I278" s="32">
        <f>IF($B278="","",IFERROR(INDEX(智能流水!$I$2:$I$1001,MATCH($B278,智能流水!$B$2:$B$1001,0)),""))</f>
        <v/>
      </c>
      <c r="J278" s="32">
        <f>IF($B278="","",IFERROR(INDEX(智能流水!$J$2:$J$1001,MATCH($B278,智能流水!$B$2:$B$1001,0)),""))</f>
        <v/>
      </c>
      <c r="K278" s="35">
        <f>IF($B278="","",IFERROR(INDEX(智能流水!$K$2:$K$1001,MATCH($B278,智能流水!$B$2:$B$1001,0)),""))</f>
        <v/>
      </c>
      <c r="L278" s="32">
        <f>IF($B278="","",IFERROR(INDEX(智能流水!$L$2:$L$1001,MATCH($B278,智能流水!$B$2:$B$1001,0)),""))</f>
        <v/>
      </c>
      <c r="M278" s="32">
        <f>IF($B278="","",IFERROR(INDEX(智能流水!$M$2:$M$1001,MATCH($B278,智能流水!$B$2:$B$1001,0)),""))</f>
        <v/>
      </c>
      <c r="N278" s="32">
        <f>IF($B278="","",IFERROR(INDEX(智能流水!$N$2:$N$1001,MATCH($B278,智能流水!$B$2:$B$1001,0)),""))</f>
        <v/>
      </c>
      <c r="O278" s="32">
        <f>IF($B278="","",IFERROR(INDEX(智能流水!$O$2:$O$1001,MATCH($B278,智能流水!$B$2:$B$1001,0)),""))</f>
        <v/>
      </c>
    </row>
    <row r="279" ht="23" customHeight="1" s="21">
      <c r="A279" s="32">
        <f>IF($B279="","",278)</f>
        <v/>
      </c>
      <c r="B279" s="32">
        <f>IFERROR(LARGE(智能流水!$B$2:$B$1001,278),"")</f>
        <v/>
      </c>
      <c r="C279" s="33">
        <f>IF($B279="","",IFERROR(INDEX(智能流水!$C$2:$C$1001,MATCH($B279,智能流水!$B$2:$B$1001,0)),""))</f>
        <v/>
      </c>
      <c r="D279" s="34">
        <f>IF($B279="","",IFERROR(INDEX(智能流水!$D$2:$D$1001,MATCH($B279,智能流水!$B$2:$B$1001,0)),""))</f>
        <v/>
      </c>
      <c r="E279" s="34">
        <f>IF($B279="","",IFERROR(INDEX(智能流水!$E$2:$E$1001,MATCH($B279,智能流水!$B$2:$B$1001,0)),""))</f>
        <v/>
      </c>
      <c r="F279" s="34">
        <f>IF($B279="","",IFERROR(INDEX(智能流水!$F$2:$F$1001,MATCH($B279,智能流水!$B$2:$B$1001,0)),""))</f>
        <v/>
      </c>
      <c r="G279" s="32">
        <f>IF($B279="","",IFERROR(INDEX(智能流水!$G$2:$G$1001,MATCH($B279,智能流水!$B$2:$B$1001,0)),""))</f>
        <v/>
      </c>
      <c r="H279" s="32">
        <f>IF($B279="","",IFERROR(INDEX(智能流水!$H$2:$H$1001,MATCH($B279,智能流水!$B$2:$B$1001,0)),""))</f>
        <v/>
      </c>
      <c r="I279" s="32">
        <f>IF($B279="","",IFERROR(INDEX(智能流水!$I$2:$I$1001,MATCH($B279,智能流水!$B$2:$B$1001,0)),""))</f>
        <v/>
      </c>
      <c r="J279" s="32">
        <f>IF($B279="","",IFERROR(INDEX(智能流水!$J$2:$J$1001,MATCH($B279,智能流水!$B$2:$B$1001,0)),""))</f>
        <v/>
      </c>
      <c r="K279" s="35">
        <f>IF($B279="","",IFERROR(INDEX(智能流水!$K$2:$K$1001,MATCH($B279,智能流水!$B$2:$B$1001,0)),""))</f>
        <v/>
      </c>
      <c r="L279" s="32">
        <f>IF($B279="","",IFERROR(INDEX(智能流水!$L$2:$L$1001,MATCH($B279,智能流水!$B$2:$B$1001,0)),""))</f>
        <v/>
      </c>
      <c r="M279" s="32">
        <f>IF($B279="","",IFERROR(INDEX(智能流水!$M$2:$M$1001,MATCH($B279,智能流水!$B$2:$B$1001,0)),""))</f>
        <v/>
      </c>
      <c r="N279" s="32">
        <f>IF($B279="","",IFERROR(INDEX(智能流水!$N$2:$N$1001,MATCH($B279,智能流水!$B$2:$B$1001,0)),""))</f>
        <v/>
      </c>
      <c r="O279" s="32">
        <f>IF($B279="","",IFERROR(INDEX(智能流水!$O$2:$O$1001,MATCH($B279,智能流水!$B$2:$B$1001,0)),""))</f>
        <v/>
      </c>
    </row>
    <row r="280" ht="23" customHeight="1" s="21">
      <c r="A280" s="32">
        <f>IF($B280="","",279)</f>
        <v/>
      </c>
      <c r="B280" s="32">
        <f>IFERROR(LARGE(智能流水!$B$2:$B$1001,279),"")</f>
        <v/>
      </c>
      <c r="C280" s="33">
        <f>IF($B280="","",IFERROR(INDEX(智能流水!$C$2:$C$1001,MATCH($B280,智能流水!$B$2:$B$1001,0)),""))</f>
        <v/>
      </c>
      <c r="D280" s="34">
        <f>IF($B280="","",IFERROR(INDEX(智能流水!$D$2:$D$1001,MATCH($B280,智能流水!$B$2:$B$1001,0)),""))</f>
        <v/>
      </c>
      <c r="E280" s="34">
        <f>IF($B280="","",IFERROR(INDEX(智能流水!$E$2:$E$1001,MATCH($B280,智能流水!$B$2:$B$1001,0)),""))</f>
        <v/>
      </c>
      <c r="F280" s="34">
        <f>IF($B280="","",IFERROR(INDEX(智能流水!$F$2:$F$1001,MATCH($B280,智能流水!$B$2:$B$1001,0)),""))</f>
        <v/>
      </c>
      <c r="G280" s="32">
        <f>IF($B280="","",IFERROR(INDEX(智能流水!$G$2:$G$1001,MATCH($B280,智能流水!$B$2:$B$1001,0)),""))</f>
        <v/>
      </c>
      <c r="H280" s="32">
        <f>IF($B280="","",IFERROR(INDEX(智能流水!$H$2:$H$1001,MATCH($B280,智能流水!$B$2:$B$1001,0)),""))</f>
        <v/>
      </c>
      <c r="I280" s="32">
        <f>IF($B280="","",IFERROR(INDEX(智能流水!$I$2:$I$1001,MATCH($B280,智能流水!$B$2:$B$1001,0)),""))</f>
        <v/>
      </c>
      <c r="J280" s="32">
        <f>IF($B280="","",IFERROR(INDEX(智能流水!$J$2:$J$1001,MATCH($B280,智能流水!$B$2:$B$1001,0)),""))</f>
        <v/>
      </c>
      <c r="K280" s="35">
        <f>IF($B280="","",IFERROR(INDEX(智能流水!$K$2:$K$1001,MATCH($B280,智能流水!$B$2:$B$1001,0)),""))</f>
        <v/>
      </c>
      <c r="L280" s="32">
        <f>IF($B280="","",IFERROR(INDEX(智能流水!$L$2:$L$1001,MATCH($B280,智能流水!$B$2:$B$1001,0)),""))</f>
        <v/>
      </c>
      <c r="M280" s="32">
        <f>IF($B280="","",IFERROR(INDEX(智能流水!$M$2:$M$1001,MATCH($B280,智能流水!$B$2:$B$1001,0)),""))</f>
        <v/>
      </c>
      <c r="N280" s="32">
        <f>IF($B280="","",IFERROR(INDEX(智能流水!$N$2:$N$1001,MATCH($B280,智能流水!$B$2:$B$1001,0)),""))</f>
        <v/>
      </c>
      <c r="O280" s="32">
        <f>IF($B280="","",IFERROR(INDEX(智能流水!$O$2:$O$1001,MATCH($B280,智能流水!$B$2:$B$1001,0)),""))</f>
        <v/>
      </c>
    </row>
    <row r="281" ht="23" customHeight="1" s="21">
      <c r="A281" s="32">
        <f>IF($B281="","",280)</f>
        <v/>
      </c>
      <c r="B281" s="32">
        <f>IFERROR(LARGE(智能流水!$B$2:$B$1001,280),"")</f>
        <v/>
      </c>
      <c r="C281" s="33">
        <f>IF($B281="","",IFERROR(INDEX(智能流水!$C$2:$C$1001,MATCH($B281,智能流水!$B$2:$B$1001,0)),""))</f>
        <v/>
      </c>
      <c r="D281" s="34">
        <f>IF($B281="","",IFERROR(INDEX(智能流水!$D$2:$D$1001,MATCH($B281,智能流水!$B$2:$B$1001,0)),""))</f>
        <v/>
      </c>
      <c r="E281" s="34">
        <f>IF($B281="","",IFERROR(INDEX(智能流水!$E$2:$E$1001,MATCH($B281,智能流水!$B$2:$B$1001,0)),""))</f>
        <v/>
      </c>
      <c r="F281" s="34">
        <f>IF($B281="","",IFERROR(INDEX(智能流水!$F$2:$F$1001,MATCH($B281,智能流水!$B$2:$B$1001,0)),""))</f>
        <v/>
      </c>
      <c r="G281" s="32">
        <f>IF($B281="","",IFERROR(INDEX(智能流水!$G$2:$G$1001,MATCH($B281,智能流水!$B$2:$B$1001,0)),""))</f>
        <v/>
      </c>
      <c r="H281" s="32">
        <f>IF($B281="","",IFERROR(INDEX(智能流水!$H$2:$H$1001,MATCH($B281,智能流水!$B$2:$B$1001,0)),""))</f>
        <v/>
      </c>
      <c r="I281" s="32">
        <f>IF($B281="","",IFERROR(INDEX(智能流水!$I$2:$I$1001,MATCH($B281,智能流水!$B$2:$B$1001,0)),""))</f>
        <v/>
      </c>
      <c r="J281" s="32">
        <f>IF($B281="","",IFERROR(INDEX(智能流水!$J$2:$J$1001,MATCH($B281,智能流水!$B$2:$B$1001,0)),""))</f>
        <v/>
      </c>
      <c r="K281" s="35">
        <f>IF($B281="","",IFERROR(INDEX(智能流水!$K$2:$K$1001,MATCH($B281,智能流水!$B$2:$B$1001,0)),""))</f>
        <v/>
      </c>
      <c r="L281" s="32">
        <f>IF($B281="","",IFERROR(INDEX(智能流水!$L$2:$L$1001,MATCH($B281,智能流水!$B$2:$B$1001,0)),""))</f>
        <v/>
      </c>
      <c r="M281" s="32">
        <f>IF($B281="","",IFERROR(INDEX(智能流水!$M$2:$M$1001,MATCH($B281,智能流水!$B$2:$B$1001,0)),""))</f>
        <v/>
      </c>
      <c r="N281" s="32">
        <f>IF($B281="","",IFERROR(INDEX(智能流水!$N$2:$N$1001,MATCH($B281,智能流水!$B$2:$B$1001,0)),""))</f>
        <v/>
      </c>
      <c r="O281" s="32">
        <f>IF($B281="","",IFERROR(INDEX(智能流水!$O$2:$O$1001,MATCH($B281,智能流水!$B$2:$B$1001,0)),""))</f>
        <v/>
      </c>
    </row>
    <row r="282" ht="23" customHeight="1" s="21">
      <c r="A282" s="32">
        <f>IF($B282="","",281)</f>
        <v/>
      </c>
      <c r="B282" s="32">
        <f>IFERROR(LARGE(智能流水!$B$2:$B$1001,281),"")</f>
        <v/>
      </c>
      <c r="C282" s="33">
        <f>IF($B282="","",IFERROR(INDEX(智能流水!$C$2:$C$1001,MATCH($B282,智能流水!$B$2:$B$1001,0)),""))</f>
        <v/>
      </c>
      <c r="D282" s="34">
        <f>IF($B282="","",IFERROR(INDEX(智能流水!$D$2:$D$1001,MATCH($B282,智能流水!$B$2:$B$1001,0)),""))</f>
        <v/>
      </c>
      <c r="E282" s="34">
        <f>IF($B282="","",IFERROR(INDEX(智能流水!$E$2:$E$1001,MATCH($B282,智能流水!$B$2:$B$1001,0)),""))</f>
        <v/>
      </c>
      <c r="F282" s="34">
        <f>IF($B282="","",IFERROR(INDEX(智能流水!$F$2:$F$1001,MATCH($B282,智能流水!$B$2:$B$1001,0)),""))</f>
        <v/>
      </c>
      <c r="G282" s="32">
        <f>IF($B282="","",IFERROR(INDEX(智能流水!$G$2:$G$1001,MATCH($B282,智能流水!$B$2:$B$1001,0)),""))</f>
        <v/>
      </c>
      <c r="H282" s="32">
        <f>IF($B282="","",IFERROR(INDEX(智能流水!$H$2:$H$1001,MATCH($B282,智能流水!$B$2:$B$1001,0)),""))</f>
        <v/>
      </c>
      <c r="I282" s="32">
        <f>IF($B282="","",IFERROR(INDEX(智能流水!$I$2:$I$1001,MATCH($B282,智能流水!$B$2:$B$1001,0)),""))</f>
        <v/>
      </c>
      <c r="J282" s="32">
        <f>IF($B282="","",IFERROR(INDEX(智能流水!$J$2:$J$1001,MATCH($B282,智能流水!$B$2:$B$1001,0)),""))</f>
        <v/>
      </c>
      <c r="K282" s="35">
        <f>IF($B282="","",IFERROR(INDEX(智能流水!$K$2:$K$1001,MATCH($B282,智能流水!$B$2:$B$1001,0)),""))</f>
        <v/>
      </c>
      <c r="L282" s="32">
        <f>IF($B282="","",IFERROR(INDEX(智能流水!$L$2:$L$1001,MATCH($B282,智能流水!$B$2:$B$1001,0)),""))</f>
        <v/>
      </c>
      <c r="M282" s="32">
        <f>IF($B282="","",IFERROR(INDEX(智能流水!$M$2:$M$1001,MATCH($B282,智能流水!$B$2:$B$1001,0)),""))</f>
        <v/>
      </c>
      <c r="N282" s="32">
        <f>IF($B282="","",IFERROR(INDEX(智能流水!$N$2:$N$1001,MATCH($B282,智能流水!$B$2:$B$1001,0)),""))</f>
        <v/>
      </c>
      <c r="O282" s="32">
        <f>IF($B282="","",IFERROR(INDEX(智能流水!$O$2:$O$1001,MATCH($B282,智能流水!$B$2:$B$1001,0)),""))</f>
        <v/>
      </c>
    </row>
    <row r="283" ht="23" customHeight="1" s="21">
      <c r="A283" s="32">
        <f>IF($B283="","",282)</f>
        <v/>
      </c>
      <c r="B283" s="32">
        <f>IFERROR(LARGE(智能流水!$B$2:$B$1001,282),"")</f>
        <v/>
      </c>
      <c r="C283" s="33">
        <f>IF($B283="","",IFERROR(INDEX(智能流水!$C$2:$C$1001,MATCH($B283,智能流水!$B$2:$B$1001,0)),""))</f>
        <v/>
      </c>
      <c r="D283" s="34">
        <f>IF($B283="","",IFERROR(INDEX(智能流水!$D$2:$D$1001,MATCH($B283,智能流水!$B$2:$B$1001,0)),""))</f>
        <v/>
      </c>
      <c r="E283" s="34">
        <f>IF($B283="","",IFERROR(INDEX(智能流水!$E$2:$E$1001,MATCH($B283,智能流水!$B$2:$B$1001,0)),""))</f>
        <v/>
      </c>
      <c r="F283" s="34">
        <f>IF($B283="","",IFERROR(INDEX(智能流水!$F$2:$F$1001,MATCH($B283,智能流水!$B$2:$B$1001,0)),""))</f>
        <v/>
      </c>
      <c r="G283" s="32">
        <f>IF($B283="","",IFERROR(INDEX(智能流水!$G$2:$G$1001,MATCH($B283,智能流水!$B$2:$B$1001,0)),""))</f>
        <v/>
      </c>
      <c r="H283" s="32">
        <f>IF($B283="","",IFERROR(INDEX(智能流水!$H$2:$H$1001,MATCH($B283,智能流水!$B$2:$B$1001,0)),""))</f>
        <v/>
      </c>
      <c r="I283" s="32">
        <f>IF($B283="","",IFERROR(INDEX(智能流水!$I$2:$I$1001,MATCH($B283,智能流水!$B$2:$B$1001,0)),""))</f>
        <v/>
      </c>
      <c r="J283" s="32">
        <f>IF($B283="","",IFERROR(INDEX(智能流水!$J$2:$J$1001,MATCH($B283,智能流水!$B$2:$B$1001,0)),""))</f>
        <v/>
      </c>
      <c r="K283" s="35">
        <f>IF($B283="","",IFERROR(INDEX(智能流水!$K$2:$K$1001,MATCH($B283,智能流水!$B$2:$B$1001,0)),""))</f>
        <v/>
      </c>
      <c r="L283" s="32">
        <f>IF($B283="","",IFERROR(INDEX(智能流水!$L$2:$L$1001,MATCH($B283,智能流水!$B$2:$B$1001,0)),""))</f>
        <v/>
      </c>
      <c r="M283" s="32">
        <f>IF($B283="","",IFERROR(INDEX(智能流水!$M$2:$M$1001,MATCH($B283,智能流水!$B$2:$B$1001,0)),""))</f>
        <v/>
      </c>
      <c r="N283" s="32">
        <f>IF($B283="","",IFERROR(INDEX(智能流水!$N$2:$N$1001,MATCH($B283,智能流水!$B$2:$B$1001,0)),""))</f>
        <v/>
      </c>
      <c r="O283" s="32">
        <f>IF($B283="","",IFERROR(INDEX(智能流水!$O$2:$O$1001,MATCH($B283,智能流水!$B$2:$B$1001,0)),""))</f>
        <v/>
      </c>
    </row>
    <row r="284" ht="23" customHeight="1" s="21">
      <c r="A284" s="32">
        <f>IF($B284="","",283)</f>
        <v/>
      </c>
      <c r="B284" s="32">
        <f>IFERROR(LARGE(智能流水!$B$2:$B$1001,283),"")</f>
        <v/>
      </c>
      <c r="C284" s="33">
        <f>IF($B284="","",IFERROR(INDEX(智能流水!$C$2:$C$1001,MATCH($B284,智能流水!$B$2:$B$1001,0)),""))</f>
        <v/>
      </c>
      <c r="D284" s="34">
        <f>IF($B284="","",IFERROR(INDEX(智能流水!$D$2:$D$1001,MATCH($B284,智能流水!$B$2:$B$1001,0)),""))</f>
        <v/>
      </c>
      <c r="E284" s="34">
        <f>IF($B284="","",IFERROR(INDEX(智能流水!$E$2:$E$1001,MATCH($B284,智能流水!$B$2:$B$1001,0)),""))</f>
        <v/>
      </c>
      <c r="F284" s="34">
        <f>IF($B284="","",IFERROR(INDEX(智能流水!$F$2:$F$1001,MATCH($B284,智能流水!$B$2:$B$1001,0)),""))</f>
        <v/>
      </c>
      <c r="G284" s="32">
        <f>IF($B284="","",IFERROR(INDEX(智能流水!$G$2:$G$1001,MATCH($B284,智能流水!$B$2:$B$1001,0)),""))</f>
        <v/>
      </c>
      <c r="H284" s="32">
        <f>IF($B284="","",IFERROR(INDEX(智能流水!$H$2:$H$1001,MATCH($B284,智能流水!$B$2:$B$1001,0)),""))</f>
        <v/>
      </c>
      <c r="I284" s="32">
        <f>IF($B284="","",IFERROR(INDEX(智能流水!$I$2:$I$1001,MATCH($B284,智能流水!$B$2:$B$1001,0)),""))</f>
        <v/>
      </c>
      <c r="J284" s="32">
        <f>IF($B284="","",IFERROR(INDEX(智能流水!$J$2:$J$1001,MATCH($B284,智能流水!$B$2:$B$1001,0)),""))</f>
        <v/>
      </c>
      <c r="K284" s="35">
        <f>IF($B284="","",IFERROR(INDEX(智能流水!$K$2:$K$1001,MATCH($B284,智能流水!$B$2:$B$1001,0)),""))</f>
        <v/>
      </c>
      <c r="L284" s="32">
        <f>IF($B284="","",IFERROR(INDEX(智能流水!$L$2:$L$1001,MATCH($B284,智能流水!$B$2:$B$1001,0)),""))</f>
        <v/>
      </c>
      <c r="M284" s="32">
        <f>IF($B284="","",IFERROR(INDEX(智能流水!$M$2:$M$1001,MATCH($B284,智能流水!$B$2:$B$1001,0)),""))</f>
        <v/>
      </c>
      <c r="N284" s="32">
        <f>IF($B284="","",IFERROR(INDEX(智能流水!$N$2:$N$1001,MATCH($B284,智能流水!$B$2:$B$1001,0)),""))</f>
        <v/>
      </c>
      <c r="O284" s="32">
        <f>IF($B284="","",IFERROR(INDEX(智能流水!$O$2:$O$1001,MATCH($B284,智能流水!$B$2:$B$1001,0)),""))</f>
        <v/>
      </c>
    </row>
    <row r="285" ht="23" customHeight="1" s="21">
      <c r="A285" s="32">
        <f>IF($B285="","",284)</f>
        <v/>
      </c>
      <c r="B285" s="32">
        <f>IFERROR(LARGE(智能流水!$B$2:$B$1001,284),"")</f>
        <v/>
      </c>
      <c r="C285" s="33">
        <f>IF($B285="","",IFERROR(INDEX(智能流水!$C$2:$C$1001,MATCH($B285,智能流水!$B$2:$B$1001,0)),""))</f>
        <v/>
      </c>
      <c r="D285" s="34">
        <f>IF($B285="","",IFERROR(INDEX(智能流水!$D$2:$D$1001,MATCH($B285,智能流水!$B$2:$B$1001,0)),""))</f>
        <v/>
      </c>
      <c r="E285" s="34">
        <f>IF($B285="","",IFERROR(INDEX(智能流水!$E$2:$E$1001,MATCH($B285,智能流水!$B$2:$B$1001,0)),""))</f>
        <v/>
      </c>
      <c r="F285" s="34">
        <f>IF($B285="","",IFERROR(INDEX(智能流水!$F$2:$F$1001,MATCH($B285,智能流水!$B$2:$B$1001,0)),""))</f>
        <v/>
      </c>
      <c r="G285" s="32">
        <f>IF($B285="","",IFERROR(INDEX(智能流水!$G$2:$G$1001,MATCH($B285,智能流水!$B$2:$B$1001,0)),""))</f>
        <v/>
      </c>
      <c r="H285" s="32">
        <f>IF($B285="","",IFERROR(INDEX(智能流水!$H$2:$H$1001,MATCH($B285,智能流水!$B$2:$B$1001,0)),""))</f>
        <v/>
      </c>
      <c r="I285" s="32">
        <f>IF($B285="","",IFERROR(INDEX(智能流水!$I$2:$I$1001,MATCH($B285,智能流水!$B$2:$B$1001,0)),""))</f>
        <v/>
      </c>
      <c r="J285" s="32">
        <f>IF($B285="","",IFERROR(INDEX(智能流水!$J$2:$J$1001,MATCH($B285,智能流水!$B$2:$B$1001,0)),""))</f>
        <v/>
      </c>
      <c r="K285" s="35">
        <f>IF($B285="","",IFERROR(INDEX(智能流水!$K$2:$K$1001,MATCH($B285,智能流水!$B$2:$B$1001,0)),""))</f>
        <v/>
      </c>
      <c r="L285" s="32">
        <f>IF($B285="","",IFERROR(INDEX(智能流水!$L$2:$L$1001,MATCH($B285,智能流水!$B$2:$B$1001,0)),""))</f>
        <v/>
      </c>
      <c r="M285" s="32">
        <f>IF($B285="","",IFERROR(INDEX(智能流水!$M$2:$M$1001,MATCH($B285,智能流水!$B$2:$B$1001,0)),""))</f>
        <v/>
      </c>
      <c r="N285" s="32">
        <f>IF($B285="","",IFERROR(INDEX(智能流水!$N$2:$N$1001,MATCH($B285,智能流水!$B$2:$B$1001,0)),""))</f>
        <v/>
      </c>
      <c r="O285" s="32">
        <f>IF($B285="","",IFERROR(INDEX(智能流水!$O$2:$O$1001,MATCH($B285,智能流水!$B$2:$B$1001,0)),""))</f>
        <v/>
      </c>
    </row>
    <row r="286" ht="23" customHeight="1" s="21">
      <c r="A286" s="32">
        <f>IF($B286="","",285)</f>
        <v/>
      </c>
      <c r="B286" s="32">
        <f>IFERROR(LARGE(智能流水!$B$2:$B$1001,285),"")</f>
        <v/>
      </c>
      <c r="C286" s="33">
        <f>IF($B286="","",IFERROR(INDEX(智能流水!$C$2:$C$1001,MATCH($B286,智能流水!$B$2:$B$1001,0)),""))</f>
        <v/>
      </c>
      <c r="D286" s="34">
        <f>IF($B286="","",IFERROR(INDEX(智能流水!$D$2:$D$1001,MATCH($B286,智能流水!$B$2:$B$1001,0)),""))</f>
        <v/>
      </c>
      <c r="E286" s="34">
        <f>IF($B286="","",IFERROR(INDEX(智能流水!$E$2:$E$1001,MATCH($B286,智能流水!$B$2:$B$1001,0)),""))</f>
        <v/>
      </c>
      <c r="F286" s="34">
        <f>IF($B286="","",IFERROR(INDEX(智能流水!$F$2:$F$1001,MATCH($B286,智能流水!$B$2:$B$1001,0)),""))</f>
        <v/>
      </c>
      <c r="G286" s="32">
        <f>IF($B286="","",IFERROR(INDEX(智能流水!$G$2:$G$1001,MATCH($B286,智能流水!$B$2:$B$1001,0)),""))</f>
        <v/>
      </c>
      <c r="H286" s="32">
        <f>IF($B286="","",IFERROR(INDEX(智能流水!$H$2:$H$1001,MATCH($B286,智能流水!$B$2:$B$1001,0)),""))</f>
        <v/>
      </c>
      <c r="I286" s="32">
        <f>IF($B286="","",IFERROR(INDEX(智能流水!$I$2:$I$1001,MATCH($B286,智能流水!$B$2:$B$1001,0)),""))</f>
        <v/>
      </c>
      <c r="J286" s="32">
        <f>IF($B286="","",IFERROR(INDEX(智能流水!$J$2:$J$1001,MATCH($B286,智能流水!$B$2:$B$1001,0)),""))</f>
        <v/>
      </c>
      <c r="K286" s="35">
        <f>IF($B286="","",IFERROR(INDEX(智能流水!$K$2:$K$1001,MATCH($B286,智能流水!$B$2:$B$1001,0)),""))</f>
        <v/>
      </c>
      <c r="L286" s="32">
        <f>IF($B286="","",IFERROR(INDEX(智能流水!$L$2:$L$1001,MATCH($B286,智能流水!$B$2:$B$1001,0)),""))</f>
        <v/>
      </c>
      <c r="M286" s="32">
        <f>IF($B286="","",IFERROR(INDEX(智能流水!$M$2:$M$1001,MATCH($B286,智能流水!$B$2:$B$1001,0)),""))</f>
        <v/>
      </c>
      <c r="N286" s="32">
        <f>IF($B286="","",IFERROR(INDEX(智能流水!$N$2:$N$1001,MATCH($B286,智能流水!$B$2:$B$1001,0)),""))</f>
        <v/>
      </c>
      <c r="O286" s="32">
        <f>IF($B286="","",IFERROR(INDEX(智能流水!$O$2:$O$1001,MATCH($B286,智能流水!$B$2:$B$1001,0)),""))</f>
        <v/>
      </c>
    </row>
    <row r="287" ht="23" customHeight="1" s="21">
      <c r="A287" s="32">
        <f>IF($B287="","",286)</f>
        <v/>
      </c>
      <c r="B287" s="32">
        <f>IFERROR(LARGE(智能流水!$B$2:$B$1001,286),"")</f>
        <v/>
      </c>
      <c r="C287" s="33">
        <f>IF($B287="","",IFERROR(INDEX(智能流水!$C$2:$C$1001,MATCH($B287,智能流水!$B$2:$B$1001,0)),""))</f>
        <v/>
      </c>
      <c r="D287" s="34">
        <f>IF($B287="","",IFERROR(INDEX(智能流水!$D$2:$D$1001,MATCH($B287,智能流水!$B$2:$B$1001,0)),""))</f>
        <v/>
      </c>
      <c r="E287" s="34">
        <f>IF($B287="","",IFERROR(INDEX(智能流水!$E$2:$E$1001,MATCH($B287,智能流水!$B$2:$B$1001,0)),""))</f>
        <v/>
      </c>
      <c r="F287" s="34">
        <f>IF($B287="","",IFERROR(INDEX(智能流水!$F$2:$F$1001,MATCH($B287,智能流水!$B$2:$B$1001,0)),""))</f>
        <v/>
      </c>
      <c r="G287" s="32">
        <f>IF($B287="","",IFERROR(INDEX(智能流水!$G$2:$G$1001,MATCH($B287,智能流水!$B$2:$B$1001,0)),""))</f>
        <v/>
      </c>
      <c r="H287" s="32">
        <f>IF($B287="","",IFERROR(INDEX(智能流水!$H$2:$H$1001,MATCH($B287,智能流水!$B$2:$B$1001,0)),""))</f>
        <v/>
      </c>
      <c r="I287" s="32">
        <f>IF($B287="","",IFERROR(INDEX(智能流水!$I$2:$I$1001,MATCH($B287,智能流水!$B$2:$B$1001,0)),""))</f>
        <v/>
      </c>
      <c r="J287" s="32">
        <f>IF($B287="","",IFERROR(INDEX(智能流水!$J$2:$J$1001,MATCH($B287,智能流水!$B$2:$B$1001,0)),""))</f>
        <v/>
      </c>
      <c r="K287" s="35">
        <f>IF($B287="","",IFERROR(INDEX(智能流水!$K$2:$K$1001,MATCH($B287,智能流水!$B$2:$B$1001,0)),""))</f>
        <v/>
      </c>
      <c r="L287" s="32">
        <f>IF($B287="","",IFERROR(INDEX(智能流水!$L$2:$L$1001,MATCH($B287,智能流水!$B$2:$B$1001,0)),""))</f>
        <v/>
      </c>
      <c r="M287" s="32">
        <f>IF($B287="","",IFERROR(INDEX(智能流水!$M$2:$M$1001,MATCH($B287,智能流水!$B$2:$B$1001,0)),""))</f>
        <v/>
      </c>
      <c r="N287" s="32">
        <f>IF($B287="","",IFERROR(INDEX(智能流水!$N$2:$N$1001,MATCH($B287,智能流水!$B$2:$B$1001,0)),""))</f>
        <v/>
      </c>
      <c r="O287" s="32">
        <f>IF($B287="","",IFERROR(INDEX(智能流水!$O$2:$O$1001,MATCH($B287,智能流水!$B$2:$B$1001,0)),""))</f>
        <v/>
      </c>
    </row>
    <row r="288" ht="23" customHeight="1" s="21">
      <c r="A288" s="32">
        <f>IF($B288="","",287)</f>
        <v/>
      </c>
      <c r="B288" s="32">
        <f>IFERROR(LARGE(智能流水!$B$2:$B$1001,287),"")</f>
        <v/>
      </c>
      <c r="C288" s="33">
        <f>IF($B288="","",IFERROR(INDEX(智能流水!$C$2:$C$1001,MATCH($B288,智能流水!$B$2:$B$1001,0)),""))</f>
        <v/>
      </c>
      <c r="D288" s="34">
        <f>IF($B288="","",IFERROR(INDEX(智能流水!$D$2:$D$1001,MATCH($B288,智能流水!$B$2:$B$1001,0)),""))</f>
        <v/>
      </c>
      <c r="E288" s="34">
        <f>IF($B288="","",IFERROR(INDEX(智能流水!$E$2:$E$1001,MATCH($B288,智能流水!$B$2:$B$1001,0)),""))</f>
        <v/>
      </c>
      <c r="F288" s="34">
        <f>IF($B288="","",IFERROR(INDEX(智能流水!$F$2:$F$1001,MATCH($B288,智能流水!$B$2:$B$1001,0)),""))</f>
        <v/>
      </c>
      <c r="G288" s="32">
        <f>IF($B288="","",IFERROR(INDEX(智能流水!$G$2:$G$1001,MATCH($B288,智能流水!$B$2:$B$1001,0)),""))</f>
        <v/>
      </c>
      <c r="H288" s="32">
        <f>IF($B288="","",IFERROR(INDEX(智能流水!$H$2:$H$1001,MATCH($B288,智能流水!$B$2:$B$1001,0)),""))</f>
        <v/>
      </c>
      <c r="I288" s="32">
        <f>IF($B288="","",IFERROR(INDEX(智能流水!$I$2:$I$1001,MATCH($B288,智能流水!$B$2:$B$1001,0)),""))</f>
        <v/>
      </c>
      <c r="J288" s="32">
        <f>IF($B288="","",IFERROR(INDEX(智能流水!$J$2:$J$1001,MATCH($B288,智能流水!$B$2:$B$1001,0)),""))</f>
        <v/>
      </c>
      <c r="K288" s="35">
        <f>IF($B288="","",IFERROR(INDEX(智能流水!$K$2:$K$1001,MATCH($B288,智能流水!$B$2:$B$1001,0)),""))</f>
        <v/>
      </c>
      <c r="L288" s="32">
        <f>IF($B288="","",IFERROR(INDEX(智能流水!$L$2:$L$1001,MATCH($B288,智能流水!$B$2:$B$1001,0)),""))</f>
        <v/>
      </c>
      <c r="M288" s="32">
        <f>IF($B288="","",IFERROR(INDEX(智能流水!$M$2:$M$1001,MATCH($B288,智能流水!$B$2:$B$1001,0)),""))</f>
        <v/>
      </c>
      <c r="N288" s="32">
        <f>IF($B288="","",IFERROR(INDEX(智能流水!$N$2:$N$1001,MATCH($B288,智能流水!$B$2:$B$1001,0)),""))</f>
        <v/>
      </c>
      <c r="O288" s="32">
        <f>IF($B288="","",IFERROR(INDEX(智能流水!$O$2:$O$1001,MATCH($B288,智能流水!$B$2:$B$1001,0)),""))</f>
        <v/>
      </c>
    </row>
    <row r="289" ht="23" customHeight="1" s="21">
      <c r="A289" s="32">
        <f>IF($B289="","",288)</f>
        <v/>
      </c>
      <c r="B289" s="32">
        <f>IFERROR(LARGE(智能流水!$B$2:$B$1001,288),"")</f>
        <v/>
      </c>
      <c r="C289" s="33">
        <f>IF($B289="","",IFERROR(INDEX(智能流水!$C$2:$C$1001,MATCH($B289,智能流水!$B$2:$B$1001,0)),""))</f>
        <v/>
      </c>
      <c r="D289" s="34">
        <f>IF($B289="","",IFERROR(INDEX(智能流水!$D$2:$D$1001,MATCH($B289,智能流水!$B$2:$B$1001,0)),""))</f>
        <v/>
      </c>
      <c r="E289" s="34">
        <f>IF($B289="","",IFERROR(INDEX(智能流水!$E$2:$E$1001,MATCH($B289,智能流水!$B$2:$B$1001,0)),""))</f>
        <v/>
      </c>
      <c r="F289" s="34">
        <f>IF($B289="","",IFERROR(INDEX(智能流水!$F$2:$F$1001,MATCH($B289,智能流水!$B$2:$B$1001,0)),""))</f>
        <v/>
      </c>
      <c r="G289" s="32">
        <f>IF($B289="","",IFERROR(INDEX(智能流水!$G$2:$G$1001,MATCH($B289,智能流水!$B$2:$B$1001,0)),""))</f>
        <v/>
      </c>
      <c r="H289" s="32">
        <f>IF($B289="","",IFERROR(INDEX(智能流水!$H$2:$H$1001,MATCH($B289,智能流水!$B$2:$B$1001,0)),""))</f>
        <v/>
      </c>
      <c r="I289" s="32">
        <f>IF($B289="","",IFERROR(INDEX(智能流水!$I$2:$I$1001,MATCH($B289,智能流水!$B$2:$B$1001,0)),""))</f>
        <v/>
      </c>
      <c r="J289" s="32">
        <f>IF($B289="","",IFERROR(INDEX(智能流水!$J$2:$J$1001,MATCH($B289,智能流水!$B$2:$B$1001,0)),""))</f>
        <v/>
      </c>
      <c r="K289" s="35">
        <f>IF($B289="","",IFERROR(INDEX(智能流水!$K$2:$K$1001,MATCH($B289,智能流水!$B$2:$B$1001,0)),""))</f>
        <v/>
      </c>
      <c r="L289" s="32">
        <f>IF($B289="","",IFERROR(INDEX(智能流水!$L$2:$L$1001,MATCH($B289,智能流水!$B$2:$B$1001,0)),""))</f>
        <v/>
      </c>
      <c r="M289" s="32">
        <f>IF($B289="","",IFERROR(INDEX(智能流水!$M$2:$M$1001,MATCH($B289,智能流水!$B$2:$B$1001,0)),""))</f>
        <v/>
      </c>
      <c r="N289" s="32">
        <f>IF($B289="","",IFERROR(INDEX(智能流水!$N$2:$N$1001,MATCH($B289,智能流水!$B$2:$B$1001,0)),""))</f>
        <v/>
      </c>
      <c r="O289" s="32">
        <f>IF($B289="","",IFERROR(INDEX(智能流水!$O$2:$O$1001,MATCH($B289,智能流水!$B$2:$B$1001,0)),""))</f>
        <v/>
      </c>
    </row>
    <row r="290" ht="23" customHeight="1" s="21">
      <c r="A290" s="32">
        <f>IF($B290="","",289)</f>
        <v/>
      </c>
      <c r="B290" s="32">
        <f>IFERROR(LARGE(智能流水!$B$2:$B$1001,289),"")</f>
        <v/>
      </c>
      <c r="C290" s="33">
        <f>IF($B290="","",IFERROR(INDEX(智能流水!$C$2:$C$1001,MATCH($B290,智能流水!$B$2:$B$1001,0)),""))</f>
        <v/>
      </c>
      <c r="D290" s="34">
        <f>IF($B290="","",IFERROR(INDEX(智能流水!$D$2:$D$1001,MATCH($B290,智能流水!$B$2:$B$1001,0)),""))</f>
        <v/>
      </c>
      <c r="E290" s="34">
        <f>IF($B290="","",IFERROR(INDEX(智能流水!$E$2:$E$1001,MATCH($B290,智能流水!$B$2:$B$1001,0)),""))</f>
        <v/>
      </c>
      <c r="F290" s="34">
        <f>IF($B290="","",IFERROR(INDEX(智能流水!$F$2:$F$1001,MATCH($B290,智能流水!$B$2:$B$1001,0)),""))</f>
        <v/>
      </c>
      <c r="G290" s="32">
        <f>IF($B290="","",IFERROR(INDEX(智能流水!$G$2:$G$1001,MATCH($B290,智能流水!$B$2:$B$1001,0)),""))</f>
        <v/>
      </c>
      <c r="H290" s="32">
        <f>IF($B290="","",IFERROR(INDEX(智能流水!$H$2:$H$1001,MATCH($B290,智能流水!$B$2:$B$1001,0)),""))</f>
        <v/>
      </c>
      <c r="I290" s="32">
        <f>IF($B290="","",IFERROR(INDEX(智能流水!$I$2:$I$1001,MATCH($B290,智能流水!$B$2:$B$1001,0)),""))</f>
        <v/>
      </c>
      <c r="J290" s="32">
        <f>IF($B290="","",IFERROR(INDEX(智能流水!$J$2:$J$1001,MATCH($B290,智能流水!$B$2:$B$1001,0)),""))</f>
        <v/>
      </c>
      <c r="K290" s="35">
        <f>IF($B290="","",IFERROR(INDEX(智能流水!$K$2:$K$1001,MATCH($B290,智能流水!$B$2:$B$1001,0)),""))</f>
        <v/>
      </c>
      <c r="L290" s="32">
        <f>IF($B290="","",IFERROR(INDEX(智能流水!$L$2:$L$1001,MATCH($B290,智能流水!$B$2:$B$1001,0)),""))</f>
        <v/>
      </c>
      <c r="M290" s="32">
        <f>IF($B290="","",IFERROR(INDEX(智能流水!$M$2:$M$1001,MATCH($B290,智能流水!$B$2:$B$1001,0)),""))</f>
        <v/>
      </c>
      <c r="N290" s="32">
        <f>IF($B290="","",IFERROR(INDEX(智能流水!$N$2:$N$1001,MATCH($B290,智能流水!$B$2:$B$1001,0)),""))</f>
        <v/>
      </c>
      <c r="O290" s="32">
        <f>IF($B290="","",IFERROR(INDEX(智能流水!$O$2:$O$1001,MATCH($B290,智能流水!$B$2:$B$1001,0)),""))</f>
        <v/>
      </c>
    </row>
    <row r="291" ht="23" customHeight="1" s="21">
      <c r="A291" s="32">
        <f>IF($B291="","",290)</f>
        <v/>
      </c>
      <c r="B291" s="32">
        <f>IFERROR(LARGE(智能流水!$B$2:$B$1001,290),"")</f>
        <v/>
      </c>
      <c r="C291" s="33">
        <f>IF($B291="","",IFERROR(INDEX(智能流水!$C$2:$C$1001,MATCH($B291,智能流水!$B$2:$B$1001,0)),""))</f>
        <v/>
      </c>
      <c r="D291" s="34">
        <f>IF($B291="","",IFERROR(INDEX(智能流水!$D$2:$D$1001,MATCH($B291,智能流水!$B$2:$B$1001,0)),""))</f>
        <v/>
      </c>
      <c r="E291" s="34">
        <f>IF($B291="","",IFERROR(INDEX(智能流水!$E$2:$E$1001,MATCH($B291,智能流水!$B$2:$B$1001,0)),""))</f>
        <v/>
      </c>
      <c r="F291" s="34">
        <f>IF($B291="","",IFERROR(INDEX(智能流水!$F$2:$F$1001,MATCH($B291,智能流水!$B$2:$B$1001,0)),""))</f>
        <v/>
      </c>
      <c r="G291" s="32">
        <f>IF($B291="","",IFERROR(INDEX(智能流水!$G$2:$G$1001,MATCH($B291,智能流水!$B$2:$B$1001,0)),""))</f>
        <v/>
      </c>
      <c r="H291" s="32">
        <f>IF($B291="","",IFERROR(INDEX(智能流水!$H$2:$H$1001,MATCH($B291,智能流水!$B$2:$B$1001,0)),""))</f>
        <v/>
      </c>
      <c r="I291" s="32">
        <f>IF($B291="","",IFERROR(INDEX(智能流水!$I$2:$I$1001,MATCH($B291,智能流水!$B$2:$B$1001,0)),""))</f>
        <v/>
      </c>
      <c r="J291" s="32">
        <f>IF($B291="","",IFERROR(INDEX(智能流水!$J$2:$J$1001,MATCH($B291,智能流水!$B$2:$B$1001,0)),""))</f>
        <v/>
      </c>
      <c r="K291" s="35">
        <f>IF($B291="","",IFERROR(INDEX(智能流水!$K$2:$K$1001,MATCH($B291,智能流水!$B$2:$B$1001,0)),""))</f>
        <v/>
      </c>
      <c r="L291" s="32">
        <f>IF($B291="","",IFERROR(INDEX(智能流水!$L$2:$L$1001,MATCH($B291,智能流水!$B$2:$B$1001,0)),""))</f>
        <v/>
      </c>
      <c r="M291" s="32">
        <f>IF($B291="","",IFERROR(INDEX(智能流水!$M$2:$M$1001,MATCH($B291,智能流水!$B$2:$B$1001,0)),""))</f>
        <v/>
      </c>
      <c r="N291" s="32">
        <f>IF($B291="","",IFERROR(INDEX(智能流水!$N$2:$N$1001,MATCH($B291,智能流水!$B$2:$B$1001,0)),""))</f>
        <v/>
      </c>
      <c r="O291" s="32">
        <f>IF($B291="","",IFERROR(INDEX(智能流水!$O$2:$O$1001,MATCH($B291,智能流水!$B$2:$B$1001,0)),""))</f>
        <v/>
      </c>
    </row>
    <row r="292" ht="23" customHeight="1" s="21">
      <c r="A292" s="32">
        <f>IF($B292="","",291)</f>
        <v/>
      </c>
      <c r="B292" s="32">
        <f>IFERROR(LARGE(智能流水!$B$2:$B$1001,291),"")</f>
        <v/>
      </c>
      <c r="C292" s="33">
        <f>IF($B292="","",IFERROR(INDEX(智能流水!$C$2:$C$1001,MATCH($B292,智能流水!$B$2:$B$1001,0)),""))</f>
        <v/>
      </c>
      <c r="D292" s="34">
        <f>IF($B292="","",IFERROR(INDEX(智能流水!$D$2:$D$1001,MATCH($B292,智能流水!$B$2:$B$1001,0)),""))</f>
        <v/>
      </c>
      <c r="E292" s="34">
        <f>IF($B292="","",IFERROR(INDEX(智能流水!$E$2:$E$1001,MATCH($B292,智能流水!$B$2:$B$1001,0)),""))</f>
        <v/>
      </c>
      <c r="F292" s="34">
        <f>IF($B292="","",IFERROR(INDEX(智能流水!$F$2:$F$1001,MATCH($B292,智能流水!$B$2:$B$1001,0)),""))</f>
        <v/>
      </c>
      <c r="G292" s="32">
        <f>IF($B292="","",IFERROR(INDEX(智能流水!$G$2:$G$1001,MATCH($B292,智能流水!$B$2:$B$1001,0)),""))</f>
        <v/>
      </c>
      <c r="H292" s="32">
        <f>IF($B292="","",IFERROR(INDEX(智能流水!$H$2:$H$1001,MATCH($B292,智能流水!$B$2:$B$1001,0)),""))</f>
        <v/>
      </c>
      <c r="I292" s="32">
        <f>IF($B292="","",IFERROR(INDEX(智能流水!$I$2:$I$1001,MATCH($B292,智能流水!$B$2:$B$1001,0)),""))</f>
        <v/>
      </c>
      <c r="J292" s="32">
        <f>IF($B292="","",IFERROR(INDEX(智能流水!$J$2:$J$1001,MATCH($B292,智能流水!$B$2:$B$1001,0)),""))</f>
        <v/>
      </c>
      <c r="K292" s="35">
        <f>IF($B292="","",IFERROR(INDEX(智能流水!$K$2:$K$1001,MATCH($B292,智能流水!$B$2:$B$1001,0)),""))</f>
        <v/>
      </c>
      <c r="L292" s="32">
        <f>IF($B292="","",IFERROR(INDEX(智能流水!$L$2:$L$1001,MATCH($B292,智能流水!$B$2:$B$1001,0)),""))</f>
        <v/>
      </c>
      <c r="M292" s="32">
        <f>IF($B292="","",IFERROR(INDEX(智能流水!$M$2:$M$1001,MATCH($B292,智能流水!$B$2:$B$1001,0)),""))</f>
        <v/>
      </c>
      <c r="N292" s="32">
        <f>IF($B292="","",IFERROR(INDEX(智能流水!$N$2:$N$1001,MATCH($B292,智能流水!$B$2:$B$1001,0)),""))</f>
        <v/>
      </c>
      <c r="O292" s="32">
        <f>IF($B292="","",IFERROR(INDEX(智能流水!$O$2:$O$1001,MATCH($B292,智能流水!$B$2:$B$1001,0)),""))</f>
        <v/>
      </c>
    </row>
    <row r="293" ht="23" customHeight="1" s="21">
      <c r="A293" s="32">
        <f>IF($B293="","",292)</f>
        <v/>
      </c>
      <c r="B293" s="32">
        <f>IFERROR(LARGE(智能流水!$B$2:$B$1001,292),"")</f>
        <v/>
      </c>
      <c r="C293" s="33">
        <f>IF($B293="","",IFERROR(INDEX(智能流水!$C$2:$C$1001,MATCH($B293,智能流水!$B$2:$B$1001,0)),""))</f>
        <v/>
      </c>
      <c r="D293" s="34">
        <f>IF($B293="","",IFERROR(INDEX(智能流水!$D$2:$D$1001,MATCH($B293,智能流水!$B$2:$B$1001,0)),""))</f>
        <v/>
      </c>
      <c r="E293" s="34">
        <f>IF($B293="","",IFERROR(INDEX(智能流水!$E$2:$E$1001,MATCH($B293,智能流水!$B$2:$B$1001,0)),""))</f>
        <v/>
      </c>
      <c r="F293" s="34">
        <f>IF($B293="","",IFERROR(INDEX(智能流水!$F$2:$F$1001,MATCH($B293,智能流水!$B$2:$B$1001,0)),""))</f>
        <v/>
      </c>
      <c r="G293" s="32">
        <f>IF($B293="","",IFERROR(INDEX(智能流水!$G$2:$G$1001,MATCH($B293,智能流水!$B$2:$B$1001,0)),""))</f>
        <v/>
      </c>
      <c r="H293" s="32">
        <f>IF($B293="","",IFERROR(INDEX(智能流水!$H$2:$H$1001,MATCH($B293,智能流水!$B$2:$B$1001,0)),""))</f>
        <v/>
      </c>
      <c r="I293" s="32">
        <f>IF($B293="","",IFERROR(INDEX(智能流水!$I$2:$I$1001,MATCH($B293,智能流水!$B$2:$B$1001,0)),""))</f>
        <v/>
      </c>
      <c r="J293" s="32">
        <f>IF($B293="","",IFERROR(INDEX(智能流水!$J$2:$J$1001,MATCH($B293,智能流水!$B$2:$B$1001,0)),""))</f>
        <v/>
      </c>
      <c r="K293" s="35">
        <f>IF($B293="","",IFERROR(INDEX(智能流水!$K$2:$K$1001,MATCH($B293,智能流水!$B$2:$B$1001,0)),""))</f>
        <v/>
      </c>
      <c r="L293" s="32">
        <f>IF($B293="","",IFERROR(INDEX(智能流水!$L$2:$L$1001,MATCH($B293,智能流水!$B$2:$B$1001,0)),""))</f>
        <v/>
      </c>
      <c r="M293" s="32">
        <f>IF($B293="","",IFERROR(INDEX(智能流水!$M$2:$M$1001,MATCH($B293,智能流水!$B$2:$B$1001,0)),""))</f>
        <v/>
      </c>
      <c r="N293" s="32">
        <f>IF($B293="","",IFERROR(INDEX(智能流水!$N$2:$N$1001,MATCH($B293,智能流水!$B$2:$B$1001,0)),""))</f>
        <v/>
      </c>
      <c r="O293" s="32">
        <f>IF($B293="","",IFERROR(INDEX(智能流水!$O$2:$O$1001,MATCH($B293,智能流水!$B$2:$B$1001,0)),""))</f>
        <v/>
      </c>
    </row>
    <row r="294" ht="23" customHeight="1" s="21">
      <c r="A294" s="32">
        <f>IF($B294="","",293)</f>
        <v/>
      </c>
      <c r="B294" s="32">
        <f>IFERROR(LARGE(智能流水!$B$2:$B$1001,293),"")</f>
        <v/>
      </c>
      <c r="C294" s="33">
        <f>IF($B294="","",IFERROR(INDEX(智能流水!$C$2:$C$1001,MATCH($B294,智能流水!$B$2:$B$1001,0)),""))</f>
        <v/>
      </c>
      <c r="D294" s="34">
        <f>IF($B294="","",IFERROR(INDEX(智能流水!$D$2:$D$1001,MATCH($B294,智能流水!$B$2:$B$1001,0)),""))</f>
        <v/>
      </c>
      <c r="E294" s="34">
        <f>IF($B294="","",IFERROR(INDEX(智能流水!$E$2:$E$1001,MATCH($B294,智能流水!$B$2:$B$1001,0)),""))</f>
        <v/>
      </c>
      <c r="F294" s="34">
        <f>IF($B294="","",IFERROR(INDEX(智能流水!$F$2:$F$1001,MATCH($B294,智能流水!$B$2:$B$1001,0)),""))</f>
        <v/>
      </c>
      <c r="G294" s="32">
        <f>IF($B294="","",IFERROR(INDEX(智能流水!$G$2:$G$1001,MATCH($B294,智能流水!$B$2:$B$1001,0)),""))</f>
        <v/>
      </c>
      <c r="H294" s="32">
        <f>IF($B294="","",IFERROR(INDEX(智能流水!$H$2:$H$1001,MATCH($B294,智能流水!$B$2:$B$1001,0)),""))</f>
        <v/>
      </c>
      <c r="I294" s="32">
        <f>IF($B294="","",IFERROR(INDEX(智能流水!$I$2:$I$1001,MATCH($B294,智能流水!$B$2:$B$1001,0)),""))</f>
        <v/>
      </c>
      <c r="J294" s="32">
        <f>IF($B294="","",IFERROR(INDEX(智能流水!$J$2:$J$1001,MATCH($B294,智能流水!$B$2:$B$1001,0)),""))</f>
        <v/>
      </c>
      <c r="K294" s="35">
        <f>IF($B294="","",IFERROR(INDEX(智能流水!$K$2:$K$1001,MATCH($B294,智能流水!$B$2:$B$1001,0)),""))</f>
        <v/>
      </c>
      <c r="L294" s="32">
        <f>IF($B294="","",IFERROR(INDEX(智能流水!$L$2:$L$1001,MATCH($B294,智能流水!$B$2:$B$1001,0)),""))</f>
        <v/>
      </c>
      <c r="M294" s="32">
        <f>IF($B294="","",IFERROR(INDEX(智能流水!$M$2:$M$1001,MATCH($B294,智能流水!$B$2:$B$1001,0)),""))</f>
        <v/>
      </c>
      <c r="N294" s="32">
        <f>IF($B294="","",IFERROR(INDEX(智能流水!$N$2:$N$1001,MATCH($B294,智能流水!$B$2:$B$1001,0)),""))</f>
        <v/>
      </c>
      <c r="O294" s="32">
        <f>IF($B294="","",IFERROR(INDEX(智能流水!$O$2:$O$1001,MATCH($B294,智能流水!$B$2:$B$1001,0)),""))</f>
        <v/>
      </c>
    </row>
    <row r="295" ht="23" customHeight="1" s="21">
      <c r="A295" s="32">
        <f>IF($B295="","",294)</f>
        <v/>
      </c>
      <c r="B295" s="32">
        <f>IFERROR(LARGE(智能流水!$B$2:$B$1001,294),"")</f>
        <v/>
      </c>
      <c r="C295" s="33">
        <f>IF($B295="","",IFERROR(INDEX(智能流水!$C$2:$C$1001,MATCH($B295,智能流水!$B$2:$B$1001,0)),""))</f>
        <v/>
      </c>
      <c r="D295" s="34">
        <f>IF($B295="","",IFERROR(INDEX(智能流水!$D$2:$D$1001,MATCH($B295,智能流水!$B$2:$B$1001,0)),""))</f>
        <v/>
      </c>
      <c r="E295" s="34">
        <f>IF($B295="","",IFERROR(INDEX(智能流水!$E$2:$E$1001,MATCH($B295,智能流水!$B$2:$B$1001,0)),""))</f>
        <v/>
      </c>
      <c r="F295" s="34">
        <f>IF($B295="","",IFERROR(INDEX(智能流水!$F$2:$F$1001,MATCH($B295,智能流水!$B$2:$B$1001,0)),""))</f>
        <v/>
      </c>
      <c r="G295" s="32">
        <f>IF($B295="","",IFERROR(INDEX(智能流水!$G$2:$G$1001,MATCH($B295,智能流水!$B$2:$B$1001,0)),""))</f>
        <v/>
      </c>
      <c r="H295" s="32">
        <f>IF($B295="","",IFERROR(INDEX(智能流水!$H$2:$H$1001,MATCH($B295,智能流水!$B$2:$B$1001,0)),""))</f>
        <v/>
      </c>
      <c r="I295" s="32">
        <f>IF($B295="","",IFERROR(INDEX(智能流水!$I$2:$I$1001,MATCH($B295,智能流水!$B$2:$B$1001,0)),""))</f>
        <v/>
      </c>
      <c r="J295" s="32">
        <f>IF($B295="","",IFERROR(INDEX(智能流水!$J$2:$J$1001,MATCH($B295,智能流水!$B$2:$B$1001,0)),""))</f>
        <v/>
      </c>
      <c r="K295" s="35">
        <f>IF($B295="","",IFERROR(INDEX(智能流水!$K$2:$K$1001,MATCH($B295,智能流水!$B$2:$B$1001,0)),""))</f>
        <v/>
      </c>
      <c r="L295" s="32">
        <f>IF($B295="","",IFERROR(INDEX(智能流水!$L$2:$L$1001,MATCH($B295,智能流水!$B$2:$B$1001,0)),""))</f>
        <v/>
      </c>
      <c r="M295" s="32">
        <f>IF($B295="","",IFERROR(INDEX(智能流水!$M$2:$M$1001,MATCH($B295,智能流水!$B$2:$B$1001,0)),""))</f>
        <v/>
      </c>
      <c r="N295" s="32">
        <f>IF($B295="","",IFERROR(INDEX(智能流水!$N$2:$N$1001,MATCH($B295,智能流水!$B$2:$B$1001,0)),""))</f>
        <v/>
      </c>
      <c r="O295" s="32">
        <f>IF($B295="","",IFERROR(INDEX(智能流水!$O$2:$O$1001,MATCH($B295,智能流水!$B$2:$B$1001,0)),""))</f>
        <v/>
      </c>
    </row>
    <row r="296" ht="23" customHeight="1" s="21">
      <c r="A296" s="32">
        <f>IF($B296="","",295)</f>
        <v/>
      </c>
      <c r="B296" s="32">
        <f>IFERROR(LARGE(智能流水!$B$2:$B$1001,295),"")</f>
        <v/>
      </c>
      <c r="C296" s="33">
        <f>IF($B296="","",IFERROR(INDEX(智能流水!$C$2:$C$1001,MATCH($B296,智能流水!$B$2:$B$1001,0)),""))</f>
        <v/>
      </c>
      <c r="D296" s="34">
        <f>IF($B296="","",IFERROR(INDEX(智能流水!$D$2:$D$1001,MATCH($B296,智能流水!$B$2:$B$1001,0)),""))</f>
        <v/>
      </c>
      <c r="E296" s="34">
        <f>IF($B296="","",IFERROR(INDEX(智能流水!$E$2:$E$1001,MATCH($B296,智能流水!$B$2:$B$1001,0)),""))</f>
        <v/>
      </c>
      <c r="F296" s="34">
        <f>IF($B296="","",IFERROR(INDEX(智能流水!$F$2:$F$1001,MATCH($B296,智能流水!$B$2:$B$1001,0)),""))</f>
        <v/>
      </c>
      <c r="G296" s="32">
        <f>IF($B296="","",IFERROR(INDEX(智能流水!$G$2:$G$1001,MATCH($B296,智能流水!$B$2:$B$1001,0)),""))</f>
        <v/>
      </c>
      <c r="H296" s="32">
        <f>IF($B296="","",IFERROR(INDEX(智能流水!$H$2:$H$1001,MATCH($B296,智能流水!$B$2:$B$1001,0)),""))</f>
        <v/>
      </c>
      <c r="I296" s="32">
        <f>IF($B296="","",IFERROR(INDEX(智能流水!$I$2:$I$1001,MATCH($B296,智能流水!$B$2:$B$1001,0)),""))</f>
        <v/>
      </c>
      <c r="J296" s="32">
        <f>IF($B296="","",IFERROR(INDEX(智能流水!$J$2:$J$1001,MATCH($B296,智能流水!$B$2:$B$1001,0)),""))</f>
        <v/>
      </c>
      <c r="K296" s="35">
        <f>IF($B296="","",IFERROR(INDEX(智能流水!$K$2:$K$1001,MATCH($B296,智能流水!$B$2:$B$1001,0)),""))</f>
        <v/>
      </c>
      <c r="L296" s="32">
        <f>IF($B296="","",IFERROR(INDEX(智能流水!$L$2:$L$1001,MATCH($B296,智能流水!$B$2:$B$1001,0)),""))</f>
        <v/>
      </c>
      <c r="M296" s="32">
        <f>IF($B296="","",IFERROR(INDEX(智能流水!$M$2:$M$1001,MATCH($B296,智能流水!$B$2:$B$1001,0)),""))</f>
        <v/>
      </c>
      <c r="N296" s="32">
        <f>IF($B296="","",IFERROR(INDEX(智能流水!$N$2:$N$1001,MATCH($B296,智能流水!$B$2:$B$1001,0)),""))</f>
        <v/>
      </c>
      <c r="O296" s="32">
        <f>IF($B296="","",IFERROR(INDEX(智能流水!$O$2:$O$1001,MATCH($B296,智能流水!$B$2:$B$1001,0)),""))</f>
        <v/>
      </c>
    </row>
    <row r="297" ht="23" customHeight="1" s="21">
      <c r="A297" s="32">
        <f>IF($B297="","",296)</f>
        <v/>
      </c>
      <c r="B297" s="32">
        <f>IFERROR(LARGE(智能流水!$B$2:$B$1001,296),"")</f>
        <v/>
      </c>
      <c r="C297" s="33">
        <f>IF($B297="","",IFERROR(INDEX(智能流水!$C$2:$C$1001,MATCH($B297,智能流水!$B$2:$B$1001,0)),""))</f>
        <v/>
      </c>
      <c r="D297" s="34">
        <f>IF($B297="","",IFERROR(INDEX(智能流水!$D$2:$D$1001,MATCH($B297,智能流水!$B$2:$B$1001,0)),""))</f>
        <v/>
      </c>
      <c r="E297" s="34">
        <f>IF($B297="","",IFERROR(INDEX(智能流水!$E$2:$E$1001,MATCH($B297,智能流水!$B$2:$B$1001,0)),""))</f>
        <v/>
      </c>
      <c r="F297" s="34">
        <f>IF($B297="","",IFERROR(INDEX(智能流水!$F$2:$F$1001,MATCH($B297,智能流水!$B$2:$B$1001,0)),""))</f>
        <v/>
      </c>
      <c r="G297" s="32">
        <f>IF($B297="","",IFERROR(INDEX(智能流水!$G$2:$G$1001,MATCH($B297,智能流水!$B$2:$B$1001,0)),""))</f>
        <v/>
      </c>
      <c r="H297" s="32">
        <f>IF($B297="","",IFERROR(INDEX(智能流水!$H$2:$H$1001,MATCH($B297,智能流水!$B$2:$B$1001,0)),""))</f>
        <v/>
      </c>
      <c r="I297" s="32">
        <f>IF($B297="","",IFERROR(INDEX(智能流水!$I$2:$I$1001,MATCH($B297,智能流水!$B$2:$B$1001,0)),""))</f>
        <v/>
      </c>
      <c r="J297" s="32">
        <f>IF($B297="","",IFERROR(INDEX(智能流水!$J$2:$J$1001,MATCH($B297,智能流水!$B$2:$B$1001,0)),""))</f>
        <v/>
      </c>
      <c r="K297" s="35">
        <f>IF($B297="","",IFERROR(INDEX(智能流水!$K$2:$K$1001,MATCH($B297,智能流水!$B$2:$B$1001,0)),""))</f>
        <v/>
      </c>
      <c r="L297" s="32">
        <f>IF($B297="","",IFERROR(INDEX(智能流水!$L$2:$L$1001,MATCH($B297,智能流水!$B$2:$B$1001,0)),""))</f>
        <v/>
      </c>
      <c r="M297" s="32">
        <f>IF($B297="","",IFERROR(INDEX(智能流水!$M$2:$M$1001,MATCH($B297,智能流水!$B$2:$B$1001,0)),""))</f>
        <v/>
      </c>
      <c r="N297" s="32">
        <f>IF($B297="","",IFERROR(INDEX(智能流水!$N$2:$N$1001,MATCH($B297,智能流水!$B$2:$B$1001,0)),""))</f>
        <v/>
      </c>
      <c r="O297" s="32">
        <f>IF($B297="","",IFERROR(INDEX(智能流水!$O$2:$O$1001,MATCH($B297,智能流水!$B$2:$B$1001,0)),""))</f>
        <v/>
      </c>
    </row>
    <row r="298" ht="23" customHeight="1" s="21">
      <c r="A298" s="32">
        <f>IF($B298="","",297)</f>
        <v/>
      </c>
      <c r="B298" s="32">
        <f>IFERROR(LARGE(智能流水!$B$2:$B$1001,297),"")</f>
        <v/>
      </c>
      <c r="C298" s="33">
        <f>IF($B298="","",IFERROR(INDEX(智能流水!$C$2:$C$1001,MATCH($B298,智能流水!$B$2:$B$1001,0)),""))</f>
        <v/>
      </c>
      <c r="D298" s="34">
        <f>IF($B298="","",IFERROR(INDEX(智能流水!$D$2:$D$1001,MATCH($B298,智能流水!$B$2:$B$1001,0)),""))</f>
        <v/>
      </c>
      <c r="E298" s="34">
        <f>IF($B298="","",IFERROR(INDEX(智能流水!$E$2:$E$1001,MATCH($B298,智能流水!$B$2:$B$1001,0)),""))</f>
        <v/>
      </c>
      <c r="F298" s="34">
        <f>IF($B298="","",IFERROR(INDEX(智能流水!$F$2:$F$1001,MATCH($B298,智能流水!$B$2:$B$1001,0)),""))</f>
        <v/>
      </c>
      <c r="G298" s="32">
        <f>IF($B298="","",IFERROR(INDEX(智能流水!$G$2:$G$1001,MATCH($B298,智能流水!$B$2:$B$1001,0)),""))</f>
        <v/>
      </c>
      <c r="H298" s="32">
        <f>IF($B298="","",IFERROR(INDEX(智能流水!$H$2:$H$1001,MATCH($B298,智能流水!$B$2:$B$1001,0)),""))</f>
        <v/>
      </c>
      <c r="I298" s="32">
        <f>IF($B298="","",IFERROR(INDEX(智能流水!$I$2:$I$1001,MATCH($B298,智能流水!$B$2:$B$1001,0)),""))</f>
        <v/>
      </c>
      <c r="J298" s="32">
        <f>IF($B298="","",IFERROR(INDEX(智能流水!$J$2:$J$1001,MATCH($B298,智能流水!$B$2:$B$1001,0)),""))</f>
        <v/>
      </c>
      <c r="K298" s="35">
        <f>IF($B298="","",IFERROR(INDEX(智能流水!$K$2:$K$1001,MATCH($B298,智能流水!$B$2:$B$1001,0)),""))</f>
        <v/>
      </c>
      <c r="L298" s="32">
        <f>IF($B298="","",IFERROR(INDEX(智能流水!$L$2:$L$1001,MATCH($B298,智能流水!$B$2:$B$1001,0)),""))</f>
        <v/>
      </c>
      <c r="M298" s="32">
        <f>IF($B298="","",IFERROR(INDEX(智能流水!$M$2:$M$1001,MATCH($B298,智能流水!$B$2:$B$1001,0)),""))</f>
        <v/>
      </c>
      <c r="N298" s="32">
        <f>IF($B298="","",IFERROR(INDEX(智能流水!$N$2:$N$1001,MATCH($B298,智能流水!$B$2:$B$1001,0)),""))</f>
        <v/>
      </c>
      <c r="O298" s="32">
        <f>IF($B298="","",IFERROR(INDEX(智能流水!$O$2:$O$1001,MATCH($B298,智能流水!$B$2:$B$1001,0)),""))</f>
        <v/>
      </c>
    </row>
    <row r="299" ht="23" customHeight="1" s="21">
      <c r="A299" s="32">
        <f>IF($B299="","",298)</f>
        <v/>
      </c>
      <c r="B299" s="32">
        <f>IFERROR(LARGE(智能流水!$B$2:$B$1001,298),"")</f>
        <v/>
      </c>
      <c r="C299" s="33">
        <f>IF($B299="","",IFERROR(INDEX(智能流水!$C$2:$C$1001,MATCH($B299,智能流水!$B$2:$B$1001,0)),""))</f>
        <v/>
      </c>
      <c r="D299" s="34">
        <f>IF($B299="","",IFERROR(INDEX(智能流水!$D$2:$D$1001,MATCH($B299,智能流水!$B$2:$B$1001,0)),""))</f>
        <v/>
      </c>
      <c r="E299" s="34">
        <f>IF($B299="","",IFERROR(INDEX(智能流水!$E$2:$E$1001,MATCH($B299,智能流水!$B$2:$B$1001,0)),""))</f>
        <v/>
      </c>
      <c r="F299" s="34">
        <f>IF($B299="","",IFERROR(INDEX(智能流水!$F$2:$F$1001,MATCH($B299,智能流水!$B$2:$B$1001,0)),""))</f>
        <v/>
      </c>
      <c r="G299" s="32">
        <f>IF($B299="","",IFERROR(INDEX(智能流水!$G$2:$G$1001,MATCH($B299,智能流水!$B$2:$B$1001,0)),""))</f>
        <v/>
      </c>
      <c r="H299" s="32">
        <f>IF($B299="","",IFERROR(INDEX(智能流水!$H$2:$H$1001,MATCH($B299,智能流水!$B$2:$B$1001,0)),""))</f>
        <v/>
      </c>
      <c r="I299" s="32">
        <f>IF($B299="","",IFERROR(INDEX(智能流水!$I$2:$I$1001,MATCH($B299,智能流水!$B$2:$B$1001,0)),""))</f>
        <v/>
      </c>
      <c r="J299" s="32">
        <f>IF($B299="","",IFERROR(INDEX(智能流水!$J$2:$J$1001,MATCH($B299,智能流水!$B$2:$B$1001,0)),""))</f>
        <v/>
      </c>
      <c r="K299" s="35">
        <f>IF($B299="","",IFERROR(INDEX(智能流水!$K$2:$K$1001,MATCH($B299,智能流水!$B$2:$B$1001,0)),""))</f>
        <v/>
      </c>
      <c r="L299" s="32">
        <f>IF($B299="","",IFERROR(INDEX(智能流水!$L$2:$L$1001,MATCH($B299,智能流水!$B$2:$B$1001,0)),""))</f>
        <v/>
      </c>
      <c r="M299" s="32">
        <f>IF($B299="","",IFERROR(INDEX(智能流水!$M$2:$M$1001,MATCH($B299,智能流水!$B$2:$B$1001,0)),""))</f>
        <v/>
      </c>
      <c r="N299" s="32">
        <f>IF($B299="","",IFERROR(INDEX(智能流水!$N$2:$N$1001,MATCH($B299,智能流水!$B$2:$B$1001,0)),""))</f>
        <v/>
      </c>
      <c r="O299" s="32">
        <f>IF($B299="","",IFERROR(INDEX(智能流水!$O$2:$O$1001,MATCH($B299,智能流水!$B$2:$B$1001,0)),""))</f>
        <v/>
      </c>
    </row>
    <row r="300" ht="23" customHeight="1" s="21">
      <c r="A300" s="32">
        <f>IF($B300="","",299)</f>
        <v/>
      </c>
      <c r="B300" s="32">
        <f>IFERROR(LARGE(智能流水!$B$2:$B$1001,299),"")</f>
        <v/>
      </c>
      <c r="C300" s="33">
        <f>IF($B300="","",IFERROR(INDEX(智能流水!$C$2:$C$1001,MATCH($B300,智能流水!$B$2:$B$1001,0)),""))</f>
        <v/>
      </c>
      <c r="D300" s="34">
        <f>IF($B300="","",IFERROR(INDEX(智能流水!$D$2:$D$1001,MATCH($B300,智能流水!$B$2:$B$1001,0)),""))</f>
        <v/>
      </c>
      <c r="E300" s="34">
        <f>IF($B300="","",IFERROR(INDEX(智能流水!$E$2:$E$1001,MATCH($B300,智能流水!$B$2:$B$1001,0)),""))</f>
        <v/>
      </c>
      <c r="F300" s="34">
        <f>IF($B300="","",IFERROR(INDEX(智能流水!$F$2:$F$1001,MATCH($B300,智能流水!$B$2:$B$1001,0)),""))</f>
        <v/>
      </c>
      <c r="G300" s="32">
        <f>IF($B300="","",IFERROR(INDEX(智能流水!$G$2:$G$1001,MATCH($B300,智能流水!$B$2:$B$1001,0)),""))</f>
        <v/>
      </c>
      <c r="H300" s="32">
        <f>IF($B300="","",IFERROR(INDEX(智能流水!$H$2:$H$1001,MATCH($B300,智能流水!$B$2:$B$1001,0)),""))</f>
        <v/>
      </c>
      <c r="I300" s="32">
        <f>IF($B300="","",IFERROR(INDEX(智能流水!$I$2:$I$1001,MATCH($B300,智能流水!$B$2:$B$1001,0)),""))</f>
        <v/>
      </c>
      <c r="J300" s="32">
        <f>IF($B300="","",IFERROR(INDEX(智能流水!$J$2:$J$1001,MATCH($B300,智能流水!$B$2:$B$1001,0)),""))</f>
        <v/>
      </c>
      <c r="K300" s="35">
        <f>IF($B300="","",IFERROR(INDEX(智能流水!$K$2:$K$1001,MATCH($B300,智能流水!$B$2:$B$1001,0)),""))</f>
        <v/>
      </c>
      <c r="L300" s="32">
        <f>IF($B300="","",IFERROR(INDEX(智能流水!$L$2:$L$1001,MATCH($B300,智能流水!$B$2:$B$1001,0)),""))</f>
        <v/>
      </c>
      <c r="M300" s="32">
        <f>IF($B300="","",IFERROR(INDEX(智能流水!$M$2:$M$1001,MATCH($B300,智能流水!$B$2:$B$1001,0)),""))</f>
        <v/>
      </c>
      <c r="N300" s="32">
        <f>IF($B300="","",IFERROR(INDEX(智能流水!$N$2:$N$1001,MATCH($B300,智能流水!$B$2:$B$1001,0)),""))</f>
        <v/>
      </c>
      <c r="O300" s="32">
        <f>IF($B300="","",IFERROR(INDEX(智能流水!$O$2:$O$1001,MATCH($B300,智能流水!$B$2:$B$1001,0)),""))</f>
        <v/>
      </c>
    </row>
    <row r="301" ht="23" customHeight="1" s="21">
      <c r="A301" s="32">
        <f>IF($B301="","",300)</f>
        <v/>
      </c>
      <c r="B301" s="32">
        <f>IFERROR(LARGE(智能流水!$B$2:$B$1001,300),"")</f>
        <v/>
      </c>
      <c r="C301" s="33">
        <f>IF($B301="","",IFERROR(INDEX(智能流水!$C$2:$C$1001,MATCH($B301,智能流水!$B$2:$B$1001,0)),""))</f>
        <v/>
      </c>
      <c r="D301" s="34">
        <f>IF($B301="","",IFERROR(INDEX(智能流水!$D$2:$D$1001,MATCH($B301,智能流水!$B$2:$B$1001,0)),""))</f>
        <v/>
      </c>
      <c r="E301" s="34">
        <f>IF($B301="","",IFERROR(INDEX(智能流水!$E$2:$E$1001,MATCH($B301,智能流水!$B$2:$B$1001,0)),""))</f>
        <v/>
      </c>
      <c r="F301" s="34">
        <f>IF($B301="","",IFERROR(INDEX(智能流水!$F$2:$F$1001,MATCH($B301,智能流水!$B$2:$B$1001,0)),""))</f>
        <v/>
      </c>
      <c r="G301" s="32">
        <f>IF($B301="","",IFERROR(INDEX(智能流水!$G$2:$G$1001,MATCH($B301,智能流水!$B$2:$B$1001,0)),""))</f>
        <v/>
      </c>
      <c r="H301" s="32">
        <f>IF($B301="","",IFERROR(INDEX(智能流水!$H$2:$H$1001,MATCH($B301,智能流水!$B$2:$B$1001,0)),""))</f>
        <v/>
      </c>
      <c r="I301" s="32">
        <f>IF($B301="","",IFERROR(INDEX(智能流水!$I$2:$I$1001,MATCH($B301,智能流水!$B$2:$B$1001,0)),""))</f>
        <v/>
      </c>
      <c r="J301" s="32">
        <f>IF($B301="","",IFERROR(INDEX(智能流水!$J$2:$J$1001,MATCH($B301,智能流水!$B$2:$B$1001,0)),""))</f>
        <v/>
      </c>
      <c r="K301" s="35">
        <f>IF($B301="","",IFERROR(INDEX(智能流水!$K$2:$K$1001,MATCH($B301,智能流水!$B$2:$B$1001,0)),""))</f>
        <v/>
      </c>
      <c r="L301" s="32">
        <f>IF($B301="","",IFERROR(INDEX(智能流水!$L$2:$L$1001,MATCH($B301,智能流水!$B$2:$B$1001,0)),""))</f>
        <v/>
      </c>
      <c r="M301" s="32">
        <f>IF($B301="","",IFERROR(INDEX(智能流水!$M$2:$M$1001,MATCH($B301,智能流水!$B$2:$B$1001,0)),""))</f>
        <v/>
      </c>
      <c r="N301" s="32">
        <f>IF($B301="","",IFERROR(INDEX(智能流水!$N$2:$N$1001,MATCH($B301,智能流水!$B$2:$B$1001,0)),""))</f>
        <v/>
      </c>
      <c r="O301" s="32">
        <f>IF($B301="","",IFERROR(INDEX(智能流水!$O$2:$O$1001,MATCH($B301,智能流水!$B$2:$B$1001,0)),""))</f>
        <v/>
      </c>
    </row>
    <row r="302" ht="23" customHeight="1" s="21">
      <c r="A302" s="32">
        <f>IF($B302="","",301)</f>
        <v/>
      </c>
      <c r="B302" s="32">
        <f>IFERROR(LARGE(智能流水!$B$2:$B$1001,301),"")</f>
        <v/>
      </c>
      <c r="C302" s="33">
        <f>IF($B302="","",IFERROR(INDEX(智能流水!$C$2:$C$1001,MATCH($B302,智能流水!$B$2:$B$1001,0)),""))</f>
        <v/>
      </c>
      <c r="D302" s="34">
        <f>IF($B302="","",IFERROR(INDEX(智能流水!$D$2:$D$1001,MATCH($B302,智能流水!$B$2:$B$1001,0)),""))</f>
        <v/>
      </c>
      <c r="E302" s="34">
        <f>IF($B302="","",IFERROR(INDEX(智能流水!$E$2:$E$1001,MATCH($B302,智能流水!$B$2:$B$1001,0)),""))</f>
        <v/>
      </c>
      <c r="F302" s="34">
        <f>IF($B302="","",IFERROR(INDEX(智能流水!$F$2:$F$1001,MATCH($B302,智能流水!$B$2:$B$1001,0)),""))</f>
        <v/>
      </c>
      <c r="G302" s="32">
        <f>IF($B302="","",IFERROR(INDEX(智能流水!$G$2:$G$1001,MATCH($B302,智能流水!$B$2:$B$1001,0)),""))</f>
        <v/>
      </c>
      <c r="H302" s="32">
        <f>IF($B302="","",IFERROR(INDEX(智能流水!$H$2:$H$1001,MATCH($B302,智能流水!$B$2:$B$1001,0)),""))</f>
        <v/>
      </c>
      <c r="I302" s="32">
        <f>IF($B302="","",IFERROR(INDEX(智能流水!$I$2:$I$1001,MATCH($B302,智能流水!$B$2:$B$1001,0)),""))</f>
        <v/>
      </c>
      <c r="J302" s="32">
        <f>IF($B302="","",IFERROR(INDEX(智能流水!$J$2:$J$1001,MATCH($B302,智能流水!$B$2:$B$1001,0)),""))</f>
        <v/>
      </c>
      <c r="K302" s="35">
        <f>IF($B302="","",IFERROR(INDEX(智能流水!$K$2:$K$1001,MATCH($B302,智能流水!$B$2:$B$1001,0)),""))</f>
        <v/>
      </c>
      <c r="L302" s="32">
        <f>IF($B302="","",IFERROR(INDEX(智能流水!$L$2:$L$1001,MATCH($B302,智能流水!$B$2:$B$1001,0)),""))</f>
        <v/>
      </c>
      <c r="M302" s="32">
        <f>IF($B302="","",IFERROR(INDEX(智能流水!$M$2:$M$1001,MATCH($B302,智能流水!$B$2:$B$1001,0)),""))</f>
        <v/>
      </c>
      <c r="N302" s="32">
        <f>IF($B302="","",IFERROR(INDEX(智能流水!$N$2:$N$1001,MATCH($B302,智能流水!$B$2:$B$1001,0)),""))</f>
        <v/>
      </c>
      <c r="O302" s="32">
        <f>IF($B302="","",IFERROR(INDEX(智能流水!$O$2:$O$1001,MATCH($B302,智能流水!$B$2:$B$1001,0)),""))</f>
        <v/>
      </c>
    </row>
    <row r="303" ht="23" customHeight="1" s="21">
      <c r="A303" s="32">
        <f>IF($B303="","",302)</f>
        <v/>
      </c>
      <c r="B303" s="32">
        <f>IFERROR(LARGE(智能流水!$B$2:$B$1001,302),"")</f>
        <v/>
      </c>
      <c r="C303" s="33">
        <f>IF($B303="","",IFERROR(INDEX(智能流水!$C$2:$C$1001,MATCH($B303,智能流水!$B$2:$B$1001,0)),""))</f>
        <v/>
      </c>
      <c r="D303" s="34">
        <f>IF($B303="","",IFERROR(INDEX(智能流水!$D$2:$D$1001,MATCH($B303,智能流水!$B$2:$B$1001,0)),""))</f>
        <v/>
      </c>
      <c r="E303" s="34">
        <f>IF($B303="","",IFERROR(INDEX(智能流水!$E$2:$E$1001,MATCH($B303,智能流水!$B$2:$B$1001,0)),""))</f>
        <v/>
      </c>
      <c r="F303" s="34">
        <f>IF($B303="","",IFERROR(INDEX(智能流水!$F$2:$F$1001,MATCH($B303,智能流水!$B$2:$B$1001,0)),""))</f>
        <v/>
      </c>
      <c r="G303" s="32">
        <f>IF($B303="","",IFERROR(INDEX(智能流水!$G$2:$G$1001,MATCH($B303,智能流水!$B$2:$B$1001,0)),""))</f>
        <v/>
      </c>
      <c r="H303" s="32">
        <f>IF($B303="","",IFERROR(INDEX(智能流水!$H$2:$H$1001,MATCH($B303,智能流水!$B$2:$B$1001,0)),""))</f>
        <v/>
      </c>
      <c r="I303" s="32">
        <f>IF($B303="","",IFERROR(INDEX(智能流水!$I$2:$I$1001,MATCH($B303,智能流水!$B$2:$B$1001,0)),""))</f>
        <v/>
      </c>
      <c r="J303" s="32">
        <f>IF($B303="","",IFERROR(INDEX(智能流水!$J$2:$J$1001,MATCH($B303,智能流水!$B$2:$B$1001,0)),""))</f>
        <v/>
      </c>
      <c r="K303" s="35">
        <f>IF($B303="","",IFERROR(INDEX(智能流水!$K$2:$K$1001,MATCH($B303,智能流水!$B$2:$B$1001,0)),""))</f>
        <v/>
      </c>
      <c r="L303" s="32">
        <f>IF($B303="","",IFERROR(INDEX(智能流水!$L$2:$L$1001,MATCH($B303,智能流水!$B$2:$B$1001,0)),""))</f>
        <v/>
      </c>
      <c r="M303" s="32">
        <f>IF($B303="","",IFERROR(INDEX(智能流水!$M$2:$M$1001,MATCH($B303,智能流水!$B$2:$B$1001,0)),""))</f>
        <v/>
      </c>
      <c r="N303" s="32">
        <f>IF($B303="","",IFERROR(INDEX(智能流水!$N$2:$N$1001,MATCH($B303,智能流水!$B$2:$B$1001,0)),""))</f>
        <v/>
      </c>
      <c r="O303" s="32">
        <f>IF($B303="","",IFERROR(INDEX(智能流水!$O$2:$O$1001,MATCH($B303,智能流水!$B$2:$B$1001,0)),""))</f>
        <v/>
      </c>
    </row>
    <row r="304" ht="23" customHeight="1" s="21">
      <c r="A304" s="32">
        <f>IF($B304="","",303)</f>
        <v/>
      </c>
      <c r="B304" s="32">
        <f>IFERROR(LARGE(智能流水!$B$2:$B$1001,303),"")</f>
        <v/>
      </c>
      <c r="C304" s="33">
        <f>IF($B304="","",IFERROR(INDEX(智能流水!$C$2:$C$1001,MATCH($B304,智能流水!$B$2:$B$1001,0)),""))</f>
        <v/>
      </c>
      <c r="D304" s="34">
        <f>IF($B304="","",IFERROR(INDEX(智能流水!$D$2:$D$1001,MATCH($B304,智能流水!$B$2:$B$1001,0)),""))</f>
        <v/>
      </c>
      <c r="E304" s="34">
        <f>IF($B304="","",IFERROR(INDEX(智能流水!$E$2:$E$1001,MATCH($B304,智能流水!$B$2:$B$1001,0)),""))</f>
        <v/>
      </c>
      <c r="F304" s="34">
        <f>IF($B304="","",IFERROR(INDEX(智能流水!$F$2:$F$1001,MATCH($B304,智能流水!$B$2:$B$1001,0)),""))</f>
        <v/>
      </c>
      <c r="G304" s="32">
        <f>IF($B304="","",IFERROR(INDEX(智能流水!$G$2:$G$1001,MATCH($B304,智能流水!$B$2:$B$1001,0)),""))</f>
        <v/>
      </c>
      <c r="H304" s="32">
        <f>IF($B304="","",IFERROR(INDEX(智能流水!$H$2:$H$1001,MATCH($B304,智能流水!$B$2:$B$1001,0)),""))</f>
        <v/>
      </c>
      <c r="I304" s="32">
        <f>IF($B304="","",IFERROR(INDEX(智能流水!$I$2:$I$1001,MATCH($B304,智能流水!$B$2:$B$1001,0)),""))</f>
        <v/>
      </c>
      <c r="J304" s="32">
        <f>IF($B304="","",IFERROR(INDEX(智能流水!$J$2:$J$1001,MATCH($B304,智能流水!$B$2:$B$1001,0)),""))</f>
        <v/>
      </c>
      <c r="K304" s="35">
        <f>IF($B304="","",IFERROR(INDEX(智能流水!$K$2:$K$1001,MATCH($B304,智能流水!$B$2:$B$1001,0)),""))</f>
        <v/>
      </c>
      <c r="L304" s="32">
        <f>IF($B304="","",IFERROR(INDEX(智能流水!$L$2:$L$1001,MATCH($B304,智能流水!$B$2:$B$1001,0)),""))</f>
        <v/>
      </c>
      <c r="M304" s="32">
        <f>IF($B304="","",IFERROR(INDEX(智能流水!$M$2:$M$1001,MATCH($B304,智能流水!$B$2:$B$1001,0)),""))</f>
        <v/>
      </c>
      <c r="N304" s="32">
        <f>IF($B304="","",IFERROR(INDEX(智能流水!$N$2:$N$1001,MATCH($B304,智能流水!$B$2:$B$1001,0)),""))</f>
        <v/>
      </c>
      <c r="O304" s="32">
        <f>IF($B304="","",IFERROR(INDEX(智能流水!$O$2:$O$1001,MATCH($B304,智能流水!$B$2:$B$1001,0)),""))</f>
        <v/>
      </c>
    </row>
    <row r="305" ht="23" customHeight="1" s="21">
      <c r="A305" s="32">
        <f>IF($B305="","",304)</f>
        <v/>
      </c>
      <c r="B305" s="32">
        <f>IFERROR(LARGE(智能流水!$B$2:$B$1001,304),"")</f>
        <v/>
      </c>
      <c r="C305" s="33">
        <f>IF($B305="","",IFERROR(INDEX(智能流水!$C$2:$C$1001,MATCH($B305,智能流水!$B$2:$B$1001,0)),""))</f>
        <v/>
      </c>
      <c r="D305" s="34">
        <f>IF($B305="","",IFERROR(INDEX(智能流水!$D$2:$D$1001,MATCH($B305,智能流水!$B$2:$B$1001,0)),""))</f>
        <v/>
      </c>
      <c r="E305" s="34">
        <f>IF($B305="","",IFERROR(INDEX(智能流水!$E$2:$E$1001,MATCH($B305,智能流水!$B$2:$B$1001,0)),""))</f>
        <v/>
      </c>
      <c r="F305" s="34">
        <f>IF($B305="","",IFERROR(INDEX(智能流水!$F$2:$F$1001,MATCH($B305,智能流水!$B$2:$B$1001,0)),""))</f>
        <v/>
      </c>
      <c r="G305" s="32">
        <f>IF($B305="","",IFERROR(INDEX(智能流水!$G$2:$G$1001,MATCH($B305,智能流水!$B$2:$B$1001,0)),""))</f>
        <v/>
      </c>
      <c r="H305" s="32">
        <f>IF($B305="","",IFERROR(INDEX(智能流水!$H$2:$H$1001,MATCH($B305,智能流水!$B$2:$B$1001,0)),""))</f>
        <v/>
      </c>
      <c r="I305" s="32">
        <f>IF($B305="","",IFERROR(INDEX(智能流水!$I$2:$I$1001,MATCH($B305,智能流水!$B$2:$B$1001,0)),""))</f>
        <v/>
      </c>
      <c r="J305" s="32">
        <f>IF($B305="","",IFERROR(INDEX(智能流水!$J$2:$J$1001,MATCH($B305,智能流水!$B$2:$B$1001,0)),""))</f>
        <v/>
      </c>
      <c r="K305" s="35">
        <f>IF($B305="","",IFERROR(INDEX(智能流水!$K$2:$K$1001,MATCH($B305,智能流水!$B$2:$B$1001,0)),""))</f>
        <v/>
      </c>
      <c r="L305" s="32">
        <f>IF($B305="","",IFERROR(INDEX(智能流水!$L$2:$L$1001,MATCH($B305,智能流水!$B$2:$B$1001,0)),""))</f>
        <v/>
      </c>
      <c r="M305" s="32">
        <f>IF($B305="","",IFERROR(INDEX(智能流水!$M$2:$M$1001,MATCH($B305,智能流水!$B$2:$B$1001,0)),""))</f>
        <v/>
      </c>
      <c r="N305" s="32">
        <f>IF($B305="","",IFERROR(INDEX(智能流水!$N$2:$N$1001,MATCH($B305,智能流水!$B$2:$B$1001,0)),""))</f>
        <v/>
      </c>
      <c r="O305" s="32">
        <f>IF($B305="","",IFERROR(INDEX(智能流水!$O$2:$O$1001,MATCH($B305,智能流水!$B$2:$B$1001,0)),""))</f>
        <v/>
      </c>
    </row>
    <row r="306" ht="23" customHeight="1" s="21">
      <c r="A306" s="32">
        <f>IF($B306="","",305)</f>
        <v/>
      </c>
      <c r="B306" s="32">
        <f>IFERROR(LARGE(智能流水!$B$2:$B$1001,305),"")</f>
        <v/>
      </c>
      <c r="C306" s="33">
        <f>IF($B306="","",IFERROR(INDEX(智能流水!$C$2:$C$1001,MATCH($B306,智能流水!$B$2:$B$1001,0)),""))</f>
        <v/>
      </c>
      <c r="D306" s="34">
        <f>IF($B306="","",IFERROR(INDEX(智能流水!$D$2:$D$1001,MATCH($B306,智能流水!$B$2:$B$1001,0)),""))</f>
        <v/>
      </c>
      <c r="E306" s="34">
        <f>IF($B306="","",IFERROR(INDEX(智能流水!$E$2:$E$1001,MATCH($B306,智能流水!$B$2:$B$1001,0)),""))</f>
        <v/>
      </c>
      <c r="F306" s="34">
        <f>IF($B306="","",IFERROR(INDEX(智能流水!$F$2:$F$1001,MATCH($B306,智能流水!$B$2:$B$1001,0)),""))</f>
        <v/>
      </c>
      <c r="G306" s="32">
        <f>IF($B306="","",IFERROR(INDEX(智能流水!$G$2:$G$1001,MATCH($B306,智能流水!$B$2:$B$1001,0)),""))</f>
        <v/>
      </c>
      <c r="H306" s="32">
        <f>IF($B306="","",IFERROR(INDEX(智能流水!$H$2:$H$1001,MATCH($B306,智能流水!$B$2:$B$1001,0)),""))</f>
        <v/>
      </c>
      <c r="I306" s="32">
        <f>IF($B306="","",IFERROR(INDEX(智能流水!$I$2:$I$1001,MATCH($B306,智能流水!$B$2:$B$1001,0)),""))</f>
        <v/>
      </c>
      <c r="J306" s="32">
        <f>IF($B306="","",IFERROR(INDEX(智能流水!$J$2:$J$1001,MATCH($B306,智能流水!$B$2:$B$1001,0)),""))</f>
        <v/>
      </c>
      <c r="K306" s="35">
        <f>IF($B306="","",IFERROR(INDEX(智能流水!$K$2:$K$1001,MATCH($B306,智能流水!$B$2:$B$1001,0)),""))</f>
        <v/>
      </c>
      <c r="L306" s="32">
        <f>IF($B306="","",IFERROR(INDEX(智能流水!$L$2:$L$1001,MATCH($B306,智能流水!$B$2:$B$1001,0)),""))</f>
        <v/>
      </c>
      <c r="M306" s="32">
        <f>IF($B306="","",IFERROR(INDEX(智能流水!$M$2:$M$1001,MATCH($B306,智能流水!$B$2:$B$1001,0)),""))</f>
        <v/>
      </c>
      <c r="N306" s="32">
        <f>IF($B306="","",IFERROR(INDEX(智能流水!$N$2:$N$1001,MATCH($B306,智能流水!$B$2:$B$1001,0)),""))</f>
        <v/>
      </c>
      <c r="O306" s="32">
        <f>IF($B306="","",IFERROR(INDEX(智能流水!$O$2:$O$1001,MATCH($B306,智能流水!$B$2:$B$1001,0)),""))</f>
        <v/>
      </c>
    </row>
    <row r="307" ht="23" customHeight="1" s="21">
      <c r="A307" s="32">
        <f>IF($B307="","",306)</f>
        <v/>
      </c>
      <c r="B307" s="32">
        <f>IFERROR(LARGE(智能流水!$B$2:$B$1001,306),"")</f>
        <v/>
      </c>
      <c r="C307" s="33">
        <f>IF($B307="","",IFERROR(INDEX(智能流水!$C$2:$C$1001,MATCH($B307,智能流水!$B$2:$B$1001,0)),""))</f>
        <v/>
      </c>
      <c r="D307" s="34">
        <f>IF($B307="","",IFERROR(INDEX(智能流水!$D$2:$D$1001,MATCH($B307,智能流水!$B$2:$B$1001,0)),""))</f>
        <v/>
      </c>
      <c r="E307" s="34">
        <f>IF($B307="","",IFERROR(INDEX(智能流水!$E$2:$E$1001,MATCH($B307,智能流水!$B$2:$B$1001,0)),""))</f>
        <v/>
      </c>
      <c r="F307" s="34">
        <f>IF($B307="","",IFERROR(INDEX(智能流水!$F$2:$F$1001,MATCH($B307,智能流水!$B$2:$B$1001,0)),""))</f>
        <v/>
      </c>
      <c r="G307" s="32">
        <f>IF($B307="","",IFERROR(INDEX(智能流水!$G$2:$G$1001,MATCH($B307,智能流水!$B$2:$B$1001,0)),""))</f>
        <v/>
      </c>
      <c r="H307" s="32">
        <f>IF($B307="","",IFERROR(INDEX(智能流水!$H$2:$H$1001,MATCH($B307,智能流水!$B$2:$B$1001,0)),""))</f>
        <v/>
      </c>
      <c r="I307" s="32">
        <f>IF($B307="","",IFERROR(INDEX(智能流水!$I$2:$I$1001,MATCH($B307,智能流水!$B$2:$B$1001,0)),""))</f>
        <v/>
      </c>
      <c r="J307" s="32">
        <f>IF($B307="","",IFERROR(INDEX(智能流水!$J$2:$J$1001,MATCH($B307,智能流水!$B$2:$B$1001,0)),""))</f>
        <v/>
      </c>
      <c r="K307" s="35">
        <f>IF($B307="","",IFERROR(INDEX(智能流水!$K$2:$K$1001,MATCH($B307,智能流水!$B$2:$B$1001,0)),""))</f>
        <v/>
      </c>
      <c r="L307" s="32">
        <f>IF($B307="","",IFERROR(INDEX(智能流水!$L$2:$L$1001,MATCH($B307,智能流水!$B$2:$B$1001,0)),""))</f>
        <v/>
      </c>
      <c r="M307" s="32">
        <f>IF($B307="","",IFERROR(INDEX(智能流水!$M$2:$M$1001,MATCH($B307,智能流水!$B$2:$B$1001,0)),""))</f>
        <v/>
      </c>
      <c r="N307" s="32">
        <f>IF($B307="","",IFERROR(INDEX(智能流水!$N$2:$N$1001,MATCH($B307,智能流水!$B$2:$B$1001,0)),""))</f>
        <v/>
      </c>
      <c r="O307" s="32">
        <f>IF($B307="","",IFERROR(INDEX(智能流水!$O$2:$O$1001,MATCH($B307,智能流水!$B$2:$B$1001,0)),""))</f>
        <v/>
      </c>
    </row>
    <row r="308" ht="23" customHeight="1" s="21">
      <c r="A308" s="32">
        <f>IF($B308="","",307)</f>
        <v/>
      </c>
      <c r="B308" s="32">
        <f>IFERROR(LARGE(智能流水!$B$2:$B$1001,307),"")</f>
        <v/>
      </c>
      <c r="C308" s="33">
        <f>IF($B308="","",IFERROR(INDEX(智能流水!$C$2:$C$1001,MATCH($B308,智能流水!$B$2:$B$1001,0)),""))</f>
        <v/>
      </c>
      <c r="D308" s="34">
        <f>IF($B308="","",IFERROR(INDEX(智能流水!$D$2:$D$1001,MATCH($B308,智能流水!$B$2:$B$1001,0)),""))</f>
        <v/>
      </c>
      <c r="E308" s="34">
        <f>IF($B308="","",IFERROR(INDEX(智能流水!$E$2:$E$1001,MATCH($B308,智能流水!$B$2:$B$1001,0)),""))</f>
        <v/>
      </c>
      <c r="F308" s="34">
        <f>IF($B308="","",IFERROR(INDEX(智能流水!$F$2:$F$1001,MATCH($B308,智能流水!$B$2:$B$1001,0)),""))</f>
        <v/>
      </c>
      <c r="G308" s="32">
        <f>IF($B308="","",IFERROR(INDEX(智能流水!$G$2:$G$1001,MATCH($B308,智能流水!$B$2:$B$1001,0)),""))</f>
        <v/>
      </c>
      <c r="H308" s="32">
        <f>IF($B308="","",IFERROR(INDEX(智能流水!$H$2:$H$1001,MATCH($B308,智能流水!$B$2:$B$1001,0)),""))</f>
        <v/>
      </c>
      <c r="I308" s="32">
        <f>IF($B308="","",IFERROR(INDEX(智能流水!$I$2:$I$1001,MATCH($B308,智能流水!$B$2:$B$1001,0)),""))</f>
        <v/>
      </c>
      <c r="J308" s="32">
        <f>IF($B308="","",IFERROR(INDEX(智能流水!$J$2:$J$1001,MATCH($B308,智能流水!$B$2:$B$1001,0)),""))</f>
        <v/>
      </c>
      <c r="K308" s="35">
        <f>IF($B308="","",IFERROR(INDEX(智能流水!$K$2:$K$1001,MATCH($B308,智能流水!$B$2:$B$1001,0)),""))</f>
        <v/>
      </c>
      <c r="L308" s="32">
        <f>IF($B308="","",IFERROR(INDEX(智能流水!$L$2:$L$1001,MATCH($B308,智能流水!$B$2:$B$1001,0)),""))</f>
        <v/>
      </c>
      <c r="M308" s="32">
        <f>IF($B308="","",IFERROR(INDEX(智能流水!$M$2:$M$1001,MATCH($B308,智能流水!$B$2:$B$1001,0)),""))</f>
        <v/>
      </c>
      <c r="N308" s="32">
        <f>IF($B308="","",IFERROR(INDEX(智能流水!$N$2:$N$1001,MATCH($B308,智能流水!$B$2:$B$1001,0)),""))</f>
        <v/>
      </c>
      <c r="O308" s="32">
        <f>IF($B308="","",IFERROR(INDEX(智能流水!$O$2:$O$1001,MATCH($B308,智能流水!$B$2:$B$1001,0)),""))</f>
        <v/>
      </c>
    </row>
    <row r="309" ht="23" customHeight="1" s="21">
      <c r="A309" s="32">
        <f>IF($B309="","",308)</f>
        <v/>
      </c>
      <c r="B309" s="32">
        <f>IFERROR(LARGE(智能流水!$B$2:$B$1001,308),"")</f>
        <v/>
      </c>
      <c r="C309" s="33">
        <f>IF($B309="","",IFERROR(INDEX(智能流水!$C$2:$C$1001,MATCH($B309,智能流水!$B$2:$B$1001,0)),""))</f>
        <v/>
      </c>
      <c r="D309" s="34">
        <f>IF($B309="","",IFERROR(INDEX(智能流水!$D$2:$D$1001,MATCH($B309,智能流水!$B$2:$B$1001,0)),""))</f>
        <v/>
      </c>
      <c r="E309" s="34">
        <f>IF($B309="","",IFERROR(INDEX(智能流水!$E$2:$E$1001,MATCH($B309,智能流水!$B$2:$B$1001,0)),""))</f>
        <v/>
      </c>
      <c r="F309" s="34">
        <f>IF($B309="","",IFERROR(INDEX(智能流水!$F$2:$F$1001,MATCH($B309,智能流水!$B$2:$B$1001,0)),""))</f>
        <v/>
      </c>
      <c r="G309" s="32">
        <f>IF($B309="","",IFERROR(INDEX(智能流水!$G$2:$G$1001,MATCH($B309,智能流水!$B$2:$B$1001,0)),""))</f>
        <v/>
      </c>
      <c r="H309" s="32">
        <f>IF($B309="","",IFERROR(INDEX(智能流水!$H$2:$H$1001,MATCH($B309,智能流水!$B$2:$B$1001,0)),""))</f>
        <v/>
      </c>
      <c r="I309" s="32">
        <f>IF($B309="","",IFERROR(INDEX(智能流水!$I$2:$I$1001,MATCH($B309,智能流水!$B$2:$B$1001,0)),""))</f>
        <v/>
      </c>
      <c r="J309" s="32">
        <f>IF($B309="","",IFERROR(INDEX(智能流水!$J$2:$J$1001,MATCH($B309,智能流水!$B$2:$B$1001,0)),""))</f>
        <v/>
      </c>
      <c r="K309" s="35">
        <f>IF($B309="","",IFERROR(INDEX(智能流水!$K$2:$K$1001,MATCH($B309,智能流水!$B$2:$B$1001,0)),""))</f>
        <v/>
      </c>
      <c r="L309" s="32">
        <f>IF($B309="","",IFERROR(INDEX(智能流水!$L$2:$L$1001,MATCH($B309,智能流水!$B$2:$B$1001,0)),""))</f>
        <v/>
      </c>
      <c r="M309" s="32">
        <f>IF($B309="","",IFERROR(INDEX(智能流水!$M$2:$M$1001,MATCH($B309,智能流水!$B$2:$B$1001,0)),""))</f>
        <v/>
      </c>
      <c r="N309" s="32">
        <f>IF($B309="","",IFERROR(INDEX(智能流水!$N$2:$N$1001,MATCH($B309,智能流水!$B$2:$B$1001,0)),""))</f>
        <v/>
      </c>
      <c r="O309" s="32">
        <f>IF($B309="","",IFERROR(INDEX(智能流水!$O$2:$O$1001,MATCH($B309,智能流水!$B$2:$B$1001,0)),""))</f>
        <v/>
      </c>
    </row>
    <row r="310" ht="23" customHeight="1" s="21">
      <c r="A310" s="32">
        <f>IF($B310="","",309)</f>
        <v/>
      </c>
      <c r="B310" s="32">
        <f>IFERROR(LARGE(智能流水!$B$2:$B$1001,309),"")</f>
        <v/>
      </c>
      <c r="C310" s="33">
        <f>IF($B310="","",IFERROR(INDEX(智能流水!$C$2:$C$1001,MATCH($B310,智能流水!$B$2:$B$1001,0)),""))</f>
        <v/>
      </c>
      <c r="D310" s="34">
        <f>IF($B310="","",IFERROR(INDEX(智能流水!$D$2:$D$1001,MATCH($B310,智能流水!$B$2:$B$1001,0)),""))</f>
        <v/>
      </c>
      <c r="E310" s="34">
        <f>IF($B310="","",IFERROR(INDEX(智能流水!$E$2:$E$1001,MATCH($B310,智能流水!$B$2:$B$1001,0)),""))</f>
        <v/>
      </c>
      <c r="F310" s="34">
        <f>IF($B310="","",IFERROR(INDEX(智能流水!$F$2:$F$1001,MATCH($B310,智能流水!$B$2:$B$1001,0)),""))</f>
        <v/>
      </c>
      <c r="G310" s="32">
        <f>IF($B310="","",IFERROR(INDEX(智能流水!$G$2:$G$1001,MATCH($B310,智能流水!$B$2:$B$1001,0)),""))</f>
        <v/>
      </c>
      <c r="H310" s="32">
        <f>IF($B310="","",IFERROR(INDEX(智能流水!$H$2:$H$1001,MATCH($B310,智能流水!$B$2:$B$1001,0)),""))</f>
        <v/>
      </c>
      <c r="I310" s="32">
        <f>IF($B310="","",IFERROR(INDEX(智能流水!$I$2:$I$1001,MATCH($B310,智能流水!$B$2:$B$1001,0)),""))</f>
        <v/>
      </c>
      <c r="J310" s="32">
        <f>IF($B310="","",IFERROR(INDEX(智能流水!$J$2:$J$1001,MATCH($B310,智能流水!$B$2:$B$1001,0)),""))</f>
        <v/>
      </c>
      <c r="K310" s="35">
        <f>IF($B310="","",IFERROR(INDEX(智能流水!$K$2:$K$1001,MATCH($B310,智能流水!$B$2:$B$1001,0)),""))</f>
        <v/>
      </c>
      <c r="L310" s="32">
        <f>IF($B310="","",IFERROR(INDEX(智能流水!$L$2:$L$1001,MATCH($B310,智能流水!$B$2:$B$1001,0)),""))</f>
        <v/>
      </c>
      <c r="M310" s="32">
        <f>IF($B310="","",IFERROR(INDEX(智能流水!$M$2:$M$1001,MATCH($B310,智能流水!$B$2:$B$1001,0)),""))</f>
        <v/>
      </c>
      <c r="N310" s="32">
        <f>IF($B310="","",IFERROR(INDEX(智能流水!$N$2:$N$1001,MATCH($B310,智能流水!$B$2:$B$1001,0)),""))</f>
        <v/>
      </c>
      <c r="O310" s="32">
        <f>IF($B310="","",IFERROR(INDEX(智能流水!$O$2:$O$1001,MATCH($B310,智能流水!$B$2:$B$1001,0)),""))</f>
        <v/>
      </c>
    </row>
    <row r="311" ht="23" customHeight="1" s="21">
      <c r="A311" s="32">
        <f>IF($B311="","",310)</f>
        <v/>
      </c>
      <c r="B311" s="32">
        <f>IFERROR(LARGE(智能流水!$B$2:$B$1001,310),"")</f>
        <v/>
      </c>
      <c r="C311" s="33">
        <f>IF($B311="","",IFERROR(INDEX(智能流水!$C$2:$C$1001,MATCH($B311,智能流水!$B$2:$B$1001,0)),""))</f>
        <v/>
      </c>
      <c r="D311" s="34">
        <f>IF($B311="","",IFERROR(INDEX(智能流水!$D$2:$D$1001,MATCH($B311,智能流水!$B$2:$B$1001,0)),""))</f>
        <v/>
      </c>
      <c r="E311" s="34">
        <f>IF($B311="","",IFERROR(INDEX(智能流水!$E$2:$E$1001,MATCH($B311,智能流水!$B$2:$B$1001,0)),""))</f>
        <v/>
      </c>
      <c r="F311" s="34">
        <f>IF($B311="","",IFERROR(INDEX(智能流水!$F$2:$F$1001,MATCH($B311,智能流水!$B$2:$B$1001,0)),""))</f>
        <v/>
      </c>
      <c r="G311" s="32">
        <f>IF($B311="","",IFERROR(INDEX(智能流水!$G$2:$G$1001,MATCH($B311,智能流水!$B$2:$B$1001,0)),""))</f>
        <v/>
      </c>
      <c r="H311" s="32">
        <f>IF($B311="","",IFERROR(INDEX(智能流水!$H$2:$H$1001,MATCH($B311,智能流水!$B$2:$B$1001,0)),""))</f>
        <v/>
      </c>
      <c r="I311" s="32">
        <f>IF($B311="","",IFERROR(INDEX(智能流水!$I$2:$I$1001,MATCH($B311,智能流水!$B$2:$B$1001,0)),""))</f>
        <v/>
      </c>
      <c r="J311" s="32">
        <f>IF($B311="","",IFERROR(INDEX(智能流水!$J$2:$J$1001,MATCH($B311,智能流水!$B$2:$B$1001,0)),""))</f>
        <v/>
      </c>
      <c r="K311" s="35">
        <f>IF($B311="","",IFERROR(INDEX(智能流水!$K$2:$K$1001,MATCH($B311,智能流水!$B$2:$B$1001,0)),""))</f>
        <v/>
      </c>
      <c r="L311" s="32">
        <f>IF($B311="","",IFERROR(INDEX(智能流水!$L$2:$L$1001,MATCH($B311,智能流水!$B$2:$B$1001,0)),""))</f>
        <v/>
      </c>
      <c r="M311" s="32">
        <f>IF($B311="","",IFERROR(INDEX(智能流水!$M$2:$M$1001,MATCH($B311,智能流水!$B$2:$B$1001,0)),""))</f>
        <v/>
      </c>
      <c r="N311" s="32">
        <f>IF($B311="","",IFERROR(INDEX(智能流水!$N$2:$N$1001,MATCH($B311,智能流水!$B$2:$B$1001,0)),""))</f>
        <v/>
      </c>
      <c r="O311" s="32">
        <f>IF($B311="","",IFERROR(INDEX(智能流水!$O$2:$O$1001,MATCH($B311,智能流水!$B$2:$B$1001,0)),""))</f>
        <v/>
      </c>
    </row>
    <row r="312" ht="23" customHeight="1" s="21">
      <c r="A312" s="32">
        <f>IF($B312="","",311)</f>
        <v/>
      </c>
      <c r="B312" s="32">
        <f>IFERROR(LARGE(智能流水!$B$2:$B$1001,311),"")</f>
        <v/>
      </c>
      <c r="C312" s="33">
        <f>IF($B312="","",IFERROR(INDEX(智能流水!$C$2:$C$1001,MATCH($B312,智能流水!$B$2:$B$1001,0)),""))</f>
        <v/>
      </c>
      <c r="D312" s="34">
        <f>IF($B312="","",IFERROR(INDEX(智能流水!$D$2:$D$1001,MATCH($B312,智能流水!$B$2:$B$1001,0)),""))</f>
        <v/>
      </c>
      <c r="E312" s="34">
        <f>IF($B312="","",IFERROR(INDEX(智能流水!$E$2:$E$1001,MATCH($B312,智能流水!$B$2:$B$1001,0)),""))</f>
        <v/>
      </c>
      <c r="F312" s="34">
        <f>IF($B312="","",IFERROR(INDEX(智能流水!$F$2:$F$1001,MATCH($B312,智能流水!$B$2:$B$1001,0)),""))</f>
        <v/>
      </c>
      <c r="G312" s="32">
        <f>IF($B312="","",IFERROR(INDEX(智能流水!$G$2:$G$1001,MATCH($B312,智能流水!$B$2:$B$1001,0)),""))</f>
        <v/>
      </c>
      <c r="H312" s="32">
        <f>IF($B312="","",IFERROR(INDEX(智能流水!$H$2:$H$1001,MATCH($B312,智能流水!$B$2:$B$1001,0)),""))</f>
        <v/>
      </c>
      <c r="I312" s="32">
        <f>IF($B312="","",IFERROR(INDEX(智能流水!$I$2:$I$1001,MATCH($B312,智能流水!$B$2:$B$1001,0)),""))</f>
        <v/>
      </c>
      <c r="J312" s="32">
        <f>IF($B312="","",IFERROR(INDEX(智能流水!$J$2:$J$1001,MATCH($B312,智能流水!$B$2:$B$1001,0)),""))</f>
        <v/>
      </c>
      <c r="K312" s="35">
        <f>IF($B312="","",IFERROR(INDEX(智能流水!$K$2:$K$1001,MATCH($B312,智能流水!$B$2:$B$1001,0)),""))</f>
        <v/>
      </c>
      <c r="L312" s="32">
        <f>IF($B312="","",IFERROR(INDEX(智能流水!$L$2:$L$1001,MATCH($B312,智能流水!$B$2:$B$1001,0)),""))</f>
        <v/>
      </c>
      <c r="M312" s="32">
        <f>IF($B312="","",IFERROR(INDEX(智能流水!$M$2:$M$1001,MATCH($B312,智能流水!$B$2:$B$1001,0)),""))</f>
        <v/>
      </c>
      <c r="N312" s="32">
        <f>IF($B312="","",IFERROR(INDEX(智能流水!$N$2:$N$1001,MATCH($B312,智能流水!$B$2:$B$1001,0)),""))</f>
        <v/>
      </c>
      <c r="O312" s="32">
        <f>IF($B312="","",IFERROR(INDEX(智能流水!$O$2:$O$1001,MATCH($B312,智能流水!$B$2:$B$1001,0)),""))</f>
        <v/>
      </c>
    </row>
    <row r="313" ht="23" customHeight="1" s="21">
      <c r="A313" s="32">
        <f>IF($B313="","",312)</f>
        <v/>
      </c>
      <c r="B313" s="32">
        <f>IFERROR(LARGE(智能流水!$B$2:$B$1001,312),"")</f>
        <v/>
      </c>
      <c r="C313" s="33">
        <f>IF($B313="","",IFERROR(INDEX(智能流水!$C$2:$C$1001,MATCH($B313,智能流水!$B$2:$B$1001,0)),""))</f>
        <v/>
      </c>
      <c r="D313" s="34">
        <f>IF($B313="","",IFERROR(INDEX(智能流水!$D$2:$D$1001,MATCH($B313,智能流水!$B$2:$B$1001,0)),""))</f>
        <v/>
      </c>
      <c r="E313" s="34">
        <f>IF($B313="","",IFERROR(INDEX(智能流水!$E$2:$E$1001,MATCH($B313,智能流水!$B$2:$B$1001,0)),""))</f>
        <v/>
      </c>
      <c r="F313" s="34">
        <f>IF($B313="","",IFERROR(INDEX(智能流水!$F$2:$F$1001,MATCH($B313,智能流水!$B$2:$B$1001,0)),""))</f>
        <v/>
      </c>
      <c r="G313" s="32">
        <f>IF($B313="","",IFERROR(INDEX(智能流水!$G$2:$G$1001,MATCH($B313,智能流水!$B$2:$B$1001,0)),""))</f>
        <v/>
      </c>
      <c r="H313" s="32">
        <f>IF($B313="","",IFERROR(INDEX(智能流水!$H$2:$H$1001,MATCH($B313,智能流水!$B$2:$B$1001,0)),""))</f>
        <v/>
      </c>
      <c r="I313" s="32">
        <f>IF($B313="","",IFERROR(INDEX(智能流水!$I$2:$I$1001,MATCH($B313,智能流水!$B$2:$B$1001,0)),""))</f>
        <v/>
      </c>
      <c r="J313" s="32">
        <f>IF($B313="","",IFERROR(INDEX(智能流水!$J$2:$J$1001,MATCH($B313,智能流水!$B$2:$B$1001,0)),""))</f>
        <v/>
      </c>
      <c r="K313" s="35">
        <f>IF($B313="","",IFERROR(INDEX(智能流水!$K$2:$K$1001,MATCH($B313,智能流水!$B$2:$B$1001,0)),""))</f>
        <v/>
      </c>
      <c r="L313" s="32">
        <f>IF($B313="","",IFERROR(INDEX(智能流水!$L$2:$L$1001,MATCH($B313,智能流水!$B$2:$B$1001,0)),""))</f>
        <v/>
      </c>
      <c r="M313" s="32">
        <f>IF($B313="","",IFERROR(INDEX(智能流水!$M$2:$M$1001,MATCH($B313,智能流水!$B$2:$B$1001,0)),""))</f>
        <v/>
      </c>
      <c r="N313" s="32">
        <f>IF($B313="","",IFERROR(INDEX(智能流水!$N$2:$N$1001,MATCH($B313,智能流水!$B$2:$B$1001,0)),""))</f>
        <v/>
      </c>
      <c r="O313" s="32">
        <f>IF($B313="","",IFERROR(INDEX(智能流水!$O$2:$O$1001,MATCH($B313,智能流水!$B$2:$B$1001,0)),""))</f>
        <v/>
      </c>
    </row>
    <row r="314" ht="23" customHeight="1" s="21">
      <c r="A314" s="32">
        <f>IF($B314="","",313)</f>
        <v/>
      </c>
      <c r="B314" s="32">
        <f>IFERROR(LARGE(智能流水!$B$2:$B$1001,313),"")</f>
        <v/>
      </c>
      <c r="C314" s="33">
        <f>IF($B314="","",IFERROR(INDEX(智能流水!$C$2:$C$1001,MATCH($B314,智能流水!$B$2:$B$1001,0)),""))</f>
        <v/>
      </c>
      <c r="D314" s="34">
        <f>IF($B314="","",IFERROR(INDEX(智能流水!$D$2:$D$1001,MATCH($B314,智能流水!$B$2:$B$1001,0)),""))</f>
        <v/>
      </c>
      <c r="E314" s="34">
        <f>IF($B314="","",IFERROR(INDEX(智能流水!$E$2:$E$1001,MATCH($B314,智能流水!$B$2:$B$1001,0)),""))</f>
        <v/>
      </c>
      <c r="F314" s="34">
        <f>IF($B314="","",IFERROR(INDEX(智能流水!$F$2:$F$1001,MATCH($B314,智能流水!$B$2:$B$1001,0)),""))</f>
        <v/>
      </c>
      <c r="G314" s="32">
        <f>IF($B314="","",IFERROR(INDEX(智能流水!$G$2:$G$1001,MATCH($B314,智能流水!$B$2:$B$1001,0)),""))</f>
        <v/>
      </c>
      <c r="H314" s="32">
        <f>IF($B314="","",IFERROR(INDEX(智能流水!$H$2:$H$1001,MATCH($B314,智能流水!$B$2:$B$1001,0)),""))</f>
        <v/>
      </c>
      <c r="I314" s="32">
        <f>IF($B314="","",IFERROR(INDEX(智能流水!$I$2:$I$1001,MATCH($B314,智能流水!$B$2:$B$1001,0)),""))</f>
        <v/>
      </c>
      <c r="J314" s="32">
        <f>IF($B314="","",IFERROR(INDEX(智能流水!$J$2:$J$1001,MATCH($B314,智能流水!$B$2:$B$1001,0)),""))</f>
        <v/>
      </c>
      <c r="K314" s="35">
        <f>IF($B314="","",IFERROR(INDEX(智能流水!$K$2:$K$1001,MATCH($B314,智能流水!$B$2:$B$1001,0)),""))</f>
        <v/>
      </c>
      <c r="L314" s="32">
        <f>IF($B314="","",IFERROR(INDEX(智能流水!$L$2:$L$1001,MATCH($B314,智能流水!$B$2:$B$1001,0)),""))</f>
        <v/>
      </c>
      <c r="M314" s="32">
        <f>IF($B314="","",IFERROR(INDEX(智能流水!$M$2:$M$1001,MATCH($B314,智能流水!$B$2:$B$1001,0)),""))</f>
        <v/>
      </c>
      <c r="N314" s="32">
        <f>IF($B314="","",IFERROR(INDEX(智能流水!$N$2:$N$1001,MATCH($B314,智能流水!$B$2:$B$1001,0)),""))</f>
        <v/>
      </c>
      <c r="O314" s="32">
        <f>IF($B314="","",IFERROR(INDEX(智能流水!$O$2:$O$1001,MATCH($B314,智能流水!$B$2:$B$1001,0)),""))</f>
        <v/>
      </c>
    </row>
    <row r="315" ht="23" customHeight="1" s="21">
      <c r="A315" s="32">
        <f>IF($B315="","",314)</f>
        <v/>
      </c>
      <c r="B315" s="32">
        <f>IFERROR(LARGE(智能流水!$B$2:$B$1001,314),"")</f>
        <v/>
      </c>
      <c r="C315" s="33">
        <f>IF($B315="","",IFERROR(INDEX(智能流水!$C$2:$C$1001,MATCH($B315,智能流水!$B$2:$B$1001,0)),""))</f>
        <v/>
      </c>
      <c r="D315" s="34">
        <f>IF($B315="","",IFERROR(INDEX(智能流水!$D$2:$D$1001,MATCH($B315,智能流水!$B$2:$B$1001,0)),""))</f>
        <v/>
      </c>
      <c r="E315" s="34">
        <f>IF($B315="","",IFERROR(INDEX(智能流水!$E$2:$E$1001,MATCH($B315,智能流水!$B$2:$B$1001,0)),""))</f>
        <v/>
      </c>
      <c r="F315" s="34">
        <f>IF($B315="","",IFERROR(INDEX(智能流水!$F$2:$F$1001,MATCH($B315,智能流水!$B$2:$B$1001,0)),""))</f>
        <v/>
      </c>
      <c r="G315" s="32">
        <f>IF($B315="","",IFERROR(INDEX(智能流水!$G$2:$G$1001,MATCH($B315,智能流水!$B$2:$B$1001,0)),""))</f>
        <v/>
      </c>
      <c r="H315" s="32">
        <f>IF($B315="","",IFERROR(INDEX(智能流水!$H$2:$H$1001,MATCH($B315,智能流水!$B$2:$B$1001,0)),""))</f>
        <v/>
      </c>
      <c r="I315" s="32">
        <f>IF($B315="","",IFERROR(INDEX(智能流水!$I$2:$I$1001,MATCH($B315,智能流水!$B$2:$B$1001,0)),""))</f>
        <v/>
      </c>
      <c r="J315" s="32">
        <f>IF($B315="","",IFERROR(INDEX(智能流水!$J$2:$J$1001,MATCH($B315,智能流水!$B$2:$B$1001,0)),""))</f>
        <v/>
      </c>
      <c r="K315" s="35">
        <f>IF($B315="","",IFERROR(INDEX(智能流水!$K$2:$K$1001,MATCH($B315,智能流水!$B$2:$B$1001,0)),""))</f>
        <v/>
      </c>
      <c r="L315" s="32">
        <f>IF($B315="","",IFERROR(INDEX(智能流水!$L$2:$L$1001,MATCH($B315,智能流水!$B$2:$B$1001,0)),""))</f>
        <v/>
      </c>
      <c r="M315" s="32">
        <f>IF($B315="","",IFERROR(INDEX(智能流水!$M$2:$M$1001,MATCH($B315,智能流水!$B$2:$B$1001,0)),""))</f>
        <v/>
      </c>
      <c r="N315" s="32">
        <f>IF($B315="","",IFERROR(INDEX(智能流水!$N$2:$N$1001,MATCH($B315,智能流水!$B$2:$B$1001,0)),""))</f>
        <v/>
      </c>
      <c r="O315" s="32">
        <f>IF($B315="","",IFERROR(INDEX(智能流水!$O$2:$O$1001,MATCH($B315,智能流水!$B$2:$B$1001,0)),""))</f>
        <v/>
      </c>
    </row>
    <row r="316" ht="23" customHeight="1" s="21">
      <c r="A316" s="32">
        <f>IF($B316="","",315)</f>
        <v/>
      </c>
      <c r="B316" s="32">
        <f>IFERROR(LARGE(智能流水!$B$2:$B$1001,315),"")</f>
        <v/>
      </c>
      <c r="C316" s="33">
        <f>IF($B316="","",IFERROR(INDEX(智能流水!$C$2:$C$1001,MATCH($B316,智能流水!$B$2:$B$1001,0)),""))</f>
        <v/>
      </c>
      <c r="D316" s="34">
        <f>IF($B316="","",IFERROR(INDEX(智能流水!$D$2:$D$1001,MATCH($B316,智能流水!$B$2:$B$1001,0)),""))</f>
        <v/>
      </c>
      <c r="E316" s="34">
        <f>IF($B316="","",IFERROR(INDEX(智能流水!$E$2:$E$1001,MATCH($B316,智能流水!$B$2:$B$1001,0)),""))</f>
        <v/>
      </c>
      <c r="F316" s="34">
        <f>IF($B316="","",IFERROR(INDEX(智能流水!$F$2:$F$1001,MATCH($B316,智能流水!$B$2:$B$1001,0)),""))</f>
        <v/>
      </c>
      <c r="G316" s="32">
        <f>IF($B316="","",IFERROR(INDEX(智能流水!$G$2:$G$1001,MATCH($B316,智能流水!$B$2:$B$1001,0)),""))</f>
        <v/>
      </c>
      <c r="H316" s="32">
        <f>IF($B316="","",IFERROR(INDEX(智能流水!$H$2:$H$1001,MATCH($B316,智能流水!$B$2:$B$1001,0)),""))</f>
        <v/>
      </c>
      <c r="I316" s="32">
        <f>IF($B316="","",IFERROR(INDEX(智能流水!$I$2:$I$1001,MATCH($B316,智能流水!$B$2:$B$1001,0)),""))</f>
        <v/>
      </c>
      <c r="J316" s="32">
        <f>IF($B316="","",IFERROR(INDEX(智能流水!$J$2:$J$1001,MATCH($B316,智能流水!$B$2:$B$1001,0)),""))</f>
        <v/>
      </c>
      <c r="K316" s="35">
        <f>IF($B316="","",IFERROR(INDEX(智能流水!$K$2:$K$1001,MATCH($B316,智能流水!$B$2:$B$1001,0)),""))</f>
        <v/>
      </c>
      <c r="L316" s="32">
        <f>IF($B316="","",IFERROR(INDEX(智能流水!$L$2:$L$1001,MATCH($B316,智能流水!$B$2:$B$1001,0)),""))</f>
        <v/>
      </c>
      <c r="M316" s="32">
        <f>IF($B316="","",IFERROR(INDEX(智能流水!$M$2:$M$1001,MATCH($B316,智能流水!$B$2:$B$1001,0)),""))</f>
        <v/>
      </c>
      <c r="N316" s="32">
        <f>IF($B316="","",IFERROR(INDEX(智能流水!$N$2:$N$1001,MATCH($B316,智能流水!$B$2:$B$1001,0)),""))</f>
        <v/>
      </c>
      <c r="O316" s="32">
        <f>IF($B316="","",IFERROR(INDEX(智能流水!$O$2:$O$1001,MATCH($B316,智能流水!$B$2:$B$1001,0)),""))</f>
        <v/>
      </c>
    </row>
    <row r="317" ht="23" customHeight="1" s="21">
      <c r="A317" s="32">
        <f>IF($B317="","",316)</f>
        <v/>
      </c>
      <c r="B317" s="32">
        <f>IFERROR(LARGE(智能流水!$B$2:$B$1001,316),"")</f>
        <v/>
      </c>
      <c r="C317" s="33">
        <f>IF($B317="","",IFERROR(INDEX(智能流水!$C$2:$C$1001,MATCH($B317,智能流水!$B$2:$B$1001,0)),""))</f>
        <v/>
      </c>
      <c r="D317" s="34">
        <f>IF($B317="","",IFERROR(INDEX(智能流水!$D$2:$D$1001,MATCH($B317,智能流水!$B$2:$B$1001,0)),""))</f>
        <v/>
      </c>
      <c r="E317" s="34">
        <f>IF($B317="","",IFERROR(INDEX(智能流水!$E$2:$E$1001,MATCH($B317,智能流水!$B$2:$B$1001,0)),""))</f>
        <v/>
      </c>
      <c r="F317" s="34">
        <f>IF($B317="","",IFERROR(INDEX(智能流水!$F$2:$F$1001,MATCH($B317,智能流水!$B$2:$B$1001,0)),""))</f>
        <v/>
      </c>
      <c r="G317" s="32">
        <f>IF($B317="","",IFERROR(INDEX(智能流水!$G$2:$G$1001,MATCH($B317,智能流水!$B$2:$B$1001,0)),""))</f>
        <v/>
      </c>
      <c r="H317" s="32">
        <f>IF($B317="","",IFERROR(INDEX(智能流水!$H$2:$H$1001,MATCH($B317,智能流水!$B$2:$B$1001,0)),""))</f>
        <v/>
      </c>
      <c r="I317" s="32">
        <f>IF($B317="","",IFERROR(INDEX(智能流水!$I$2:$I$1001,MATCH($B317,智能流水!$B$2:$B$1001,0)),""))</f>
        <v/>
      </c>
      <c r="J317" s="32">
        <f>IF($B317="","",IFERROR(INDEX(智能流水!$J$2:$J$1001,MATCH($B317,智能流水!$B$2:$B$1001,0)),""))</f>
        <v/>
      </c>
      <c r="K317" s="35">
        <f>IF($B317="","",IFERROR(INDEX(智能流水!$K$2:$K$1001,MATCH($B317,智能流水!$B$2:$B$1001,0)),""))</f>
        <v/>
      </c>
      <c r="L317" s="32">
        <f>IF($B317="","",IFERROR(INDEX(智能流水!$L$2:$L$1001,MATCH($B317,智能流水!$B$2:$B$1001,0)),""))</f>
        <v/>
      </c>
      <c r="M317" s="32">
        <f>IF($B317="","",IFERROR(INDEX(智能流水!$M$2:$M$1001,MATCH($B317,智能流水!$B$2:$B$1001,0)),""))</f>
        <v/>
      </c>
      <c r="N317" s="32">
        <f>IF($B317="","",IFERROR(INDEX(智能流水!$N$2:$N$1001,MATCH($B317,智能流水!$B$2:$B$1001,0)),""))</f>
        <v/>
      </c>
      <c r="O317" s="32">
        <f>IF($B317="","",IFERROR(INDEX(智能流水!$O$2:$O$1001,MATCH($B317,智能流水!$B$2:$B$1001,0)),""))</f>
        <v/>
      </c>
    </row>
    <row r="318" ht="23" customHeight="1" s="21">
      <c r="A318" s="32">
        <f>IF($B318="","",317)</f>
        <v/>
      </c>
      <c r="B318" s="32">
        <f>IFERROR(LARGE(智能流水!$B$2:$B$1001,317),"")</f>
        <v/>
      </c>
      <c r="C318" s="33">
        <f>IF($B318="","",IFERROR(INDEX(智能流水!$C$2:$C$1001,MATCH($B318,智能流水!$B$2:$B$1001,0)),""))</f>
        <v/>
      </c>
      <c r="D318" s="34">
        <f>IF($B318="","",IFERROR(INDEX(智能流水!$D$2:$D$1001,MATCH($B318,智能流水!$B$2:$B$1001,0)),""))</f>
        <v/>
      </c>
      <c r="E318" s="34">
        <f>IF($B318="","",IFERROR(INDEX(智能流水!$E$2:$E$1001,MATCH($B318,智能流水!$B$2:$B$1001,0)),""))</f>
        <v/>
      </c>
      <c r="F318" s="34">
        <f>IF($B318="","",IFERROR(INDEX(智能流水!$F$2:$F$1001,MATCH($B318,智能流水!$B$2:$B$1001,0)),""))</f>
        <v/>
      </c>
      <c r="G318" s="32">
        <f>IF($B318="","",IFERROR(INDEX(智能流水!$G$2:$G$1001,MATCH($B318,智能流水!$B$2:$B$1001,0)),""))</f>
        <v/>
      </c>
      <c r="H318" s="32">
        <f>IF($B318="","",IFERROR(INDEX(智能流水!$H$2:$H$1001,MATCH($B318,智能流水!$B$2:$B$1001,0)),""))</f>
        <v/>
      </c>
      <c r="I318" s="32">
        <f>IF($B318="","",IFERROR(INDEX(智能流水!$I$2:$I$1001,MATCH($B318,智能流水!$B$2:$B$1001,0)),""))</f>
        <v/>
      </c>
      <c r="J318" s="32">
        <f>IF($B318="","",IFERROR(INDEX(智能流水!$J$2:$J$1001,MATCH($B318,智能流水!$B$2:$B$1001,0)),""))</f>
        <v/>
      </c>
      <c r="K318" s="35">
        <f>IF($B318="","",IFERROR(INDEX(智能流水!$K$2:$K$1001,MATCH($B318,智能流水!$B$2:$B$1001,0)),""))</f>
        <v/>
      </c>
      <c r="L318" s="32">
        <f>IF($B318="","",IFERROR(INDEX(智能流水!$L$2:$L$1001,MATCH($B318,智能流水!$B$2:$B$1001,0)),""))</f>
        <v/>
      </c>
      <c r="M318" s="32">
        <f>IF($B318="","",IFERROR(INDEX(智能流水!$M$2:$M$1001,MATCH($B318,智能流水!$B$2:$B$1001,0)),""))</f>
        <v/>
      </c>
      <c r="N318" s="32">
        <f>IF($B318="","",IFERROR(INDEX(智能流水!$N$2:$N$1001,MATCH($B318,智能流水!$B$2:$B$1001,0)),""))</f>
        <v/>
      </c>
      <c r="O318" s="32">
        <f>IF($B318="","",IFERROR(INDEX(智能流水!$O$2:$O$1001,MATCH($B318,智能流水!$B$2:$B$1001,0)),""))</f>
        <v/>
      </c>
    </row>
    <row r="319" ht="23" customHeight="1" s="21">
      <c r="A319" s="32">
        <f>IF($B319="","",318)</f>
        <v/>
      </c>
      <c r="B319" s="32">
        <f>IFERROR(LARGE(智能流水!$B$2:$B$1001,318),"")</f>
        <v/>
      </c>
      <c r="C319" s="33">
        <f>IF($B319="","",IFERROR(INDEX(智能流水!$C$2:$C$1001,MATCH($B319,智能流水!$B$2:$B$1001,0)),""))</f>
        <v/>
      </c>
      <c r="D319" s="34">
        <f>IF($B319="","",IFERROR(INDEX(智能流水!$D$2:$D$1001,MATCH($B319,智能流水!$B$2:$B$1001,0)),""))</f>
        <v/>
      </c>
      <c r="E319" s="34">
        <f>IF($B319="","",IFERROR(INDEX(智能流水!$E$2:$E$1001,MATCH($B319,智能流水!$B$2:$B$1001,0)),""))</f>
        <v/>
      </c>
      <c r="F319" s="34">
        <f>IF($B319="","",IFERROR(INDEX(智能流水!$F$2:$F$1001,MATCH($B319,智能流水!$B$2:$B$1001,0)),""))</f>
        <v/>
      </c>
      <c r="G319" s="32">
        <f>IF($B319="","",IFERROR(INDEX(智能流水!$G$2:$G$1001,MATCH($B319,智能流水!$B$2:$B$1001,0)),""))</f>
        <v/>
      </c>
      <c r="H319" s="32">
        <f>IF($B319="","",IFERROR(INDEX(智能流水!$H$2:$H$1001,MATCH($B319,智能流水!$B$2:$B$1001,0)),""))</f>
        <v/>
      </c>
      <c r="I319" s="32">
        <f>IF($B319="","",IFERROR(INDEX(智能流水!$I$2:$I$1001,MATCH($B319,智能流水!$B$2:$B$1001,0)),""))</f>
        <v/>
      </c>
      <c r="J319" s="32">
        <f>IF($B319="","",IFERROR(INDEX(智能流水!$J$2:$J$1001,MATCH($B319,智能流水!$B$2:$B$1001,0)),""))</f>
        <v/>
      </c>
      <c r="K319" s="35">
        <f>IF($B319="","",IFERROR(INDEX(智能流水!$K$2:$K$1001,MATCH($B319,智能流水!$B$2:$B$1001,0)),""))</f>
        <v/>
      </c>
      <c r="L319" s="32">
        <f>IF($B319="","",IFERROR(INDEX(智能流水!$L$2:$L$1001,MATCH($B319,智能流水!$B$2:$B$1001,0)),""))</f>
        <v/>
      </c>
      <c r="M319" s="32">
        <f>IF($B319="","",IFERROR(INDEX(智能流水!$M$2:$M$1001,MATCH($B319,智能流水!$B$2:$B$1001,0)),""))</f>
        <v/>
      </c>
      <c r="N319" s="32">
        <f>IF($B319="","",IFERROR(INDEX(智能流水!$N$2:$N$1001,MATCH($B319,智能流水!$B$2:$B$1001,0)),""))</f>
        <v/>
      </c>
      <c r="O319" s="32">
        <f>IF($B319="","",IFERROR(INDEX(智能流水!$O$2:$O$1001,MATCH($B319,智能流水!$B$2:$B$1001,0)),""))</f>
        <v/>
      </c>
    </row>
    <row r="320" ht="23" customHeight="1" s="21">
      <c r="A320" s="32">
        <f>IF($B320="","",319)</f>
        <v/>
      </c>
      <c r="B320" s="32">
        <f>IFERROR(LARGE(智能流水!$B$2:$B$1001,319),"")</f>
        <v/>
      </c>
      <c r="C320" s="33">
        <f>IF($B320="","",IFERROR(INDEX(智能流水!$C$2:$C$1001,MATCH($B320,智能流水!$B$2:$B$1001,0)),""))</f>
        <v/>
      </c>
      <c r="D320" s="34">
        <f>IF($B320="","",IFERROR(INDEX(智能流水!$D$2:$D$1001,MATCH($B320,智能流水!$B$2:$B$1001,0)),""))</f>
        <v/>
      </c>
      <c r="E320" s="34">
        <f>IF($B320="","",IFERROR(INDEX(智能流水!$E$2:$E$1001,MATCH($B320,智能流水!$B$2:$B$1001,0)),""))</f>
        <v/>
      </c>
      <c r="F320" s="34">
        <f>IF($B320="","",IFERROR(INDEX(智能流水!$F$2:$F$1001,MATCH($B320,智能流水!$B$2:$B$1001,0)),""))</f>
        <v/>
      </c>
      <c r="G320" s="32">
        <f>IF($B320="","",IFERROR(INDEX(智能流水!$G$2:$G$1001,MATCH($B320,智能流水!$B$2:$B$1001,0)),""))</f>
        <v/>
      </c>
      <c r="H320" s="32">
        <f>IF($B320="","",IFERROR(INDEX(智能流水!$H$2:$H$1001,MATCH($B320,智能流水!$B$2:$B$1001,0)),""))</f>
        <v/>
      </c>
      <c r="I320" s="32">
        <f>IF($B320="","",IFERROR(INDEX(智能流水!$I$2:$I$1001,MATCH($B320,智能流水!$B$2:$B$1001,0)),""))</f>
        <v/>
      </c>
      <c r="J320" s="32">
        <f>IF($B320="","",IFERROR(INDEX(智能流水!$J$2:$J$1001,MATCH($B320,智能流水!$B$2:$B$1001,0)),""))</f>
        <v/>
      </c>
      <c r="K320" s="35">
        <f>IF($B320="","",IFERROR(INDEX(智能流水!$K$2:$K$1001,MATCH($B320,智能流水!$B$2:$B$1001,0)),""))</f>
        <v/>
      </c>
      <c r="L320" s="32">
        <f>IF($B320="","",IFERROR(INDEX(智能流水!$L$2:$L$1001,MATCH($B320,智能流水!$B$2:$B$1001,0)),""))</f>
        <v/>
      </c>
      <c r="M320" s="32">
        <f>IF($B320="","",IFERROR(INDEX(智能流水!$M$2:$M$1001,MATCH($B320,智能流水!$B$2:$B$1001,0)),""))</f>
        <v/>
      </c>
      <c r="N320" s="32">
        <f>IF($B320="","",IFERROR(INDEX(智能流水!$N$2:$N$1001,MATCH($B320,智能流水!$B$2:$B$1001,0)),""))</f>
        <v/>
      </c>
      <c r="O320" s="32">
        <f>IF($B320="","",IFERROR(INDEX(智能流水!$O$2:$O$1001,MATCH($B320,智能流水!$B$2:$B$1001,0)),""))</f>
        <v/>
      </c>
    </row>
    <row r="321" ht="23" customHeight="1" s="21">
      <c r="A321" s="32">
        <f>IF($B321="","",320)</f>
        <v/>
      </c>
      <c r="B321" s="32">
        <f>IFERROR(LARGE(智能流水!$B$2:$B$1001,320),"")</f>
        <v/>
      </c>
      <c r="C321" s="33">
        <f>IF($B321="","",IFERROR(INDEX(智能流水!$C$2:$C$1001,MATCH($B321,智能流水!$B$2:$B$1001,0)),""))</f>
        <v/>
      </c>
      <c r="D321" s="34">
        <f>IF($B321="","",IFERROR(INDEX(智能流水!$D$2:$D$1001,MATCH($B321,智能流水!$B$2:$B$1001,0)),""))</f>
        <v/>
      </c>
      <c r="E321" s="34">
        <f>IF($B321="","",IFERROR(INDEX(智能流水!$E$2:$E$1001,MATCH($B321,智能流水!$B$2:$B$1001,0)),""))</f>
        <v/>
      </c>
      <c r="F321" s="34">
        <f>IF($B321="","",IFERROR(INDEX(智能流水!$F$2:$F$1001,MATCH($B321,智能流水!$B$2:$B$1001,0)),""))</f>
        <v/>
      </c>
      <c r="G321" s="32">
        <f>IF($B321="","",IFERROR(INDEX(智能流水!$G$2:$G$1001,MATCH($B321,智能流水!$B$2:$B$1001,0)),""))</f>
        <v/>
      </c>
      <c r="H321" s="32">
        <f>IF($B321="","",IFERROR(INDEX(智能流水!$H$2:$H$1001,MATCH($B321,智能流水!$B$2:$B$1001,0)),""))</f>
        <v/>
      </c>
      <c r="I321" s="32">
        <f>IF($B321="","",IFERROR(INDEX(智能流水!$I$2:$I$1001,MATCH($B321,智能流水!$B$2:$B$1001,0)),""))</f>
        <v/>
      </c>
      <c r="J321" s="32">
        <f>IF($B321="","",IFERROR(INDEX(智能流水!$J$2:$J$1001,MATCH($B321,智能流水!$B$2:$B$1001,0)),""))</f>
        <v/>
      </c>
      <c r="K321" s="35">
        <f>IF($B321="","",IFERROR(INDEX(智能流水!$K$2:$K$1001,MATCH($B321,智能流水!$B$2:$B$1001,0)),""))</f>
        <v/>
      </c>
      <c r="L321" s="32">
        <f>IF($B321="","",IFERROR(INDEX(智能流水!$L$2:$L$1001,MATCH($B321,智能流水!$B$2:$B$1001,0)),""))</f>
        <v/>
      </c>
      <c r="M321" s="32">
        <f>IF($B321="","",IFERROR(INDEX(智能流水!$M$2:$M$1001,MATCH($B321,智能流水!$B$2:$B$1001,0)),""))</f>
        <v/>
      </c>
      <c r="N321" s="32">
        <f>IF($B321="","",IFERROR(INDEX(智能流水!$N$2:$N$1001,MATCH($B321,智能流水!$B$2:$B$1001,0)),""))</f>
        <v/>
      </c>
      <c r="O321" s="32">
        <f>IF($B321="","",IFERROR(INDEX(智能流水!$O$2:$O$1001,MATCH($B321,智能流水!$B$2:$B$1001,0)),""))</f>
        <v/>
      </c>
    </row>
    <row r="322" ht="23" customHeight="1" s="21">
      <c r="A322" s="32">
        <f>IF($B322="","",321)</f>
        <v/>
      </c>
      <c r="B322" s="32">
        <f>IFERROR(LARGE(智能流水!$B$2:$B$1001,321),"")</f>
        <v/>
      </c>
      <c r="C322" s="33">
        <f>IF($B322="","",IFERROR(INDEX(智能流水!$C$2:$C$1001,MATCH($B322,智能流水!$B$2:$B$1001,0)),""))</f>
        <v/>
      </c>
      <c r="D322" s="34">
        <f>IF($B322="","",IFERROR(INDEX(智能流水!$D$2:$D$1001,MATCH($B322,智能流水!$B$2:$B$1001,0)),""))</f>
        <v/>
      </c>
      <c r="E322" s="34">
        <f>IF($B322="","",IFERROR(INDEX(智能流水!$E$2:$E$1001,MATCH($B322,智能流水!$B$2:$B$1001,0)),""))</f>
        <v/>
      </c>
      <c r="F322" s="34">
        <f>IF($B322="","",IFERROR(INDEX(智能流水!$F$2:$F$1001,MATCH($B322,智能流水!$B$2:$B$1001,0)),""))</f>
        <v/>
      </c>
      <c r="G322" s="32">
        <f>IF($B322="","",IFERROR(INDEX(智能流水!$G$2:$G$1001,MATCH($B322,智能流水!$B$2:$B$1001,0)),""))</f>
        <v/>
      </c>
      <c r="H322" s="32">
        <f>IF($B322="","",IFERROR(INDEX(智能流水!$H$2:$H$1001,MATCH($B322,智能流水!$B$2:$B$1001,0)),""))</f>
        <v/>
      </c>
      <c r="I322" s="32">
        <f>IF($B322="","",IFERROR(INDEX(智能流水!$I$2:$I$1001,MATCH($B322,智能流水!$B$2:$B$1001,0)),""))</f>
        <v/>
      </c>
      <c r="J322" s="32">
        <f>IF($B322="","",IFERROR(INDEX(智能流水!$J$2:$J$1001,MATCH($B322,智能流水!$B$2:$B$1001,0)),""))</f>
        <v/>
      </c>
      <c r="K322" s="35">
        <f>IF($B322="","",IFERROR(INDEX(智能流水!$K$2:$K$1001,MATCH($B322,智能流水!$B$2:$B$1001,0)),""))</f>
        <v/>
      </c>
      <c r="L322" s="32">
        <f>IF($B322="","",IFERROR(INDEX(智能流水!$L$2:$L$1001,MATCH($B322,智能流水!$B$2:$B$1001,0)),""))</f>
        <v/>
      </c>
      <c r="M322" s="32">
        <f>IF($B322="","",IFERROR(INDEX(智能流水!$M$2:$M$1001,MATCH($B322,智能流水!$B$2:$B$1001,0)),""))</f>
        <v/>
      </c>
      <c r="N322" s="32">
        <f>IF($B322="","",IFERROR(INDEX(智能流水!$N$2:$N$1001,MATCH($B322,智能流水!$B$2:$B$1001,0)),""))</f>
        <v/>
      </c>
      <c r="O322" s="32">
        <f>IF($B322="","",IFERROR(INDEX(智能流水!$O$2:$O$1001,MATCH($B322,智能流水!$B$2:$B$1001,0)),""))</f>
        <v/>
      </c>
    </row>
    <row r="323" ht="23" customHeight="1" s="21">
      <c r="A323" s="32">
        <f>IF($B323="","",322)</f>
        <v/>
      </c>
      <c r="B323" s="32">
        <f>IFERROR(LARGE(智能流水!$B$2:$B$1001,322),"")</f>
        <v/>
      </c>
      <c r="C323" s="33">
        <f>IF($B323="","",IFERROR(INDEX(智能流水!$C$2:$C$1001,MATCH($B323,智能流水!$B$2:$B$1001,0)),""))</f>
        <v/>
      </c>
      <c r="D323" s="34">
        <f>IF($B323="","",IFERROR(INDEX(智能流水!$D$2:$D$1001,MATCH($B323,智能流水!$B$2:$B$1001,0)),""))</f>
        <v/>
      </c>
      <c r="E323" s="34">
        <f>IF($B323="","",IFERROR(INDEX(智能流水!$E$2:$E$1001,MATCH($B323,智能流水!$B$2:$B$1001,0)),""))</f>
        <v/>
      </c>
      <c r="F323" s="34">
        <f>IF($B323="","",IFERROR(INDEX(智能流水!$F$2:$F$1001,MATCH($B323,智能流水!$B$2:$B$1001,0)),""))</f>
        <v/>
      </c>
      <c r="G323" s="32">
        <f>IF($B323="","",IFERROR(INDEX(智能流水!$G$2:$G$1001,MATCH($B323,智能流水!$B$2:$B$1001,0)),""))</f>
        <v/>
      </c>
      <c r="H323" s="32">
        <f>IF($B323="","",IFERROR(INDEX(智能流水!$H$2:$H$1001,MATCH($B323,智能流水!$B$2:$B$1001,0)),""))</f>
        <v/>
      </c>
      <c r="I323" s="32">
        <f>IF($B323="","",IFERROR(INDEX(智能流水!$I$2:$I$1001,MATCH($B323,智能流水!$B$2:$B$1001,0)),""))</f>
        <v/>
      </c>
      <c r="J323" s="32">
        <f>IF($B323="","",IFERROR(INDEX(智能流水!$J$2:$J$1001,MATCH($B323,智能流水!$B$2:$B$1001,0)),""))</f>
        <v/>
      </c>
      <c r="K323" s="35">
        <f>IF($B323="","",IFERROR(INDEX(智能流水!$K$2:$K$1001,MATCH($B323,智能流水!$B$2:$B$1001,0)),""))</f>
        <v/>
      </c>
      <c r="L323" s="32">
        <f>IF($B323="","",IFERROR(INDEX(智能流水!$L$2:$L$1001,MATCH($B323,智能流水!$B$2:$B$1001,0)),""))</f>
        <v/>
      </c>
      <c r="M323" s="32">
        <f>IF($B323="","",IFERROR(INDEX(智能流水!$M$2:$M$1001,MATCH($B323,智能流水!$B$2:$B$1001,0)),""))</f>
        <v/>
      </c>
      <c r="N323" s="32">
        <f>IF($B323="","",IFERROR(INDEX(智能流水!$N$2:$N$1001,MATCH($B323,智能流水!$B$2:$B$1001,0)),""))</f>
        <v/>
      </c>
      <c r="O323" s="32">
        <f>IF($B323="","",IFERROR(INDEX(智能流水!$O$2:$O$1001,MATCH($B323,智能流水!$B$2:$B$1001,0)),""))</f>
        <v/>
      </c>
    </row>
    <row r="324" ht="23" customHeight="1" s="21">
      <c r="A324" s="32">
        <f>IF($B324="","",323)</f>
        <v/>
      </c>
      <c r="B324" s="32">
        <f>IFERROR(LARGE(智能流水!$B$2:$B$1001,323),"")</f>
        <v/>
      </c>
      <c r="C324" s="33">
        <f>IF($B324="","",IFERROR(INDEX(智能流水!$C$2:$C$1001,MATCH($B324,智能流水!$B$2:$B$1001,0)),""))</f>
        <v/>
      </c>
      <c r="D324" s="34">
        <f>IF($B324="","",IFERROR(INDEX(智能流水!$D$2:$D$1001,MATCH($B324,智能流水!$B$2:$B$1001,0)),""))</f>
        <v/>
      </c>
      <c r="E324" s="34">
        <f>IF($B324="","",IFERROR(INDEX(智能流水!$E$2:$E$1001,MATCH($B324,智能流水!$B$2:$B$1001,0)),""))</f>
        <v/>
      </c>
      <c r="F324" s="34">
        <f>IF($B324="","",IFERROR(INDEX(智能流水!$F$2:$F$1001,MATCH($B324,智能流水!$B$2:$B$1001,0)),""))</f>
        <v/>
      </c>
      <c r="G324" s="32">
        <f>IF($B324="","",IFERROR(INDEX(智能流水!$G$2:$G$1001,MATCH($B324,智能流水!$B$2:$B$1001,0)),""))</f>
        <v/>
      </c>
      <c r="H324" s="32">
        <f>IF($B324="","",IFERROR(INDEX(智能流水!$H$2:$H$1001,MATCH($B324,智能流水!$B$2:$B$1001,0)),""))</f>
        <v/>
      </c>
      <c r="I324" s="32">
        <f>IF($B324="","",IFERROR(INDEX(智能流水!$I$2:$I$1001,MATCH($B324,智能流水!$B$2:$B$1001,0)),""))</f>
        <v/>
      </c>
      <c r="J324" s="32">
        <f>IF($B324="","",IFERROR(INDEX(智能流水!$J$2:$J$1001,MATCH($B324,智能流水!$B$2:$B$1001,0)),""))</f>
        <v/>
      </c>
      <c r="K324" s="35">
        <f>IF($B324="","",IFERROR(INDEX(智能流水!$K$2:$K$1001,MATCH($B324,智能流水!$B$2:$B$1001,0)),""))</f>
        <v/>
      </c>
      <c r="L324" s="32">
        <f>IF($B324="","",IFERROR(INDEX(智能流水!$L$2:$L$1001,MATCH($B324,智能流水!$B$2:$B$1001,0)),""))</f>
        <v/>
      </c>
      <c r="M324" s="32">
        <f>IF($B324="","",IFERROR(INDEX(智能流水!$M$2:$M$1001,MATCH($B324,智能流水!$B$2:$B$1001,0)),""))</f>
        <v/>
      </c>
      <c r="N324" s="32">
        <f>IF($B324="","",IFERROR(INDEX(智能流水!$N$2:$N$1001,MATCH($B324,智能流水!$B$2:$B$1001,0)),""))</f>
        <v/>
      </c>
      <c r="O324" s="32">
        <f>IF($B324="","",IFERROR(INDEX(智能流水!$O$2:$O$1001,MATCH($B324,智能流水!$B$2:$B$1001,0)),""))</f>
        <v/>
      </c>
    </row>
    <row r="325" ht="23" customHeight="1" s="21">
      <c r="A325" s="32">
        <f>IF($B325="","",324)</f>
        <v/>
      </c>
      <c r="B325" s="32">
        <f>IFERROR(LARGE(智能流水!$B$2:$B$1001,324),"")</f>
        <v/>
      </c>
      <c r="C325" s="33">
        <f>IF($B325="","",IFERROR(INDEX(智能流水!$C$2:$C$1001,MATCH($B325,智能流水!$B$2:$B$1001,0)),""))</f>
        <v/>
      </c>
      <c r="D325" s="34">
        <f>IF($B325="","",IFERROR(INDEX(智能流水!$D$2:$D$1001,MATCH($B325,智能流水!$B$2:$B$1001,0)),""))</f>
        <v/>
      </c>
      <c r="E325" s="34">
        <f>IF($B325="","",IFERROR(INDEX(智能流水!$E$2:$E$1001,MATCH($B325,智能流水!$B$2:$B$1001,0)),""))</f>
        <v/>
      </c>
      <c r="F325" s="34">
        <f>IF($B325="","",IFERROR(INDEX(智能流水!$F$2:$F$1001,MATCH($B325,智能流水!$B$2:$B$1001,0)),""))</f>
        <v/>
      </c>
      <c r="G325" s="32">
        <f>IF($B325="","",IFERROR(INDEX(智能流水!$G$2:$G$1001,MATCH($B325,智能流水!$B$2:$B$1001,0)),""))</f>
        <v/>
      </c>
      <c r="H325" s="32">
        <f>IF($B325="","",IFERROR(INDEX(智能流水!$H$2:$H$1001,MATCH($B325,智能流水!$B$2:$B$1001,0)),""))</f>
        <v/>
      </c>
      <c r="I325" s="32">
        <f>IF($B325="","",IFERROR(INDEX(智能流水!$I$2:$I$1001,MATCH($B325,智能流水!$B$2:$B$1001,0)),""))</f>
        <v/>
      </c>
      <c r="J325" s="32">
        <f>IF($B325="","",IFERROR(INDEX(智能流水!$J$2:$J$1001,MATCH($B325,智能流水!$B$2:$B$1001,0)),""))</f>
        <v/>
      </c>
      <c r="K325" s="35">
        <f>IF($B325="","",IFERROR(INDEX(智能流水!$K$2:$K$1001,MATCH($B325,智能流水!$B$2:$B$1001,0)),""))</f>
        <v/>
      </c>
      <c r="L325" s="32">
        <f>IF($B325="","",IFERROR(INDEX(智能流水!$L$2:$L$1001,MATCH($B325,智能流水!$B$2:$B$1001,0)),""))</f>
        <v/>
      </c>
      <c r="M325" s="32">
        <f>IF($B325="","",IFERROR(INDEX(智能流水!$M$2:$M$1001,MATCH($B325,智能流水!$B$2:$B$1001,0)),""))</f>
        <v/>
      </c>
      <c r="N325" s="32">
        <f>IF($B325="","",IFERROR(INDEX(智能流水!$N$2:$N$1001,MATCH($B325,智能流水!$B$2:$B$1001,0)),""))</f>
        <v/>
      </c>
      <c r="O325" s="32">
        <f>IF($B325="","",IFERROR(INDEX(智能流水!$O$2:$O$1001,MATCH($B325,智能流水!$B$2:$B$1001,0)),""))</f>
        <v/>
      </c>
    </row>
    <row r="326" ht="23" customHeight="1" s="21">
      <c r="A326" s="32">
        <f>IF($B326="","",325)</f>
        <v/>
      </c>
      <c r="B326" s="32">
        <f>IFERROR(LARGE(智能流水!$B$2:$B$1001,325),"")</f>
        <v/>
      </c>
      <c r="C326" s="33">
        <f>IF($B326="","",IFERROR(INDEX(智能流水!$C$2:$C$1001,MATCH($B326,智能流水!$B$2:$B$1001,0)),""))</f>
        <v/>
      </c>
      <c r="D326" s="34">
        <f>IF($B326="","",IFERROR(INDEX(智能流水!$D$2:$D$1001,MATCH($B326,智能流水!$B$2:$B$1001,0)),""))</f>
        <v/>
      </c>
      <c r="E326" s="34">
        <f>IF($B326="","",IFERROR(INDEX(智能流水!$E$2:$E$1001,MATCH($B326,智能流水!$B$2:$B$1001,0)),""))</f>
        <v/>
      </c>
      <c r="F326" s="34">
        <f>IF($B326="","",IFERROR(INDEX(智能流水!$F$2:$F$1001,MATCH($B326,智能流水!$B$2:$B$1001,0)),""))</f>
        <v/>
      </c>
      <c r="G326" s="32">
        <f>IF($B326="","",IFERROR(INDEX(智能流水!$G$2:$G$1001,MATCH($B326,智能流水!$B$2:$B$1001,0)),""))</f>
        <v/>
      </c>
      <c r="H326" s="32">
        <f>IF($B326="","",IFERROR(INDEX(智能流水!$H$2:$H$1001,MATCH($B326,智能流水!$B$2:$B$1001,0)),""))</f>
        <v/>
      </c>
      <c r="I326" s="32">
        <f>IF($B326="","",IFERROR(INDEX(智能流水!$I$2:$I$1001,MATCH($B326,智能流水!$B$2:$B$1001,0)),""))</f>
        <v/>
      </c>
      <c r="J326" s="32">
        <f>IF($B326="","",IFERROR(INDEX(智能流水!$J$2:$J$1001,MATCH($B326,智能流水!$B$2:$B$1001,0)),""))</f>
        <v/>
      </c>
      <c r="K326" s="35">
        <f>IF($B326="","",IFERROR(INDEX(智能流水!$K$2:$K$1001,MATCH($B326,智能流水!$B$2:$B$1001,0)),""))</f>
        <v/>
      </c>
      <c r="L326" s="32">
        <f>IF($B326="","",IFERROR(INDEX(智能流水!$L$2:$L$1001,MATCH($B326,智能流水!$B$2:$B$1001,0)),""))</f>
        <v/>
      </c>
      <c r="M326" s="32">
        <f>IF($B326="","",IFERROR(INDEX(智能流水!$M$2:$M$1001,MATCH($B326,智能流水!$B$2:$B$1001,0)),""))</f>
        <v/>
      </c>
      <c r="N326" s="32">
        <f>IF($B326="","",IFERROR(INDEX(智能流水!$N$2:$N$1001,MATCH($B326,智能流水!$B$2:$B$1001,0)),""))</f>
        <v/>
      </c>
      <c r="O326" s="32">
        <f>IF($B326="","",IFERROR(INDEX(智能流水!$O$2:$O$1001,MATCH($B326,智能流水!$B$2:$B$1001,0)),""))</f>
        <v/>
      </c>
    </row>
    <row r="327" ht="23" customHeight="1" s="21">
      <c r="A327" s="32">
        <f>IF($B327="","",326)</f>
        <v/>
      </c>
      <c r="B327" s="32">
        <f>IFERROR(LARGE(智能流水!$B$2:$B$1001,326),"")</f>
        <v/>
      </c>
      <c r="C327" s="33">
        <f>IF($B327="","",IFERROR(INDEX(智能流水!$C$2:$C$1001,MATCH($B327,智能流水!$B$2:$B$1001,0)),""))</f>
        <v/>
      </c>
      <c r="D327" s="34">
        <f>IF($B327="","",IFERROR(INDEX(智能流水!$D$2:$D$1001,MATCH($B327,智能流水!$B$2:$B$1001,0)),""))</f>
        <v/>
      </c>
      <c r="E327" s="34">
        <f>IF($B327="","",IFERROR(INDEX(智能流水!$E$2:$E$1001,MATCH($B327,智能流水!$B$2:$B$1001,0)),""))</f>
        <v/>
      </c>
      <c r="F327" s="34">
        <f>IF($B327="","",IFERROR(INDEX(智能流水!$F$2:$F$1001,MATCH($B327,智能流水!$B$2:$B$1001,0)),""))</f>
        <v/>
      </c>
      <c r="G327" s="32">
        <f>IF($B327="","",IFERROR(INDEX(智能流水!$G$2:$G$1001,MATCH($B327,智能流水!$B$2:$B$1001,0)),""))</f>
        <v/>
      </c>
      <c r="H327" s="32">
        <f>IF($B327="","",IFERROR(INDEX(智能流水!$H$2:$H$1001,MATCH($B327,智能流水!$B$2:$B$1001,0)),""))</f>
        <v/>
      </c>
      <c r="I327" s="32">
        <f>IF($B327="","",IFERROR(INDEX(智能流水!$I$2:$I$1001,MATCH($B327,智能流水!$B$2:$B$1001,0)),""))</f>
        <v/>
      </c>
      <c r="J327" s="32">
        <f>IF($B327="","",IFERROR(INDEX(智能流水!$J$2:$J$1001,MATCH($B327,智能流水!$B$2:$B$1001,0)),""))</f>
        <v/>
      </c>
      <c r="K327" s="35">
        <f>IF($B327="","",IFERROR(INDEX(智能流水!$K$2:$K$1001,MATCH($B327,智能流水!$B$2:$B$1001,0)),""))</f>
        <v/>
      </c>
      <c r="L327" s="32">
        <f>IF($B327="","",IFERROR(INDEX(智能流水!$L$2:$L$1001,MATCH($B327,智能流水!$B$2:$B$1001,0)),""))</f>
        <v/>
      </c>
      <c r="M327" s="32">
        <f>IF($B327="","",IFERROR(INDEX(智能流水!$M$2:$M$1001,MATCH($B327,智能流水!$B$2:$B$1001,0)),""))</f>
        <v/>
      </c>
      <c r="N327" s="32">
        <f>IF($B327="","",IFERROR(INDEX(智能流水!$N$2:$N$1001,MATCH($B327,智能流水!$B$2:$B$1001,0)),""))</f>
        <v/>
      </c>
      <c r="O327" s="32">
        <f>IF($B327="","",IFERROR(INDEX(智能流水!$O$2:$O$1001,MATCH($B327,智能流水!$B$2:$B$1001,0)),""))</f>
        <v/>
      </c>
    </row>
    <row r="328" ht="23" customHeight="1" s="21">
      <c r="A328" s="32">
        <f>IF($B328="","",327)</f>
        <v/>
      </c>
      <c r="B328" s="32">
        <f>IFERROR(LARGE(智能流水!$B$2:$B$1001,327),"")</f>
        <v/>
      </c>
      <c r="C328" s="33">
        <f>IF($B328="","",IFERROR(INDEX(智能流水!$C$2:$C$1001,MATCH($B328,智能流水!$B$2:$B$1001,0)),""))</f>
        <v/>
      </c>
      <c r="D328" s="34">
        <f>IF($B328="","",IFERROR(INDEX(智能流水!$D$2:$D$1001,MATCH($B328,智能流水!$B$2:$B$1001,0)),""))</f>
        <v/>
      </c>
      <c r="E328" s="34">
        <f>IF($B328="","",IFERROR(INDEX(智能流水!$E$2:$E$1001,MATCH($B328,智能流水!$B$2:$B$1001,0)),""))</f>
        <v/>
      </c>
      <c r="F328" s="34">
        <f>IF($B328="","",IFERROR(INDEX(智能流水!$F$2:$F$1001,MATCH($B328,智能流水!$B$2:$B$1001,0)),""))</f>
        <v/>
      </c>
      <c r="G328" s="32">
        <f>IF($B328="","",IFERROR(INDEX(智能流水!$G$2:$G$1001,MATCH($B328,智能流水!$B$2:$B$1001,0)),""))</f>
        <v/>
      </c>
      <c r="H328" s="32">
        <f>IF($B328="","",IFERROR(INDEX(智能流水!$H$2:$H$1001,MATCH($B328,智能流水!$B$2:$B$1001,0)),""))</f>
        <v/>
      </c>
      <c r="I328" s="32">
        <f>IF($B328="","",IFERROR(INDEX(智能流水!$I$2:$I$1001,MATCH($B328,智能流水!$B$2:$B$1001,0)),""))</f>
        <v/>
      </c>
      <c r="J328" s="32">
        <f>IF($B328="","",IFERROR(INDEX(智能流水!$J$2:$J$1001,MATCH($B328,智能流水!$B$2:$B$1001,0)),""))</f>
        <v/>
      </c>
      <c r="K328" s="35">
        <f>IF($B328="","",IFERROR(INDEX(智能流水!$K$2:$K$1001,MATCH($B328,智能流水!$B$2:$B$1001,0)),""))</f>
        <v/>
      </c>
      <c r="L328" s="32">
        <f>IF($B328="","",IFERROR(INDEX(智能流水!$L$2:$L$1001,MATCH($B328,智能流水!$B$2:$B$1001,0)),""))</f>
        <v/>
      </c>
      <c r="M328" s="32">
        <f>IF($B328="","",IFERROR(INDEX(智能流水!$M$2:$M$1001,MATCH($B328,智能流水!$B$2:$B$1001,0)),""))</f>
        <v/>
      </c>
      <c r="N328" s="32">
        <f>IF($B328="","",IFERROR(INDEX(智能流水!$N$2:$N$1001,MATCH($B328,智能流水!$B$2:$B$1001,0)),""))</f>
        <v/>
      </c>
      <c r="O328" s="32">
        <f>IF($B328="","",IFERROR(INDEX(智能流水!$O$2:$O$1001,MATCH($B328,智能流水!$B$2:$B$1001,0)),""))</f>
        <v/>
      </c>
    </row>
    <row r="329" ht="23" customHeight="1" s="21">
      <c r="A329" s="32">
        <f>IF($B329="","",328)</f>
        <v/>
      </c>
      <c r="B329" s="32">
        <f>IFERROR(LARGE(智能流水!$B$2:$B$1001,328),"")</f>
        <v/>
      </c>
      <c r="C329" s="33">
        <f>IF($B329="","",IFERROR(INDEX(智能流水!$C$2:$C$1001,MATCH($B329,智能流水!$B$2:$B$1001,0)),""))</f>
        <v/>
      </c>
      <c r="D329" s="34">
        <f>IF($B329="","",IFERROR(INDEX(智能流水!$D$2:$D$1001,MATCH($B329,智能流水!$B$2:$B$1001,0)),""))</f>
        <v/>
      </c>
      <c r="E329" s="34">
        <f>IF($B329="","",IFERROR(INDEX(智能流水!$E$2:$E$1001,MATCH($B329,智能流水!$B$2:$B$1001,0)),""))</f>
        <v/>
      </c>
      <c r="F329" s="34">
        <f>IF($B329="","",IFERROR(INDEX(智能流水!$F$2:$F$1001,MATCH($B329,智能流水!$B$2:$B$1001,0)),""))</f>
        <v/>
      </c>
      <c r="G329" s="32">
        <f>IF($B329="","",IFERROR(INDEX(智能流水!$G$2:$G$1001,MATCH($B329,智能流水!$B$2:$B$1001,0)),""))</f>
        <v/>
      </c>
      <c r="H329" s="32">
        <f>IF($B329="","",IFERROR(INDEX(智能流水!$H$2:$H$1001,MATCH($B329,智能流水!$B$2:$B$1001,0)),""))</f>
        <v/>
      </c>
      <c r="I329" s="32">
        <f>IF($B329="","",IFERROR(INDEX(智能流水!$I$2:$I$1001,MATCH($B329,智能流水!$B$2:$B$1001,0)),""))</f>
        <v/>
      </c>
      <c r="J329" s="32">
        <f>IF($B329="","",IFERROR(INDEX(智能流水!$J$2:$J$1001,MATCH($B329,智能流水!$B$2:$B$1001,0)),""))</f>
        <v/>
      </c>
      <c r="K329" s="35">
        <f>IF($B329="","",IFERROR(INDEX(智能流水!$K$2:$K$1001,MATCH($B329,智能流水!$B$2:$B$1001,0)),""))</f>
        <v/>
      </c>
      <c r="L329" s="32">
        <f>IF($B329="","",IFERROR(INDEX(智能流水!$L$2:$L$1001,MATCH($B329,智能流水!$B$2:$B$1001,0)),""))</f>
        <v/>
      </c>
      <c r="M329" s="32">
        <f>IF($B329="","",IFERROR(INDEX(智能流水!$M$2:$M$1001,MATCH($B329,智能流水!$B$2:$B$1001,0)),""))</f>
        <v/>
      </c>
      <c r="N329" s="32">
        <f>IF($B329="","",IFERROR(INDEX(智能流水!$N$2:$N$1001,MATCH($B329,智能流水!$B$2:$B$1001,0)),""))</f>
        <v/>
      </c>
      <c r="O329" s="32">
        <f>IF($B329="","",IFERROR(INDEX(智能流水!$O$2:$O$1001,MATCH($B329,智能流水!$B$2:$B$1001,0)),""))</f>
        <v/>
      </c>
    </row>
    <row r="330" ht="23" customHeight="1" s="21">
      <c r="A330" s="32">
        <f>IF($B330="","",329)</f>
        <v/>
      </c>
      <c r="B330" s="32">
        <f>IFERROR(LARGE(智能流水!$B$2:$B$1001,329),"")</f>
        <v/>
      </c>
      <c r="C330" s="33">
        <f>IF($B330="","",IFERROR(INDEX(智能流水!$C$2:$C$1001,MATCH($B330,智能流水!$B$2:$B$1001,0)),""))</f>
        <v/>
      </c>
      <c r="D330" s="34">
        <f>IF($B330="","",IFERROR(INDEX(智能流水!$D$2:$D$1001,MATCH($B330,智能流水!$B$2:$B$1001,0)),""))</f>
        <v/>
      </c>
      <c r="E330" s="34">
        <f>IF($B330="","",IFERROR(INDEX(智能流水!$E$2:$E$1001,MATCH($B330,智能流水!$B$2:$B$1001,0)),""))</f>
        <v/>
      </c>
      <c r="F330" s="34">
        <f>IF($B330="","",IFERROR(INDEX(智能流水!$F$2:$F$1001,MATCH($B330,智能流水!$B$2:$B$1001,0)),""))</f>
        <v/>
      </c>
      <c r="G330" s="32">
        <f>IF($B330="","",IFERROR(INDEX(智能流水!$G$2:$G$1001,MATCH($B330,智能流水!$B$2:$B$1001,0)),""))</f>
        <v/>
      </c>
      <c r="H330" s="32">
        <f>IF($B330="","",IFERROR(INDEX(智能流水!$H$2:$H$1001,MATCH($B330,智能流水!$B$2:$B$1001,0)),""))</f>
        <v/>
      </c>
      <c r="I330" s="32">
        <f>IF($B330="","",IFERROR(INDEX(智能流水!$I$2:$I$1001,MATCH($B330,智能流水!$B$2:$B$1001,0)),""))</f>
        <v/>
      </c>
      <c r="J330" s="32">
        <f>IF($B330="","",IFERROR(INDEX(智能流水!$J$2:$J$1001,MATCH($B330,智能流水!$B$2:$B$1001,0)),""))</f>
        <v/>
      </c>
      <c r="K330" s="35">
        <f>IF($B330="","",IFERROR(INDEX(智能流水!$K$2:$K$1001,MATCH($B330,智能流水!$B$2:$B$1001,0)),""))</f>
        <v/>
      </c>
      <c r="L330" s="32">
        <f>IF($B330="","",IFERROR(INDEX(智能流水!$L$2:$L$1001,MATCH($B330,智能流水!$B$2:$B$1001,0)),""))</f>
        <v/>
      </c>
      <c r="M330" s="32">
        <f>IF($B330="","",IFERROR(INDEX(智能流水!$M$2:$M$1001,MATCH($B330,智能流水!$B$2:$B$1001,0)),""))</f>
        <v/>
      </c>
      <c r="N330" s="32">
        <f>IF($B330="","",IFERROR(INDEX(智能流水!$N$2:$N$1001,MATCH($B330,智能流水!$B$2:$B$1001,0)),""))</f>
        <v/>
      </c>
      <c r="O330" s="32">
        <f>IF($B330="","",IFERROR(INDEX(智能流水!$O$2:$O$1001,MATCH($B330,智能流水!$B$2:$B$1001,0)),""))</f>
        <v/>
      </c>
    </row>
    <row r="331" ht="23" customHeight="1" s="21">
      <c r="A331" s="32">
        <f>IF($B331="","",330)</f>
        <v/>
      </c>
      <c r="B331" s="32">
        <f>IFERROR(LARGE(智能流水!$B$2:$B$1001,330),"")</f>
        <v/>
      </c>
      <c r="C331" s="33">
        <f>IF($B331="","",IFERROR(INDEX(智能流水!$C$2:$C$1001,MATCH($B331,智能流水!$B$2:$B$1001,0)),""))</f>
        <v/>
      </c>
      <c r="D331" s="34">
        <f>IF($B331="","",IFERROR(INDEX(智能流水!$D$2:$D$1001,MATCH($B331,智能流水!$B$2:$B$1001,0)),""))</f>
        <v/>
      </c>
      <c r="E331" s="34">
        <f>IF($B331="","",IFERROR(INDEX(智能流水!$E$2:$E$1001,MATCH($B331,智能流水!$B$2:$B$1001,0)),""))</f>
        <v/>
      </c>
      <c r="F331" s="34">
        <f>IF($B331="","",IFERROR(INDEX(智能流水!$F$2:$F$1001,MATCH($B331,智能流水!$B$2:$B$1001,0)),""))</f>
        <v/>
      </c>
      <c r="G331" s="32">
        <f>IF($B331="","",IFERROR(INDEX(智能流水!$G$2:$G$1001,MATCH($B331,智能流水!$B$2:$B$1001,0)),""))</f>
        <v/>
      </c>
      <c r="H331" s="32">
        <f>IF($B331="","",IFERROR(INDEX(智能流水!$H$2:$H$1001,MATCH($B331,智能流水!$B$2:$B$1001,0)),""))</f>
        <v/>
      </c>
      <c r="I331" s="32">
        <f>IF($B331="","",IFERROR(INDEX(智能流水!$I$2:$I$1001,MATCH($B331,智能流水!$B$2:$B$1001,0)),""))</f>
        <v/>
      </c>
      <c r="J331" s="32">
        <f>IF($B331="","",IFERROR(INDEX(智能流水!$J$2:$J$1001,MATCH($B331,智能流水!$B$2:$B$1001,0)),""))</f>
        <v/>
      </c>
      <c r="K331" s="35">
        <f>IF($B331="","",IFERROR(INDEX(智能流水!$K$2:$K$1001,MATCH($B331,智能流水!$B$2:$B$1001,0)),""))</f>
        <v/>
      </c>
      <c r="L331" s="32">
        <f>IF($B331="","",IFERROR(INDEX(智能流水!$L$2:$L$1001,MATCH($B331,智能流水!$B$2:$B$1001,0)),""))</f>
        <v/>
      </c>
      <c r="M331" s="32">
        <f>IF($B331="","",IFERROR(INDEX(智能流水!$M$2:$M$1001,MATCH($B331,智能流水!$B$2:$B$1001,0)),""))</f>
        <v/>
      </c>
      <c r="N331" s="32">
        <f>IF($B331="","",IFERROR(INDEX(智能流水!$N$2:$N$1001,MATCH($B331,智能流水!$B$2:$B$1001,0)),""))</f>
        <v/>
      </c>
      <c r="O331" s="32">
        <f>IF($B331="","",IFERROR(INDEX(智能流水!$O$2:$O$1001,MATCH($B331,智能流水!$B$2:$B$1001,0)),""))</f>
        <v/>
      </c>
    </row>
    <row r="332" ht="23" customHeight="1" s="21">
      <c r="A332" s="32">
        <f>IF($B332="","",331)</f>
        <v/>
      </c>
      <c r="B332" s="32">
        <f>IFERROR(LARGE(智能流水!$B$2:$B$1001,331),"")</f>
        <v/>
      </c>
      <c r="C332" s="33">
        <f>IF($B332="","",IFERROR(INDEX(智能流水!$C$2:$C$1001,MATCH($B332,智能流水!$B$2:$B$1001,0)),""))</f>
        <v/>
      </c>
      <c r="D332" s="34">
        <f>IF($B332="","",IFERROR(INDEX(智能流水!$D$2:$D$1001,MATCH($B332,智能流水!$B$2:$B$1001,0)),""))</f>
        <v/>
      </c>
      <c r="E332" s="34">
        <f>IF($B332="","",IFERROR(INDEX(智能流水!$E$2:$E$1001,MATCH($B332,智能流水!$B$2:$B$1001,0)),""))</f>
        <v/>
      </c>
      <c r="F332" s="34">
        <f>IF($B332="","",IFERROR(INDEX(智能流水!$F$2:$F$1001,MATCH($B332,智能流水!$B$2:$B$1001,0)),""))</f>
        <v/>
      </c>
      <c r="G332" s="32">
        <f>IF($B332="","",IFERROR(INDEX(智能流水!$G$2:$G$1001,MATCH($B332,智能流水!$B$2:$B$1001,0)),""))</f>
        <v/>
      </c>
      <c r="H332" s="32">
        <f>IF($B332="","",IFERROR(INDEX(智能流水!$H$2:$H$1001,MATCH($B332,智能流水!$B$2:$B$1001,0)),""))</f>
        <v/>
      </c>
      <c r="I332" s="32">
        <f>IF($B332="","",IFERROR(INDEX(智能流水!$I$2:$I$1001,MATCH($B332,智能流水!$B$2:$B$1001,0)),""))</f>
        <v/>
      </c>
      <c r="J332" s="32">
        <f>IF($B332="","",IFERROR(INDEX(智能流水!$J$2:$J$1001,MATCH($B332,智能流水!$B$2:$B$1001,0)),""))</f>
        <v/>
      </c>
      <c r="K332" s="35">
        <f>IF($B332="","",IFERROR(INDEX(智能流水!$K$2:$K$1001,MATCH($B332,智能流水!$B$2:$B$1001,0)),""))</f>
        <v/>
      </c>
      <c r="L332" s="32">
        <f>IF($B332="","",IFERROR(INDEX(智能流水!$L$2:$L$1001,MATCH($B332,智能流水!$B$2:$B$1001,0)),""))</f>
        <v/>
      </c>
      <c r="M332" s="32">
        <f>IF($B332="","",IFERROR(INDEX(智能流水!$M$2:$M$1001,MATCH($B332,智能流水!$B$2:$B$1001,0)),""))</f>
        <v/>
      </c>
      <c r="N332" s="32">
        <f>IF($B332="","",IFERROR(INDEX(智能流水!$N$2:$N$1001,MATCH($B332,智能流水!$B$2:$B$1001,0)),""))</f>
        <v/>
      </c>
      <c r="O332" s="32">
        <f>IF($B332="","",IFERROR(INDEX(智能流水!$O$2:$O$1001,MATCH($B332,智能流水!$B$2:$B$1001,0)),""))</f>
        <v/>
      </c>
    </row>
    <row r="333" ht="23" customHeight="1" s="21">
      <c r="A333" s="32">
        <f>IF($B333="","",332)</f>
        <v/>
      </c>
      <c r="B333" s="32">
        <f>IFERROR(LARGE(智能流水!$B$2:$B$1001,332),"")</f>
        <v/>
      </c>
      <c r="C333" s="33">
        <f>IF($B333="","",IFERROR(INDEX(智能流水!$C$2:$C$1001,MATCH($B333,智能流水!$B$2:$B$1001,0)),""))</f>
        <v/>
      </c>
      <c r="D333" s="34">
        <f>IF($B333="","",IFERROR(INDEX(智能流水!$D$2:$D$1001,MATCH($B333,智能流水!$B$2:$B$1001,0)),""))</f>
        <v/>
      </c>
      <c r="E333" s="34">
        <f>IF($B333="","",IFERROR(INDEX(智能流水!$E$2:$E$1001,MATCH($B333,智能流水!$B$2:$B$1001,0)),""))</f>
        <v/>
      </c>
      <c r="F333" s="34">
        <f>IF($B333="","",IFERROR(INDEX(智能流水!$F$2:$F$1001,MATCH($B333,智能流水!$B$2:$B$1001,0)),""))</f>
        <v/>
      </c>
      <c r="G333" s="32">
        <f>IF($B333="","",IFERROR(INDEX(智能流水!$G$2:$G$1001,MATCH($B333,智能流水!$B$2:$B$1001,0)),""))</f>
        <v/>
      </c>
      <c r="H333" s="32">
        <f>IF($B333="","",IFERROR(INDEX(智能流水!$H$2:$H$1001,MATCH($B333,智能流水!$B$2:$B$1001,0)),""))</f>
        <v/>
      </c>
      <c r="I333" s="32">
        <f>IF($B333="","",IFERROR(INDEX(智能流水!$I$2:$I$1001,MATCH($B333,智能流水!$B$2:$B$1001,0)),""))</f>
        <v/>
      </c>
      <c r="J333" s="32">
        <f>IF($B333="","",IFERROR(INDEX(智能流水!$J$2:$J$1001,MATCH($B333,智能流水!$B$2:$B$1001,0)),""))</f>
        <v/>
      </c>
      <c r="K333" s="35">
        <f>IF($B333="","",IFERROR(INDEX(智能流水!$K$2:$K$1001,MATCH($B333,智能流水!$B$2:$B$1001,0)),""))</f>
        <v/>
      </c>
      <c r="L333" s="32">
        <f>IF($B333="","",IFERROR(INDEX(智能流水!$L$2:$L$1001,MATCH($B333,智能流水!$B$2:$B$1001,0)),""))</f>
        <v/>
      </c>
      <c r="M333" s="32">
        <f>IF($B333="","",IFERROR(INDEX(智能流水!$M$2:$M$1001,MATCH($B333,智能流水!$B$2:$B$1001,0)),""))</f>
        <v/>
      </c>
      <c r="N333" s="32">
        <f>IF($B333="","",IFERROR(INDEX(智能流水!$N$2:$N$1001,MATCH($B333,智能流水!$B$2:$B$1001,0)),""))</f>
        <v/>
      </c>
      <c r="O333" s="32">
        <f>IF($B333="","",IFERROR(INDEX(智能流水!$O$2:$O$1001,MATCH($B333,智能流水!$B$2:$B$1001,0)),""))</f>
        <v/>
      </c>
    </row>
    <row r="334" ht="23" customHeight="1" s="21">
      <c r="A334" s="32">
        <f>IF($B334="","",333)</f>
        <v/>
      </c>
      <c r="B334" s="32">
        <f>IFERROR(LARGE(智能流水!$B$2:$B$1001,333),"")</f>
        <v/>
      </c>
      <c r="C334" s="33">
        <f>IF($B334="","",IFERROR(INDEX(智能流水!$C$2:$C$1001,MATCH($B334,智能流水!$B$2:$B$1001,0)),""))</f>
        <v/>
      </c>
      <c r="D334" s="34">
        <f>IF($B334="","",IFERROR(INDEX(智能流水!$D$2:$D$1001,MATCH($B334,智能流水!$B$2:$B$1001,0)),""))</f>
        <v/>
      </c>
      <c r="E334" s="34">
        <f>IF($B334="","",IFERROR(INDEX(智能流水!$E$2:$E$1001,MATCH($B334,智能流水!$B$2:$B$1001,0)),""))</f>
        <v/>
      </c>
      <c r="F334" s="34">
        <f>IF($B334="","",IFERROR(INDEX(智能流水!$F$2:$F$1001,MATCH($B334,智能流水!$B$2:$B$1001,0)),""))</f>
        <v/>
      </c>
      <c r="G334" s="32">
        <f>IF($B334="","",IFERROR(INDEX(智能流水!$G$2:$G$1001,MATCH($B334,智能流水!$B$2:$B$1001,0)),""))</f>
        <v/>
      </c>
      <c r="H334" s="32">
        <f>IF($B334="","",IFERROR(INDEX(智能流水!$H$2:$H$1001,MATCH($B334,智能流水!$B$2:$B$1001,0)),""))</f>
        <v/>
      </c>
      <c r="I334" s="32">
        <f>IF($B334="","",IFERROR(INDEX(智能流水!$I$2:$I$1001,MATCH($B334,智能流水!$B$2:$B$1001,0)),""))</f>
        <v/>
      </c>
      <c r="J334" s="32">
        <f>IF($B334="","",IFERROR(INDEX(智能流水!$J$2:$J$1001,MATCH($B334,智能流水!$B$2:$B$1001,0)),""))</f>
        <v/>
      </c>
      <c r="K334" s="35">
        <f>IF($B334="","",IFERROR(INDEX(智能流水!$K$2:$K$1001,MATCH($B334,智能流水!$B$2:$B$1001,0)),""))</f>
        <v/>
      </c>
      <c r="L334" s="32">
        <f>IF($B334="","",IFERROR(INDEX(智能流水!$L$2:$L$1001,MATCH($B334,智能流水!$B$2:$B$1001,0)),""))</f>
        <v/>
      </c>
      <c r="M334" s="32">
        <f>IF($B334="","",IFERROR(INDEX(智能流水!$M$2:$M$1001,MATCH($B334,智能流水!$B$2:$B$1001,0)),""))</f>
        <v/>
      </c>
      <c r="N334" s="32">
        <f>IF($B334="","",IFERROR(INDEX(智能流水!$N$2:$N$1001,MATCH($B334,智能流水!$B$2:$B$1001,0)),""))</f>
        <v/>
      </c>
      <c r="O334" s="32">
        <f>IF($B334="","",IFERROR(INDEX(智能流水!$O$2:$O$1001,MATCH($B334,智能流水!$B$2:$B$1001,0)),""))</f>
        <v/>
      </c>
    </row>
    <row r="335" ht="23" customHeight="1" s="21">
      <c r="A335" s="32">
        <f>IF($B335="","",334)</f>
        <v/>
      </c>
      <c r="B335" s="32">
        <f>IFERROR(LARGE(智能流水!$B$2:$B$1001,334),"")</f>
        <v/>
      </c>
      <c r="C335" s="33">
        <f>IF($B335="","",IFERROR(INDEX(智能流水!$C$2:$C$1001,MATCH($B335,智能流水!$B$2:$B$1001,0)),""))</f>
        <v/>
      </c>
      <c r="D335" s="34">
        <f>IF($B335="","",IFERROR(INDEX(智能流水!$D$2:$D$1001,MATCH($B335,智能流水!$B$2:$B$1001,0)),""))</f>
        <v/>
      </c>
      <c r="E335" s="34">
        <f>IF($B335="","",IFERROR(INDEX(智能流水!$E$2:$E$1001,MATCH($B335,智能流水!$B$2:$B$1001,0)),""))</f>
        <v/>
      </c>
      <c r="F335" s="34">
        <f>IF($B335="","",IFERROR(INDEX(智能流水!$F$2:$F$1001,MATCH($B335,智能流水!$B$2:$B$1001,0)),""))</f>
        <v/>
      </c>
      <c r="G335" s="32">
        <f>IF($B335="","",IFERROR(INDEX(智能流水!$G$2:$G$1001,MATCH($B335,智能流水!$B$2:$B$1001,0)),""))</f>
        <v/>
      </c>
      <c r="H335" s="32">
        <f>IF($B335="","",IFERROR(INDEX(智能流水!$H$2:$H$1001,MATCH($B335,智能流水!$B$2:$B$1001,0)),""))</f>
        <v/>
      </c>
      <c r="I335" s="32">
        <f>IF($B335="","",IFERROR(INDEX(智能流水!$I$2:$I$1001,MATCH($B335,智能流水!$B$2:$B$1001,0)),""))</f>
        <v/>
      </c>
      <c r="J335" s="32">
        <f>IF($B335="","",IFERROR(INDEX(智能流水!$J$2:$J$1001,MATCH($B335,智能流水!$B$2:$B$1001,0)),""))</f>
        <v/>
      </c>
      <c r="K335" s="35">
        <f>IF($B335="","",IFERROR(INDEX(智能流水!$K$2:$K$1001,MATCH($B335,智能流水!$B$2:$B$1001,0)),""))</f>
        <v/>
      </c>
      <c r="L335" s="32">
        <f>IF($B335="","",IFERROR(INDEX(智能流水!$L$2:$L$1001,MATCH($B335,智能流水!$B$2:$B$1001,0)),""))</f>
        <v/>
      </c>
      <c r="M335" s="32">
        <f>IF($B335="","",IFERROR(INDEX(智能流水!$M$2:$M$1001,MATCH($B335,智能流水!$B$2:$B$1001,0)),""))</f>
        <v/>
      </c>
      <c r="N335" s="32">
        <f>IF($B335="","",IFERROR(INDEX(智能流水!$N$2:$N$1001,MATCH($B335,智能流水!$B$2:$B$1001,0)),""))</f>
        <v/>
      </c>
      <c r="O335" s="32">
        <f>IF($B335="","",IFERROR(INDEX(智能流水!$O$2:$O$1001,MATCH($B335,智能流水!$B$2:$B$1001,0)),""))</f>
        <v/>
      </c>
    </row>
    <row r="336" ht="23" customHeight="1" s="21">
      <c r="A336" s="32">
        <f>IF($B336="","",335)</f>
        <v/>
      </c>
      <c r="B336" s="32">
        <f>IFERROR(LARGE(智能流水!$B$2:$B$1001,335),"")</f>
        <v/>
      </c>
      <c r="C336" s="33">
        <f>IF($B336="","",IFERROR(INDEX(智能流水!$C$2:$C$1001,MATCH($B336,智能流水!$B$2:$B$1001,0)),""))</f>
        <v/>
      </c>
      <c r="D336" s="34">
        <f>IF($B336="","",IFERROR(INDEX(智能流水!$D$2:$D$1001,MATCH($B336,智能流水!$B$2:$B$1001,0)),""))</f>
        <v/>
      </c>
      <c r="E336" s="34">
        <f>IF($B336="","",IFERROR(INDEX(智能流水!$E$2:$E$1001,MATCH($B336,智能流水!$B$2:$B$1001,0)),""))</f>
        <v/>
      </c>
      <c r="F336" s="34">
        <f>IF($B336="","",IFERROR(INDEX(智能流水!$F$2:$F$1001,MATCH($B336,智能流水!$B$2:$B$1001,0)),""))</f>
        <v/>
      </c>
      <c r="G336" s="32">
        <f>IF($B336="","",IFERROR(INDEX(智能流水!$G$2:$G$1001,MATCH($B336,智能流水!$B$2:$B$1001,0)),""))</f>
        <v/>
      </c>
      <c r="H336" s="32">
        <f>IF($B336="","",IFERROR(INDEX(智能流水!$H$2:$H$1001,MATCH($B336,智能流水!$B$2:$B$1001,0)),""))</f>
        <v/>
      </c>
      <c r="I336" s="32">
        <f>IF($B336="","",IFERROR(INDEX(智能流水!$I$2:$I$1001,MATCH($B336,智能流水!$B$2:$B$1001,0)),""))</f>
        <v/>
      </c>
      <c r="J336" s="32">
        <f>IF($B336="","",IFERROR(INDEX(智能流水!$J$2:$J$1001,MATCH($B336,智能流水!$B$2:$B$1001,0)),""))</f>
        <v/>
      </c>
      <c r="K336" s="35">
        <f>IF($B336="","",IFERROR(INDEX(智能流水!$K$2:$K$1001,MATCH($B336,智能流水!$B$2:$B$1001,0)),""))</f>
        <v/>
      </c>
      <c r="L336" s="32">
        <f>IF($B336="","",IFERROR(INDEX(智能流水!$L$2:$L$1001,MATCH($B336,智能流水!$B$2:$B$1001,0)),""))</f>
        <v/>
      </c>
      <c r="M336" s="32">
        <f>IF($B336="","",IFERROR(INDEX(智能流水!$M$2:$M$1001,MATCH($B336,智能流水!$B$2:$B$1001,0)),""))</f>
        <v/>
      </c>
      <c r="N336" s="32">
        <f>IF($B336="","",IFERROR(INDEX(智能流水!$N$2:$N$1001,MATCH($B336,智能流水!$B$2:$B$1001,0)),""))</f>
        <v/>
      </c>
      <c r="O336" s="32">
        <f>IF($B336="","",IFERROR(INDEX(智能流水!$O$2:$O$1001,MATCH($B336,智能流水!$B$2:$B$1001,0)),""))</f>
        <v/>
      </c>
    </row>
    <row r="337" ht="23" customHeight="1" s="21">
      <c r="A337" s="32">
        <f>IF($B337="","",336)</f>
        <v/>
      </c>
      <c r="B337" s="32">
        <f>IFERROR(LARGE(智能流水!$B$2:$B$1001,336),"")</f>
        <v/>
      </c>
      <c r="C337" s="33">
        <f>IF($B337="","",IFERROR(INDEX(智能流水!$C$2:$C$1001,MATCH($B337,智能流水!$B$2:$B$1001,0)),""))</f>
        <v/>
      </c>
      <c r="D337" s="34">
        <f>IF($B337="","",IFERROR(INDEX(智能流水!$D$2:$D$1001,MATCH($B337,智能流水!$B$2:$B$1001,0)),""))</f>
        <v/>
      </c>
      <c r="E337" s="34">
        <f>IF($B337="","",IFERROR(INDEX(智能流水!$E$2:$E$1001,MATCH($B337,智能流水!$B$2:$B$1001,0)),""))</f>
        <v/>
      </c>
      <c r="F337" s="34">
        <f>IF($B337="","",IFERROR(INDEX(智能流水!$F$2:$F$1001,MATCH($B337,智能流水!$B$2:$B$1001,0)),""))</f>
        <v/>
      </c>
      <c r="G337" s="32">
        <f>IF($B337="","",IFERROR(INDEX(智能流水!$G$2:$G$1001,MATCH($B337,智能流水!$B$2:$B$1001,0)),""))</f>
        <v/>
      </c>
      <c r="H337" s="32">
        <f>IF($B337="","",IFERROR(INDEX(智能流水!$H$2:$H$1001,MATCH($B337,智能流水!$B$2:$B$1001,0)),""))</f>
        <v/>
      </c>
      <c r="I337" s="32">
        <f>IF($B337="","",IFERROR(INDEX(智能流水!$I$2:$I$1001,MATCH($B337,智能流水!$B$2:$B$1001,0)),""))</f>
        <v/>
      </c>
      <c r="J337" s="32">
        <f>IF($B337="","",IFERROR(INDEX(智能流水!$J$2:$J$1001,MATCH($B337,智能流水!$B$2:$B$1001,0)),""))</f>
        <v/>
      </c>
      <c r="K337" s="35">
        <f>IF($B337="","",IFERROR(INDEX(智能流水!$K$2:$K$1001,MATCH($B337,智能流水!$B$2:$B$1001,0)),""))</f>
        <v/>
      </c>
      <c r="L337" s="32">
        <f>IF($B337="","",IFERROR(INDEX(智能流水!$L$2:$L$1001,MATCH($B337,智能流水!$B$2:$B$1001,0)),""))</f>
        <v/>
      </c>
      <c r="M337" s="32">
        <f>IF($B337="","",IFERROR(INDEX(智能流水!$M$2:$M$1001,MATCH($B337,智能流水!$B$2:$B$1001,0)),""))</f>
        <v/>
      </c>
      <c r="N337" s="32">
        <f>IF($B337="","",IFERROR(INDEX(智能流水!$N$2:$N$1001,MATCH($B337,智能流水!$B$2:$B$1001,0)),""))</f>
        <v/>
      </c>
      <c r="O337" s="32">
        <f>IF($B337="","",IFERROR(INDEX(智能流水!$O$2:$O$1001,MATCH($B337,智能流水!$B$2:$B$1001,0)),""))</f>
        <v/>
      </c>
    </row>
    <row r="338" ht="23" customHeight="1" s="21">
      <c r="A338" s="32">
        <f>IF($B338="","",337)</f>
        <v/>
      </c>
      <c r="B338" s="32">
        <f>IFERROR(LARGE(智能流水!$B$2:$B$1001,337),"")</f>
        <v/>
      </c>
      <c r="C338" s="33">
        <f>IF($B338="","",IFERROR(INDEX(智能流水!$C$2:$C$1001,MATCH($B338,智能流水!$B$2:$B$1001,0)),""))</f>
        <v/>
      </c>
      <c r="D338" s="34">
        <f>IF($B338="","",IFERROR(INDEX(智能流水!$D$2:$D$1001,MATCH($B338,智能流水!$B$2:$B$1001,0)),""))</f>
        <v/>
      </c>
      <c r="E338" s="34">
        <f>IF($B338="","",IFERROR(INDEX(智能流水!$E$2:$E$1001,MATCH($B338,智能流水!$B$2:$B$1001,0)),""))</f>
        <v/>
      </c>
      <c r="F338" s="34">
        <f>IF($B338="","",IFERROR(INDEX(智能流水!$F$2:$F$1001,MATCH($B338,智能流水!$B$2:$B$1001,0)),""))</f>
        <v/>
      </c>
      <c r="G338" s="32">
        <f>IF($B338="","",IFERROR(INDEX(智能流水!$G$2:$G$1001,MATCH($B338,智能流水!$B$2:$B$1001,0)),""))</f>
        <v/>
      </c>
      <c r="H338" s="32">
        <f>IF($B338="","",IFERROR(INDEX(智能流水!$H$2:$H$1001,MATCH($B338,智能流水!$B$2:$B$1001,0)),""))</f>
        <v/>
      </c>
      <c r="I338" s="32">
        <f>IF($B338="","",IFERROR(INDEX(智能流水!$I$2:$I$1001,MATCH($B338,智能流水!$B$2:$B$1001,0)),""))</f>
        <v/>
      </c>
      <c r="J338" s="32">
        <f>IF($B338="","",IFERROR(INDEX(智能流水!$J$2:$J$1001,MATCH($B338,智能流水!$B$2:$B$1001,0)),""))</f>
        <v/>
      </c>
      <c r="K338" s="35">
        <f>IF($B338="","",IFERROR(INDEX(智能流水!$K$2:$K$1001,MATCH($B338,智能流水!$B$2:$B$1001,0)),""))</f>
        <v/>
      </c>
      <c r="L338" s="32">
        <f>IF($B338="","",IFERROR(INDEX(智能流水!$L$2:$L$1001,MATCH($B338,智能流水!$B$2:$B$1001,0)),""))</f>
        <v/>
      </c>
      <c r="M338" s="32">
        <f>IF($B338="","",IFERROR(INDEX(智能流水!$M$2:$M$1001,MATCH($B338,智能流水!$B$2:$B$1001,0)),""))</f>
        <v/>
      </c>
      <c r="N338" s="32">
        <f>IF($B338="","",IFERROR(INDEX(智能流水!$N$2:$N$1001,MATCH($B338,智能流水!$B$2:$B$1001,0)),""))</f>
        <v/>
      </c>
      <c r="O338" s="32">
        <f>IF($B338="","",IFERROR(INDEX(智能流水!$O$2:$O$1001,MATCH($B338,智能流水!$B$2:$B$1001,0)),""))</f>
        <v/>
      </c>
    </row>
    <row r="339" ht="23" customHeight="1" s="21">
      <c r="A339" s="32">
        <f>IF($B339="","",338)</f>
        <v/>
      </c>
      <c r="B339" s="32">
        <f>IFERROR(LARGE(智能流水!$B$2:$B$1001,338),"")</f>
        <v/>
      </c>
      <c r="C339" s="33">
        <f>IF($B339="","",IFERROR(INDEX(智能流水!$C$2:$C$1001,MATCH($B339,智能流水!$B$2:$B$1001,0)),""))</f>
        <v/>
      </c>
      <c r="D339" s="34">
        <f>IF($B339="","",IFERROR(INDEX(智能流水!$D$2:$D$1001,MATCH($B339,智能流水!$B$2:$B$1001,0)),""))</f>
        <v/>
      </c>
      <c r="E339" s="34">
        <f>IF($B339="","",IFERROR(INDEX(智能流水!$E$2:$E$1001,MATCH($B339,智能流水!$B$2:$B$1001,0)),""))</f>
        <v/>
      </c>
      <c r="F339" s="34">
        <f>IF($B339="","",IFERROR(INDEX(智能流水!$F$2:$F$1001,MATCH($B339,智能流水!$B$2:$B$1001,0)),""))</f>
        <v/>
      </c>
      <c r="G339" s="32">
        <f>IF($B339="","",IFERROR(INDEX(智能流水!$G$2:$G$1001,MATCH($B339,智能流水!$B$2:$B$1001,0)),""))</f>
        <v/>
      </c>
      <c r="H339" s="32">
        <f>IF($B339="","",IFERROR(INDEX(智能流水!$H$2:$H$1001,MATCH($B339,智能流水!$B$2:$B$1001,0)),""))</f>
        <v/>
      </c>
      <c r="I339" s="32">
        <f>IF($B339="","",IFERROR(INDEX(智能流水!$I$2:$I$1001,MATCH($B339,智能流水!$B$2:$B$1001,0)),""))</f>
        <v/>
      </c>
      <c r="J339" s="32">
        <f>IF($B339="","",IFERROR(INDEX(智能流水!$J$2:$J$1001,MATCH($B339,智能流水!$B$2:$B$1001,0)),""))</f>
        <v/>
      </c>
      <c r="K339" s="35">
        <f>IF($B339="","",IFERROR(INDEX(智能流水!$K$2:$K$1001,MATCH($B339,智能流水!$B$2:$B$1001,0)),""))</f>
        <v/>
      </c>
      <c r="L339" s="32">
        <f>IF($B339="","",IFERROR(INDEX(智能流水!$L$2:$L$1001,MATCH($B339,智能流水!$B$2:$B$1001,0)),""))</f>
        <v/>
      </c>
      <c r="M339" s="32">
        <f>IF($B339="","",IFERROR(INDEX(智能流水!$M$2:$M$1001,MATCH($B339,智能流水!$B$2:$B$1001,0)),""))</f>
        <v/>
      </c>
      <c r="N339" s="32">
        <f>IF($B339="","",IFERROR(INDEX(智能流水!$N$2:$N$1001,MATCH($B339,智能流水!$B$2:$B$1001,0)),""))</f>
        <v/>
      </c>
      <c r="O339" s="32">
        <f>IF($B339="","",IFERROR(INDEX(智能流水!$O$2:$O$1001,MATCH($B339,智能流水!$B$2:$B$1001,0)),""))</f>
        <v/>
      </c>
    </row>
    <row r="340" ht="23" customHeight="1" s="21">
      <c r="A340" s="32">
        <f>IF($B340="","",339)</f>
        <v/>
      </c>
      <c r="B340" s="32">
        <f>IFERROR(LARGE(智能流水!$B$2:$B$1001,339),"")</f>
        <v/>
      </c>
      <c r="C340" s="33">
        <f>IF($B340="","",IFERROR(INDEX(智能流水!$C$2:$C$1001,MATCH($B340,智能流水!$B$2:$B$1001,0)),""))</f>
        <v/>
      </c>
      <c r="D340" s="34">
        <f>IF($B340="","",IFERROR(INDEX(智能流水!$D$2:$D$1001,MATCH($B340,智能流水!$B$2:$B$1001,0)),""))</f>
        <v/>
      </c>
      <c r="E340" s="34">
        <f>IF($B340="","",IFERROR(INDEX(智能流水!$E$2:$E$1001,MATCH($B340,智能流水!$B$2:$B$1001,0)),""))</f>
        <v/>
      </c>
      <c r="F340" s="34">
        <f>IF($B340="","",IFERROR(INDEX(智能流水!$F$2:$F$1001,MATCH($B340,智能流水!$B$2:$B$1001,0)),""))</f>
        <v/>
      </c>
      <c r="G340" s="32">
        <f>IF($B340="","",IFERROR(INDEX(智能流水!$G$2:$G$1001,MATCH($B340,智能流水!$B$2:$B$1001,0)),""))</f>
        <v/>
      </c>
      <c r="H340" s="32">
        <f>IF($B340="","",IFERROR(INDEX(智能流水!$H$2:$H$1001,MATCH($B340,智能流水!$B$2:$B$1001,0)),""))</f>
        <v/>
      </c>
      <c r="I340" s="32">
        <f>IF($B340="","",IFERROR(INDEX(智能流水!$I$2:$I$1001,MATCH($B340,智能流水!$B$2:$B$1001,0)),""))</f>
        <v/>
      </c>
      <c r="J340" s="32">
        <f>IF($B340="","",IFERROR(INDEX(智能流水!$J$2:$J$1001,MATCH($B340,智能流水!$B$2:$B$1001,0)),""))</f>
        <v/>
      </c>
      <c r="K340" s="35">
        <f>IF($B340="","",IFERROR(INDEX(智能流水!$K$2:$K$1001,MATCH($B340,智能流水!$B$2:$B$1001,0)),""))</f>
        <v/>
      </c>
      <c r="L340" s="32">
        <f>IF($B340="","",IFERROR(INDEX(智能流水!$L$2:$L$1001,MATCH($B340,智能流水!$B$2:$B$1001,0)),""))</f>
        <v/>
      </c>
      <c r="M340" s="32">
        <f>IF($B340="","",IFERROR(INDEX(智能流水!$M$2:$M$1001,MATCH($B340,智能流水!$B$2:$B$1001,0)),""))</f>
        <v/>
      </c>
      <c r="N340" s="32">
        <f>IF($B340="","",IFERROR(INDEX(智能流水!$N$2:$N$1001,MATCH($B340,智能流水!$B$2:$B$1001,0)),""))</f>
        <v/>
      </c>
      <c r="O340" s="32">
        <f>IF($B340="","",IFERROR(INDEX(智能流水!$O$2:$O$1001,MATCH($B340,智能流水!$B$2:$B$1001,0)),""))</f>
        <v/>
      </c>
    </row>
    <row r="341" ht="23" customHeight="1" s="21">
      <c r="A341" s="32">
        <f>IF($B341="","",340)</f>
        <v/>
      </c>
      <c r="B341" s="32">
        <f>IFERROR(LARGE(智能流水!$B$2:$B$1001,340),"")</f>
        <v/>
      </c>
      <c r="C341" s="33">
        <f>IF($B341="","",IFERROR(INDEX(智能流水!$C$2:$C$1001,MATCH($B341,智能流水!$B$2:$B$1001,0)),""))</f>
        <v/>
      </c>
      <c r="D341" s="34">
        <f>IF($B341="","",IFERROR(INDEX(智能流水!$D$2:$D$1001,MATCH($B341,智能流水!$B$2:$B$1001,0)),""))</f>
        <v/>
      </c>
      <c r="E341" s="34">
        <f>IF($B341="","",IFERROR(INDEX(智能流水!$E$2:$E$1001,MATCH($B341,智能流水!$B$2:$B$1001,0)),""))</f>
        <v/>
      </c>
      <c r="F341" s="34">
        <f>IF($B341="","",IFERROR(INDEX(智能流水!$F$2:$F$1001,MATCH($B341,智能流水!$B$2:$B$1001,0)),""))</f>
        <v/>
      </c>
      <c r="G341" s="32">
        <f>IF($B341="","",IFERROR(INDEX(智能流水!$G$2:$G$1001,MATCH($B341,智能流水!$B$2:$B$1001,0)),""))</f>
        <v/>
      </c>
      <c r="H341" s="32">
        <f>IF($B341="","",IFERROR(INDEX(智能流水!$H$2:$H$1001,MATCH($B341,智能流水!$B$2:$B$1001,0)),""))</f>
        <v/>
      </c>
      <c r="I341" s="32">
        <f>IF($B341="","",IFERROR(INDEX(智能流水!$I$2:$I$1001,MATCH($B341,智能流水!$B$2:$B$1001,0)),""))</f>
        <v/>
      </c>
      <c r="J341" s="32">
        <f>IF($B341="","",IFERROR(INDEX(智能流水!$J$2:$J$1001,MATCH($B341,智能流水!$B$2:$B$1001,0)),""))</f>
        <v/>
      </c>
      <c r="K341" s="35">
        <f>IF($B341="","",IFERROR(INDEX(智能流水!$K$2:$K$1001,MATCH($B341,智能流水!$B$2:$B$1001,0)),""))</f>
        <v/>
      </c>
      <c r="L341" s="32">
        <f>IF($B341="","",IFERROR(INDEX(智能流水!$L$2:$L$1001,MATCH($B341,智能流水!$B$2:$B$1001,0)),""))</f>
        <v/>
      </c>
      <c r="M341" s="32">
        <f>IF($B341="","",IFERROR(INDEX(智能流水!$M$2:$M$1001,MATCH($B341,智能流水!$B$2:$B$1001,0)),""))</f>
        <v/>
      </c>
      <c r="N341" s="32">
        <f>IF($B341="","",IFERROR(INDEX(智能流水!$N$2:$N$1001,MATCH($B341,智能流水!$B$2:$B$1001,0)),""))</f>
        <v/>
      </c>
      <c r="O341" s="32">
        <f>IF($B341="","",IFERROR(INDEX(智能流水!$O$2:$O$1001,MATCH($B341,智能流水!$B$2:$B$1001,0)),""))</f>
        <v/>
      </c>
    </row>
    <row r="342" ht="23" customHeight="1" s="21">
      <c r="A342" s="32">
        <f>IF($B342="","",341)</f>
        <v/>
      </c>
      <c r="B342" s="32">
        <f>IFERROR(LARGE(智能流水!$B$2:$B$1001,341),"")</f>
        <v/>
      </c>
      <c r="C342" s="33">
        <f>IF($B342="","",IFERROR(INDEX(智能流水!$C$2:$C$1001,MATCH($B342,智能流水!$B$2:$B$1001,0)),""))</f>
        <v/>
      </c>
      <c r="D342" s="34">
        <f>IF($B342="","",IFERROR(INDEX(智能流水!$D$2:$D$1001,MATCH($B342,智能流水!$B$2:$B$1001,0)),""))</f>
        <v/>
      </c>
      <c r="E342" s="34">
        <f>IF($B342="","",IFERROR(INDEX(智能流水!$E$2:$E$1001,MATCH($B342,智能流水!$B$2:$B$1001,0)),""))</f>
        <v/>
      </c>
      <c r="F342" s="34">
        <f>IF($B342="","",IFERROR(INDEX(智能流水!$F$2:$F$1001,MATCH($B342,智能流水!$B$2:$B$1001,0)),""))</f>
        <v/>
      </c>
      <c r="G342" s="32">
        <f>IF($B342="","",IFERROR(INDEX(智能流水!$G$2:$G$1001,MATCH($B342,智能流水!$B$2:$B$1001,0)),""))</f>
        <v/>
      </c>
      <c r="H342" s="32">
        <f>IF($B342="","",IFERROR(INDEX(智能流水!$H$2:$H$1001,MATCH($B342,智能流水!$B$2:$B$1001,0)),""))</f>
        <v/>
      </c>
      <c r="I342" s="32">
        <f>IF($B342="","",IFERROR(INDEX(智能流水!$I$2:$I$1001,MATCH($B342,智能流水!$B$2:$B$1001,0)),""))</f>
        <v/>
      </c>
      <c r="J342" s="32">
        <f>IF($B342="","",IFERROR(INDEX(智能流水!$J$2:$J$1001,MATCH($B342,智能流水!$B$2:$B$1001,0)),""))</f>
        <v/>
      </c>
      <c r="K342" s="35">
        <f>IF($B342="","",IFERROR(INDEX(智能流水!$K$2:$K$1001,MATCH($B342,智能流水!$B$2:$B$1001,0)),""))</f>
        <v/>
      </c>
      <c r="L342" s="32">
        <f>IF($B342="","",IFERROR(INDEX(智能流水!$L$2:$L$1001,MATCH($B342,智能流水!$B$2:$B$1001,0)),""))</f>
        <v/>
      </c>
      <c r="M342" s="32">
        <f>IF($B342="","",IFERROR(INDEX(智能流水!$M$2:$M$1001,MATCH($B342,智能流水!$B$2:$B$1001,0)),""))</f>
        <v/>
      </c>
      <c r="N342" s="32">
        <f>IF($B342="","",IFERROR(INDEX(智能流水!$N$2:$N$1001,MATCH($B342,智能流水!$B$2:$B$1001,0)),""))</f>
        <v/>
      </c>
      <c r="O342" s="32">
        <f>IF($B342="","",IFERROR(INDEX(智能流水!$O$2:$O$1001,MATCH($B342,智能流水!$B$2:$B$1001,0)),""))</f>
        <v/>
      </c>
    </row>
    <row r="343" ht="23" customHeight="1" s="21">
      <c r="A343" s="32">
        <f>IF($B343="","",342)</f>
        <v/>
      </c>
      <c r="B343" s="32">
        <f>IFERROR(LARGE(智能流水!$B$2:$B$1001,342),"")</f>
        <v/>
      </c>
      <c r="C343" s="33">
        <f>IF($B343="","",IFERROR(INDEX(智能流水!$C$2:$C$1001,MATCH($B343,智能流水!$B$2:$B$1001,0)),""))</f>
        <v/>
      </c>
      <c r="D343" s="34">
        <f>IF($B343="","",IFERROR(INDEX(智能流水!$D$2:$D$1001,MATCH($B343,智能流水!$B$2:$B$1001,0)),""))</f>
        <v/>
      </c>
      <c r="E343" s="34">
        <f>IF($B343="","",IFERROR(INDEX(智能流水!$E$2:$E$1001,MATCH($B343,智能流水!$B$2:$B$1001,0)),""))</f>
        <v/>
      </c>
      <c r="F343" s="34">
        <f>IF($B343="","",IFERROR(INDEX(智能流水!$F$2:$F$1001,MATCH($B343,智能流水!$B$2:$B$1001,0)),""))</f>
        <v/>
      </c>
      <c r="G343" s="32">
        <f>IF($B343="","",IFERROR(INDEX(智能流水!$G$2:$G$1001,MATCH($B343,智能流水!$B$2:$B$1001,0)),""))</f>
        <v/>
      </c>
      <c r="H343" s="32">
        <f>IF($B343="","",IFERROR(INDEX(智能流水!$H$2:$H$1001,MATCH($B343,智能流水!$B$2:$B$1001,0)),""))</f>
        <v/>
      </c>
      <c r="I343" s="32">
        <f>IF($B343="","",IFERROR(INDEX(智能流水!$I$2:$I$1001,MATCH($B343,智能流水!$B$2:$B$1001,0)),""))</f>
        <v/>
      </c>
      <c r="J343" s="32">
        <f>IF($B343="","",IFERROR(INDEX(智能流水!$J$2:$J$1001,MATCH($B343,智能流水!$B$2:$B$1001,0)),""))</f>
        <v/>
      </c>
      <c r="K343" s="35">
        <f>IF($B343="","",IFERROR(INDEX(智能流水!$K$2:$K$1001,MATCH($B343,智能流水!$B$2:$B$1001,0)),""))</f>
        <v/>
      </c>
      <c r="L343" s="32">
        <f>IF($B343="","",IFERROR(INDEX(智能流水!$L$2:$L$1001,MATCH($B343,智能流水!$B$2:$B$1001,0)),""))</f>
        <v/>
      </c>
      <c r="M343" s="32">
        <f>IF($B343="","",IFERROR(INDEX(智能流水!$M$2:$M$1001,MATCH($B343,智能流水!$B$2:$B$1001,0)),""))</f>
        <v/>
      </c>
      <c r="N343" s="32">
        <f>IF($B343="","",IFERROR(INDEX(智能流水!$N$2:$N$1001,MATCH($B343,智能流水!$B$2:$B$1001,0)),""))</f>
        <v/>
      </c>
      <c r="O343" s="32">
        <f>IF($B343="","",IFERROR(INDEX(智能流水!$O$2:$O$1001,MATCH($B343,智能流水!$B$2:$B$1001,0)),""))</f>
        <v/>
      </c>
    </row>
    <row r="344" ht="23" customHeight="1" s="21">
      <c r="A344" s="32">
        <f>IF($B344="","",343)</f>
        <v/>
      </c>
      <c r="B344" s="32">
        <f>IFERROR(LARGE(智能流水!$B$2:$B$1001,343),"")</f>
        <v/>
      </c>
      <c r="C344" s="33">
        <f>IF($B344="","",IFERROR(INDEX(智能流水!$C$2:$C$1001,MATCH($B344,智能流水!$B$2:$B$1001,0)),""))</f>
        <v/>
      </c>
      <c r="D344" s="34">
        <f>IF($B344="","",IFERROR(INDEX(智能流水!$D$2:$D$1001,MATCH($B344,智能流水!$B$2:$B$1001,0)),""))</f>
        <v/>
      </c>
      <c r="E344" s="34">
        <f>IF($B344="","",IFERROR(INDEX(智能流水!$E$2:$E$1001,MATCH($B344,智能流水!$B$2:$B$1001,0)),""))</f>
        <v/>
      </c>
      <c r="F344" s="34">
        <f>IF($B344="","",IFERROR(INDEX(智能流水!$F$2:$F$1001,MATCH($B344,智能流水!$B$2:$B$1001,0)),""))</f>
        <v/>
      </c>
      <c r="G344" s="32">
        <f>IF($B344="","",IFERROR(INDEX(智能流水!$G$2:$G$1001,MATCH($B344,智能流水!$B$2:$B$1001,0)),""))</f>
        <v/>
      </c>
      <c r="H344" s="32">
        <f>IF($B344="","",IFERROR(INDEX(智能流水!$H$2:$H$1001,MATCH($B344,智能流水!$B$2:$B$1001,0)),""))</f>
        <v/>
      </c>
      <c r="I344" s="32">
        <f>IF($B344="","",IFERROR(INDEX(智能流水!$I$2:$I$1001,MATCH($B344,智能流水!$B$2:$B$1001,0)),""))</f>
        <v/>
      </c>
      <c r="J344" s="32">
        <f>IF($B344="","",IFERROR(INDEX(智能流水!$J$2:$J$1001,MATCH($B344,智能流水!$B$2:$B$1001,0)),""))</f>
        <v/>
      </c>
      <c r="K344" s="35">
        <f>IF($B344="","",IFERROR(INDEX(智能流水!$K$2:$K$1001,MATCH($B344,智能流水!$B$2:$B$1001,0)),""))</f>
        <v/>
      </c>
      <c r="L344" s="32">
        <f>IF($B344="","",IFERROR(INDEX(智能流水!$L$2:$L$1001,MATCH($B344,智能流水!$B$2:$B$1001,0)),""))</f>
        <v/>
      </c>
      <c r="M344" s="32">
        <f>IF($B344="","",IFERROR(INDEX(智能流水!$M$2:$M$1001,MATCH($B344,智能流水!$B$2:$B$1001,0)),""))</f>
        <v/>
      </c>
      <c r="N344" s="32">
        <f>IF($B344="","",IFERROR(INDEX(智能流水!$N$2:$N$1001,MATCH($B344,智能流水!$B$2:$B$1001,0)),""))</f>
        <v/>
      </c>
      <c r="O344" s="32">
        <f>IF($B344="","",IFERROR(INDEX(智能流水!$O$2:$O$1001,MATCH($B344,智能流水!$B$2:$B$1001,0)),""))</f>
        <v/>
      </c>
    </row>
    <row r="345" ht="23" customHeight="1" s="21">
      <c r="A345" s="32">
        <f>IF($B345="","",344)</f>
        <v/>
      </c>
      <c r="B345" s="32">
        <f>IFERROR(LARGE(智能流水!$B$2:$B$1001,344),"")</f>
        <v/>
      </c>
      <c r="C345" s="33">
        <f>IF($B345="","",IFERROR(INDEX(智能流水!$C$2:$C$1001,MATCH($B345,智能流水!$B$2:$B$1001,0)),""))</f>
        <v/>
      </c>
      <c r="D345" s="34">
        <f>IF($B345="","",IFERROR(INDEX(智能流水!$D$2:$D$1001,MATCH($B345,智能流水!$B$2:$B$1001,0)),""))</f>
        <v/>
      </c>
      <c r="E345" s="34">
        <f>IF($B345="","",IFERROR(INDEX(智能流水!$E$2:$E$1001,MATCH($B345,智能流水!$B$2:$B$1001,0)),""))</f>
        <v/>
      </c>
      <c r="F345" s="34">
        <f>IF($B345="","",IFERROR(INDEX(智能流水!$F$2:$F$1001,MATCH($B345,智能流水!$B$2:$B$1001,0)),""))</f>
        <v/>
      </c>
      <c r="G345" s="32">
        <f>IF($B345="","",IFERROR(INDEX(智能流水!$G$2:$G$1001,MATCH($B345,智能流水!$B$2:$B$1001,0)),""))</f>
        <v/>
      </c>
      <c r="H345" s="32">
        <f>IF($B345="","",IFERROR(INDEX(智能流水!$H$2:$H$1001,MATCH($B345,智能流水!$B$2:$B$1001,0)),""))</f>
        <v/>
      </c>
      <c r="I345" s="32">
        <f>IF($B345="","",IFERROR(INDEX(智能流水!$I$2:$I$1001,MATCH($B345,智能流水!$B$2:$B$1001,0)),""))</f>
        <v/>
      </c>
      <c r="J345" s="32">
        <f>IF($B345="","",IFERROR(INDEX(智能流水!$J$2:$J$1001,MATCH($B345,智能流水!$B$2:$B$1001,0)),""))</f>
        <v/>
      </c>
      <c r="K345" s="35">
        <f>IF($B345="","",IFERROR(INDEX(智能流水!$K$2:$K$1001,MATCH($B345,智能流水!$B$2:$B$1001,0)),""))</f>
        <v/>
      </c>
      <c r="L345" s="32">
        <f>IF($B345="","",IFERROR(INDEX(智能流水!$L$2:$L$1001,MATCH($B345,智能流水!$B$2:$B$1001,0)),""))</f>
        <v/>
      </c>
      <c r="M345" s="32">
        <f>IF($B345="","",IFERROR(INDEX(智能流水!$M$2:$M$1001,MATCH($B345,智能流水!$B$2:$B$1001,0)),""))</f>
        <v/>
      </c>
      <c r="N345" s="32">
        <f>IF($B345="","",IFERROR(INDEX(智能流水!$N$2:$N$1001,MATCH($B345,智能流水!$B$2:$B$1001,0)),""))</f>
        <v/>
      </c>
      <c r="O345" s="32">
        <f>IF($B345="","",IFERROR(INDEX(智能流水!$O$2:$O$1001,MATCH($B345,智能流水!$B$2:$B$1001,0)),""))</f>
        <v/>
      </c>
    </row>
    <row r="346" ht="23" customHeight="1" s="21">
      <c r="A346" s="32">
        <f>IF($B346="","",345)</f>
        <v/>
      </c>
      <c r="B346" s="32">
        <f>IFERROR(LARGE(智能流水!$B$2:$B$1001,345),"")</f>
        <v/>
      </c>
      <c r="C346" s="33">
        <f>IF($B346="","",IFERROR(INDEX(智能流水!$C$2:$C$1001,MATCH($B346,智能流水!$B$2:$B$1001,0)),""))</f>
        <v/>
      </c>
      <c r="D346" s="34">
        <f>IF($B346="","",IFERROR(INDEX(智能流水!$D$2:$D$1001,MATCH($B346,智能流水!$B$2:$B$1001,0)),""))</f>
        <v/>
      </c>
      <c r="E346" s="34">
        <f>IF($B346="","",IFERROR(INDEX(智能流水!$E$2:$E$1001,MATCH($B346,智能流水!$B$2:$B$1001,0)),""))</f>
        <v/>
      </c>
      <c r="F346" s="34">
        <f>IF($B346="","",IFERROR(INDEX(智能流水!$F$2:$F$1001,MATCH($B346,智能流水!$B$2:$B$1001,0)),""))</f>
        <v/>
      </c>
      <c r="G346" s="32">
        <f>IF($B346="","",IFERROR(INDEX(智能流水!$G$2:$G$1001,MATCH($B346,智能流水!$B$2:$B$1001,0)),""))</f>
        <v/>
      </c>
      <c r="H346" s="32">
        <f>IF($B346="","",IFERROR(INDEX(智能流水!$H$2:$H$1001,MATCH($B346,智能流水!$B$2:$B$1001,0)),""))</f>
        <v/>
      </c>
      <c r="I346" s="32">
        <f>IF($B346="","",IFERROR(INDEX(智能流水!$I$2:$I$1001,MATCH($B346,智能流水!$B$2:$B$1001,0)),""))</f>
        <v/>
      </c>
      <c r="J346" s="32">
        <f>IF($B346="","",IFERROR(INDEX(智能流水!$J$2:$J$1001,MATCH($B346,智能流水!$B$2:$B$1001,0)),""))</f>
        <v/>
      </c>
      <c r="K346" s="35">
        <f>IF($B346="","",IFERROR(INDEX(智能流水!$K$2:$K$1001,MATCH($B346,智能流水!$B$2:$B$1001,0)),""))</f>
        <v/>
      </c>
      <c r="L346" s="32">
        <f>IF($B346="","",IFERROR(INDEX(智能流水!$L$2:$L$1001,MATCH($B346,智能流水!$B$2:$B$1001,0)),""))</f>
        <v/>
      </c>
      <c r="M346" s="32">
        <f>IF($B346="","",IFERROR(INDEX(智能流水!$M$2:$M$1001,MATCH($B346,智能流水!$B$2:$B$1001,0)),""))</f>
        <v/>
      </c>
      <c r="N346" s="32">
        <f>IF($B346="","",IFERROR(INDEX(智能流水!$N$2:$N$1001,MATCH($B346,智能流水!$B$2:$B$1001,0)),""))</f>
        <v/>
      </c>
      <c r="O346" s="32">
        <f>IF($B346="","",IFERROR(INDEX(智能流水!$O$2:$O$1001,MATCH($B346,智能流水!$B$2:$B$1001,0)),""))</f>
        <v/>
      </c>
    </row>
    <row r="347" ht="23" customHeight="1" s="21">
      <c r="A347" s="32">
        <f>IF($B347="","",346)</f>
        <v/>
      </c>
      <c r="B347" s="32">
        <f>IFERROR(LARGE(智能流水!$B$2:$B$1001,346),"")</f>
        <v/>
      </c>
      <c r="C347" s="33">
        <f>IF($B347="","",IFERROR(INDEX(智能流水!$C$2:$C$1001,MATCH($B347,智能流水!$B$2:$B$1001,0)),""))</f>
        <v/>
      </c>
      <c r="D347" s="34">
        <f>IF($B347="","",IFERROR(INDEX(智能流水!$D$2:$D$1001,MATCH($B347,智能流水!$B$2:$B$1001,0)),""))</f>
        <v/>
      </c>
      <c r="E347" s="34">
        <f>IF($B347="","",IFERROR(INDEX(智能流水!$E$2:$E$1001,MATCH($B347,智能流水!$B$2:$B$1001,0)),""))</f>
        <v/>
      </c>
      <c r="F347" s="34">
        <f>IF($B347="","",IFERROR(INDEX(智能流水!$F$2:$F$1001,MATCH($B347,智能流水!$B$2:$B$1001,0)),""))</f>
        <v/>
      </c>
      <c r="G347" s="32">
        <f>IF($B347="","",IFERROR(INDEX(智能流水!$G$2:$G$1001,MATCH($B347,智能流水!$B$2:$B$1001,0)),""))</f>
        <v/>
      </c>
      <c r="H347" s="32">
        <f>IF($B347="","",IFERROR(INDEX(智能流水!$H$2:$H$1001,MATCH($B347,智能流水!$B$2:$B$1001,0)),""))</f>
        <v/>
      </c>
      <c r="I347" s="32">
        <f>IF($B347="","",IFERROR(INDEX(智能流水!$I$2:$I$1001,MATCH($B347,智能流水!$B$2:$B$1001,0)),""))</f>
        <v/>
      </c>
      <c r="J347" s="32">
        <f>IF($B347="","",IFERROR(INDEX(智能流水!$J$2:$J$1001,MATCH($B347,智能流水!$B$2:$B$1001,0)),""))</f>
        <v/>
      </c>
      <c r="K347" s="35">
        <f>IF($B347="","",IFERROR(INDEX(智能流水!$K$2:$K$1001,MATCH($B347,智能流水!$B$2:$B$1001,0)),""))</f>
        <v/>
      </c>
      <c r="L347" s="32">
        <f>IF($B347="","",IFERROR(INDEX(智能流水!$L$2:$L$1001,MATCH($B347,智能流水!$B$2:$B$1001,0)),""))</f>
        <v/>
      </c>
      <c r="M347" s="32">
        <f>IF($B347="","",IFERROR(INDEX(智能流水!$M$2:$M$1001,MATCH($B347,智能流水!$B$2:$B$1001,0)),""))</f>
        <v/>
      </c>
      <c r="N347" s="32">
        <f>IF($B347="","",IFERROR(INDEX(智能流水!$N$2:$N$1001,MATCH($B347,智能流水!$B$2:$B$1001,0)),""))</f>
        <v/>
      </c>
      <c r="O347" s="32">
        <f>IF($B347="","",IFERROR(INDEX(智能流水!$O$2:$O$1001,MATCH($B347,智能流水!$B$2:$B$1001,0)),""))</f>
        <v/>
      </c>
    </row>
    <row r="348" ht="23" customHeight="1" s="21">
      <c r="A348" s="32">
        <f>IF($B348="","",347)</f>
        <v/>
      </c>
      <c r="B348" s="32">
        <f>IFERROR(LARGE(智能流水!$B$2:$B$1001,347),"")</f>
        <v/>
      </c>
      <c r="C348" s="33">
        <f>IF($B348="","",IFERROR(INDEX(智能流水!$C$2:$C$1001,MATCH($B348,智能流水!$B$2:$B$1001,0)),""))</f>
        <v/>
      </c>
      <c r="D348" s="34">
        <f>IF($B348="","",IFERROR(INDEX(智能流水!$D$2:$D$1001,MATCH($B348,智能流水!$B$2:$B$1001,0)),""))</f>
        <v/>
      </c>
      <c r="E348" s="34">
        <f>IF($B348="","",IFERROR(INDEX(智能流水!$E$2:$E$1001,MATCH($B348,智能流水!$B$2:$B$1001,0)),""))</f>
        <v/>
      </c>
      <c r="F348" s="34">
        <f>IF($B348="","",IFERROR(INDEX(智能流水!$F$2:$F$1001,MATCH($B348,智能流水!$B$2:$B$1001,0)),""))</f>
        <v/>
      </c>
      <c r="G348" s="32">
        <f>IF($B348="","",IFERROR(INDEX(智能流水!$G$2:$G$1001,MATCH($B348,智能流水!$B$2:$B$1001,0)),""))</f>
        <v/>
      </c>
      <c r="H348" s="32">
        <f>IF($B348="","",IFERROR(INDEX(智能流水!$H$2:$H$1001,MATCH($B348,智能流水!$B$2:$B$1001,0)),""))</f>
        <v/>
      </c>
      <c r="I348" s="32">
        <f>IF($B348="","",IFERROR(INDEX(智能流水!$I$2:$I$1001,MATCH($B348,智能流水!$B$2:$B$1001,0)),""))</f>
        <v/>
      </c>
      <c r="J348" s="32">
        <f>IF($B348="","",IFERROR(INDEX(智能流水!$J$2:$J$1001,MATCH($B348,智能流水!$B$2:$B$1001,0)),""))</f>
        <v/>
      </c>
      <c r="K348" s="35">
        <f>IF($B348="","",IFERROR(INDEX(智能流水!$K$2:$K$1001,MATCH($B348,智能流水!$B$2:$B$1001,0)),""))</f>
        <v/>
      </c>
      <c r="L348" s="32">
        <f>IF($B348="","",IFERROR(INDEX(智能流水!$L$2:$L$1001,MATCH($B348,智能流水!$B$2:$B$1001,0)),""))</f>
        <v/>
      </c>
      <c r="M348" s="32">
        <f>IF($B348="","",IFERROR(INDEX(智能流水!$M$2:$M$1001,MATCH($B348,智能流水!$B$2:$B$1001,0)),""))</f>
        <v/>
      </c>
      <c r="N348" s="32">
        <f>IF($B348="","",IFERROR(INDEX(智能流水!$N$2:$N$1001,MATCH($B348,智能流水!$B$2:$B$1001,0)),""))</f>
        <v/>
      </c>
      <c r="O348" s="32">
        <f>IF($B348="","",IFERROR(INDEX(智能流水!$O$2:$O$1001,MATCH($B348,智能流水!$B$2:$B$1001,0)),""))</f>
        <v/>
      </c>
    </row>
    <row r="349" ht="23" customHeight="1" s="21">
      <c r="A349" s="32">
        <f>IF($B349="","",348)</f>
        <v/>
      </c>
      <c r="B349" s="32">
        <f>IFERROR(LARGE(智能流水!$B$2:$B$1001,348),"")</f>
        <v/>
      </c>
      <c r="C349" s="33">
        <f>IF($B349="","",IFERROR(INDEX(智能流水!$C$2:$C$1001,MATCH($B349,智能流水!$B$2:$B$1001,0)),""))</f>
        <v/>
      </c>
      <c r="D349" s="34">
        <f>IF($B349="","",IFERROR(INDEX(智能流水!$D$2:$D$1001,MATCH($B349,智能流水!$B$2:$B$1001,0)),""))</f>
        <v/>
      </c>
      <c r="E349" s="34">
        <f>IF($B349="","",IFERROR(INDEX(智能流水!$E$2:$E$1001,MATCH($B349,智能流水!$B$2:$B$1001,0)),""))</f>
        <v/>
      </c>
      <c r="F349" s="34">
        <f>IF($B349="","",IFERROR(INDEX(智能流水!$F$2:$F$1001,MATCH($B349,智能流水!$B$2:$B$1001,0)),""))</f>
        <v/>
      </c>
      <c r="G349" s="32">
        <f>IF($B349="","",IFERROR(INDEX(智能流水!$G$2:$G$1001,MATCH($B349,智能流水!$B$2:$B$1001,0)),""))</f>
        <v/>
      </c>
      <c r="H349" s="32">
        <f>IF($B349="","",IFERROR(INDEX(智能流水!$H$2:$H$1001,MATCH($B349,智能流水!$B$2:$B$1001,0)),""))</f>
        <v/>
      </c>
      <c r="I349" s="32">
        <f>IF($B349="","",IFERROR(INDEX(智能流水!$I$2:$I$1001,MATCH($B349,智能流水!$B$2:$B$1001,0)),""))</f>
        <v/>
      </c>
      <c r="J349" s="32">
        <f>IF($B349="","",IFERROR(INDEX(智能流水!$J$2:$J$1001,MATCH($B349,智能流水!$B$2:$B$1001,0)),""))</f>
        <v/>
      </c>
      <c r="K349" s="35">
        <f>IF($B349="","",IFERROR(INDEX(智能流水!$K$2:$K$1001,MATCH($B349,智能流水!$B$2:$B$1001,0)),""))</f>
        <v/>
      </c>
      <c r="L349" s="32">
        <f>IF($B349="","",IFERROR(INDEX(智能流水!$L$2:$L$1001,MATCH($B349,智能流水!$B$2:$B$1001,0)),""))</f>
        <v/>
      </c>
      <c r="M349" s="32">
        <f>IF($B349="","",IFERROR(INDEX(智能流水!$M$2:$M$1001,MATCH($B349,智能流水!$B$2:$B$1001,0)),""))</f>
        <v/>
      </c>
      <c r="N349" s="32">
        <f>IF($B349="","",IFERROR(INDEX(智能流水!$N$2:$N$1001,MATCH($B349,智能流水!$B$2:$B$1001,0)),""))</f>
        <v/>
      </c>
      <c r="O349" s="32">
        <f>IF($B349="","",IFERROR(INDEX(智能流水!$O$2:$O$1001,MATCH($B349,智能流水!$B$2:$B$1001,0)),""))</f>
        <v/>
      </c>
    </row>
    <row r="350" ht="23" customHeight="1" s="21">
      <c r="A350" s="32">
        <f>IF($B350="","",349)</f>
        <v/>
      </c>
      <c r="B350" s="32">
        <f>IFERROR(LARGE(智能流水!$B$2:$B$1001,349),"")</f>
        <v/>
      </c>
      <c r="C350" s="33">
        <f>IF($B350="","",IFERROR(INDEX(智能流水!$C$2:$C$1001,MATCH($B350,智能流水!$B$2:$B$1001,0)),""))</f>
        <v/>
      </c>
      <c r="D350" s="34">
        <f>IF($B350="","",IFERROR(INDEX(智能流水!$D$2:$D$1001,MATCH($B350,智能流水!$B$2:$B$1001,0)),""))</f>
        <v/>
      </c>
      <c r="E350" s="34">
        <f>IF($B350="","",IFERROR(INDEX(智能流水!$E$2:$E$1001,MATCH($B350,智能流水!$B$2:$B$1001,0)),""))</f>
        <v/>
      </c>
      <c r="F350" s="34">
        <f>IF($B350="","",IFERROR(INDEX(智能流水!$F$2:$F$1001,MATCH($B350,智能流水!$B$2:$B$1001,0)),""))</f>
        <v/>
      </c>
      <c r="G350" s="32">
        <f>IF($B350="","",IFERROR(INDEX(智能流水!$G$2:$G$1001,MATCH($B350,智能流水!$B$2:$B$1001,0)),""))</f>
        <v/>
      </c>
      <c r="H350" s="32">
        <f>IF($B350="","",IFERROR(INDEX(智能流水!$H$2:$H$1001,MATCH($B350,智能流水!$B$2:$B$1001,0)),""))</f>
        <v/>
      </c>
      <c r="I350" s="32">
        <f>IF($B350="","",IFERROR(INDEX(智能流水!$I$2:$I$1001,MATCH($B350,智能流水!$B$2:$B$1001,0)),""))</f>
        <v/>
      </c>
      <c r="J350" s="32">
        <f>IF($B350="","",IFERROR(INDEX(智能流水!$J$2:$J$1001,MATCH($B350,智能流水!$B$2:$B$1001,0)),""))</f>
        <v/>
      </c>
      <c r="K350" s="35">
        <f>IF($B350="","",IFERROR(INDEX(智能流水!$K$2:$K$1001,MATCH($B350,智能流水!$B$2:$B$1001,0)),""))</f>
        <v/>
      </c>
      <c r="L350" s="32">
        <f>IF($B350="","",IFERROR(INDEX(智能流水!$L$2:$L$1001,MATCH($B350,智能流水!$B$2:$B$1001,0)),""))</f>
        <v/>
      </c>
      <c r="M350" s="32">
        <f>IF($B350="","",IFERROR(INDEX(智能流水!$M$2:$M$1001,MATCH($B350,智能流水!$B$2:$B$1001,0)),""))</f>
        <v/>
      </c>
      <c r="N350" s="32">
        <f>IF($B350="","",IFERROR(INDEX(智能流水!$N$2:$N$1001,MATCH($B350,智能流水!$B$2:$B$1001,0)),""))</f>
        <v/>
      </c>
      <c r="O350" s="32">
        <f>IF($B350="","",IFERROR(INDEX(智能流水!$O$2:$O$1001,MATCH($B350,智能流水!$B$2:$B$1001,0)),""))</f>
        <v/>
      </c>
    </row>
    <row r="351" ht="23" customHeight="1" s="21">
      <c r="A351" s="32">
        <f>IF($B351="","",350)</f>
        <v/>
      </c>
      <c r="B351" s="32">
        <f>IFERROR(LARGE(智能流水!$B$2:$B$1001,350),"")</f>
        <v/>
      </c>
      <c r="C351" s="33">
        <f>IF($B351="","",IFERROR(INDEX(智能流水!$C$2:$C$1001,MATCH($B351,智能流水!$B$2:$B$1001,0)),""))</f>
        <v/>
      </c>
      <c r="D351" s="34">
        <f>IF($B351="","",IFERROR(INDEX(智能流水!$D$2:$D$1001,MATCH($B351,智能流水!$B$2:$B$1001,0)),""))</f>
        <v/>
      </c>
      <c r="E351" s="34">
        <f>IF($B351="","",IFERROR(INDEX(智能流水!$E$2:$E$1001,MATCH($B351,智能流水!$B$2:$B$1001,0)),""))</f>
        <v/>
      </c>
      <c r="F351" s="34">
        <f>IF($B351="","",IFERROR(INDEX(智能流水!$F$2:$F$1001,MATCH($B351,智能流水!$B$2:$B$1001,0)),""))</f>
        <v/>
      </c>
      <c r="G351" s="32">
        <f>IF($B351="","",IFERROR(INDEX(智能流水!$G$2:$G$1001,MATCH($B351,智能流水!$B$2:$B$1001,0)),""))</f>
        <v/>
      </c>
      <c r="H351" s="32">
        <f>IF($B351="","",IFERROR(INDEX(智能流水!$H$2:$H$1001,MATCH($B351,智能流水!$B$2:$B$1001,0)),""))</f>
        <v/>
      </c>
      <c r="I351" s="32">
        <f>IF($B351="","",IFERROR(INDEX(智能流水!$I$2:$I$1001,MATCH($B351,智能流水!$B$2:$B$1001,0)),""))</f>
        <v/>
      </c>
      <c r="J351" s="32">
        <f>IF($B351="","",IFERROR(INDEX(智能流水!$J$2:$J$1001,MATCH($B351,智能流水!$B$2:$B$1001,0)),""))</f>
        <v/>
      </c>
      <c r="K351" s="35">
        <f>IF($B351="","",IFERROR(INDEX(智能流水!$K$2:$K$1001,MATCH($B351,智能流水!$B$2:$B$1001,0)),""))</f>
        <v/>
      </c>
      <c r="L351" s="32">
        <f>IF($B351="","",IFERROR(INDEX(智能流水!$L$2:$L$1001,MATCH($B351,智能流水!$B$2:$B$1001,0)),""))</f>
        <v/>
      </c>
      <c r="M351" s="32">
        <f>IF($B351="","",IFERROR(INDEX(智能流水!$M$2:$M$1001,MATCH($B351,智能流水!$B$2:$B$1001,0)),""))</f>
        <v/>
      </c>
      <c r="N351" s="32">
        <f>IF($B351="","",IFERROR(INDEX(智能流水!$N$2:$N$1001,MATCH($B351,智能流水!$B$2:$B$1001,0)),""))</f>
        <v/>
      </c>
      <c r="O351" s="32">
        <f>IF($B351="","",IFERROR(INDEX(智能流水!$O$2:$O$1001,MATCH($B351,智能流水!$B$2:$B$1001,0)),""))</f>
        <v/>
      </c>
    </row>
    <row r="352" ht="23" customHeight="1" s="21">
      <c r="A352" s="32">
        <f>IF($B352="","",351)</f>
        <v/>
      </c>
      <c r="B352" s="32">
        <f>IFERROR(LARGE(智能流水!$B$2:$B$1001,351),"")</f>
        <v/>
      </c>
      <c r="C352" s="33">
        <f>IF($B352="","",IFERROR(INDEX(智能流水!$C$2:$C$1001,MATCH($B352,智能流水!$B$2:$B$1001,0)),""))</f>
        <v/>
      </c>
      <c r="D352" s="34">
        <f>IF($B352="","",IFERROR(INDEX(智能流水!$D$2:$D$1001,MATCH($B352,智能流水!$B$2:$B$1001,0)),""))</f>
        <v/>
      </c>
      <c r="E352" s="34">
        <f>IF($B352="","",IFERROR(INDEX(智能流水!$E$2:$E$1001,MATCH($B352,智能流水!$B$2:$B$1001,0)),""))</f>
        <v/>
      </c>
      <c r="F352" s="34">
        <f>IF($B352="","",IFERROR(INDEX(智能流水!$F$2:$F$1001,MATCH($B352,智能流水!$B$2:$B$1001,0)),""))</f>
        <v/>
      </c>
      <c r="G352" s="32">
        <f>IF($B352="","",IFERROR(INDEX(智能流水!$G$2:$G$1001,MATCH($B352,智能流水!$B$2:$B$1001,0)),""))</f>
        <v/>
      </c>
      <c r="H352" s="32">
        <f>IF($B352="","",IFERROR(INDEX(智能流水!$H$2:$H$1001,MATCH($B352,智能流水!$B$2:$B$1001,0)),""))</f>
        <v/>
      </c>
      <c r="I352" s="32">
        <f>IF($B352="","",IFERROR(INDEX(智能流水!$I$2:$I$1001,MATCH($B352,智能流水!$B$2:$B$1001,0)),""))</f>
        <v/>
      </c>
      <c r="J352" s="32">
        <f>IF($B352="","",IFERROR(INDEX(智能流水!$J$2:$J$1001,MATCH($B352,智能流水!$B$2:$B$1001,0)),""))</f>
        <v/>
      </c>
      <c r="K352" s="35">
        <f>IF($B352="","",IFERROR(INDEX(智能流水!$K$2:$K$1001,MATCH($B352,智能流水!$B$2:$B$1001,0)),""))</f>
        <v/>
      </c>
      <c r="L352" s="32">
        <f>IF($B352="","",IFERROR(INDEX(智能流水!$L$2:$L$1001,MATCH($B352,智能流水!$B$2:$B$1001,0)),""))</f>
        <v/>
      </c>
      <c r="M352" s="32">
        <f>IF($B352="","",IFERROR(INDEX(智能流水!$M$2:$M$1001,MATCH($B352,智能流水!$B$2:$B$1001,0)),""))</f>
        <v/>
      </c>
      <c r="N352" s="32">
        <f>IF($B352="","",IFERROR(INDEX(智能流水!$N$2:$N$1001,MATCH($B352,智能流水!$B$2:$B$1001,0)),""))</f>
        <v/>
      </c>
      <c r="O352" s="32">
        <f>IF($B352="","",IFERROR(INDEX(智能流水!$O$2:$O$1001,MATCH($B352,智能流水!$B$2:$B$1001,0)),""))</f>
        <v/>
      </c>
    </row>
    <row r="353" ht="23" customHeight="1" s="21">
      <c r="A353" s="32">
        <f>IF($B353="","",352)</f>
        <v/>
      </c>
      <c r="B353" s="32">
        <f>IFERROR(LARGE(智能流水!$B$2:$B$1001,352),"")</f>
        <v/>
      </c>
      <c r="C353" s="33">
        <f>IF($B353="","",IFERROR(INDEX(智能流水!$C$2:$C$1001,MATCH($B353,智能流水!$B$2:$B$1001,0)),""))</f>
        <v/>
      </c>
      <c r="D353" s="34">
        <f>IF($B353="","",IFERROR(INDEX(智能流水!$D$2:$D$1001,MATCH($B353,智能流水!$B$2:$B$1001,0)),""))</f>
        <v/>
      </c>
      <c r="E353" s="34">
        <f>IF($B353="","",IFERROR(INDEX(智能流水!$E$2:$E$1001,MATCH($B353,智能流水!$B$2:$B$1001,0)),""))</f>
        <v/>
      </c>
      <c r="F353" s="34">
        <f>IF($B353="","",IFERROR(INDEX(智能流水!$F$2:$F$1001,MATCH($B353,智能流水!$B$2:$B$1001,0)),""))</f>
        <v/>
      </c>
      <c r="G353" s="32">
        <f>IF($B353="","",IFERROR(INDEX(智能流水!$G$2:$G$1001,MATCH($B353,智能流水!$B$2:$B$1001,0)),""))</f>
        <v/>
      </c>
      <c r="H353" s="32">
        <f>IF($B353="","",IFERROR(INDEX(智能流水!$H$2:$H$1001,MATCH($B353,智能流水!$B$2:$B$1001,0)),""))</f>
        <v/>
      </c>
      <c r="I353" s="32">
        <f>IF($B353="","",IFERROR(INDEX(智能流水!$I$2:$I$1001,MATCH($B353,智能流水!$B$2:$B$1001,0)),""))</f>
        <v/>
      </c>
      <c r="J353" s="32">
        <f>IF($B353="","",IFERROR(INDEX(智能流水!$J$2:$J$1001,MATCH($B353,智能流水!$B$2:$B$1001,0)),""))</f>
        <v/>
      </c>
      <c r="K353" s="35">
        <f>IF($B353="","",IFERROR(INDEX(智能流水!$K$2:$K$1001,MATCH($B353,智能流水!$B$2:$B$1001,0)),""))</f>
        <v/>
      </c>
      <c r="L353" s="32">
        <f>IF($B353="","",IFERROR(INDEX(智能流水!$L$2:$L$1001,MATCH($B353,智能流水!$B$2:$B$1001,0)),""))</f>
        <v/>
      </c>
      <c r="M353" s="32">
        <f>IF($B353="","",IFERROR(INDEX(智能流水!$M$2:$M$1001,MATCH($B353,智能流水!$B$2:$B$1001,0)),""))</f>
        <v/>
      </c>
      <c r="N353" s="32">
        <f>IF($B353="","",IFERROR(INDEX(智能流水!$N$2:$N$1001,MATCH($B353,智能流水!$B$2:$B$1001,0)),""))</f>
        <v/>
      </c>
      <c r="O353" s="32">
        <f>IF($B353="","",IFERROR(INDEX(智能流水!$O$2:$O$1001,MATCH($B353,智能流水!$B$2:$B$1001,0)),""))</f>
        <v/>
      </c>
    </row>
    <row r="354" ht="23" customHeight="1" s="21">
      <c r="A354" s="32">
        <f>IF($B354="","",353)</f>
        <v/>
      </c>
      <c r="B354" s="32">
        <f>IFERROR(LARGE(智能流水!$B$2:$B$1001,353),"")</f>
        <v/>
      </c>
      <c r="C354" s="33">
        <f>IF($B354="","",IFERROR(INDEX(智能流水!$C$2:$C$1001,MATCH($B354,智能流水!$B$2:$B$1001,0)),""))</f>
        <v/>
      </c>
      <c r="D354" s="34">
        <f>IF($B354="","",IFERROR(INDEX(智能流水!$D$2:$D$1001,MATCH($B354,智能流水!$B$2:$B$1001,0)),""))</f>
        <v/>
      </c>
      <c r="E354" s="34">
        <f>IF($B354="","",IFERROR(INDEX(智能流水!$E$2:$E$1001,MATCH($B354,智能流水!$B$2:$B$1001,0)),""))</f>
        <v/>
      </c>
      <c r="F354" s="34">
        <f>IF($B354="","",IFERROR(INDEX(智能流水!$F$2:$F$1001,MATCH($B354,智能流水!$B$2:$B$1001,0)),""))</f>
        <v/>
      </c>
      <c r="G354" s="32">
        <f>IF($B354="","",IFERROR(INDEX(智能流水!$G$2:$G$1001,MATCH($B354,智能流水!$B$2:$B$1001,0)),""))</f>
        <v/>
      </c>
      <c r="H354" s="32">
        <f>IF($B354="","",IFERROR(INDEX(智能流水!$H$2:$H$1001,MATCH($B354,智能流水!$B$2:$B$1001,0)),""))</f>
        <v/>
      </c>
      <c r="I354" s="32">
        <f>IF($B354="","",IFERROR(INDEX(智能流水!$I$2:$I$1001,MATCH($B354,智能流水!$B$2:$B$1001,0)),""))</f>
        <v/>
      </c>
      <c r="J354" s="32">
        <f>IF($B354="","",IFERROR(INDEX(智能流水!$J$2:$J$1001,MATCH($B354,智能流水!$B$2:$B$1001,0)),""))</f>
        <v/>
      </c>
      <c r="K354" s="35">
        <f>IF($B354="","",IFERROR(INDEX(智能流水!$K$2:$K$1001,MATCH($B354,智能流水!$B$2:$B$1001,0)),""))</f>
        <v/>
      </c>
      <c r="L354" s="32">
        <f>IF($B354="","",IFERROR(INDEX(智能流水!$L$2:$L$1001,MATCH($B354,智能流水!$B$2:$B$1001,0)),""))</f>
        <v/>
      </c>
      <c r="M354" s="32">
        <f>IF($B354="","",IFERROR(INDEX(智能流水!$M$2:$M$1001,MATCH($B354,智能流水!$B$2:$B$1001,0)),""))</f>
        <v/>
      </c>
      <c r="N354" s="32">
        <f>IF($B354="","",IFERROR(INDEX(智能流水!$N$2:$N$1001,MATCH($B354,智能流水!$B$2:$B$1001,0)),""))</f>
        <v/>
      </c>
      <c r="O354" s="32">
        <f>IF($B354="","",IFERROR(INDEX(智能流水!$O$2:$O$1001,MATCH($B354,智能流水!$B$2:$B$1001,0)),""))</f>
        <v/>
      </c>
    </row>
    <row r="355" ht="23" customHeight="1" s="21">
      <c r="A355" s="32">
        <f>IF($B355="","",354)</f>
        <v/>
      </c>
      <c r="B355" s="32">
        <f>IFERROR(LARGE(智能流水!$B$2:$B$1001,354),"")</f>
        <v/>
      </c>
      <c r="C355" s="33">
        <f>IF($B355="","",IFERROR(INDEX(智能流水!$C$2:$C$1001,MATCH($B355,智能流水!$B$2:$B$1001,0)),""))</f>
        <v/>
      </c>
      <c r="D355" s="34">
        <f>IF($B355="","",IFERROR(INDEX(智能流水!$D$2:$D$1001,MATCH($B355,智能流水!$B$2:$B$1001,0)),""))</f>
        <v/>
      </c>
      <c r="E355" s="34">
        <f>IF($B355="","",IFERROR(INDEX(智能流水!$E$2:$E$1001,MATCH($B355,智能流水!$B$2:$B$1001,0)),""))</f>
        <v/>
      </c>
      <c r="F355" s="34">
        <f>IF($B355="","",IFERROR(INDEX(智能流水!$F$2:$F$1001,MATCH($B355,智能流水!$B$2:$B$1001,0)),""))</f>
        <v/>
      </c>
      <c r="G355" s="32">
        <f>IF($B355="","",IFERROR(INDEX(智能流水!$G$2:$G$1001,MATCH($B355,智能流水!$B$2:$B$1001,0)),""))</f>
        <v/>
      </c>
      <c r="H355" s="32">
        <f>IF($B355="","",IFERROR(INDEX(智能流水!$H$2:$H$1001,MATCH($B355,智能流水!$B$2:$B$1001,0)),""))</f>
        <v/>
      </c>
      <c r="I355" s="32">
        <f>IF($B355="","",IFERROR(INDEX(智能流水!$I$2:$I$1001,MATCH($B355,智能流水!$B$2:$B$1001,0)),""))</f>
        <v/>
      </c>
      <c r="J355" s="32">
        <f>IF($B355="","",IFERROR(INDEX(智能流水!$J$2:$J$1001,MATCH($B355,智能流水!$B$2:$B$1001,0)),""))</f>
        <v/>
      </c>
      <c r="K355" s="35">
        <f>IF($B355="","",IFERROR(INDEX(智能流水!$K$2:$K$1001,MATCH($B355,智能流水!$B$2:$B$1001,0)),""))</f>
        <v/>
      </c>
      <c r="L355" s="32">
        <f>IF($B355="","",IFERROR(INDEX(智能流水!$L$2:$L$1001,MATCH($B355,智能流水!$B$2:$B$1001,0)),""))</f>
        <v/>
      </c>
      <c r="M355" s="32">
        <f>IF($B355="","",IFERROR(INDEX(智能流水!$M$2:$M$1001,MATCH($B355,智能流水!$B$2:$B$1001,0)),""))</f>
        <v/>
      </c>
      <c r="N355" s="32">
        <f>IF($B355="","",IFERROR(INDEX(智能流水!$N$2:$N$1001,MATCH($B355,智能流水!$B$2:$B$1001,0)),""))</f>
        <v/>
      </c>
      <c r="O355" s="32">
        <f>IF($B355="","",IFERROR(INDEX(智能流水!$O$2:$O$1001,MATCH($B355,智能流水!$B$2:$B$1001,0)),""))</f>
        <v/>
      </c>
    </row>
    <row r="356" ht="23" customHeight="1" s="21">
      <c r="A356" s="32">
        <f>IF($B356="","",355)</f>
        <v/>
      </c>
      <c r="B356" s="32">
        <f>IFERROR(LARGE(智能流水!$B$2:$B$1001,355),"")</f>
        <v/>
      </c>
      <c r="C356" s="33">
        <f>IF($B356="","",IFERROR(INDEX(智能流水!$C$2:$C$1001,MATCH($B356,智能流水!$B$2:$B$1001,0)),""))</f>
        <v/>
      </c>
      <c r="D356" s="34">
        <f>IF($B356="","",IFERROR(INDEX(智能流水!$D$2:$D$1001,MATCH($B356,智能流水!$B$2:$B$1001,0)),""))</f>
        <v/>
      </c>
      <c r="E356" s="34">
        <f>IF($B356="","",IFERROR(INDEX(智能流水!$E$2:$E$1001,MATCH($B356,智能流水!$B$2:$B$1001,0)),""))</f>
        <v/>
      </c>
      <c r="F356" s="34">
        <f>IF($B356="","",IFERROR(INDEX(智能流水!$F$2:$F$1001,MATCH($B356,智能流水!$B$2:$B$1001,0)),""))</f>
        <v/>
      </c>
      <c r="G356" s="32">
        <f>IF($B356="","",IFERROR(INDEX(智能流水!$G$2:$G$1001,MATCH($B356,智能流水!$B$2:$B$1001,0)),""))</f>
        <v/>
      </c>
      <c r="H356" s="32">
        <f>IF($B356="","",IFERROR(INDEX(智能流水!$H$2:$H$1001,MATCH($B356,智能流水!$B$2:$B$1001,0)),""))</f>
        <v/>
      </c>
      <c r="I356" s="32">
        <f>IF($B356="","",IFERROR(INDEX(智能流水!$I$2:$I$1001,MATCH($B356,智能流水!$B$2:$B$1001,0)),""))</f>
        <v/>
      </c>
      <c r="J356" s="32">
        <f>IF($B356="","",IFERROR(INDEX(智能流水!$J$2:$J$1001,MATCH($B356,智能流水!$B$2:$B$1001,0)),""))</f>
        <v/>
      </c>
      <c r="K356" s="35">
        <f>IF($B356="","",IFERROR(INDEX(智能流水!$K$2:$K$1001,MATCH($B356,智能流水!$B$2:$B$1001,0)),""))</f>
        <v/>
      </c>
      <c r="L356" s="32">
        <f>IF($B356="","",IFERROR(INDEX(智能流水!$L$2:$L$1001,MATCH($B356,智能流水!$B$2:$B$1001,0)),""))</f>
        <v/>
      </c>
      <c r="M356" s="32">
        <f>IF($B356="","",IFERROR(INDEX(智能流水!$M$2:$M$1001,MATCH($B356,智能流水!$B$2:$B$1001,0)),""))</f>
        <v/>
      </c>
      <c r="N356" s="32">
        <f>IF($B356="","",IFERROR(INDEX(智能流水!$N$2:$N$1001,MATCH($B356,智能流水!$B$2:$B$1001,0)),""))</f>
        <v/>
      </c>
      <c r="O356" s="32">
        <f>IF($B356="","",IFERROR(INDEX(智能流水!$O$2:$O$1001,MATCH($B356,智能流水!$B$2:$B$1001,0)),""))</f>
        <v/>
      </c>
    </row>
    <row r="357" ht="23" customHeight="1" s="21">
      <c r="A357" s="32">
        <f>IF($B357="","",356)</f>
        <v/>
      </c>
      <c r="B357" s="32">
        <f>IFERROR(LARGE(智能流水!$B$2:$B$1001,356),"")</f>
        <v/>
      </c>
      <c r="C357" s="33">
        <f>IF($B357="","",IFERROR(INDEX(智能流水!$C$2:$C$1001,MATCH($B357,智能流水!$B$2:$B$1001,0)),""))</f>
        <v/>
      </c>
      <c r="D357" s="34">
        <f>IF($B357="","",IFERROR(INDEX(智能流水!$D$2:$D$1001,MATCH($B357,智能流水!$B$2:$B$1001,0)),""))</f>
        <v/>
      </c>
      <c r="E357" s="34">
        <f>IF($B357="","",IFERROR(INDEX(智能流水!$E$2:$E$1001,MATCH($B357,智能流水!$B$2:$B$1001,0)),""))</f>
        <v/>
      </c>
      <c r="F357" s="34">
        <f>IF($B357="","",IFERROR(INDEX(智能流水!$F$2:$F$1001,MATCH($B357,智能流水!$B$2:$B$1001,0)),""))</f>
        <v/>
      </c>
      <c r="G357" s="32">
        <f>IF($B357="","",IFERROR(INDEX(智能流水!$G$2:$G$1001,MATCH($B357,智能流水!$B$2:$B$1001,0)),""))</f>
        <v/>
      </c>
      <c r="H357" s="32">
        <f>IF($B357="","",IFERROR(INDEX(智能流水!$H$2:$H$1001,MATCH($B357,智能流水!$B$2:$B$1001,0)),""))</f>
        <v/>
      </c>
      <c r="I357" s="32">
        <f>IF($B357="","",IFERROR(INDEX(智能流水!$I$2:$I$1001,MATCH($B357,智能流水!$B$2:$B$1001,0)),""))</f>
        <v/>
      </c>
      <c r="J357" s="32">
        <f>IF($B357="","",IFERROR(INDEX(智能流水!$J$2:$J$1001,MATCH($B357,智能流水!$B$2:$B$1001,0)),""))</f>
        <v/>
      </c>
      <c r="K357" s="35">
        <f>IF($B357="","",IFERROR(INDEX(智能流水!$K$2:$K$1001,MATCH($B357,智能流水!$B$2:$B$1001,0)),""))</f>
        <v/>
      </c>
      <c r="L357" s="32">
        <f>IF($B357="","",IFERROR(INDEX(智能流水!$L$2:$L$1001,MATCH($B357,智能流水!$B$2:$B$1001,0)),""))</f>
        <v/>
      </c>
      <c r="M357" s="32">
        <f>IF($B357="","",IFERROR(INDEX(智能流水!$M$2:$M$1001,MATCH($B357,智能流水!$B$2:$B$1001,0)),""))</f>
        <v/>
      </c>
      <c r="N357" s="32">
        <f>IF($B357="","",IFERROR(INDEX(智能流水!$N$2:$N$1001,MATCH($B357,智能流水!$B$2:$B$1001,0)),""))</f>
        <v/>
      </c>
      <c r="O357" s="32">
        <f>IF($B357="","",IFERROR(INDEX(智能流水!$O$2:$O$1001,MATCH($B357,智能流水!$B$2:$B$1001,0)),""))</f>
        <v/>
      </c>
    </row>
    <row r="358" ht="23" customHeight="1" s="21">
      <c r="A358" s="32">
        <f>IF($B358="","",357)</f>
        <v/>
      </c>
      <c r="B358" s="32">
        <f>IFERROR(LARGE(智能流水!$B$2:$B$1001,357),"")</f>
        <v/>
      </c>
      <c r="C358" s="33">
        <f>IF($B358="","",IFERROR(INDEX(智能流水!$C$2:$C$1001,MATCH($B358,智能流水!$B$2:$B$1001,0)),""))</f>
        <v/>
      </c>
      <c r="D358" s="34">
        <f>IF($B358="","",IFERROR(INDEX(智能流水!$D$2:$D$1001,MATCH($B358,智能流水!$B$2:$B$1001,0)),""))</f>
        <v/>
      </c>
      <c r="E358" s="34">
        <f>IF($B358="","",IFERROR(INDEX(智能流水!$E$2:$E$1001,MATCH($B358,智能流水!$B$2:$B$1001,0)),""))</f>
        <v/>
      </c>
      <c r="F358" s="34">
        <f>IF($B358="","",IFERROR(INDEX(智能流水!$F$2:$F$1001,MATCH($B358,智能流水!$B$2:$B$1001,0)),""))</f>
        <v/>
      </c>
      <c r="G358" s="32">
        <f>IF($B358="","",IFERROR(INDEX(智能流水!$G$2:$G$1001,MATCH($B358,智能流水!$B$2:$B$1001,0)),""))</f>
        <v/>
      </c>
      <c r="H358" s="32">
        <f>IF($B358="","",IFERROR(INDEX(智能流水!$H$2:$H$1001,MATCH($B358,智能流水!$B$2:$B$1001,0)),""))</f>
        <v/>
      </c>
      <c r="I358" s="32">
        <f>IF($B358="","",IFERROR(INDEX(智能流水!$I$2:$I$1001,MATCH($B358,智能流水!$B$2:$B$1001,0)),""))</f>
        <v/>
      </c>
      <c r="J358" s="32">
        <f>IF($B358="","",IFERROR(INDEX(智能流水!$J$2:$J$1001,MATCH($B358,智能流水!$B$2:$B$1001,0)),""))</f>
        <v/>
      </c>
      <c r="K358" s="35">
        <f>IF($B358="","",IFERROR(INDEX(智能流水!$K$2:$K$1001,MATCH($B358,智能流水!$B$2:$B$1001,0)),""))</f>
        <v/>
      </c>
      <c r="L358" s="32">
        <f>IF($B358="","",IFERROR(INDEX(智能流水!$L$2:$L$1001,MATCH($B358,智能流水!$B$2:$B$1001,0)),""))</f>
        <v/>
      </c>
      <c r="M358" s="32">
        <f>IF($B358="","",IFERROR(INDEX(智能流水!$M$2:$M$1001,MATCH($B358,智能流水!$B$2:$B$1001,0)),""))</f>
        <v/>
      </c>
      <c r="N358" s="32">
        <f>IF($B358="","",IFERROR(INDEX(智能流水!$N$2:$N$1001,MATCH($B358,智能流水!$B$2:$B$1001,0)),""))</f>
        <v/>
      </c>
      <c r="O358" s="32">
        <f>IF($B358="","",IFERROR(INDEX(智能流水!$O$2:$O$1001,MATCH($B358,智能流水!$B$2:$B$1001,0)),""))</f>
        <v/>
      </c>
    </row>
    <row r="359" ht="23" customHeight="1" s="21">
      <c r="A359" s="32">
        <f>IF($B359="","",358)</f>
        <v/>
      </c>
      <c r="B359" s="32">
        <f>IFERROR(LARGE(智能流水!$B$2:$B$1001,358),"")</f>
        <v/>
      </c>
      <c r="C359" s="33">
        <f>IF($B359="","",IFERROR(INDEX(智能流水!$C$2:$C$1001,MATCH($B359,智能流水!$B$2:$B$1001,0)),""))</f>
        <v/>
      </c>
      <c r="D359" s="34">
        <f>IF($B359="","",IFERROR(INDEX(智能流水!$D$2:$D$1001,MATCH($B359,智能流水!$B$2:$B$1001,0)),""))</f>
        <v/>
      </c>
      <c r="E359" s="34">
        <f>IF($B359="","",IFERROR(INDEX(智能流水!$E$2:$E$1001,MATCH($B359,智能流水!$B$2:$B$1001,0)),""))</f>
        <v/>
      </c>
      <c r="F359" s="34">
        <f>IF($B359="","",IFERROR(INDEX(智能流水!$F$2:$F$1001,MATCH($B359,智能流水!$B$2:$B$1001,0)),""))</f>
        <v/>
      </c>
      <c r="G359" s="32">
        <f>IF($B359="","",IFERROR(INDEX(智能流水!$G$2:$G$1001,MATCH($B359,智能流水!$B$2:$B$1001,0)),""))</f>
        <v/>
      </c>
      <c r="H359" s="32">
        <f>IF($B359="","",IFERROR(INDEX(智能流水!$H$2:$H$1001,MATCH($B359,智能流水!$B$2:$B$1001,0)),""))</f>
        <v/>
      </c>
      <c r="I359" s="32">
        <f>IF($B359="","",IFERROR(INDEX(智能流水!$I$2:$I$1001,MATCH($B359,智能流水!$B$2:$B$1001,0)),""))</f>
        <v/>
      </c>
      <c r="J359" s="32">
        <f>IF($B359="","",IFERROR(INDEX(智能流水!$J$2:$J$1001,MATCH($B359,智能流水!$B$2:$B$1001,0)),""))</f>
        <v/>
      </c>
      <c r="K359" s="35">
        <f>IF($B359="","",IFERROR(INDEX(智能流水!$K$2:$K$1001,MATCH($B359,智能流水!$B$2:$B$1001,0)),""))</f>
        <v/>
      </c>
      <c r="L359" s="32">
        <f>IF($B359="","",IFERROR(INDEX(智能流水!$L$2:$L$1001,MATCH($B359,智能流水!$B$2:$B$1001,0)),""))</f>
        <v/>
      </c>
      <c r="M359" s="32">
        <f>IF($B359="","",IFERROR(INDEX(智能流水!$M$2:$M$1001,MATCH($B359,智能流水!$B$2:$B$1001,0)),""))</f>
        <v/>
      </c>
      <c r="N359" s="32">
        <f>IF($B359="","",IFERROR(INDEX(智能流水!$N$2:$N$1001,MATCH($B359,智能流水!$B$2:$B$1001,0)),""))</f>
        <v/>
      </c>
      <c r="O359" s="32">
        <f>IF($B359="","",IFERROR(INDEX(智能流水!$O$2:$O$1001,MATCH($B359,智能流水!$B$2:$B$1001,0)),""))</f>
        <v/>
      </c>
    </row>
    <row r="360" ht="23" customHeight="1" s="21">
      <c r="A360" s="32">
        <f>IF($B360="","",359)</f>
        <v/>
      </c>
      <c r="B360" s="32">
        <f>IFERROR(LARGE(智能流水!$B$2:$B$1001,359),"")</f>
        <v/>
      </c>
      <c r="C360" s="33">
        <f>IF($B360="","",IFERROR(INDEX(智能流水!$C$2:$C$1001,MATCH($B360,智能流水!$B$2:$B$1001,0)),""))</f>
        <v/>
      </c>
      <c r="D360" s="34">
        <f>IF($B360="","",IFERROR(INDEX(智能流水!$D$2:$D$1001,MATCH($B360,智能流水!$B$2:$B$1001,0)),""))</f>
        <v/>
      </c>
      <c r="E360" s="34">
        <f>IF($B360="","",IFERROR(INDEX(智能流水!$E$2:$E$1001,MATCH($B360,智能流水!$B$2:$B$1001,0)),""))</f>
        <v/>
      </c>
      <c r="F360" s="34">
        <f>IF($B360="","",IFERROR(INDEX(智能流水!$F$2:$F$1001,MATCH($B360,智能流水!$B$2:$B$1001,0)),""))</f>
        <v/>
      </c>
      <c r="G360" s="32">
        <f>IF($B360="","",IFERROR(INDEX(智能流水!$G$2:$G$1001,MATCH($B360,智能流水!$B$2:$B$1001,0)),""))</f>
        <v/>
      </c>
      <c r="H360" s="32">
        <f>IF($B360="","",IFERROR(INDEX(智能流水!$H$2:$H$1001,MATCH($B360,智能流水!$B$2:$B$1001,0)),""))</f>
        <v/>
      </c>
      <c r="I360" s="32">
        <f>IF($B360="","",IFERROR(INDEX(智能流水!$I$2:$I$1001,MATCH($B360,智能流水!$B$2:$B$1001,0)),""))</f>
        <v/>
      </c>
      <c r="J360" s="32">
        <f>IF($B360="","",IFERROR(INDEX(智能流水!$J$2:$J$1001,MATCH($B360,智能流水!$B$2:$B$1001,0)),""))</f>
        <v/>
      </c>
      <c r="K360" s="35">
        <f>IF($B360="","",IFERROR(INDEX(智能流水!$K$2:$K$1001,MATCH($B360,智能流水!$B$2:$B$1001,0)),""))</f>
        <v/>
      </c>
      <c r="L360" s="32">
        <f>IF($B360="","",IFERROR(INDEX(智能流水!$L$2:$L$1001,MATCH($B360,智能流水!$B$2:$B$1001,0)),""))</f>
        <v/>
      </c>
      <c r="M360" s="32">
        <f>IF($B360="","",IFERROR(INDEX(智能流水!$M$2:$M$1001,MATCH($B360,智能流水!$B$2:$B$1001,0)),""))</f>
        <v/>
      </c>
      <c r="N360" s="32">
        <f>IF($B360="","",IFERROR(INDEX(智能流水!$N$2:$N$1001,MATCH($B360,智能流水!$B$2:$B$1001,0)),""))</f>
        <v/>
      </c>
      <c r="O360" s="32">
        <f>IF($B360="","",IFERROR(INDEX(智能流水!$O$2:$O$1001,MATCH($B360,智能流水!$B$2:$B$1001,0)),""))</f>
        <v/>
      </c>
    </row>
    <row r="361" ht="23" customHeight="1" s="21">
      <c r="A361" s="32">
        <f>IF($B361="","",360)</f>
        <v/>
      </c>
      <c r="B361" s="32">
        <f>IFERROR(LARGE(智能流水!$B$2:$B$1001,360),"")</f>
        <v/>
      </c>
      <c r="C361" s="33">
        <f>IF($B361="","",IFERROR(INDEX(智能流水!$C$2:$C$1001,MATCH($B361,智能流水!$B$2:$B$1001,0)),""))</f>
        <v/>
      </c>
      <c r="D361" s="34">
        <f>IF($B361="","",IFERROR(INDEX(智能流水!$D$2:$D$1001,MATCH($B361,智能流水!$B$2:$B$1001,0)),""))</f>
        <v/>
      </c>
      <c r="E361" s="34">
        <f>IF($B361="","",IFERROR(INDEX(智能流水!$E$2:$E$1001,MATCH($B361,智能流水!$B$2:$B$1001,0)),""))</f>
        <v/>
      </c>
      <c r="F361" s="34">
        <f>IF($B361="","",IFERROR(INDEX(智能流水!$F$2:$F$1001,MATCH($B361,智能流水!$B$2:$B$1001,0)),""))</f>
        <v/>
      </c>
      <c r="G361" s="32">
        <f>IF($B361="","",IFERROR(INDEX(智能流水!$G$2:$G$1001,MATCH($B361,智能流水!$B$2:$B$1001,0)),""))</f>
        <v/>
      </c>
      <c r="H361" s="32">
        <f>IF($B361="","",IFERROR(INDEX(智能流水!$H$2:$H$1001,MATCH($B361,智能流水!$B$2:$B$1001,0)),""))</f>
        <v/>
      </c>
      <c r="I361" s="32">
        <f>IF($B361="","",IFERROR(INDEX(智能流水!$I$2:$I$1001,MATCH($B361,智能流水!$B$2:$B$1001,0)),""))</f>
        <v/>
      </c>
      <c r="J361" s="32">
        <f>IF($B361="","",IFERROR(INDEX(智能流水!$J$2:$J$1001,MATCH($B361,智能流水!$B$2:$B$1001,0)),""))</f>
        <v/>
      </c>
      <c r="K361" s="35">
        <f>IF($B361="","",IFERROR(INDEX(智能流水!$K$2:$K$1001,MATCH($B361,智能流水!$B$2:$B$1001,0)),""))</f>
        <v/>
      </c>
      <c r="L361" s="32">
        <f>IF($B361="","",IFERROR(INDEX(智能流水!$L$2:$L$1001,MATCH($B361,智能流水!$B$2:$B$1001,0)),""))</f>
        <v/>
      </c>
      <c r="M361" s="32">
        <f>IF($B361="","",IFERROR(INDEX(智能流水!$M$2:$M$1001,MATCH($B361,智能流水!$B$2:$B$1001,0)),""))</f>
        <v/>
      </c>
      <c r="N361" s="32">
        <f>IF($B361="","",IFERROR(INDEX(智能流水!$N$2:$N$1001,MATCH($B361,智能流水!$B$2:$B$1001,0)),""))</f>
        <v/>
      </c>
      <c r="O361" s="32">
        <f>IF($B361="","",IFERROR(INDEX(智能流水!$O$2:$O$1001,MATCH($B361,智能流水!$B$2:$B$1001,0)),""))</f>
        <v/>
      </c>
    </row>
    <row r="362" ht="23" customHeight="1" s="21">
      <c r="A362" s="32">
        <f>IF($B362="","",361)</f>
        <v/>
      </c>
      <c r="B362" s="32">
        <f>IFERROR(LARGE(智能流水!$B$2:$B$1001,361),"")</f>
        <v/>
      </c>
      <c r="C362" s="33">
        <f>IF($B362="","",IFERROR(INDEX(智能流水!$C$2:$C$1001,MATCH($B362,智能流水!$B$2:$B$1001,0)),""))</f>
        <v/>
      </c>
      <c r="D362" s="34">
        <f>IF($B362="","",IFERROR(INDEX(智能流水!$D$2:$D$1001,MATCH($B362,智能流水!$B$2:$B$1001,0)),""))</f>
        <v/>
      </c>
      <c r="E362" s="34">
        <f>IF($B362="","",IFERROR(INDEX(智能流水!$E$2:$E$1001,MATCH($B362,智能流水!$B$2:$B$1001,0)),""))</f>
        <v/>
      </c>
      <c r="F362" s="34">
        <f>IF($B362="","",IFERROR(INDEX(智能流水!$F$2:$F$1001,MATCH($B362,智能流水!$B$2:$B$1001,0)),""))</f>
        <v/>
      </c>
      <c r="G362" s="32">
        <f>IF($B362="","",IFERROR(INDEX(智能流水!$G$2:$G$1001,MATCH($B362,智能流水!$B$2:$B$1001,0)),""))</f>
        <v/>
      </c>
      <c r="H362" s="32">
        <f>IF($B362="","",IFERROR(INDEX(智能流水!$H$2:$H$1001,MATCH($B362,智能流水!$B$2:$B$1001,0)),""))</f>
        <v/>
      </c>
      <c r="I362" s="32">
        <f>IF($B362="","",IFERROR(INDEX(智能流水!$I$2:$I$1001,MATCH($B362,智能流水!$B$2:$B$1001,0)),""))</f>
        <v/>
      </c>
      <c r="J362" s="32">
        <f>IF($B362="","",IFERROR(INDEX(智能流水!$J$2:$J$1001,MATCH($B362,智能流水!$B$2:$B$1001,0)),""))</f>
        <v/>
      </c>
      <c r="K362" s="35">
        <f>IF($B362="","",IFERROR(INDEX(智能流水!$K$2:$K$1001,MATCH($B362,智能流水!$B$2:$B$1001,0)),""))</f>
        <v/>
      </c>
      <c r="L362" s="32">
        <f>IF($B362="","",IFERROR(INDEX(智能流水!$L$2:$L$1001,MATCH($B362,智能流水!$B$2:$B$1001,0)),""))</f>
        <v/>
      </c>
      <c r="M362" s="32">
        <f>IF($B362="","",IFERROR(INDEX(智能流水!$M$2:$M$1001,MATCH($B362,智能流水!$B$2:$B$1001,0)),""))</f>
        <v/>
      </c>
      <c r="N362" s="32">
        <f>IF($B362="","",IFERROR(INDEX(智能流水!$N$2:$N$1001,MATCH($B362,智能流水!$B$2:$B$1001,0)),""))</f>
        <v/>
      </c>
      <c r="O362" s="32">
        <f>IF($B362="","",IFERROR(INDEX(智能流水!$O$2:$O$1001,MATCH($B362,智能流水!$B$2:$B$1001,0)),""))</f>
        <v/>
      </c>
    </row>
    <row r="363" ht="23" customHeight="1" s="21">
      <c r="A363" s="32">
        <f>IF($B363="","",362)</f>
        <v/>
      </c>
      <c r="B363" s="32">
        <f>IFERROR(LARGE(智能流水!$B$2:$B$1001,362),"")</f>
        <v/>
      </c>
      <c r="C363" s="33">
        <f>IF($B363="","",IFERROR(INDEX(智能流水!$C$2:$C$1001,MATCH($B363,智能流水!$B$2:$B$1001,0)),""))</f>
        <v/>
      </c>
      <c r="D363" s="34">
        <f>IF($B363="","",IFERROR(INDEX(智能流水!$D$2:$D$1001,MATCH($B363,智能流水!$B$2:$B$1001,0)),""))</f>
        <v/>
      </c>
      <c r="E363" s="34">
        <f>IF($B363="","",IFERROR(INDEX(智能流水!$E$2:$E$1001,MATCH($B363,智能流水!$B$2:$B$1001,0)),""))</f>
        <v/>
      </c>
      <c r="F363" s="34">
        <f>IF($B363="","",IFERROR(INDEX(智能流水!$F$2:$F$1001,MATCH($B363,智能流水!$B$2:$B$1001,0)),""))</f>
        <v/>
      </c>
      <c r="G363" s="32">
        <f>IF($B363="","",IFERROR(INDEX(智能流水!$G$2:$G$1001,MATCH($B363,智能流水!$B$2:$B$1001,0)),""))</f>
        <v/>
      </c>
      <c r="H363" s="32">
        <f>IF($B363="","",IFERROR(INDEX(智能流水!$H$2:$H$1001,MATCH($B363,智能流水!$B$2:$B$1001,0)),""))</f>
        <v/>
      </c>
      <c r="I363" s="32">
        <f>IF($B363="","",IFERROR(INDEX(智能流水!$I$2:$I$1001,MATCH($B363,智能流水!$B$2:$B$1001,0)),""))</f>
        <v/>
      </c>
      <c r="J363" s="32">
        <f>IF($B363="","",IFERROR(INDEX(智能流水!$J$2:$J$1001,MATCH($B363,智能流水!$B$2:$B$1001,0)),""))</f>
        <v/>
      </c>
      <c r="K363" s="35">
        <f>IF($B363="","",IFERROR(INDEX(智能流水!$K$2:$K$1001,MATCH($B363,智能流水!$B$2:$B$1001,0)),""))</f>
        <v/>
      </c>
      <c r="L363" s="32">
        <f>IF($B363="","",IFERROR(INDEX(智能流水!$L$2:$L$1001,MATCH($B363,智能流水!$B$2:$B$1001,0)),""))</f>
        <v/>
      </c>
      <c r="M363" s="32">
        <f>IF($B363="","",IFERROR(INDEX(智能流水!$M$2:$M$1001,MATCH($B363,智能流水!$B$2:$B$1001,0)),""))</f>
        <v/>
      </c>
      <c r="N363" s="32">
        <f>IF($B363="","",IFERROR(INDEX(智能流水!$N$2:$N$1001,MATCH($B363,智能流水!$B$2:$B$1001,0)),""))</f>
        <v/>
      </c>
      <c r="O363" s="32">
        <f>IF($B363="","",IFERROR(INDEX(智能流水!$O$2:$O$1001,MATCH($B363,智能流水!$B$2:$B$1001,0)),""))</f>
        <v/>
      </c>
    </row>
    <row r="364" ht="23" customHeight="1" s="21">
      <c r="A364" s="32">
        <f>IF($B364="","",363)</f>
        <v/>
      </c>
      <c r="B364" s="32">
        <f>IFERROR(LARGE(智能流水!$B$2:$B$1001,363),"")</f>
        <v/>
      </c>
      <c r="C364" s="33">
        <f>IF($B364="","",IFERROR(INDEX(智能流水!$C$2:$C$1001,MATCH($B364,智能流水!$B$2:$B$1001,0)),""))</f>
        <v/>
      </c>
      <c r="D364" s="34">
        <f>IF($B364="","",IFERROR(INDEX(智能流水!$D$2:$D$1001,MATCH($B364,智能流水!$B$2:$B$1001,0)),""))</f>
        <v/>
      </c>
      <c r="E364" s="34">
        <f>IF($B364="","",IFERROR(INDEX(智能流水!$E$2:$E$1001,MATCH($B364,智能流水!$B$2:$B$1001,0)),""))</f>
        <v/>
      </c>
      <c r="F364" s="34">
        <f>IF($B364="","",IFERROR(INDEX(智能流水!$F$2:$F$1001,MATCH($B364,智能流水!$B$2:$B$1001,0)),""))</f>
        <v/>
      </c>
      <c r="G364" s="32">
        <f>IF($B364="","",IFERROR(INDEX(智能流水!$G$2:$G$1001,MATCH($B364,智能流水!$B$2:$B$1001,0)),""))</f>
        <v/>
      </c>
      <c r="H364" s="32">
        <f>IF($B364="","",IFERROR(INDEX(智能流水!$H$2:$H$1001,MATCH($B364,智能流水!$B$2:$B$1001,0)),""))</f>
        <v/>
      </c>
      <c r="I364" s="32">
        <f>IF($B364="","",IFERROR(INDEX(智能流水!$I$2:$I$1001,MATCH($B364,智能流水!$B$2:$B$1001,0)),""))</f>
        <v/>
      </c>
      <c r="J364" s="32">
        <f>IF($B364="","",IFERROR(INDEX(智能流水!$J$2:$J$1001,MATCH($B364,智能流水!$B$2:$B$1001,0)),""))</f>
        <v/>
      </c>
      <c r="K364" s="35">
        <f>IF($B364="","",IFERROR(INDEX(智能流水!$K$2:$K$1001,MATCH($B364,智能流水!$B$2:$B$1001,0)),""))</f>
        <v/>
      </c>
      <c r="L364" s="32">
        <f>IF($B364="","",IFERROR(INDEX(智能流水!$L$2:$L$1001,MATCH($B364,智能流水!$B$2:$B$1001,0)),""))</f>
        <v/>
      </c>
      <c r="M364" s="32">
        <f>IF($B364="","",IFERROR(INDEX(智能流水!$M$2:$M$1001,MATCH($B364,智能流水!$B$2:$B$1001,0)),""))</f>
        <v/>
      </c>
      <c r="N364" s="32">
        <f>IF($B364="","",IFERROR(INDEX(智能流水!$N$2:$N$1001,MATCH($B364,智能流水!$B$2:$B$1001,0)),""))</f>
        <v/>
      </c>
      <c r="O364" s="32">
        <f>IF($B364="","",IFERROR(INDEX(智能流水!$O$2:$O$1001,MATCH($B364,智能流水!$B$2:$B$1001,0)),""))</f>
        <v/>
      </c>
    </row>
    <row r="365" ht="23" customHeight="1" s="21">
      <c r="A365" s="32">
        <f>IF($B365="","",364)</f>
        <v/>
      </c>
      <c r="B365" s="32">
        <f>IFERROR(LARGE(智能流水!$B$2:$B$1001,364),"")</f>
        <v/>
      </c>
      <c r="C365" s="33">
        <f>IF($B365="","",IFERROR(INDEX(智能流水!$C$2:$C$1001,MATCH($B365,智能流水!$B$2:$B$1001,0)),""))</f>
        <v/>
      </c>
      <c r="D365" s="34">
        <f>IF($B365="","",IFERROR(INDEX(智能流水!$D$2:$D$1001,MATCH($B365,智能流水!$B$2:$B$1001,0)),""))</f>
        <v/>
      </c>
      <c r="E365" s="34">
        <f>IF($B365="","",IFERROR(INDEX(智能流水!$E$2:$E$1001,MATCH($B365,智能流水!$B$2:$B$1001,0)),""))</f>
        <v/>
      </c>
      <c r="F365" s="34">
        <f>IF($B365="","",IFERROR(INDEX(智能流水!$F$2:$F$1001,MATCH($B365,智能流水!$B$2:$B$1001,0)),""))</f>
        <v/>
      </c>
      <c r="G365" s="32">
        <f>IF($B365="","",IFERROR(INDEX(智能流水!$G$2:$G$1001,MATCH($B365,智能流水!$B$2:$B$1001,0)),""))</f>
        <v/>
      </c>
      <c r="H365" s="32">
        <f>IF($B365="","",IFERROR(INDEX(智能流水!$H$2:$H$1001,MATCH($B365,智能流水!$B$2:$B$1001,0)),""))</f>
        <v/>
      </c>
      <c r="I365" s="32">
        <f>IF($B365="","",IFERROR(INDEX(智能流水!$I$2:$I$1001,MATCH($B365,智能流水!$B$2:$B$1001,0)),""))</f>
        <v/>
      </c>
      <c r="J365" s="32">
        <f>IF($B365="","",IFERROR(INDEX(智能流水!$J$2:$J$1001,MATCH($B365,智能流水!$B$2:$B$1001,0)),""))</f>
        <v/>
      </c>
      <c r="K365" s="35">
        <f>IF($B365="","",IFERROR(INDEX(智能流水!$K$2:$K$1001,MATCH($B365,智能流水!$B$2:$B$1001,0)),""))</f>
        <v/>
      </c>
      <c r="L365" s="32">
        <f>IF($B365="","",IFERROR(INDEX(智能流水!$L$2:$L$1001,MATCH($B365,智能流水!$B$2:$B$1001,0)),""))</f>
        <v/>
      </c>
      <c r="M365" s="32">
        <f>IF($B365="","",IFERROR(INDEX(智能流水!$M$2:$M$1001,MATCH($B365,智能流水!$B$2:$B$1001,0)),""))</f>
        <v/>
      </c>
      <c r="N365" s="32">
        <f>IF($B365="","",IFERROR(INDEX(智能流水!$N$2:$N$1001,MATCH($B365,智能流水!$B$2:$B$1001,0)),""))</f>
        <v/>
      </c>
      <c r="O365" s="32">
        <f>IF($B365="","",IFERROR(INDEX(智能流水!$O$2:$O$1001,MATCH($B365,智能流水!$B$2:$B$1001,0)),""))</f>
        <v/>
      </c>
    </row>
    <row r="366" ht="23" customHeight="1" s="21">
      <c r="A366" s="32">
        <f>IF($B366="","",365)</f>
        <v/>
      </c>
      <c r="B366" s="32">
        <f>IFERROR(LARGE(智能流水!$B$2:$B$1001,365),"")</f>
        <v/>
      </c>
      <c r="C366" s="33">
        <f>IF($B366="","",IFERROR(INDEX(智能流水!$C$2:$C$1001,MATCH($B366,智能流水!$B$2:$B$1001,0)),""))</f>
        <v/>
      </c>
      <c r="D366" s="34">
        <f>IF($B366="","",IFERROR(INDEX(智能流水!$D$2:$D$1001,MATCH($B366,智能流水!$B$2:$B$1001,0)),""))</f>
        <v/>
      </c>
      <c r="E366" s="34">
        <f>IF($B366="","",IFERROR(INDEX(智能流水!$E$2:$E$1001,MATCH($B366,智能流水!$B$2:$B$1001,0)),""))</f>
        <v/>
      </c>
      <c r="F366" s="34">
        <f>IF($B366="","",IFERROR(INDEX(智能流水!$F$2:$F$1001,MATCH($B366,智能流水!$B$2:$B$1001,0)),""))</f>
        <v/>
      </c>
      <c r="G366" s="32">
        <f>IF($B366="","",IFERROR(INDEX(智能流水!$G$2:$G$1001,MATCH($B366,智能流水!$B$2:$B$1001,0)),""))</f>
        <v/>
      </c>
      <c r="H366" s="32">
        <f>IF($B366="","",IFERROR(INDEX(智能流水!$H$2:$H$1001,MATCH($B366,智能流水!$B$2:$B$1001,0)),""))</f>
        <v/>
      </c>
      <c r="I366" s="32">
        <f>IF($B366="","",IFERROR(INDEX(智能流水!$I$2:$I$1001,MATCH($B366,智能流水!$B$2:$B$1001,0)),""))</f>
        <v/>
      </c>
      <c r="J366" s="32">
        <f>IF($B366="","",IFERROR(INDEX(智能流水!$J$2:$J$1001,MATCH($B366,智能流水!$B$2:$B$1001,0)),""))</f>
        <v/>
      </c>
      <c r="K366" s="35">
        <f>IF($B366="","",IFERROR(INDEX(智能流水!$K$2:$K$1001,MATCH($B366,智能流水!$B$2:$B$1001,0)),""))</f>
        <v/>
      </c>
      <c r="L366" s="32">
        <f>IF($B366="","",IFERROR(INDEX(智能流水!$L$2:$L$1001,MATCH($B366,智能流水!$B$2:$B$1001,0)),""))</f>
        <v/>
      </c>
      <c r="M366" s="32">
        <f>IF($B366="","",IFERROR(INDEX(智能流水!$M$2:$M$1001,MATCH($B366,智能流水!$B$2:$B$1001,0)),""))</f>
        <v/>
      </c>
      <c r="N366" s="32">
        <f>IF($B366="","",IFERROR(INDEX(智能流水!$N$2:$N$1001,MATCH($B366,智能流水!$B$2:$B$1001,0)),""))</f>
        <v/>
      </c>
      <c r="O366" s="32">
        <f>IF($B366="","",IFERROR(INDEX(智能流水!$O$2:$O$1001,MATCH($B366,智能流水!$B$2:$B$1001,0)),""))</f>
        <v/>
      </c>
    </row>
    <row r="367" ht="23" customHeight="1" s="21">
      <c r="A367" s="32">
        <f>IF($B367="","",366)</f>
        <v/>
      </c>
      <c r="B367" s="32">
        <f>IFERROR(LARGE(智能流水!$B$2:$B$1001,366),"")</f>
        <v/>
      </c>
      <c r="C367" s="33">
        <f>IF($B367="","",IFERROR(INDEX(智能流水!$C$2:$C$1001,MATCH($B367,智能流水!$B$2:$B$1001,0)),""))</f>
        <v/>
      </c>
      <c r="D367" s="34">
        <f>IF($B367="","",IFERROR(INDEX(智能流水!$D$2:$D$1001,MATCH($B367,智能流水!$B$2:$B$1001,0)),""))</f>
        <v/>
      </c>
      <c r="E367" s="34">
        <f>IF($B367="","",IFERROR(INDEX(智能流水!$E$2:$E$1001,MATCH($B367,智能流水!$B$2:$B$1001,0)),""))</f>
        <v/>
      </c>
      <c r="F367" s="34">
        <f>IF($B367="","",IFERROR(INDEX(智能流水!$F$2:$F$1001,MATCH($B367,智能流水!$B$2:$B$1001,0)),""))</f>
        <v/>
      </c>
      <c r="G367" s="32">
        <f>IF($B367="","",IFERROR(INDEX(智能流水!$G$2:$G$1001,MATCH($B367,智能流水!$B$2:$B$1001,0)),""))</f>
        <v/>
      </c>
      <c r="H367" s="32">
        <f>IF($B367="","",IFERROR(INDEX(智能流水!$H$2:$H$1001,MATCH($B367,智能流水!$B$2:$B$1001,0)),""))</f>
        <v/>
      </c>
      <c r="I367" s="32">
        <f>IF($B367="","",IFERROR(INDEX(智能流水!$I$2:$I$1001,MATCH($B367,智能流水!$B$2:$B$1001,0)),""))</f>
        <v/>
      </c>
      <c r="J367" s="32">
        <f>IF($B367="","",IFERROR(INDEX(智能流水!$J$2:$J$1001,MATCH($B367,智能流水!$B$2:$B$1001,0)),""))</f>
        <v/>
      </c>
      <c r="K367" s="35">
        <f>IF($B367="","",IFERROR(INDEX(智能流水!$K$2:$K$1001,MATCH($B367,智能流水!$B$2:$B$1001,0)),""))</f>
        <v/>
      </c>
      <c r="L367" s="32">
        <f>IF($B367="","",IFERROR(INDEX(智能流水!$L$2:$L$1001,MATCH($B367,智能流水!$B$2:$B$1001,0)),""))</f>
        <v/>
      </c>
      <c r="M367" s="32">
        <f>IF($B367="","",IFERROR(INDEX(智能流水!$M$2:$M$1001,MATCH($B367,智能流水!$B$2:$B$1001,0)),""))</f>
        <v/>
      </c>
      <c r="N367" s="32">
        <f>IF($B367="","",IFERROR(INDEX(智能流水!$N$2:$N$1001,MATCH($B367,智能流水!$B$2:$B$1001,0)),""))</f>
        <v/>
      </c>
      <c r="O367" s="32">
        <f>IF($B367="","",IFERROR(INDEX(智能流水!$O$2:$O$1001,MATCH($B367,智能流水!$B$2:$B$1001,0)),""))</f>
        <v/>
      </c>
    </row>
    <row r="368">
      <c r="A368" s="19">
        <f>IF($B368="","",367)</f>
        <v/>
      </c>
      <c r="B368" s="19">
        <f>IFERROR(LARGE(智能流水!$B$2:$B$1001,367),"")</f>
        <v/>
      </c>
      <c r="C368" s="19">
        <f>IF($B368="","",IFERROR(INDEX(智能流水!$C$2:$C$1001,MATCH($B368,智能流水!$B$2:$B$1001,0)),""))</f>
        <v/>
      </c>
      <c r="D368" s="19">
        <f>IF($B368="","",IFERROR(INDEX(智能流水!$D$2:$D$1001,MATCH($B368,智能流水!$B$2:$B$1001,0)),""))</f>
        <v/>
      </c>
      <c r="E368" s="19">
        <f>IF($B368="","",IFERROR(INDEX(智能流水!$E$2:$E$1001,MATCH($B368,智能流水!$B$2:$B$1001,0)),""))</f>
        <v/>
      </c>
      <c r="F368" s="19">
        <f>IF($B368="","",IFERROR(INDEX(智能流水!$F$2:$F$1001,MATCH($B368,智能流水!$B$2:$B$1001,0)),""))</f>
        <v/>
      </c>
      <c r="G368" s="19">
        <f>IF($B368="","",IFERROR(INDEX(智能流水!$G$2:$G$1001,MATCH($B368,智能流水!$B$2:$B$1001,0)),""))</f>
        <v/>
      </c>
      <c r="H368" s="19">
        <f>IF($B368="","",IFERROR(INDEX(智能流水!$H$2:$H$1001,MATCH($B368,智能流水!$B$2:$B$1001,0)),""))</f>
        <v/>
      </c>
      <c r="I368" s="19">
        <f>IF($B368="","",IFERROR(INDEX(智能流水!$I$2:$I$1001,MATCH($B368,智能流水!$B$2:$B$1001,0)),""))</f>
        <v/>
      </c>
      <c r="J368" s="19">
        <f>IF($B368="","",IFERROR(INDEX(智能流水!$J$2:$J$1001,MATCH($B368,智能流水!$B$2:$B$1001,0)),""))</f>
        <v/>
      </c>
      <c r="K368" s="19">
        <f>IF($B368="","",IFERROR(INDEX(智能流水!$K$2:$K$1001,MATCH($B368,智能流水!$B$2:$B$1001,0)),""))</f>
        <v/>
      </c>
      <c r="L368" s="19">
        <f>IF($B368="","",IFERROR(INDEX(智能流水!$L$2:$L$1001,MATCH($B368,智能流水!$B$2:$B$1001,0)),""))</f>
        <v/>
      </c>
      <c r="M368" s="19">
        <f>IF($B368="","",IFERROR(INDEX(智能流水!$M$2:$M$1001,MATCH($B368,智能流水!$B$2:$B$1001,0)),""))</f>
        <v/>
      </c>
      <c r="N368" s="19">
        <f>IF($B368="","",IFERROR(INDEX(智能流水!$N$2:$N$1001,MATCH($B368,智能流水!$B$2:$B$1001,0)),""))</f>
        <v/>
      </c>
      <c r="O368" s="19">
        <f>IF($B368="","",IFERROR(INDEX(智能流水!$O$2:$O$1001,MATCH($B368,智能流水!$B$2:$B$1001,0)),""))</f>
        <v/>
      </c>
    </row>
    <row r="369">
      <c r="A369" s="19">
        <f>IF($B369="","",368)</f>
        <v/>
      </c>
      <c r="B369" s="19">
        <f>IFERROR(LARGE(智能流水!$B$2:$B$1001,368),"")</f>
        <v/>
      </c>
      <c r="C369" s="19">
        <f>IF($B369="","",IFERROR(INDEX(智能流水!$C$2:$C$1001,MATCH($B369,智能流水!$B$2:$B$1001,0)),""))</f>
        <v/>
      </c>
      <c r="D369" s="19">
        <f>IF($B369="","",IFERROR(INDEX(智能流水!$D$2:$D$1001,MATCH($B369,智能流水!$B$2:$B$1001,0)),""))</f>
        <v/>
      </c>
      <c r="E369" s="19">
        <f>IF($B369="","",IFERROR(INDEX(智能流水!$E$2:$E$1001,MATCH($B369,智能流水!$B$2:$B$1001,0)),""))</f>
        <v/>
      </c>
      <c r="F369" s="19">
        <f>IF($B369="","",IFERROR(INDEX(智能流水!$F$2:$F$1001,MATCH($B369,智能流水!$B$2:$B$1001,0)),""))</f>
        <v/>
      </c>
      <c r="G369" s="19">
        <f>IF($B369="","",IFERROR(INDEX(智能流水!$G$2:$G$1001,MATCH($B369,智能流水!$B$2:$B$1001,0)),""))</f>
        <v/>
      </c>
      <c r="H369" s="19">
        <f>IF($B369="","",IFERROR(INDEX(智能流水!$H$2:$H$1001,MATCH($B369,智能流水!$B$2:$B$1001,0)),""))</f>
        <v/>
      </c>
      <c r="I369" s="19">
        <f>IF($B369="","",IFERROR(INDEX(智能流水!$I$2:$I$1001,MATCH($B369,智能流水!$B$2:$B$1001,0)),""))</f>
        <v/>
      </c>
      <c r="J369" s="19">
        <f>IF($B369="","",IFERROR(INDEX(智能流水!$J$2:$J$1001,MATCH($B369,智能流水!$B$2:$B$1001,0)),""))</f>
        <v/>
      </c>
      <c r="K369" s="19">
        <f>IF($B369="","",IFERROR(INDEX(智能流水!$K$2:$K$1001,MATCH($B369,智能流水!$B$2:$B$1001,0)),""))</f>
        <v/>
      </c>
      <c r="L369" s="19">
        <f>IF($B369="","",IFERROR(INDEX(智能流水!$L$2:$L$1001,MATCH($B369,智能流水!$B$2:$B$1001,0)),""))</f>
        <v/>
      </c>
      <c r="M369" s="19">
        <f>IF($B369="","",IFERROR(INDEX(智能流水!$M$2:$M$1001,MATCH($B369,智能流水!$B$2:$B$1001,0)),""))</f>
        <v/>
      </c>
      <c r="N369" s="19">
        <f>IF($B369="","",IFERROR(INDEX(智能流水!$N$2:$N$1001,MATCH($B369,智能流水!$B$2:$B$1001,0)),""))</f>
        <v/>
      </c>
      <c r="O369" s="19">
        <f>IF($B369="","",IFERROR(INDEX(智能流水!$O$2:$O$1001,MATCH($B369,智能流水!$B$2:$B$1001,0)),""))</f>
        <v/>
      </c>
    </row>
    <row r="370">
      <c r="A370" s="19">
        <f>IF($B370="","",369)</f>
        <v/>
      </c>
      <c r="B370" s="19">
        <f>IFERROR(LARGE(智能流水!$B$2:$B$1001,369),"")</f>
        <v/>
      </c>
      <c r="C370" s="19">
        <f>IF($B370="","",IFERROR(INDEX(智能流水!$C$2:$C$1001,MATCH($B370,智能流水!$B$2:$B$1001,0)),""))</f>
        <v/>
      </c>
      <c r="D370" s="19">
        <f>IF($B370="","",IFERROR(INDEX(智能流水!$D$2:$D$1001,MATCH($B370,智能流水!$B$2:$B$1001,0)),""))</f>
        <v/>
      </c>
      <c r="E370" s="19">
        <f>IF($B370="","",IFERROR(INDEX(智能流水!$E$2:$E$1001,MATCH($B370,智能流水!$B$2:$B$1001,0)),""))</f>
        <v/>
      </c>
      <c r="F370" s="19">
        <f>IF($B370="","",IFERROR(INDEX(智能流水!$F$2:$F$1001,MATCH($B370,智能流水!$B$2:$B$1001,0)),""))</f>
        <v/>
      </c>
      <c r="G370" s="19">
        <f>IF($B370="","",IFERROR(INDEX(智能流水!$G$2:$G$1001,MATCH($B370,智能流水!$B$2:$B$1001,0)),""))</f>
        <v/>
      </c>
      <c r="H370" s="19">
        <f>IF($B370="","",IFERROR(INDEX(智能流水!$H$2:$H$1001,MATCH($B370,智能流水!$B$2:$B$1001,0)),""))</f>
        <v/>
      </c>
      <c r="I370" s="19">
        <f>IF($B370="","",IFERROR(INDEX(智能流水!$I$2:$I$1001,MATCH($B370,智能流水!$B$2:$B$1001,0)),""))</f>
        <v/>
      </c>
      <c r="J370" s="19">
        <f>IF($B370="","",IFERROR(INDEX(智能流水!$J$2:$J$1001,MATCH($B370,智能流水!$B$2:$B$1001,0)),""))</f>
        <v/>
      </c>
      <c r="K370" s="19">
        <f>IF($B370="","",IFERROR(INDEX(智能流水!$K$2:$K$1001,MATCH($B370,智能流水!$B$2:$B$1001,0)),""))</f>
        <v/>
      </c>
      <c r="L370" s="19">
        <f>IF($B370="","",IFERROR(INDEX(智能流水!$L$2:$L$1001,MATCH($B370,智能流水!$B$2:$B$1001,0)),""))</f>
        <v/>
      </c>
      <c r="M370" s="19">
        <f>IF($B370="","",IFERROR(INDEX(智能流水!$M$2:$M$1001,MATCH($B370,智能流水!$B$2:$B$1001,0)),""))</f>
        <v/>
      </c>
      <c r="N370" s="19">
        <f>IF($B370="","",IFERROR(INDEX(智能流水!$N$2:$N$1001,MATCH($B370,智能流水!$B$2:$B$1001,0)),""))</f>
        <v/>
      </c>
      <c r="O370" s="19">
        <f>IF($B370="","",IFERROR(INDEX(智能流水!$O$2:$O$1001,MATCH($B370,智能流水!$B$2:$B$1001,0)),""))</f>
        <v/>
      </c>
    </row>
    <row r="371">
      <c r="A371" s="19">
        <f>IF($B371="","",370)</f>
        <v/>
      </c>
      <c r="B371" s="19">
        <f>IFERROR(LARGE(智能流水!$B$2:$B$1001,370),"")</f>
        <v/>
      </c>
      <c r="C371" s="19">
        <f>IF($B371="","",IFERROR(INDEX(智能流水!$C$2:$C$1001,MATCH($B371,智能流水!$B$2:$B$1001,0)),""))</f>
        <v/>
      </c>
      <c r="D371" s="19">
        <f>IF($B371="","",IFERROR(INDEX(智能流水!$D$2:$D$1001,MATCH($B371,智能流水!$B$2:$B$1001,0)),""))</f>
        <v/>
      </c>
      <c r="E371" s="19">
        <f>IF($B371="","",IFERROR(INDEX(智能流水!$E$2:$E$1001,MATCH($B371,智能流水!$B$2:$B$1001,0)),""))</f>
        <v/>
      </c>
      <c r="F371" s="19">
        <f>IF($B371="","",IFERROR(INDEX(智能流水!$F$2:$F$1001,MATCH($B371,智能流水!$B$2:$B$1001,0)),""))</f>
        <v/>
      </c>
      <c r="G371" s="19">
        <f>IF($B371="","",IFERROR(INDEX(智能流水!$G$2:$G$1001,MATCH($B371,智能流水!$B$2:$B$1001,0)),""))</f>
        <v/>
      </c>
      <c r="H371" s="19">
        <f>IF($B371="","",IFERROR(INDEX(智能流水!$H$2:$H$1001,MATCH($B371,智能流水!$B$2:$B$1001,0)),""))</f>
        <v/>
      </c>
      <c r="I371" s="19">
        <f>IF($B371="","",IFERROR(INDEX(智能流水!$I$2:$I$1001,MATCH($B371,智能流水!$B$2:$B$1001,0)),""))</f>
        <v/>
      </c>
      <c r="J371" s="19">
        <f>IF($B371="","",IFERROR(INDEX(智能流水!$J$2:$J$1001,MATCH($B371,智能流水!$B$2:$B$1001,0)),""))</f>
        <v/>
      </c>
      <c r="K371" s="19">
        <f>IF($B371="","",IFERROR(INDEX(智能流水!$K$2:$K$1001,MATCH($B371,智能流水!$B$2:$B$1001,0)),""))</f>
        <v/>
      </c>
      <c r="L371" s="19">
        <f>IF($B371="","",IFERROR(INDEX(智能流水!$L$2:$L$1001,MATCH($B371,智能流水!$B$2:$B$1001,0)),""))</f>
        <v/>
      </c>
      <c r="M371" s="19">
        <f>IF($B371="","",IFERROR(INDEX(智能流水!$M$2:$M$1001,MATCH($B371,智能流水!$B$2:$B$1001,0)),""))</f>
        <v/>
      </c>
      <c r="N371" s="19">
        <f>IF($B371="","",IFERROR(INDEX(智能流水!$N$2:$N$1001,MATCH($B371,智能流水!$B$2:$B$1001,0)),""))</f>
        <v/>
      </c>
      <c r="O371" s="19">
        <f>IF($B371="","",IFERROR(INDEX(智能流水!$O$2:$O$1001,MATCH($B371,智能流水!$B$2:$B$1001,0)),""))</f>
        <v/>
      </c>
    </row>
    <row r="372">
      <c r="A372" s="19">
        <f>IF($B372="","",371)</f>
        <v/>
      </c>
      <c r="B372" s="19">
        <f>IFERROR(LARGE(智能流水!$B$2:$B$1001,371),"")</f>
        <v/>
      </c>
      <c r="C372" s="19">
        <f>IF($B372="","",IFERROR(INDEX(智能流水!$C$2:$C$1001,MATCH($B372,智能流水!$B$2:$B$1001,0)),""))</f>
        <v/>
      </c>
      <c r="D372" s="19">
        <f>IF($B372="","",IFERROR(INDEX(智能流水!$D$2:$D$1001,MATCH($B372,智能流水!$B$2:$B$1001,0)),""))</f>
        <v/>
      </c>
      <c r="E372" s="19">
        <f>IF($B372="","",IFERROR(INDEX(智能流水!$E$2:$E$1001,MATCH($B372,智能流水!$B$2:$B$1001,0)),""))</f>
        <v/>
      </c>
      <c r="F372" s="19">
        <f>IF($B372="","",IFERROR(INDEX(智能流水!$F$2:$F$1001,MATCH($B372,智能流水!$B$2:$B$1001,0)),""))</f>
        <v/>
      </c>
      <c r="G372" s="19">
        <f>IF($B372="","",IFERROR(INDEX(智能流水!$G$2:$G$1001,MATCH($B372,智能流水!$B$2:$B$1001,0)),""))</f>
        <v/>
      </c>
      <c r="H372" s="19">
        <f>IF($B372="","",IFERROR(INDEX(智能流水!$H$2:$H$1001,MATCH($B372,智能流水!$B$2:$B$1001,0)),""))</f>
        <v/>
      </c>
      <c r="I372" s="19">
        <f>IF($B372="","",IFERROR(INDEX(智能流水!$I$2:$I$1001,MATCH($B372,智能流水!$B$2:$B$1001,0)),""))</f>
        <v/>
      </c>
      <c r="J372" s="19">
        <f>IF($B372="","",IFERROR(INDEX(智能流水!$J$2:$J$1001,MATCH($B372,智能流水!$B$2:$B$1001,0)),""))</f>
        <v/>
      </c>
      <c r="K372" s="19">
        <f>IF($B372="","",IFERROR(INDEX(智能流水!$K$2:$K$1001,MATCH($B372,智能流水!$B$2:$B$1001,0)),""))</f>
        <v/>
      </c>
      <c r="L372" s="19">
        <f>IF($B372="","",IFERROR(INDEX(智能流水!$L$2:$L$1001,MATCH($B372,智能流水!$B$2:$B$1001,0)),""))</f>
        <v/>
      </c>
      <c r="M372" s="19">
        <f>IF($B372="","",IFERROR(INDEX(智能流水!$M$2:$M$1001,MATCH($B372,智能流水!$B$2:$B$1001,0)),""))</f>
        <v/>
      </c>
      <c r="N372" s="19">
        <f>IF($B372="","",IFERROR(INDEX(智能流水!$N$2:$N$1001,MATCH($B372,智能流水!$B$2:$B$1001,0)),""))</f>
        <v/>
      </c>
      <c r="O372" s="19">
        <f>IF($B372="","",IFERROR(INDEX(智能流水!$O$2:$O$1001,MATCH($B372,智能流水!$B$2:$B$1001,0)),""))</f>
        <v/>
      </c>
    </row>
    <row r="373">
      <c r="A373" s="19">
        <f>IF($B373="","",372)</f>
        <v/>
      </c>
      <c r="B373" s="19">
        <f>IFERROR(LARGE(智能流水!$B$2:$B$1001,372),"")</f>
        <v/>
      </c>
      <c r="C373" s="19">
        <f>IF($B373="","",IFERROR(INDEX(智能流水!$C$2:$C$1001,MATCH($B373,智能流水!$B$2:$B$1001,0)),""))</f>
        <v/>
      </c>
      <c r="D373" s="19">
        <f>IF($B373="","",IFERROR(INDEX(智能流水!$D$2:$D$1001,MATCH($B373,智能流水!$B$2:$B$1001,0)),""))</f>
        <v/>
      </c>
      <c r="E373" s="19">
        <f>IF($B373="","",IFERROR(INDEX(智能流水!$E$2:$E$1001,MATCH($B373,智能流水!$B$2:$B$1001,0)),""))</f>
        <v/>
      </c>
      <c r="F373" s="19">
        <f>IF($B373="","",IFERROR(INDEX(智能流水!$F$2:$F$1001,MATCH($B373,智能流水!$B$2:$B$1001,0)),""))</f>
        <v/>
      </c>
      <c r="G373" s="19">
        <f>IF($B373="","",IFERROR(INDEX(智能流水!$G$2:$G$1001,MATCH($B373,智能流水!$B$2:$B$1001,0)),""))</f>
        <v/>
      </c>
      <c r="H373" s="19">
        <f>IF($B373="","",IFERROR(INDEX(智能流水!$H$2:$H$1001,MATCH($B373,智能流水!$B$2:$B$1001,0)),""))</f>
        <v/>
      </c>
      <c r="I373" s="19">
        <f>IF($B373="","",IFERROR(INDEX(智能流水!$I$2:$I$1001,MATCH($B373,智能流水!$B$2:$B$1001,0)),""))</f>
        <v/>
      </c>
      <c r="J373" s="19">
        <f>IF($B373="","",IFERROR(INDEX(智能流水!$J$2:$J$1001,MATCH($B373,智能流水!$B$2:$B$1001,0)),""))</f>
        <v/>
      </c>
      <c r="K373" s="19">
        <f>IF($B373="","",IFERROR(INDEX(智能流水!$K$2:$K$1001,MATCH($B373,智能流水!$B$2:$B$1001,0)),""))</f>
        <v/>
      </c>
      <c r="L373" s="19">
        <f>IF($B373="","",IFERROR(INDEX(智能流水!$L$2:$L$1001,MATCH($B373,智能流水!$B$2:$B$1001,0)),""))</f>
        <v/>
      </c>
      <c r="M373" s="19">
        <f>IF($B373="","",IFERROR(INDEX(智能流水!$M$2:$M$1001,MATCH($B373,智能流水!$B$2:$B$1001,0)),""))</f>
        <v/>
      </c>
      <c r="N373" s="19">
        <f>IF($B373="","",IFERROR(INDEX(智能流水!$N$2:$N$1001,MATCH($B373,智能流水!$B$2:$B$1001,0)),""))</f>
        <v/>
      </c>
      <c r="O373" s="19">
        <f>IF($B373="","",IFERROR(INDEX(智能流水!$O$2:$O$1001,MATCH($B373,智能流水!$B$2:$B$1001,0)),""))</f>
        <v/>
      </c>
    </row>
    <row r="374">
      <c r="A374" s="19">
        <f>IF($B374="","",373)</f>
        <v/>
      </c>
      <c r="B374" s="19">
        <f>IFERROR(LARGE(智能流水!$B$2:$B$1001,373),"")</f>
        <v/>
      </c>
      <c r="C374" s="19">
        <f>IF($B374="","",IFERROR(INDEX(智能流水!$C$2:$C$1001,MATCH($B374,智能流水!$B$2:$B$1001,0)),""))</f>
        <v/>
      </c>
      <c r="D374" s="19">
        <f>IF($B374="","",IFERROR(INDEX(智能流水!$D$2:$D$1001,MATCH($B374,智能流水!$B$2:$B$1001,0)),""))</f>
        <v/>
      </c>
      <c r="E374" s="19">
        <f>IF($B374="","",IFERROR(INDEX(智能流水!$E$2:$E$1001,MATCH($B374,智能流水!$B$2:$B$1001,0)),""))</f>
        <v/>
      </c>
      <c r="F374" s="19">
        <f>IF($B374="","",IFERROR(INDEX(智能流水!$F$2:$F$1001,MATCH($B374,智能流水!$B$2:$B$1001,0)),""))</f>
        <v/>
      </c>
      <c r="G374" s="19">
        <f>IF($B374="","",IFERROR(INDEX(智能流水!$G$2:$G$1001,MATCH($B374,智能流水!$B$2:$B$1001,0)),""))</f>
        <v/>
      </c>
      <c r="H374" s="19">
        <f>IF($B374="","",IFERROR(INDEX(智能流水!$H$2:$H$1001,MATCH($B374,智能流水!$B$2:$B$1001,0)),""))</f>
        <v/>
      </c>
      <c r="I374" s="19">
        <f>IF($B374="","",IFERROR(INDEX(智能流水!$I$2:$I$1001,MATCH($B374,智能流水!$B$2:$B$1001,0)),""))</f>
        <v/>
      </c>
      <c r="J374" s="19">
        <f>IF($B374="","",IFERROR(INDEX(智能流水!$J$2:$J$1001,MATCH($B374,智能流水!$B$2:$B$1001,0)),""))</f>
        <v/>
      </c>
      <c r="K374" s="19">
        <f>IF($B374="","",IFERROR(INDEX(智能流水!$K$2:$K$1001,MATCH($B374,智能流水!$B$2:$B$1001,0)),""))</f>
        <v/>
      </c>
      <c r="L374" s="19">
        <f>IF($B374="","",IFERROR(INDEX(智能流水!$L$2:$L$1001,MATCH($B374,智能流水!$B$2:$B$1001,0)),""))</f>
        <v/>
      </c>
      <c r="M374" s="19">
        <f>IF($B374="","",IFERROR(INDEX(智能流水!$M$2:$M$1001,MATCH($B374,智能流水!$B$2:$B$1001,0)),""))</f>
        <v/>
      </c>
      <c r="N374" s="19">
        <f>IF($B374="","",IFERROR(INDEX(智能流水!$N$2:$N$1001,MATCH($B374,智能流水!$B$2:$B$1001,0)),""))</f>
        <v/>
      </c>
      <c r="O374" s="19">
        <f>IF($B374="","",IFERROR(INDEX(智能流水!$O$2:$O$1001,MATCH($B374,智能流水!$B$2:$B$1001,0)),""))</f>
        <v/>
      </c>
    </row>
    <row r="375">
      <c r="A375" s="19">
        <f>IF($B375="","",374)</f>
        <v/>
      </c>
      <c r="B375" s="19">
        <f>IFERROR(LARGE(智能流水!$B$2:$B$1001,374),"")</f>
        <v/>
      </c>
      <c r="C375" s="19">
        <f>IF($B375="","",IFERROR(INDEX(智能流水!$C$2:$C$1001,MATCH($B375,智能流水!$B$2:$B$1001,0)),""))</f>
        <v/>
      </c>
      <c r="D375" s="19">
        <f>IF($B375="","",IFERROR(INDEX(智能流水!$D$2:$D$1001,MATCH($B375,智能流水!$B$2:$B$1001,0)),""))</f>
        <v/>
      </c>
      <c r="E375" s="19">
        <f>IF($B375="","",IFERROR(INDEX(智能流水!$E$2:$E$1001,MATCH($B375,智能流水!$B$2:$B$1001,0)),""))</f>
        <v/>
      </c>
      <c r="F375" s="19">
        <f>IF($B375="","",IFERROR(INDEX(智能流水!$F$2:$F$1001,MATCH($B375,智能流水!$B$2:$B$1001,0)),""))</f>
        <v/>
      </c>
      <c r="G375" s="19">
        <f>IF($B375="","",IFERROR(INDEX(智能流水!$G$2:$G$1001,MATCH($B375,智能流水!$B$2:$B$1001,0)),""))</f>
        <v/>
      </c>
      <c r="H375" s="19">
        <f>IF($B375="","",IFERROR(INDEX(智能流水!$H$2:$H$1001,MATCH($B375,智能流水!$B$2:$B$1001,0)),""))</f>
        <v/>
      </c>
      <c r="I375" s="19">
        <f>IF($B375="","",IFERROR(INDEX(智能流水!$I$2:$I$1001,MATCH($B375,智能流水!$B$2:$B$1001,0)),""))</f>
        <v/>
      </c>
      <c r="J375" s="19">
        <f>IF($B375="","",IFERROR(INDEX(智能流水!$J$2:$J$1001,MATCH($B375,智能流水!$B$2:$B$1001,0)),""))</f>
        <v/>
      </c>
      <c r="K375" s="19">
        <f>IF($B375="","",IFERROR(INDEX(智能流水!$K$2:$K$1001,MATCH($B375,智能流水!$B$2:$B$1001,0)),""))</f>
        <v/>
      </c>
      <c r="L375" s="19">
        <f>IF($B375="","",IFERROR(INDEX(智能流水!$L$2:$L$1001,MATCH($B375,智能流水!$B$2:$B$1001,0)),""))</f>
        <v/>
      </c>
      <c r="M375" s="19">
        <f>IF($B375="","",IFERROR(INDEX(智能流水!$M$2:$M$1001,MATCH($B375,智能流水!$B$2:$B$1001,0)),""))</f>
        <v/>
      </c>
      <c r="N375" s="19">
        <f>IF($B375="","",IFERROR(INDEX(智能流水!$N$2:$N$1001,MATCH($B375,智能流水!$B$2:$B$1001,0)),""))</f>
        <v/>
      </c>
      <c r="O375" s="19">
        <f>IF($B375="","",IFERROR(INDEX(智能流水!$O$2:$O$1001,MATCH($B375,智能流水!$B$2:$B$1001,0)),""))</f>
        <v/>
      </c>
    </row>
    <row r="376">
      <c r="A376" s="19">
        <f>IF($B376="","",375)</f>
        <v/>
      </c>
      <c r="B376" s="19">
        <f>IFERROR(LARGE(智能流水!$B$2:$B$1001,375),"")</f>
        <v/>
      </c>
      <c r="C376" s="19">
        <f>IF($B376="","",IFERROR(INDEX(智能流水!$C$2:$C$1001,MATCH($B376,智能流水!$B$2:$B$1001,0)),""))</f>
        <v/>
      </c>
      <c r="D376" s="19">
        <f>IF($B376="","",IFERROR(INDEX(智能流水!$D$2:$D$1001,MATCH($B376,智能流水!$B$2:$B$1001,0)),""))</f>
        <v/>
      </c>
      <c r="E376" s="19">
        <f>IF($B376="","",IFERROR(INDEX(智能流水!$E$2:$E$1001,MATCH($B376,智能流水!$B$2:$B$1001,0)),""))</f>
        <v/>
      </c>
      <c r="F376" s="19">
        <f>IF($B376="","",IFERROR(INDEX(智能流水!$F$2:$F$1001,MATCH($B376,智能流水!$B$2:$B$1001,0)),""))</f>
        <v/>
      </c>
      <c r="G376" s="19">
        <f>IF($B376="","",IFERROR(INDEX(智能流水!$G$2:$G$1001,MATCH($B376,智能流水!$B$2:$B$1001,0)),""))</f>
        <v/>
      </c>
      <c r="H376" s="19">
        <f>IF($B376="","",IFERROR(INDEX(智能流水!$H$2:$H$1001,MATCH($B376,智能流水!$B$2:$B$1001,0)),""))</f>
        <v/>
      </c>
      <c r="I376" s="19">
        <f>IF($B376="","",IFERROR(INDEX(智能流水!$I$2:$I$1001,MATCH($B376,智能流水!$B$2:$B$1001,0)),""))</f>
        <v/>
      </c>
      <c r="J376" s="19">
        <f>IF($B376="","",IFERROR(INDEX(智能流水!$J$2:$J$1001,MATCH($B376,智能流水!$B$2:$B$1001,0)),""))</f>
        <v/>
      </c>
      <c r="K376" s="19">
        <f>IF($B376="","",IFERROR(INDEX(智能流水!$K$2:$K$1001,MATCH($B376,智能流水!$B$2:$B$1001,0)),""))</f>
        <v/>
      </c>
      <c r="L376" s="19">
        <f>IF($B376="","",IFERROR(INDEX(智能流水!$L$2:$L$1001,MATCH($B376,智能流水!$B$2:$B$1001,0)),""))</f>
        <v/>
      </c>
      <c r="M376" s="19">
        <f>IF($B376="","",IFERROR(INDEX(智能流水!$M$2:$M$1001,MATCH($B376,智能流水!$B$2:$B$1001,0)),""))</f>
        <v/>
      </c>
      <c r="N376" s="19">
        <f>IF($B376="","",IFERROR(INDEX(智能流水!$N$2:$N$1001,MATCH($B376,智能流水!$B$2:$B$1001,0)),""))</f>
        <v/>
      </c>
      <c r="O376" s="19">
        <f>IF($B376="","",IFERROR(INDEX(智能流水!$O$2:$O$1001,MATCH($B376,智能流水!$B$2:$B$1001,0)),""))</f>
        <v/>
      </c>
    </row>
    <row r="377">
      <c r="A377" s="19">
        <f>IF($B377="","",376)</f>
        <v/>
      </c>
      <c r="B377" s="19">
        <f>IFERROR(LARGE(智能流水!$B$2:$B$1001,376),"")</f>
        <v/>
      </c>
      <c r="C377" s="19">
        <f>IF($B377="","",IFERROR(INDEX(智能流水!$C$2:$C$1001,MATCH($B377,智能流水!$B$2:$B$1001,0)),""))</f>
        <v/>
      </c>
      <c r="D377" s="19">
        <f>IF($B377="","",IFERROR(INDEX(智能流水!$D$2:$D$1001,MATCH($B377,智能流水!$B$2:$B$1001,0)),""))</f>
        <v/>
      </c>
      <c r="E377" s="19">
        <f>IF($B377="","",IFERROR(INDEX(智能流水!$E$2:$E$1001,MATCH($B377,智能流水!$B$2:$B$1001,0)),""))</f>
        <v/>
      </c>
      <c r="F377" s="19">
        <f>IF($B377="","",IFERROR(INDEX(智能流水!$F$2:$F$1001,MATCH($B377,智能流水!$B$2:$B$1001,0)),""))</f>
        <v/>
      </c>
      <c r="G377" s="19">
        <f>IF($B377="","",IFERROR(INDEX(智能流水!$G$2:$G$1001,MATCH($B377,智能流水!$B$2:$B$1001,0)),""))</f>
        <v/>
      </c>
      <c r="H377" s="19">
        <f>IF($B377="","",IFERROR(INDEX(智能流水!$H$2:$H$1001,MATCH($B377,智能流水!$B$2:$B$1001,0)),""))</f>
        <v/>
      </c>
      <c r="I377" s="19">
        <f>IF($B377="","",IFERROR(INDEX(智能流水!$I$2:$I$1001,MATCH($B377,智能流水!$B$2:$B$1001,0)),""))</f>
        <v/>
      </c>
      <c r="J377" s="19">
        <f>IF($B377="","",IFERROR(INDEX(智能流水!$J$2:$J$1001,MATCH($B377,智能流水!$B$2:$B$1001,0)),""))</f>
        <v/>
      </c>
      <c r="K377" s="19">
        <f>IF($B377="","",IFERROR(INDEX(智能流水!$K$2:$K$1001,MATCH($B377,智能流水!$B$2:$B$1001,0)),""))</f>
        <v/>
      </c>
      <c r="L377" s="19">
        <f>IF($B377="","",IFERROR(INDEX(智能流水!$L$2:$L$1001,MATCH($B377,智能流水!$B$2:$B$1001,0)),""))</f>
        <v/>
      </c>
      <c r="M377" s="19">
        <f>IF($B377="","",IFERROR(INDEX(智能流水!$M$2:$M$1001,MATCH($B377,智能流水!$B$2:$B$1001,0)),""))</f>
        <v/>
      </c>
      <c r="N377" s="19">
        <f>IF($B377="","",IFERROR(INDEX(智能流水!$N$2:$N$1001,MATCH($B377,智能流水!$B$2:$B$1001,0)),""))</f>
        <v/>
      </c>
      <c r="O377" s="19">
        <f>IF($B377="","",IFERROR(INDEX(智能流水!$O$2:$O$1001,MATCH($B377,智能流水!$B$2:$B$1001,0)),""))</f>
        <v/>
      </c>
    </row>
    <row r="378">
      <c r="A378" s="19">
        <f>IF($B378="","",377)</f>
        <v/>
      </c>
      <c r="B378" s="19">
        <f>IFERROR(LARGE(智能流水!$B$2:$B$1001,377),"")</f>
        <v/>
      </c>
      <c r="C378" s="19">
        <f>IF($B378="","",IFERROR(INDEX(智能流水!$C$2:$C$1001,MATCH($B378,智能流水!$B$2:$B$1001,0)),""))</f>
        <v/>
      </c>
      <c r="D378" s="19">
        <f>IF($B378="","",IFERROR(INDEX(智能流水!$D$2:$D$1001,MATCH($B378,智能流水!$B$2:$B$1001,0)),""))</f>
        <v/>
      </c>
      <c r="E378" s="19">
        <f>IF($B378="","",IFERROR(INDEX(智能流水!$E$2:$E$1001,MATCH($B378,智能流水!$B$2:$B$1001,0)),""))</f>
        <v/>
      </c>
      <c r="F378" s="19">
        <f>IF($B378="","",IFERROR(INDEX(智能流水!$F$2:$F$1001,MATCH($B378,智能流水!$B$2:$B$1001,0)),""))</f>
        <v/>
      </c>
      <c r="G378" s="19">
        <f>IF($B378="","",IFERROR(INDEX(智能流水!$G$2:$G$1001,MATCH($B378,智能流水!$B$2:$B$1001,0)),""))</f>
        <v/>
      </c>
      <c r="H378" s="19">
        <f>IF($B378="","",IFERROR(INDEX(智能流水!$H$2:$H$1001,MATCH($B378,智能流水!$B$2:$B$1001,0)),""))</f>
        <v/>
      </c>
      <c r="I378" s="19">
        <f>IF($B378="","",IFERROR(INDEX(智能流水!$I$2:$I$1001,MATCH($B378,智能流水!$B$2:$B$1001,0)),""))</f>
        <v/>
      </c>
      <c r="J378" s="19">
        <f>IF($B378="","",IFERROR(INDEX(智能流水!$J$2:$J$1001,MATCH($B378,智能流水!$B$2:$B$1001,0)),""))</f>
        <v/>
      </c>
      <c r="K378" s="19">
        <f>IF($B378="","",IFERROR(INDEX(智能流水!$K$2:$K$1001,MATCH($B378,智能流水!$B$2:$B$1001,0)),""))</f>
        <v/>
      </c>
      <c r="L378" s="19">
        <f>IF($B378="","",IFERROR(INDEX(智能流水!$L$2:$L$1001,MATCH($B378,智能流水!$B$2:$B$1001,0)),""))</f>
        <v/>
      </c>
      <c r="M378" s="19">
        <f>IF($B378="","",IFERROR(INDEX(智能流水!$M$2:$M$1001,MATCH($B378,智能流水!$B$2:$B$1001,0)),""))</f>
        <v/>
      </c>
      <c r="N378" s="19">
        <f>IF($B378="","",IFERROR(INDEX(智能流水!$N$2:$N$1001,MATCH($B378,智能流水!$B$2:$B$1001,0)),""))</f>
        <v/>
      </c>
      <c r="O378" s="19">
        <f>IF($B378="","",IFERROR(INDEX(智能流水!$O$2:$O$1001,MATCH($B378,智能流水!$B$2:$B$1001,0)),""))</f>
        <v/>
      </c>
    </row>
    <row r="379">
      <c r="A379" s="19">
        <f>IF($B379="","",378)</f>
        <v/>
      </c>
      <c r="B379" s="19">
        <f>IFERROR(LARGE(智能流水!$B$2:$B$1001,378),"")</f>
        <v/>
      </c>
      <c r="C379" s="19">
        <f>IF($B379="","",IFERROR(INDEX(智能流水!$C$2:$C$1001,MATCH($B379,智能流水!$B$2:$B$1001,0)),""))</f>
        <v/>
      </c>
      <c r="D379" s="19">
        <f>IF($B379="","",IFERROR(INDEX(智能流水!$D$2:$D$1001,MATCH($B379,智能流水!$B$2:$B$1001,0)),""))</f>
        <v/>
      </c>
      <c r="E379" s="19">
        <f>IF($B379="","",IFERROR(INDEX(智能流水!$E$2:$E$1001,MATCH($B379,智能流水!$B$2:$B$1001,0)),""))</f>
        <v/>
      </c>
      <c r="F379" s="19">
        <f>IF($B379="","",IFERROR(INDEX(智能流水!$F$2:$F$1001,MATCH($B379,智能流水!$B$2:$B$1001,0)),""))</f>
        <v/>
      </c>
      <c r="G379" s="19">
        <f>IF($B379="","",IFERROR(INDEX(智能流水!$G$2:$G$1001,MATCH($B379,智能流水!$B$2:$B$1001,0)),""))</f>
        <v/>
      </c>
      <c r="H379" s="19">
        <f>IF($B379="","",IFERROR(INDEX(智能流水!$H$2:$H$1001,MATCH($B379,智能流水!$B$2:$B$1001,0)),""))</f>
        <v/>
      </c>
      <c r="I379" s="19">
        <f>IF($B379="","",IFERROR(INDEX(智能流水!$I$2:$I$1001,MATCH($B379,智能流水!$B$2:$B$1001,0)),""))</f>
        <v/>
      </c>
      <c r="J379" s="19">
        <f>IF($B379="","",IFERROR(INDEX(智能流水!$J$2:$J$1001,MATCH($B379,智能流水!$B$2:$B$1001,0)),""))</f>
        <v/>
      </c>
      <c r="K379" s="19">
        <f>IF($B379="","",IFERROR(INDEX(智能流水!$K$2:$K$1001,MATCH($B379,智能流水!$B$2:$B$1001,0)),""))</f>
        <v/>
      </c>
      <c r="L379" s="19">
        <f>IF($B379="","",IFERROR(INDEX(智能流水!$L$2:$L$1001,MATCH($B379,智能流水!$B$2:$B$1001,0)),""))</f>
        <v/>
      </c>
      <c r="M379" s="19">
        <f>IF($B379="","",IFERROR(INDEX(智能流水!$M$2:$M$1001,MATCH($B379,智能流水!$B$2:$B$1001,0)),""))</f>
        <v/>
      </c>
      <c r="N379" s="19">
        <f>IF($B379="","",IFERROR(INDEX(智能流水!$N$2:$N$1001,MATCH($B379,智能流水!$B$2:$B$1001,0)),""))</f>
        <v/>
      </c>
      <c r="O379" s="19">
        <f>IF($B379="","",IFERROR(INDEX(智能流水!$O$2:$O$1001,MATCH($B379,智能流水!$B$2:$B$1001,0)),""))</f>
        <v/>
      </c>
    </row>
    <row r="380">
      <c r="A380" s="19">
        <f>IF($B380="","",379)</f>
        <v/>
      </c>
      <c r="B380" s="19">
        <f>IFERROR(LARGE(智能流水!$B$2:$B$1001,379),"")</f>
        <v/>
      </c>
      <c r="C380" s="19">
        <f>IF($B380="","",IFERROR(INDEX(智能流水!$C$2:$C$1001,MATCH($B380,智能流水!$B$2:$B$1001,0)),""))</f>
        <v/>
      </c>
      <c r="D380" s="19">
        <f>IF($B380="","",IFERROR(INDEX(智能流水!$D$2:$D$1001,MATCH($B380,智能流水!$B$2:$B$1001,0)),""))</f>
        <v/>
      </c>
      <c r="E380" s="19">
        <f>IF($B380="","",IFERROR(INDEX(智能流水!$E$2:$E$1001,MATCH($B380,智能流水!$B$2:$B$1001,0)),""))</f>
        <v/>
      </c>
      <c r="F380" s="19">
        <f>IF($B380="","",IFERROR(INDEX(智能流水!$F$2:$F$1001,MATCH($B380,智能流水!$B$2:$B$1001,0)),""))</f>
        <v/>
      </c>
      <c r="G380" s="19">
        <f>IF($B380="","",IFERROR(INDEX(智能流水!$G$2:$G$1001,MATCH($B380,智能流水!$B$2:$B$1001,0)),""))</f>
        <v/>
      </c>
      <c r="H380" s="19">
        <f>IF($B380="","",IFERROR(INDEX(智能流水!$H$2:$H$1001,MATCH($B380,智能流水!$B$2:$B$1001,0)),""))</f>
        <v/>
      </c>
      <c r="I380" s="19">
        <f>IF($B380="","",IFERROR(INDEX(智能流水!$I$2:$I$1001,MATCH($B380,智能流水!$B$2:$B$1001,0)),""))</f>
        <v/>
      </c>
      <c r="J380" s="19">
        <f>IF($B380="","",IFERROR(INDEX(智能流水!$J$2:$J$1001,MATCH($B380,智能流水!$B$2:$B$1001,0)),""))</f>
        <v/>
      </c>
      <c r="K380" s="19">
        <f>IF($B380="","",IFERROR(INDEX(智能流水!$K$2:$K$1001,MATCH($B380,智能流水!$B$2:$B$1001,0)),""))</f>
        <v/>
      </c>
      <c r="L380" s="19">
        <f>IF($B380="","",IFERROR(INDEX(智能流水!$L$2:$L$1001,MATCH($B380,智能流水!$B$2:$B$1001,0)),""))</f>
        <v/>
      </c>
      <c r="M380" s="19">
        <f>IF($B380="","",IFERROR(INDEX(智能流水!$M$2:$M$1001,MATCH($B380,智能流水!$B$2:$B$1001,0)),""))</f>
        <v/>
      </c>
      <c r="N380" s="19">
        <f>IF($B380="","",IFERROR(INDEX(智能流水!$N$2:$N$1001,MATCH($B380,智能流水!$B$2:$B$1001,0)),""))</f>
        <v/>
      </c>
      <c r="O380" s="19">
        <f>IF($B380="","",IFERROR(INDEX(智能流水!$O$2:$O$1001,MATCH($B380,智能流水!$B$2:$B$1001,0)),""))</f>
        <v/>
      </c>
    </row>
    <row r="381">
      <c r="A381" s="19">
        <f>IF($B381="","",380)</f>
        <v/>
      </c>
      <c r="B381" s="19">
        <f>IFERROR(LARGE(智能流水!$B$2:$B$1001,380),"")</f>
        <v/>
      </c>
      <c r="C381" s="19">
        <f>IF($B381="","",IFERROR(INDEX(智能流水!$C$2:$C$1001,MATCH($B381,智能流水!$B$2:$B$1001,0)),""))</f>
        <v/>
      </c>
      <c r="D381" s="19">
        <f>IF($B381="","",IFERROR(INDEX(智能流水!$D$2:$D$1001,MATCH($B381,智能流水!$B$2:$B$1001,0)),""))</f>
        <v/>
      </c>
      <c r="E381" s="19">
        <f>IF($B381="","",IFERROR(INDEX(智能流水!$E$2:$E$1001,MATCH($B381,智能流水!$B$2:$B$1001,0)),""))</f>
        <v/>
      </c>
      <c r="F381" s="19">
        <f>IF($B381="","",IFERROR(INDEX(智能流水!$F$2:$F$1001,MATCH($B381,智能流水!$B$2:$B$1001,0)),""))</f>
        <v/>
      </c>
      <c r="G381" s="19">
        <f>IF($B381="","",IFERROR(INDEX(智能流水!$G$2:$G$1001,MATCH($B381,智能流水!$B$2:$B$1001,0)),""))</f>
        <v/>
      </c>
      <c r="H381" s="19">
        <f>IF($B381="","",IFERROR(INDEX(智能流水!$H$2:$H$1001,MATCH($B381,智能流水!$B$2:$B$1001,0)),""))</f>
        <v/>
      </c>
      <c r="I381" s="19">
        <f>IF($B381="","",IFERROR(INDEX(智能流水!$I$2:$I$1001,MATCH($B381,智能流水!$B$2:$B$1001,0)),""))</f>
        <v/>
      </c>
      <c r="J381" s="19">
        <f>IF($B381="","",IFERROR(INDEX(智能流水!$J$2:$J$1001,MATCH($B381,智能流水!$B$2:$B$1001,0)),""))</f>
        <v/>
      </c>
      <c r="K381" s="19">
        <f>IF($B381="","",IFERROR(INDEX(智能流水!$K$2:$K$1001,MATCH($B381,智能流水!$B$2:$B$1001,0)),""))</f>
        <v/>
      </c>
      <c r="L381" s="19">
        <f>IF($B381="","",IFERROR(INDEX(智能流水!$L$2:$L$1001,MATCH($B381,智能流水!$B$2:$B$1001,0)),""))</f>
        <v/>
      </c>
      <c r="M381" s="19">
        <f>IF($B381="","",IFERROR(INDEX(智能流水!$M$2:$M$1001,MATCH($B381,智能流水!$B$2:$B$1001,0)),""))</f>
        <v/>
      </c>
      <c r="N381" s="19">
        <f>IF($B381="","",IFERROR(INDEX(智能流水!$N$2:$N$1001,MATCH($B381,智能流水!$B$2:$B$1001,0)),""))</f>
        <v/>
      </c>
      <c r="O381" s="19">
        <f>IF($B381="","",IFERROR(INDEX(智能流水!$O$2:$O$1001,MATCH($B381,智能流水!$B$2:$B$1001,0)),""))</f>
        <v/>
      </c>
    </row>
    <row r="382">
      <c r="A382" s="19">
        <f>IF($B382="","",381)</f>
        <v/>
      </c>
      <c r="B382" s="19">
        <f>IFERROR(LARGE(智能流水!$B$2:$B$1001,381),"")</f>
        <v/>
      </c>
      <c r="C382" s="19">
        <f>IF($B382="","",IFERROR(INDEX(智能流水!$C$2:$C$1001,MATCH($B382,智能流水!$B$2:$B$1001,0)),""))</f>
        <v/>
      </c>
      <c r="D382" s="19">
        <f>IF($B382="","",IFERROR(INDEX(智能流水!$D$2:$D$1001,MATCH($B382,智能流水!$B$2:$B$1001,0)),""))</f>
        <v/>
      </c>
      <c r="E382" s="19">
        <f>IF($B382="","",IFERROR(INDEX(智能流水!$E$2:$E$1001,MATCH($B382,智能流水!$B$2:$B$1001,0)),""))</f>
        <v/>
      </c>
      <c r="F382" s="19">
        <f>IF($B382="","",IFERROR(INDEX(智能流水!$F$2:$F$1001,MATCH($B382,智能流水!$B$2:$B$1001,0)),""))</f>
        <v/>
      </c>
      <c r="G382" s="19">
        <f>IF($B382="","",IFERROR(INDEX(智能流水!$G$2:$G$1001,MATCH($B382,智能流水!$B$2:$B$1001,0)),""))</f>
        <v/>
      </c>
      <c r="H382" s="19">
        <f>IF($B382="","",IFERROR(INDEX(智能流水!$H$2:$H$1001,MATCH($B382,智能流水!$B$2:$B$1001,0)),""))</f>
        <v/>
      </c>
      <c r="I382" s="19">
        <f>IF($B382="","",IFERROR(INDEX(智能流水!$I$2:$I$1001,MATCH($B382,智能流水!$B$2:$B$1001,0)),""))</f>
        <v/>
      </c>
      <c r="J382" s="19">
        <f>IF($B382="","",IFERROR(INDEX(智能流水!$J$2:$J$1001,MATCH($B382,智能流水!$B$2:$B$1001,0)),""))</f>
        <v/>
      </c>
      <c r="K382" s="19">
        <f>IF($B382="","",IFERROR(INDEX(智能流水!$K$2:$K$1001,MATCH($B382,智能流水!$B$2:$B$1001,0)),""))</f>
        <v/>
      </c>
      <c r="L382" s="19">
        <f>IF($B382="","",IFERROR(INDEX(智能流水!$L$2:$L$1001,MATCH($B382,智能流水!$B$2:$B$1001,0)),""))</f>
        <v/>
      </c>
      <c r="M382" s="19">
        <f>IF($B382="","",IFERROR(INDEX(智能流水!$M$2:$M$1001,MATCH($B382,智能流水!$B$2:$B$1001,0)),""))</f>
        <v/>
      </c>
      <c r="N382" s="19">
        <f>IF($B382="","",IFERROR(INDEX(智能流水!$N$2:$N$1001,MATCH($B382,智能流水!$B$2:$B$1001,0)),""))</f>
        <v/>
      </c>
      <c r="O382" s="19">
        <f>IF($B382="","",IFERROR(INDEX(智能流水!$O$2:$O$1001,MATCH($B382,智能流水!$B$2:$B$1001,0)),""))</f>
        <v/>
      </c>
    </row>
    <row r="383">
      <c r="A383" s="19">
        <f>IF($B383="","",382)</f>
        <v/>
      </c>
      <c r="B383" s="19">
        <f>IFERROR(LARGE(智能流水!$B$2:$B$1001,382),"")</f>
        <v/>
      </c>
      <c r="C383" s="19">
        <f>IF($B383="","",IFERROR(INDEX(智能流水!$C$2:$C$1001,MATCH($B383,智能流水!$B$2:$B$1001,0)),""))</f>
        <v/>
      </c>
      <c r="D383" s="19">
        <f>IF($B383="","",IFERROR(INDEX(智能流水!$D$2:$D$1001,MATCH($B383,智能流水!$B$2:$B$1001,0)),""))</f>
        <v/>
      </c>
      <c r="E383" s="19">
        <f>IF($B383="","",IFERROR(INDEX(智能流水!$E$2:$E$1001,MATCH($B383,智能流水!$B$2:$B$1001,0)),""))</f>
        <v/>
      </c>
      <c r="F383" s="19">
        <f>IF($B383="","",IFERROR(INDEX(智能流水!$F$2:$F$1001,MATCH($B383,智能流水!$B$2:$B$1001,0)),""))</f>
        <v/>
      </c>
      <c r="G383" s="19">
        <f>IF($B383="","",IFERROR(INDEX(智能流水!$G$2:$G$1001,MATCH($B383,智能流水!$B$2:$B$1001,0)),""))</f>
        <v/>
      </c>
      <c r="H383" s="19">
        <f>IF($B383="","",IFERROR(INDEX(智能流水!$H$2:$H$1001,MATCH($B383,智能流水!$B$2:$B$1001,0)),""))</f>
        <v/>
      </c>
      <c r="I383" s="19">
        <f>IF($B383="","",IFERROR(INDEX(智能流水!$I$2:$I$1001,MATCH($B383,智能流水!$B$2:$B$1001,0)),""))</f>
        <v/>
      </c>
      <c r="J383" s="19">
        <f>IF($B383="","",IFERROR(INDEX(智能流水!$J$2:$J$1001,MATCH($B383,智能流水!$B$2:$B$1001,0)),""))</f>
        <v/>
      </c>
      <c r="K383" s="19">
        <f>IF($B383="","",IFERROR(INDEX(智能流水!$K$2:$K$1001,MATCH($B383,智能流水!$B$2:$B$1001,0)),""))</f>
        <v/>
      </c>
      <c r="L383" s="19">
        <f>IF($B383="","",IFERROR(INDEX(智能流水!$L$2:$L$1001,MATCH($B383,智能流水!$B$2:$B$1001,0)),""))</f>
        <v/>
      </c>
      <c r="M383" s="19">
        <f>IF($B383="","",IFERROR(INDEX(智能流水!$M$2:$M$1001,MATCH($B383,智能流水!$B$2:$B$1001,0)),""))</f>
        <v/>
      </c>
      <c r="N383" s="19">
        <f>IF($B383="","",IFERROR(INDEX(智能流水!$N$2:$N$1001,MATCH($B383,智能流水!$B$2:$B$1001,0)),""))</f>
        <v/>
      </c>
      <c r="O383" s="19">
        <f>IF($B383="","",IFERROR(INDEX(智能流水!$O$2:$O$1001,MATCH($B383,智能流水!$B$2:$B$1001,0)),""))</f>
        <v/>
      </c>
    </row>
    <row r="384">
      <c r="A384" s="19">
        <f>IF($B384="","",383)</f>
        <v/>
      </c>
      <c r="B384" s="19">
        <f>IFERROR(LARGE(智能流水!$B$2:$B$1001,383),"")</f>
        <v/>
      </c>
      <c r="C384" s="19">
        <f>IF($B384="","",IFERROR(INDEX(智能流水!$C$2:$C$1001,MATCH($B384,智能流水!$B$2:$B$1001,0)),""))</f>
        <v/>
      </c>
      <c r="D384" s="19">
        <f>IF($B384="","",IFERROR(INDEX(智能流水!$D$2:$D$1001,MATCH($B384,智能流水!$B$2:$B$1001,0)),""))</f>
        <v/>
      </c>
      <c r="E384" s="19">
        <f>IF($B384="","",IFERROR(INDEX(智能流水!$E$2:$E$1001,MATCH($B384,智能流水!$B$2:$B$1001,0)),""))</f>
        <v/>
      </c>
      <c r="F384" s="19">
        <f>IF($B384="","",IFERROR(INDEX(智能流水!$F$2:$F$1001,MATCH($B384,智能流水!$B$2:$B$1001,0)),""))</f>
        <v/>
      </c>
      <c r="G384" s="19">
        <f>IF($B384="","",IFERROR(INDEX(智能流水!$G$2:$G$1001,MATCH($B384,智能流水!$B$2:$B$1001,0)),""))</f>
        <v/>
      </c>
      <c r="H384" s="19">
        <f>IF($B384="","",IFERROR(INDEX(智能流水!$H$2:$H$1001,MATCH($B384,智能流水!$B$2:$B$1001,0)),""))</f>
        <v/>
      </c>
      <c r="I384" s="19">
        <f>IF($B384="","",IFERROR(INDEX(智能流水!$I$2:$I$1001,MATCH($B384,智能流水!$B$2:$B$1001,0)),""))</f>
        <v/>
      </c>
      <c r="J384" s="19">
        <f>IF($B384="","",IFERROR(INDEX(智能流水!$J$2:$J$1001,MATCH($B384,智能流水!$B$2:$B$1001,0)),""))</f>
        <v/>
      </c>
      <c r="K384" s="19">
        <f>IF($B384="","",IFERROR(INDEX(智能流水!$K$2:$K$1001,MATCH($B384,智能流水!$B$2:$B$1001,0)),""))</f>
        <v/>
      </c>
      <c r="L384" s="19">
        <f>IF($B384="","",IFERROR(INDEX(智能流水!$L$2:$L$1001,MATCH($B384,智能流水!$B$2:$B$1001,0)),""))</f>
        <v/>
      </c>
      <c r="M384" s="19">
        <f>IF($B384="","",IFERROR(INDEX(智能流水!$M$2:$M$1001,MATCH($B384,智能流水!$B$2:$B$1001,0)),""))</f>
        <v/>
      </c>
      <c r="N384" s="19">
        <f>IF($B384="","",IFERROR(INDEX(智能流水!$N$2:$N$1001,MATCH($B384,智能流水!$B$2:$B$1001,0)),""))</f>
        <v/>
      </c>
      <c r="O384" s="19">
        <f>IF($B384="","",IFERROR(INDEX(智能流水!$O$2:$O$1001,MATCH($B384,智能流水!$B$2:$B$1001,0)),""))</f>
        <v/>
      </c>
    </row>
    <row r="385">
      <c r="A385" s="19">
        <f>IF($B385="","",384)</f>
        <v/>
      </c>
      <c r="B385" s="19">
        <f>IFERROR(LARGE(智能流水!$B$2:$B$1001,384),"")</f>
        <v/>
      </c>
      <c r="C385" s="19">
        <f>IF($B385="","",IFERROR(INDEX(智能流水!$C$2:$C$1001,MATCH($B385,智能流水!$B$2:$B$1001,0)),""))</f>
        <v/>
      </c>
      <c r="D385" s="19">
        <f>IF($B385="","",IFERROR(INDEX(智能流水!$D$2:$D$1001,MATCH($B385,智能流水!$B$2:$B$1001,0)),""))</f>
        <v/>
      </c>
      <c r="E385" s="19">
        <f>IF($B385="","",IFERROR(INDEX(智能流水!$E$2:$E$1001,MATCH($B385,智能流水!$B$2:$B$1001,0)),""))</f>
        <v/>
      </c>
      <c r="F385" s="19">
        <f>IF($B385="","",IFERROR(INDEX(智能流水!$F$2:$F$1001,MATCH($B385,智能流水!$B$2:$B$1001,0)),""))</f>
        <v/>
      </c>
      <c r="G385" s="19">
        <f>IF($B385="","",IFERROR(INDEX(智能流水!$G$2:$G$1001,MATCH($B385,智能流水!$B$2:$B$1001,0)),""))</f>
        <v/>
      </c>
      <c r="H385" s="19">
        <f>IF($B385="","",IFERROR(INDEX(智能流水!$H$2:$H$1001,MATCH($B385,智能流水!$B$2:$B$1001,0)),""))</f>
        <v/>
      </c>
      <c r="I385" s="19">
        <f>IF($B385="","",IFERROR(INDEX(智能流水!$I$2:$I$1001,MATCH($B385,智能流水!$B$2:$B$1001,0)),""))</f>
        <v/>
      </c>
      <c r="J385" s="19">
        <f>IF($B385="","",IFERROR(INDEX(智能流水!$J$2:$J$1001,MATCH($B385,智能流水!$B$2:$B$1001,0)),""))</f>
        <v/>
      </c>
      <c r="K385" s="19">
        <f>IF($B385="","",IFERROR(INDEX(智能流水!$K$2:$K$1001,MATCH($B385,智能流水!$B$2:$B$1001,0)),""))</f>
        <v/>
      </c>
      <c r="L385" s="19">
        <f>IF($B385="","",IFERROR(INDEX(智能流水!$L$2:$L$1001,MATCH($B385,智能流水!$B$2:$B$1001,0)),""))</f>
        <v/>
      </c>
      <c r="M385" s="19">
        <f>IF($B385="","",IFERROR(INDEX(智能流水!$M$2:$M$1001,MATCH($B385,智能流水!$B$2:$B$1001,0)),""))</f>
        <v/>
      </c>
      <c r="N385" s="19">
        <f>IF($B385="","",IFERROR(INDEX(智能流水!$N$2:$N$1001,MATCH($B385,智能流水!$B$2:$B$1001,0)),""))</f>
        <v/>
      </c>
      <c r="O385" s="19">
        <f>IF($B385="","",IFERROR(INDEX(智能流水!$O$2:$O$1001,MATCH($B385,智能流水!$B$2:$B$1001,0)),""))</f>
        <v/>
      </c>
    </row>
    <row r="386">
      <c r="A386" s="19">
        <f>IF($B386="","",385)</f>
        <v/>
      </c>
      <c r="B386" s="19">
        <f>IFERROR(LARGE(智能流水!$B$2:$B$1001,385),"")</f>
        <v/>
      </c>
      <c r="C386" s="19">
        <f>IF($B386="","",IFERROR(INDEX(智能流水!$C$2:$C$1001,MATCH($B386,智能流水!$B$2:$B$1001,0)),""))</f>
        <v/>
      </c>
      <c r="D386" s="19">
        <f>IF($B386="","",IFERROR(INDEX(智能流水!$D$2:$D$1001,MATCH($B386,智能流水!$B$2:$B$1001,0)),""))</f>
        <v/>
      </c>
      <c r="E386" s="19">
        <f>IF($B386="","",IFERROR(INDEX(智能流水!$E$2:$E$1001,MATCH($B386,智能流水!$B$2:$B$1001,0)),""))</f>
        <v/>
      </c>
      <c r="F386" s="19">
        <f>IF($B386="","",IFERROR(INDEX(智能流水!$F$2:$F$1001,MATCH($B386,智能流水!$B$2:$B$1001,0)),""))</f>
        <v/>
      </c>
      <c r="G386" s="19">
        <f>IF($B386="","",IFERROR(INDEX(智能流水!$G$2:$G$1001,MATCH($B386,智能流水!$B$2:$B$1001,0)),""))</f>
        <v/>
      </c>
      <c r="H386" s="19">
        <f>IF($B386="","",IFERROR(INDEX(智能流水!$H$2:$H$1001,MATCH($B386,智能流水!$B$2:$B$1001,0)),""))</f>
        <v/>
      </c>
      <c r="I386" s="19">
        <f>IF($B386="","",IFERROR(INDEX(智能流水!$I$2:$I$1001,MATCH($B386,智能流水!$B$2:$B$1001,0)),""))</f>
        <v/>
      </c>
      <c r="J386" s="19">
        <f>IF($B386="","",IFERROR(INDEX(智能流水!$J$2:$J$1001,MATCH($B386,智能流水!$B$2:$B$1001,0)),""))</f>
        <v/>
      </c>
      <c r="K386" s="19">
        <f>IF($B386="","",IFERROR(INDEX(智能流水!$K$2:$K$1001,MATCH($B386,智能流水!$B$2:$B$1001,0)),""))</f>
        <v/>
      </c>
      <c r="L386" s="19">
        <f>IF($B386="","",IFERROR(INDEX(智能流水!$L$2:$L$1001,MATCH($B386,智能流水!$B$2:$B$1001,0)),""))</f>
        <v/>
      </c>
      <c r="M386" s="19">
        <f>IF($B386="","",IFERROR(INDEX(智能流水!$M$2:$M$1001,MATCH($B386,智能流水!$B$2:$B$1001,0)),""))</f>
        <v/>
      </c>
      <c r="N386" s="19">
        <f>IF($B386="","",IFERROR(INDEX(智能流水!$N$2:$N$1001,MATCH($B386,智能流水!$B$2:$B$1001,0)),""))</f>
        <v/>
      </c>
      <c r="O386" s="19">
        <f>IF($B386="","",IFERROR(INDEX(智能流水!$O$2:$O$1001,MATCH($B386,智能流水!$B$2:$B$1001,0)),""))</f>
        <v/>
      </c>
    </row>
    <row r="387">
      <c r="A387" s="19">
        <f>IF($B387="","",386)</f>
        <v/>
      </c>
      <c r="B387" s="19">
        <f>IFERROR(LARGE(智能流水!$B$2:$B$1001,386),"")</f>
        <v/>
      </c>
      <c r="C387" s="19">
        <f>IF($B387="","",IFERROR(INDEX(智能流水!$C$2:$C$1001,MATCH($B387,智能流水!$B$2:$B$1001,0)),""))</f>
        <v/>
      </c>
      <c r="D387" s="19">
        <f>IF($B387="","",IFERROR(INDEX(智能流水!$D$2:$D$1001,MATCH($B387,智能流水!$B$2:$B$1001,0)),""))</f>
        <v/>
      </c>
      <c r="E387" s="19">
        <f>IF($B387="","",IFERROR(INDEX(智能流水!$E$2:$E$1001,MATCH($B387,智能流水!$B$2:$B$1001,0)),""))</f>
        <v/>
      </c>
      <c r="F387" s="19">
        <f>IF($B387="","",IFERROR(INDEX(智能流水!$F$2:$F$1001,MATCH($B387,智能流水!$B$2:$B$1001,0)),""))</f>
        <v/>
      </c>
      <c r="G387" s="19">
        <f>IF($B387="","",IFERROR(INDEX(智能流水!$G$2:$G$1001,MATCH($B387,智能流水!$B$2:$B$1001,0)),""))</f>
        <v/>
      </c>
      <c r="H387" s="19">
        <f>IF($B387="","",IFERROR(INDEX(智能流水!$H$2:$H$1001,MATCH($B387,智能流水!$B$2:$B$1001,0)),""))</f>
        <v/>
      </c>
      <c r="I387" s="19">
        <f>IF($B387="","",IFERROR(INDEX(智能流水!$I$2:$I$1001,MATCH($B387,智能流水!$B$2:$B$1001,0)),""))</f>
        <v/>
      </c>
      <c r="J387" s="19">
        <f>IF($B387="","",IFERROR(INDEX(智能流水!$J$2:$J$1001,MATCH($B387,智能流水!$B$2:$B$1001,0)),""))</f>
        <v/>
      </c>
      <c r="K387" s="19">
        <f>IF($B387="","",IFERROR(INDEX(智能流水!$K$2:$K$1001,MATCH($B387,智能流水!$B$2:$B$1001,0)),""))</f>
        <v/>
      </c>
      <c r="L387" s="19">
        <f>IF($B387="","",IFERROR(INDEX(智能流水!$L$2:$L$1001,MATCH($B387,智能流水!$B$2:$B$1001,0)),""))</f>
        <v/>
      </c>
      <c r="M387" s="19">
        <f>IF($B387="","",IFERROR(INDEX(智能流水!$M$2:$M$1001,MATCH($B387,智能流水!$B$2:$B$1001,0)),""))</f>
        <v/>
      </c>
      <c r="N387" s="19">
        <f>IF($B387="","",IFERROR(INDEX(智能流水!$N$2:$N$1001,MATCH($B387,智能流水!$B$2:$B$1001,0)),""))</f>
        <v/>
      </c>
      <c r="O387" s="19">
        <f>IF($B387="","",IFERROR(INDEX(智能流水!$O$2:$O$1001,MATCH($B387,智能流水!$B$2:$B$1001,0)),""))</f>
        <v/>
      </c>
    </row>
    <row r="388">
      <c r="A388" s="19">
        <f>IF($B388="","",387)</f>
        <v/>
      </c>
      <c r="B388" s="19">
        <f>IFERROR(LARGE(智能流水!$B$2:$B$1001,387),"")</f>
        <v/>
      </c>
      <c r="C388" s="19">
        <f>IF($B388="","",IFERROR(INDEX(智能流水!$C$2:$C$1001,MATCH($B388,智能流水!$B$2:$B$1001,0)),""))</f>
        <v/>
      </c>
      <c r="D388" s="19">
        <f>IF($B388="","",IFERROR(INDEX(智能流水!$D$2:$D$1001,MATCH($B388,智能流水!$B$2:$B$1001,0)),""))</f>
        <v/>
      </c>
      <c r="E388" s="19">
        <f>IF($B388="","",IFERROR(INDEX(智能流水!$E$2:$E$1001,MATCH($B388,智能流水!$B$2:$B$1001,0)),""))</f>
        <v/>
      </c>
      <c r="F388" s="19">
        <f>IF($B388="","",IFERROR(INDEX(智能流水!$F$2:$F$1001,MATCH($B388,智能流水!$B$2:$B$1001,0)),""))</f>
        <v/>
      </c>
      <c r="G388" s="19">
        <f>IF($B388="","",IFERROR(INDEX(智能流水!$G$2:$G$1001,MATCH($B388,智能流水!$B$2:$B$1001,0)),""))</f>
        <v/>
      </c>
      <c r="H388" s="19">
        <f>IF($B388="","",IFERROR(INDEX(智能流水!$H$2:$H$1001,MATCH($B388,智能流水!$B$2:$B$1001,0)),""))</f>
        <v/>
      </c>
      <c r="I388" s="19">
        <f>IF($B388="","",IFERROR(INDEX(智能流水!$I$2:$I$1001,MATCH($B388,智能流水!$B$2:$B$1001,0)),""))</f>
        <v/>
      </c>
      <c r="J388" s="19">
        <f>IF($B388="","",IFERROR(INDEX(智能流水!$J$2:$J$1001,MATCH($B388,智能流水!$B$2:$B$1001,0)),""))</f>
        <v/>
      </c>
      <c r="K388" s="19">
        <f>IF($B388="","",IFERROR(INDEX(智能流水!$K$2:$K$1001,MATCH($B388,智能流水!$B$2:$B$1001,0)),""))</f>
        <v/>
      </c>
      <c r="L388" s="19">
        <f>IF($B388="","",IFERROR(INDEX(智能流水!$L$2:$L$1001,MATCH($B388,智能流水!$B$2:$B$1001,0)),""))</f>
        <v/>
      </c>
      <c r="M388" s="19">
        <f>IF($B388="","",IFERROR(INDEX(智能流水!$M$2:$M$1001,MATCH($B388,智能流水!$B$2:$B$1001,0)),""))</f>
        <v/>
      </c>
      <c r="N388" s="19">
        <f>IF($B388="","",IFERROR(INDEX(智能流水!$N$2:$N$1001,MATCH($B388,智能流水!$B$2:$B$1001,0)),""))</f>
        <v/>
      </c>
      <c r="O388" s="19">
        <f>IF($B388="","",IFERROR(INDEX(智能流水!$O$2:$O$1001,MATCH($B388,智能流水!$B$2:$B$1001,0)),""))</f>
        <v/>
      </c>
    </row>
    <row r="389">
      <c r="A389" s="19">
        <f>IF($B389="","",388)</f>
        <v/>
      </c>
      <c r="B389" s="19">
        <f>IFERROR(LARGE(智能流水!$B$2:$B$1001,388),"")</f>
        <v/>
      </c>
      <c r="C389" s="19">
        <f>IF($B389="","",IFERROR(INDEX(智能流水!$C$2:$C$1001,MATCH($B389,智能流水!$B$2:$B$1001,0)),""))</f>
        <v/>
      </c>
      <c r="D389" s="19">
        <f>IF($B389="","",IFERROR(INDEX(智能流水!$D$2:$D$1001,MATCH($B389,智能流水!$B$2:$B$1001,0)),""))</f>
        <v/>
      </c>
      <c r="E389" s="19">
        <f>IF($B389="","",IFERROR(INDEX(智能流水!$E$2:$E$1001,MATCH($B389,智能流水!$B$2:$B$1001,0)),""))</f>
        <v/>
      </c>
      <c r="F389" s="19">
        <f>IF($B389="","",IFERROR(INDEX(智能流水!$F$2:$F$1001,MATCH($B389,智能流水!$B$2:$B$1001,0)),""))</f>
        <v/>
      </c>
      <c r="G389" s="19">
        <f>IF($B389="","",IFERROR(INDEX(智能流水!$G$2:$G$1001,MATCH($B389,智能流水!$B$2:$B$1001,0)),""))</f>
        <v/>
      </c>
      <c r="H389" s="19">
        <f>IF($B389="","",IFERROR(INDEX(智能流水!$H$2:$H$1001,MATCH($B389,智能流水!$B$2:$B$1001,0)),""))</f>
        <v/>
      </c>
      <c r="I389" s="19">
        <f>IF($B389="","",IFERROR(INDEX(智能流水!$I$2:$I$1001,MATCH($B389,智能流水!$B$2:$B$1001,0)),""))</f>
        <v/>
      </c>
      <c r="J389" s="19">
        <f>IF($B389="","",IFERROR(INDEX(智能流水!$J$2:$J$1001,MATCH($B389,智能流水!$B$2:$B$1001,0)),""))</f>
        <v/>
      </c>
      <c r="K389" s="19">
        <f>IF($B389="","",IFERROR(INDEX(智能流水!$K$2:$K$1001,MATCH($B389,智能流水!$B$2:$B$1001,0)),""))</f>
        <v/>
      </c>
      <c r="L389" s="19">
        <f>IF($B389="","",IFERROR(INDEX(智能流水!$L$2:$L$1001,MATCH($B389,智能流水!$B$2:$B$1001,0)),""))</f>
        <v/>
      </c>
      <c r="M389" s="19">
        <f>IF($B389="","",IFERROR(INDEX(智能流水!$M$2:$M$1001,MATCH($B389,智能流水!$B$2:$B$1001,0)),""))</f>
        <v/>
      </c>
      <c r="N389" s="19">
        <f>IF($B389="","",IFERROR(INDEX(智能流水!$N$2:$N$1001,MATCH($B389,智能流水!$B$2:$B$1001,0)),""))</f>
        <v/>
      </c>
      <c r="O389" s="19">
        <f>IF($B389="","",IFERROR(INDEX(智能流水!$O$2:$O$1001,MATCH($B389,智能流水!$B$2:$B$1001,0)),""))</f>
        <v/>
      </c>
    </row>
    <row r="390">
      <c r="A390" s="19">
        <f>IF($B390="","",389)</f>
        <v/>
      </c>
      <c r="B390" s="19">
        <f>IFERROR(LARGE(智能流水!$B$2:$B$1001,389),"")</f>
        <v/>
      </c>
      <c r="C390" s="19">
        <f>IF($B390="","",IFERROR(INDEX(智能流水!$C$2:$C$1001,MATCH($B390,智能流水!$B$2:$B$1001,0)),""))</f>
        <v/>
      </c>
      <c r="D390" s="19">
        <f>IF($B390="","",IFERROR(INDEX(智能流水!$D$2:$D$1001,MATCH($B390,智能流水!$B$2:$B$1001,0)),""))</f>
        <v/>
      </c>
      <c r="E390" s="19">
        <f>IF($B390="","",IFERROR(INDEX(智能流水!$E$2:$E$1001,MATCH($B390,智能流水!$B$2:$B$1001,0)),""))</f>
        <v/>
      </c>
      <c r="F390" s="19">
        <f>IF($B390="","",IFERROR(INDEX(智能流水!$F$2:$F$1001,MATCH($B390,智能流水!$B$2:$B$1001,0)),""))</f>
        <v/>
      </c>
      <c r="G390" s="19">
        <f>IF($B390="","",IFERROR(INDEX(智能流水!$G$2:$G$1001,MATCH($B390,智能流水!$B$2:$B$1001,0)),""))</f>
        <v/>
      </c>
      <c r="H390" s="19">
        <f>IF($B390="","",IFERROR(INDEX(智能流水!$H$2:$H$1001,MATCH($B390,智能流水!$B$2:$B$1001,0)),""))</f>
        <v/>
      </c>
      <c r="I390" s="19">
        <f>IF($B390="","",IFERROR(INDEX(智能流水!$I$2:$I$1001,MATCH($B390,智能流水!$B$2:$B$1001,0)),""))</f>
        <v/>
      </c>
      <c r="J390" s="19">
        <f>IF($B390="","",IFERROR(INDEX(智能流水!$J$2:$J$1001,MATCH($B390,智能流水!$B$2:$B$1001,0)),""))</f>
        <v/>
      </c>
      <c r="K390" s="19">
        <f>IF($B390="","",IFERROR(INDEX(智能流水!$K$2:$K$1001,MATCH($B390,智能流水!$B$2:$B$1001,0)),""))</f>
        <v/>
      </c>
      <c r="L390" s="19">
        <f>IF($B390="","",IFERROR(INDEX(智能流水!$L$2:$L$1001,MATCH($B390,智能流水!$B$2:$B$1001,0)),""))</f>
        <v/>
      </c>
      <c r="M390" s="19">
        <f>IF($B390="","",IFERROR(INDEX(智能流水!$M$2:$M$1001,MATCH($B390,智能流水!$B$2:$B$1001,0)),""))</f>
        <v/>
      </c>
      <c r="N390" s="19">
        <f>IF($B390="","",IFERROR(INDEX(智能流水!$N$2:$N$1001,MATCH($B390,智能流水!$B$2:$B$1001,0)),""))</f>
        <v/>
      </c>
      <c r="O390" s="19">
        <f>IF($B390="","",IFERROR(INDEX(智能流水!$O$2:$O$1001,MATCH($B390,智能流水!$B$2:$B$1001,0)),""))</f>
        <v/>
      </c>
    </row>
    <row r="391">
      <c r="A391" s="19">
        <f>IF($B391="","",390)</f>
        <v/>
      </c>
      <c r="B391" s="19">
        <f>IFERROR(LARGE(智能流水!$B$2:$B$1001,390),"")</f>
        <v/>
      </c>
      <c r="C391" s="19">
        <f>IF($B391="","",IFERROR(INDEX(智能流水!$C$2:$C$1001,MATCH($B391,智能流水!$B$2:$B$1001,0)),""))</f>
        <v/>
      </c>
      <c r="D391" s="19">
        <f>IF($B391="","",IFERROR(INDEX(智能流水!$D$2:$D$1001,MATCH($B391,智能流水!$B$2:$B$1001,0)),""))</f>
        <v/>
      </c>
      <c r="E391" s="19">
        <f>IF($B391="","",IFERROR(INDEX(智能流水!$E$2:$E$1001,MATCH($B391,智能流水!$B$2:$B$1001,0)),""))</f>
        <v/>
      </c>
      <c r="F391" s="19">
        <f>IF($B391="","",IFERROR(INDEX(智能流水!$F$2:$F$1001,MATCH($B391,智能流水!$B$2:$B$1001,0)),""))</f>
        <v/>
      </c>
      <c r="G391" s="19">
        <f>IF($B391="","",IFERROR(INDEX(智能流水!$G$2:$G$1001,MATCH($B391,智能流水!$B$2:$B$1001,0)),""))</f>
        <v/>
      </c>
      <c r="H391" s="19">
        <f>IF($B391="","",IFERROR(INDEX(智能流水!$H$2:$H$1001,MATCH($B391,智能流水!$B$2:$B$1001,0)),""))</f>
        <v/>
      </c>
      <c r="I391" s="19">
        <f>IF($B391="","",IFERROR(INDEX(智能流水!$I$2:$I$1001,MATCH($B391,智能流水!$B$2:$B$1001,0)),""))</f>
        <v/>
      </c>
      <c r="J391" s="19">
        <f>IF($B391="","",IFERROR(INDEX(智能流水!$J$2:$J$1001,MATCH($B391,智能流水!$B$2:$B$1001,0)),""))</f>
        <v/>
      </c>
      <c r="K391" s="19">
        <f>IF($B391="","",IFERROR(INDEX(智能流水!$K$2:$K$1001,MATCH($B391,智能流水!$B$2:$B$1001,0)),""))</f>
        <v/>
      </c>
      <c r="L391" s="19">
        <f>IF($B391="","",IFERROR(INDEX(智能流水!$L$2:$L$1001,MATCH($B391,智能流水!$B$2:$B$1001,0)),""))</f>
        <v/>
      </c>
      <c r="M391" s="19">
        <f>IF($B391="","",IFERROR(INDEX(智能流水!$M$2:$M$1001,MATCH($B391,智能流水!$B$2:$B$1001,0)),""))</f>
        <v/>
      </c>
      <c r="N391" s="19">
        <f>IF($B391="","",IFERROR(INDEX(智能流水!$N$2:$N$1001,MATCH($B391,智能流水!$B$2:$B$1001,0)),""))</f>
        <v/>
      </c>
      <c r="O391" s="19">
        <f>IF($B391="","",IFERROR(INDEX(智能流水!$O$2:$O$1001,MATCH($B391,智能流水!$B$2:$B$1001,0)),""))</f>
        <v/>
      </c>
    </row>
    <row r="392">
      <c r="A392" s="19">
        <f>IF($B392="","",391)</f>
        <v/>
      </c>
      <c r="B392" s="19">
        <f>IFERROR(LARGE(智能流水!$B$2:$B$1001,391),"")</f>
        <v/>
      </c>
      <c r="C392" s="19">
        <f>IF($B392="","",IFERROR(INDEX(智能流水!$C$2:$C$1001,MATCH($B392,智能流水!$B$2:$B$1001,0)),""))</f>
        <v/>
      </c>
      <c r="D392" s="19">
        <f>IF($B392="","",IFERROR(INDEX(智能流水!$D$2:$D$1001,MATCH($B392,智能流水!$B$2:$B$1001,0)),""))</f>
        <v/>
      </c>
      <c r="E392" s="19">
        <f>IF($B392="","",IFERROR(INDEX(智能流水!$E$2:$E$1001,MATCH($B392,智能流水!$B$2:$B$1001,0)),""))</f>
        <v/>
      </c>
      <c r="F392" s="19">
        <f>IF($B392="","",IFERROR(INDEX(智能流水!$F$2:$F$1001,MATCH($B392,智能流水!$B$2:$B$1001,0)),""))</f>
        <v/>
      </c>
      <c r="G392" s="19">
        <f>IF($B392="","",IFERROR(INDEX(智能流水!$G$2:$G$1001,MATCH($B392,智能流水!$B$2:$B$1001,0)),""))</f>
        <v/>
      </c>
      <c r="H392" s="19">
        <f>IF($B392="","",IFERROR(INDEX(智能流水!$H$2:$H$1001,MATCH($B392,智能流水!$B$2:$B$1001,0)),""))</f>
        <v/>
      </c>
      <c r="I392" s="19">
        <f>IF($B392="","",IFERROR(INDEX(智能流水!$I$2:$I$1001,MATCH($B392,智能流水!$B$2:$B$1001,0)),""))</f>
        <v/>
      </c>
      <c r="J392" s="19">
        <f>IF($B392="","",IFERROR(INDEX(智能流水!$J$2:$J$1001,MATCH($B392,智能流水!$B$2:$B$1001,0)),""))</f>
        <v/>
      </c>
      <c r="K392" s="19">
        <f>IF($B392="","",IFERROR(INDEX(智能流水!$K$2:$K$1001,MATCH($B392,智能流水!$B$2:$B$1001,0)),""))</f>
        <v/>
      </c>
      <c r="L392" s="19">
        <f>IF($B392="","",IFERROR(INDEX(智能流水!$L$2:$L$1001,MATCH($B392,智能流水!$B$2:$B$1001,0)),""))</f>
        <v/>
      </c>
      <c r="M392" s="19">
        <f>IF($B392="","",IFERROR(INDEX(智能流水!$M$2:$M$1001,MATCH($B392,智能流水!$B$2:$B$1001,0)),""))</f>
        <v/>
      </c>
      <c r="N392" s="19">
        <f>IF($B392="","",IFERROR(INDEX(智能流水!$N$2:$N$1001,MATCH($B392,智能流水!$B$2:$B$1001,0)),""))</f>
        <v/>
      </c>
      <c r="O392" s="19">
        <f>IF($B392="","",IFERROR(INDEX(智能流水!$O$2:$O$1001,MATCH($B392,智能流水!$B$2:$B$1001,0)),""))</f>
        <v/>
      </c>
    </row>
    <row r="393">
      <c r="A393" s="19">
        <f>IF($B393="","",392)</f>
        <v/>
      </c>
      <c r="B393" s="19">
        <f>IFERROR(LARGE(智能流水!$B$2:$B$1001,392),"")</f>
        <v/>
      </c>
      <c r="C393" s="19">
        <f>IF($B393="","",IFERROR(INDEX(智能流水!$C$2:$C$1001,MATCH($B393,智能流水!$B$2:$B$1001,0)),""))</f>
        <v/>
      </c>
      <c r="D393" s="19">
        <f>IF($B393="","",IFERROR(INDEX(智能流水!$D$2:$D$1001,MATCH($B393,智能流水!$B$2:$B$1001,0)),""))</f>
        <v/>
      </c>
      <c r="E393" s="19">
        <f>IF($B393="","",IFERROR(INDEX(智能流水!$E$2:$E$1001,MATCH($B393,智能流水!$B$2:$B$1001,0)),""))</f>
        <v/>
      </c>
      <c r="F393" s="19">
        <f>IF($B393="","",IFERROR(INDEX(智能流水!$F$2:$F$1001,MATCH($B393,智能流水!$B$2:$B$1001,0)),""))</f>
        <v/>
      </c>
      <c r="G393" s="19">
        <f>IF($B393="","",IFERROR(INDEX(智能流水!$G$2:$G$1001,MATCH($B393,智能流水!$B$2:$B$1001,0)),""))</f>
        <v/>
      </c>
      <c r="H393" s="19">
        <f>IF($B393="","",IFERROR(INDEX(智能流水!$H$2:$H$1001,MATCH($B393,智能流水!$B$2:$B$1001,0)),""))</f>
        <v/>
      </c>
      <c r="I393" s="19">
        <f>IF($B393="","",IFERROR(INDEX(智能流水!$I$2:$I$1001,MATCH($B393,智能流水!$B$2:$B$1001,0)),""))</f>
        <v/>
      </c>
      <c r="J393" s="19">
        <f>IF($B393="","",IFERROR(INDEX(智能流水!$J$2:$J$1001,MATCH($B393,智能流水!$B$2:$B$1001,0)),""))</f>
        <v/>
      </c>
      <c r="K393" s="19">
        <f>IF($B393="","",IFERROR(INDEX(智能流水!$K$2:$K$1001,MATCH($B393,智能流水!$B$2:$B$1001,0)),""))</f>
        <v/>
      </c>
      <c r="L393" s="19">
        <f>IF($B393="","",IFERROR(INDEX(智能流水!$L$2:$L$1001,MATCH($B393,智能流水!$B$2:$B$1001,0)),""))</f>
        <v/>
      </c>
      <c r="M393" s="19">
        <f>IF($B393="","",IFERROR(INDEX(智能流水!$M$2:$M$1001,MATCH($B393,智能流水!$B$2:$B$1001,0)),""))</f>
        <v/>
      </c>
      <c r="N393" s="19">
        <f>IF($B393="","",IFERROR(INDEX(智能流水!$N$2:$N$1001,MATCH($B393,智能流水!$B$2:$B$1001,0)),""))</f>
        <v/>
      </c>
      <c r="O393" s="19">
        <f>IF($B393="","",IFERROR(INDEX(智能流水!$O$2:$O$1001,MATCH($B393,智能流水!$B$2:$B$1001,0)),""))</f>
        <v/>
      </c>
    </row>
    <row r="394">
      <c r="A394" s="19">
        <f>IF($B394="","",393)</f>
        <v/>
      </c>
      <c r="B394" s="19">
        <f>IFERROR(LARGE(智能流水!$B$2:$B$1001,393),"")</f>
        <v/>
      </c>
      <c r="C394" s="19">
        <f>IF($B394="","",IFERROR(INDEX(智能流水!$C$2:$C$1001,MATCH($B394,智能流水!$B$2:$B$1001,0)),""))</f>
        <v/>
      </c>
      <c r="D394" s="19">
        <f>IF($B394="","",IFERROR(INDEX(智能流水!$D$2:$D$1001,MATCH($B394,智能流水!$B$2:$B$1001,0)),""))</f>
        <v/>
      </c>
      <c r="E394" s="19">
        <f>IF($B394="","",IFERROR(INDEX(智能流水!$E$2:$E$1001,MATCH($B394,智能流水!$B$2:$B$1001,0)),""))</f>
        <v/>
      </c>
      <c r="F394" s="19">
        <f>IF($B394="","",IFERROR(INDEX(智能流水!$F$2:$F$1001,MATCH($B394,智能流水!$B$2:$B$1001,0)),""))</f>
        <v/>
      </c>
      <c r="G394" s="19">
        <f>IF($B394="","",IFERROR(INDEX(智能流水!$G$2:$G$1001,MATCH($B394,智能流水!$B$2:$B$1001,0)),""))</f>
        <v/>
      </c>
      <c r="H394" s="19">
        <f>IF($B394="","",IFERROR(INDEX(智能流水!$H$2:$H$1001,MATCH($B394,智能流水!$B$2:$B$1001,0)),""))</f>
        <v/>
      </c>
      <c r="I394" s="19">
        <f>IF($B394="","",IFERROR(INDEX(智能流水!$I$2:$I$1001,MATCH($B394,智能流水!$B$2:$B$1001,0)),""))</f>
        <v/>
      </c>
      <c r="J394" s="19">
        <f>IF($B394="","",IFERROR(INDEX(智能流水!$J$2:$J$1001,MATCH($B394,智能流水!$B$2:$B$1001,0)),""))</f>
        <v/>
      </c>
      <c r="K394" s="19">
        <f>IF($B394="","",IFERROR(INDEX(智能流水!$K$2:$K$1001,MATCH($B394,智能流水!$B$2:$B$1001,0)),""))</f>
        <v/>
      </c>
      <c r="L394" s="19">
        <f>IF($B394="","",IFERROR(INDEX(智能流水!$L$2:$L$1001,MATCH($B394,智能流水!$B$2:$B$1001,0)),""))</f>
        <v/>
      </c>
      <c r="M394" s="19">
        <f>IF($B394="","",IFERROR(INDEX(智能流水!$M$2:$M$1001,MATCH($B394,智能流水!$B$2:$B$1001,0)),""))</f>
        <v/>
      </c>
      <c r="N394" s="19">
        <f>IF($B394="","",IFERROR(INDEX(智能流水!$N$2:$N$1001,MATCH($B394,智能流水!$B$2:$B$1001,0)),""))</f>
        <v/>
      </c>
      <c r="O394" s="19">
        <f>IF($B394="","",IFERROR(INDEX(智能流水!$O$2:$O$1001,MATCH($B394,智能流水!$B$2:$B$1001,0)),""))</f>
        <v/>
      </c>
    </row>
    <row r="395">
      <c r="A395" s="19">
        <f>IF($B395="","",394)</f>
        <v/>
      </c>
      <c r="B395" s="19">
        <f>IFERROR(LARGE(智能流水!$B$2:$B$1001,394),"")</f>
        <v/>
      </c>
      <c r="C395" s="19">
        <f>IF($B395="","",IFERROR(INDEX(智能流水!$C$2:$C$1001,MATCH($B395,智能流水!$B$2:$B$1001,0)),""))</f>
        <v/>
      </c>
      <c r="D395" s="19">
        <f>IF($B395="","",IFERROR(INDEX(智能流水!$D$2:$D$1001,MATCH($B395,智能流水!$B$2:$B$1001,0)),""))</f>
        <v/>
      </c>
      <c r="E395" s="19">
        <f>IF($B395="","",IFERROR(INDEX(智能流水!$E$2:$E$1001,MATCH($B395,智能流水!$B$2:$B$1001,0)),""))</f>
        <v/>
      </c>
      <c r="F395" s="19">
        <f>IF($B395="","",IFERROR(INDEX(智能流水!$F$2:$F$1001,MATCH($B395,智能流水!$B$2:$B$1001,0)),""))</f>
        <v/>
      </c>
      <c r="G395" s="19">
        <f>IF($B395="","",IFERROR(INDEX(智能流水!$G$2:$G$1001,MATCH($B395,智能流水!$B$2:$B$1001,0)),""))</f>
        <v/>
      </c>
      <c r="H395" s="19">
        <f>IF($B395="","",IFERROR(INDEX(智能流水!$H$2:$H$1001,MATCH($B395,智能流水!$B$2:$B$1001,0)),""))</f>
        <v/>
      </c>
      <c r="I395" s="19">
        <f>IF($B395="","",IFERROR(INDEX(智能流水!$I$2:$I$1001,MATCH($B395,智能流水!$B$2:$B$1001,0)),""))</f>
        <v/>
      </c>
      <c r="J395" s="19">
        <f>IF($B395="","",IFERROR(INDEX(智能流水!$J$2:$J$1001,MATCH($B395,智能流水!$B$2:$B$1001,0)),""))</f>
        <v/>
      </c>
      <c r="K395" s="19">
        <f>IF($B395="","",IFERROR(INDEX(智能流水!$K$2:$K$1001,MATCH($B395,智能流水!$B$2:$B$1001,0)),""))</f>
        <v/>
      </c>
      <c r="L395" s="19">
        <f>IF($B395="","",IFERROR(INDEX(智能流水!$L$2:$L$1001,MATCH($B395,智能流水!$B$2:$B$1001,0)),""))</f>
        <v/>
      </c>
      <c r="M395" s="19">
        <f>IF($B395="","",IFERROR(INDEX(智能流水!$M$2:$M$1001,MATCH($B395,智能流水!$B$2:$B$1001,0)),""))</f>
        <v/>
      </c>
      <c r="N395" s="19">
        <f>IF($B395="","",IFERROR(INDEX(智能流水!$N$2:$N$1001,MATCH($B395,智能流水!$B$2:$B$1001,0)),""))</f>
        <v/>
      </c>
      <c r="O395" s="19">
        <f>IF($B395="","",IFERROR(INDEX(智能流水!$O$2:$O$1001,MATCH($B395,智能流水!$B$2:$B$1001,0)),""))</f>
        <v/>
      </c>
    </row>
    <row r="396">
      <c r="A396" s="19">
        <f>IF($B396="","",395)</f>
        <v/>
      </c>
      <c r="B396" s="19">
        <f>IFERROR(LARGE(智能流水!$B$2:$B$1001,395),"")</f>
        <v/>
      </c>
      <c r="C396" s="19">
        <f>IF($B396="","",IFERROR(INDEX(智能流水!$C$2:$C$1001,MATCH($B396,智能流水!$B$2:$B$1001,0)),""))</f>
        <v/>
      </c>
      <c r="D396" s="19">
        <f>IF($B396="","",IFERROR(INDEX(智能流水!$D$2:$D$1001,MATCH($B396,智能流水!$B$2:$B$1001,0)),""))</f>
        <v/>
      </c>
      <c r="E396" s="19">
        <f>IF($B396="","",IFERROR(INDEX(智能流水!$E$2:$E$1001,MATCH($B396,智能流水!$B$2:$B$1001,0)),""))</f>
        <v/>
      </c>
      <c r="F396" s="19">
        <f>IF($B396="","",IFERROR(INDEX(智能流水!$F$2:$F$1001,MATCH($B396,智能流水!$B$2:$B$1001,0)),""))</f>
        <v/>
      </c>
      <c r="G396" s="19">
        <f>IF($B396="","",IFERROR(INDEX(智能流水!$G$2:$G$1001,MATCH($B396,智能流水!$B$2:$B$1001,0)),""))</f>
        <v/>
      </c>
      <c r="H396" s="19">
        <f>IF($B396="","",IFERROR(INDEX(智能流水!$H$2:$H$1001,MATCH($B396,智能流水!$B$2:$B$1001,0)),""))</f>
        <v/>
      </c>
      <c r="I396" s="19">
        <f>IF($B396="","",IFERROR(INDEX(智能流水!$I$2:$I$1001,MATCH($B396,智能流水!$B$2:$B$1001,0)),""))</f>
        <v/>
      </c>
      <c r="J396" s="19">
        <f>IF($B396="","",IFERROR(INDEX(智能流水!$J$2:$J$1001,MATCH($B396,智能流水!$B$2:$B$1001,0)),""))</f>
        <v/>
      </c>
      <c r="K396" s="19">
        <f>IF($B396="","",IFERROR(INDEX(智能流水!$K$2:$K$1001,MATCH($B396,智能流水!$B$2:$B$1001,0)),""))</f>
        <v/>
      </c>
      <c r="L396" s="19">
        <f>IF($B396="","",IFERROR(INDEX(智能流水!$L$2:$L$1001,MATCH($B396,智能流水!$B$2:$B$1001,0)),""))</f>
        <v/>
      </c>
      <c r="M396" s="19">
        <f>IF($B396="","",IFERROR(INDEX(智能流水!$M$2:$M$1001,MATCH($B396,智能流水!$B$2:$B$1001,0)),""))</f>
        <v/>
      </c>
      <c r="N396" s="19">
        <f>IF($B396="","",IFERROR(INDEX(智能流水!$N$2:$N$1001,MATCH($B396,智能流水!$B$2:$B$1001,0)),""))</f>
        <v/>
      </c>
      <c r="O396" s="19">
        <f>IF($B396="","",IFERROR(INDEX(智能流水!$O$2:$O$1001,MATCH($B396,智能流水!$B$2:$B$1001,0)),""))</f>
        <v/>
      </c>
    </row>
    <row r="397">
      <c r="A397" s="19">
        <f>IF($B397="","",396)</f>
        <v/>
      </c>
      <c r="B397" s="19">
        <f>IFERROR(LARGE(智能流水!$B$2:$B$1001,396),"")</f>
        <v/>
      </c>
      <c r="C397" s="19">
        <f>IF($B397="","",IFERROR(INDEX(智能流水!$C$2:$C$1001,MATCH($B397,智能流水!$B$2:$B$1001,0)),""))</f>
        <v/>
      </c>
      <c r="D397" s="19">
        <f>IF($B397="","",IFERROR(INDEX(智能流水!$D$2:$D$1001,MATCH($B397,智能流水!$B$2:$B$1001,0)),""))</f>
        <v/>
      </c>
      <c r="E397" s="19">
        <f>IF($B397="","",IFERROR(INDEX(智能流水!$E$2:$E$1001,MATCH($B397,智能流水!$B$2:$B$1001,0)),""))</f>
        <v/>
      </c>
      <c r="F397" s="19">
        <f>IF($B397="","",IFERROR(INDEX(智能流水!$F$2:$F$1001,MATCH($B397,智能流水!$B$2:$B$1001,0)),""))</f>
        <v/>
      </c>
      <c r="G397" s="19">
        <f>IF($B397="","",IFERROR(INDEX(智能流水!$G$2:$G$1001,MATCH($B397,智能流水!$B$2:$B$1001,0)),""))</f>
        <v/>
      </c>
      <c r="H397" s="19">
        <f>IF($B397="","",IFERROR(INDEX(智能流水!$H$2:$H$1001,MATCH($B397,智能流水!$B$2:$B$1001,0)),""))</f>
        <v/>
      </c>
      <c r="I397" s="19">
        <f>IF($B397="","",IFERROR(INDEX(智能流水!$I$2:$I$1001,MATCH($B397,智能流水!$B$2:$B$1001,0)),""))</f>
        <v/>
      </c>
      <c r="J397" s="19">
        <f>IF($B397="","",IFERROR(INDEX(智能流水!$J$2:$J$1001,MATCH($B397,智能流水!$B$2:$B$1001,0)),""))</f>
        <v/>
      </c>
      <c r="K397" s="19">
        <f>IF($B397="","",IFERROR(INDEX(智能流水!$K$2:$K$1001,MATCH($B397,智能流水!$B$2:$B$1001,0)),""))</f>
        <v/>
      </c>
      <c r="L397" s="19">
        <f>IF($B397="","",IFERROR(INDEX(智能流水!$L$2:$L$1001,MATCH($B397,智能流水!$B$2:$B$1001,0)),""))</f>
        <v/>
      </c>
      <c r="M397" s="19">
        <f>IF($B397="","",IFERROR(INDEX(智能流水!$M$2:$M$1001,MATCH($B397,智能流水!$B$2:$B$1001,0)),""))</f>
        <v/>
      </c>
      <c r="N397" s="19">
        <f>IF($B397="","",IFERROR(INDEX(智能流水!$N$2:$N$1001,MATCH($B397,智能流水!$B$2:$B$1001,0)),""))</f>
        <v/>
      </c>
      <c r="O397" s="19">
        <f>IF($B397="","",IFERROR(INDEX(智能流水!$O$2:$O$1001,MATCH($B397,智能流水!$B$2:$B$1001,0)),""))</f>
        <v/>
      </c>
    </row>
    <row r="398">
      <c r="A398" s="19">
        <f>IF($B398="","",397)</f>
        <v/>
      </c>
      <c r="B398" s="19">
        <f>IFERROR(LARGE(智能流水!$B$2:$B$1001,397),"")</f>
        <v/>
      </c>
      <c r="C398" s="19">
        <f>IF($B398="","",IFERROR(INDEX(智能流水!$C$2:$C$1001,MATCH($B398,智能流水!$B$2:$B$1001,0)),""))</f>
        <v/>
      </c>
      <c r="D398" s="19">
        <f>IF($B398="","",IFERROR(INDEX(智能流水!$D$2:$D$1001,MATCH($B398,智能流水!$B$2:$B$1001,0)),""))</f>
        <v/>
      </c>
      <c r="E398" s="19">
        <f>IF($B398="","",IFERROR(INDEX(智能流水!$E$2:$E$1001,MATCH($B398,智能流水!$B$2:$B$1001,0)),""))</f>
        <v/>
      </c>
      <c r="F398" s="19">
        <f>IF($B398="","",IFERROR(INDEX(智能流水!$F$2:$F$1001,MATCH($B398,智能流水!$B$2:$B$1001,0)),""))</f>
        <v/>
      </c>
      <c r="G398" s="19">
        <f>IF($B398="","",IFERROR(INDEX(智能流水!$G$2:$G$1001,MATCH($B398,智能流水!$B$2:$B$1001,0)),""))</f>
        <v/>
      </c>
      <c r="H398" s="19">
        <f>IF($B398="","",IFERROR(INDEX(智能流水!$H$2:$H$1001,MATCH($B398,智能流水!$B$2:$B$1001,0)),""))</f>
        <v/>
      </c>
      <c r="I398" s="19">
        <f>IF($B398="","",IFERROR(INDEX(智能流水!$I$2:$I$1001,MATCH($B398,智能流水!$B$2:$B$1001,0)),""))</f>
        <v/>
      </c>
      <c r="J398" s="19">
        <f>IF($B398="","",IFERROR(INDEX(智能流水!$J$2:$J$1001,MATCH($B398,智能流水!$B$2:$B$1001,0)),""))</f>
        <v/>
      </c>
      <c r="K398" s="19">
        <f>IF($B398="","",IFERROR(INDEX(智能流水!$K$2:$K$1001,MATCH($B398,智能流水!$B$2:$B$1001,0)),""))</f>
        <v/>
      </c>
      <c r="L398" s="19">
        <f>IF($B398="","",IFERROR(INDEX(智能流水!$L$2:$L$1001,MATCH($B398,智能流水!$B$2:$B$1001,0)),""))</f>
        <v/>
      </c>
      <c r="M398" s="19">
        <f>IF($B398="","",IFERROR(INDEX(智能流水!$M$2:$M$1001,MATCH($B398,智能流水!$B$2:$B$1001,0)),""))</f>
        <v/>
      </c>
      <c r="N398" s="19">
        <f>IF($B398="","",IFERROR(INDEX(智能流水!$N$2:$N$1001,MATCH($B398,智能流水!$B$2:$B$1001,0)),""))</f>
        <v/>
      </c>
      <c r="O398" s="19">
        <f>IF($B398="","",IFERROR(INDEX(智能流水!$O$2:$O$1001,MATCH($B398,智能流水!$B$2:$B$1001,0)),""))</f>
        <v/>
      </c>
    </row>
    <row r="399">
      <c r="A399" s="19">
        <f>IF($B399="","",398)</f>
        <v/>
      </c>
      <c r="B399" s="19">
        <f>IFERROR(LARGE(智能流水!$B$2:$B$1001,398),"")</f>
        <v/>
      </c>
      <c r="C399" s="19">
        <f>IF($B399="","",IFERROR(INDEX(智能流水!$C$2:$C$1001,MATCH($B399,智能流水!$B$2:$B$1001,0)),""))</f>
        <v/>
      </c>
      <c r="D399" s="19">
        <f>IF($B399="","",IFERROR(INDEX(智能流水!$D$2:$D$1001,MATCH($B399,智能流水!$B$2:$B$1001,0)),""))</f>
        <v/>
      </c>
      <c r="E399" s="19">
        <f>IF($B399="","",IFERROR(INDEX(智能流水!$E$2:$E$1001,MATCH($B399,智能流水!$B$2:$B$1001,0)),""))</f>
        <v/>
      </c>
      <c r="F399" s="19">
        <f>IF($B399="","",IFERROR(INDEX(智能流水!$F$2:$F$1001,MATCH($B399,智能流水!$B$2:$B$1001,0)),""))</f>
        <v/>
      </c>
      <c r="G399" s="19">
        <f>IF($B399="","",IFERROR(INDEX(智能流水!$G$2:$G$1001,MATCH($B399,智能流水!$B$2:$B$1001,0)),""))</f>
        <v/>
      </c>
      <c r="H399" s="19">
        <f>IF($B399="","",IFERROR(INDEX(智能流水!$H$2:$H$1001,MATCH($B399,智能流水!$B$2:$B$1001,0)),""))</f>
        <v/>
      </c>
      <c r="I399" s="19">
        <f>IF($B399="","",IFERROR(INDEX(智能流水!$I$2:$I$1001,MATCH($B399,智能流水!$B$2:$B$1001,0)),""))</f>
        <v/>
      </c>
      <c r="J399" s="19">
        <f>IF($B399="","",IFERROR(INDEX(智能流水!$J$2:$J$1001,MATCH($B399,智能流水!$B$2:$B$1001,0)),""))</f>
        <v/>
      </c>
      <c r="K399" s="19">
        <f>IF($B399="","",IFERROR(INDEX(智能流水!$K$2:$K$1001,MATCH($B399,智能流水!$B$2:$B$1001,0)),""))</f>
        <v/>
      </c>
      <c r="L399" s="19">
        <f>IF($B399="","",IFERROR(INDEX(智能流水!$L$2:$L$1001,MATCH($B399,智能流水!$B$2:$B$1001,0)),""))</f>
        <v/>
      </c>
      <c r="M399" s="19">
        <f>IF($B399="","",IFERROR(INDEX(智能流水!$M$2:$M$1001,MATCH($B399,智能流水!$B$2:$B$1001,0)),""))</f>
        <v/>
      </c>
      <c r="N399" s="19">
        <f>IF($B399="","",IFERROR(INDEX(智能流水!$N$2:$N$1001,MATCH($B399,智能流水!$B$2:$B$1001,0)),""))</f>
        <v/>
      </c>
      <c r="O399" s="19">
        <f>IF($B399="","",IFERROR(INDEX(智能流水!$O$2:$O$1001,MATCH($B399,智能流水!$B$2:$B$1001,0)),""))</f>
        <v/>
      </c>
    </row>
    <row r="400">
      <c r="A400" s="19">
        <f>IF($B400="","",399)</f>
        <v/>
      </c>
      <c r="B400" s="19">
        <f>IFERROR(LARGE(智能流水!$B$2:$B$1001,399),"")</f>
        <v/>
      </c>
      <c r="C400" s="19">
        <f>IF($B400="","",IFERROR(INDEX(智能流水!$C$2:$C$1001,MATCH($B400,智能流水!$B$2:$B$1001,0)),""))</f>
        <v/>
      </c>
      <c r="D400" s="19">
        <f>IF($B400="","",IFERROR(INDEX(智能流水!$D$2:$D$1001,MATCH($B400,智能流水!$B$2:$B$1001,0)),""))</f>
        <v/>
      </c>
      <c r="E400" s="19">
        <f>IF($B400="","",IFERROR(INDEX(智能流水!$E$2:$E$1001,MATCH($B400,智能流水!$B$2:$B$1001,0)),""))</f>
        <v/>
      </c>
      <c r="F400" s="19">
        <f>IF($B400="","",IFERROR(INDEX(智能流水!$F$2:$F$1001,MATCH($B400,智能流水!$B$2:$B$1001,0)),""))</f>
        <v/>
      </c>
      <c r="G400" s="19">
        <f>IF($B400="","",IFERROR(INDEX(智能流水!$G$2:$G$1001,MATCH($B400,智能流水!$B$2:$B$1001,0)),""))</f>
        <v/>
      </c>
      <c r="H400" s="19">
        <f>IF($B400="","",IFERROR(INDEX(智能流水!$H$2:$H$1001,MATCH($B400,智能流水!$B$2:$B$1001,0)),""))</f>
        <v/>
      </c>
      <c r="I400" s="19">
        <f>IF($B400="","",IFERROR(INDEX(智能流水!$I$2:$I$1001,MATCH($B400,智能流水!$B$2:$B$1001,0)),""))</f>
        <v/>
      </c>
      <c r="J400" s="19">
        <f>IF($B400="","",IFERROR(INDEX(智能流水!$J$2:$J$1001,MATCH($B400,智能流水!$B$2:$B$1001,0)),""))</f>
        <v/>
      </c>
      <c r="K400" s="19">
        <f>IF($B400="","",IFERROR(INDEX(智能流水!$K$2:$K$1001,MATCH($B400,智能流水!$B$2:$B$1001,0)),""))</f>
        <v/>
      </c>
      <c r="L400" s="19">
        <f>IF($B400="","",IFERROR(INDEX(智能流水!$L$2:$L$1001,MATCH($B400,智能流水!$B$2:$B$1001,0)),""))</f>
        <v/>
      </c>
      <c r="M400" s="19">
        <f>IF($B400="","",IFERROR(INDEX(智能流水!$M$2:$M$1001,MATCH($B400,智能流水!$B$2:$B$1001,0)),""))</f>
        <v/>
      </c>
      <c r="N400" s="19">
        <f>IF($B400="","",IFERROR(INDEX(智能流水!$N$2:$N$1001,MATCH($B400,智能流水!$B$2:$B$1001,0)),""))</f>
        <v/>
      </c>
      <c r="O400" s="19">
        <f>IF($B400="","",IFERROR(INDEX(智能流水!$O$2:$O$1001,MATCH($B400,智能流水!$B$2:$B$1001,0)),""))</f>
        <v/>
      </c>
    </row>
    <row r="401">
      <c r="A401" s="19">
        <f>IF($B401="","",400)</f>
        <v/>
      </c>
      <c r="B401" s="19">
        <f>IFERROR(LARGE(智能流水!$B$2:$B$1001,400),"")</f>
        <v/>
      </c>
      <c r="C401" s="19">
        <f>IF($B401="","",IFERROR(INDEX(智能流水!$C$2:$C$1001,MATCH($B401,智能流水!$B$2:$B$1001,0)),""))</f>
        <v/>
      </c>
      <c r="D401" s="19">
        <f>IF($B401="","",IFERROR(INDEX(智能流水!$D$2:$D$1001,MATCH($B401,智能流水!$B$2:$B$1001,0)),""))</f>
        <v/>
      </c>
      <c r="E401" s="19">
        <f>IF($B401="","",IFERROR(INDEX(智能流水!$E$2:$E$1001,MATCH($B401,智能流水!$B$2:$B$1001,0)),""))</f>
        <v/>
      </c>
      <c r="F401" s="19">
        <f>IF($B401="","",IFERROR(INDEX(智能流水!$F$2:$F$1001,MATCH($B401,智能流水!$B$2:$B$1001,0)),""))</f>
        <v/>
      </c>
      <c r="G401" s="19">
        <f>IF($B401="","",IFERROR(INDEX(智能流水!$G$2:$G$1001,MATCH($B401,智能流水!$B$2:$B$1001,0)),""))</f>
        <v/>
      </c>
      <c r="H401" s="19">
        <f>IF($B401="","",IFERROR(INDEX(智能流水!$H$2:$H$1001,MATCH($B401,智能流水!$B$2:$B$1001,0)),""))</f>
        <v/>
      </c>
      <c r="I401" s="19">
        <f>IF($B401="","",IFERROR(INDEX(智能流水!$I$2:$I$1001,MATCH($B401,智能流水!$B$2:$B$1001,0)),""))</f>
        <v/>
      </c>
      <c r="J401" s="19">
        <f>IF($B401="","",IFERROR(INDEX(智能流水!$J$2:$J$1001,MATCH($B401,智能流水!$B$2:$B$1001,0)),""))</f>
        <v/>
      </c>
      <c r="K401" s="19">
        <f>IF($B401="","",IFERROR(INDEX(智能流水!$K$2:$K$1001,MATCH($B401,智能流水!$B$2:$B$1001,0)),""))</f>
        <v/>
      </c>
      <c r="L401" s="19">
        <f>IF($B401="","",IFERROR(INDEX(智能流水!$L$2:$L$1001,MATCH($B401,智能流水!$B$2:$B$1001,0)),""))</f>
        <v/>
      </c>
      <c r="M401" s="19">
        <f>IF($B401="","",IFERROR(INDEX(智能流水!$M$2:$M$1001,MATCH($B401,智能流水!$B$2:$B$1001,0)),""))</f>
        <v/>
      </c>
      <c r="N401" s="19">
        <f>IF($B401="","",IFERROR(INDEX(智能流水!$N$2:$N$1001,MATCH($B401,智能流水!$B$2:$B$1001,0)),""))</f>
        <v/>
      </c>
      <c r="O401" s="19">
        <f>IF($B401="","",IFERROR(INDEX(智能流水!$O$2:$O$1001,MATCH($B401,智能流水!$B$2:$B$1001,0)),""))</f>
        <v/>
      </c>
    </row>
    <row r="402">
      <c r="A402" s="19">
        <f>IF($B402="","",401)</f>
        <v/>
      </c>
      <c r="B402" s="19">
        <f>IFERROR(LARGE(智能流水!$B$2:$B$1001,401),"")</f>
        <v/>
      </c>
      <c r="C402" s="19">
        <f>IF($B402="","",IFERROR(INDEX(智能流水!$C$2:$C$1001,MATCH($B402,智能流水!$B$2:$B$1001,0)),""))</f>
        <v/>
      </c>
      <c r="D402" s="19">
        <f>IF($B402="","",IFERROR(INDEX(智能流水!$D$2:$D$1001,MATCH($B402,智能流水!$B$2:$B$1001,0)),""))</f>
        <v/>
      </c>
      <c r="E402" s="19">
        <f>IF($B402="","",IFERROR(INDEX(智能流水!$E$2:$E$1001,MATCH($B402,智能流水!$B$2:$B$1001,0)),""))</f>
        <v/>
      </c>
      <c r="F402" s="19">
        <f>IF($B402="","",IFERROR(INDEX(智能流水!$F$2:$F$1001,MATCH($B402,智能流水!$B$2:$B$1001,0)),""))</f>
        <v/>
      </c>
      <c r="G402" s="19">
        <f>IF($B402="","",IFERROR(INDEX(智能流水!$G$2:$G$1001,MATCH($B402,智能流水!$B$2:$B$1001,0)),""))</f>
        <v/>
      </c>
      <c r="H402" s="19">
        <f>IF($B402="","",IFERROR(INDEX(智能流水!$H$2:$H$1001,MATCH($B402,智能流水!$B$2:$B$1001,0)),""))</f>
        <v/>
      </c>
      <c r="I402" s="19">
        <f>IF($B402="","",IFERROR(INDEX(智能流水!$I$2:$I$1001,MATCH($B402,智能流水!$B$2:$B$1001,0)),""))</f>
        <v/>
      </c>
      <c r="J402" s="19">
        <f>IF($B402="","",IFERROR(INDEX(智能流水!$J$2:$J$1001,MATCH($B402,智能流水!$B$2:$B$1001,0)),""))</f>
        <v/>
      </c>
      <c r="K402" s="19">
        <f>IF($B402="","",IFERROR(INDEX(智能流水!$K$2:$K$1001,MATCH($B402,智能流水!$B$2:$B$1001,0)),""))</f>
        <v/>
      </c>
      <c r="L402" s="19">
        <f>IF($B402="","",IFERROR(INDEX(智能流水!$L$2:$L$1001,MATCH($B402,智能流水!$B$2:$B$1001,0)),""))</f>
        <v/>
      </c>
      <c r="M402" s="19">
        <f>IF($B402="","",IFERROR(INDEX(智能流水!$M$2:$M$1001,MATCH($B402,智能流水!$B$2:$B$1001,0)),""))</f>
        <v/>
      </c>
      <c r="N402" s="19">
        <f>IF($B402="","",IFERROR(INDEX(智能流水!$N$2:$N$1001,MATCH($B402,智能流水!$B$2:$B$1001,0)),""))</f>
        <v/>
      </c>
      <c r="O402" s="19">
        <f>IF($B402="","",IFERROR(INDEX(智能流水!$O$2:$O$1001,MATCH($B402,智能流水!$B$2:$B$1001,0)),""))</f>
        <v/>
      </c>
    </row>
    <row r="403">
      <c r="A403" s="19">
        <f>IF($B403="","",402)</f>
        <v/>
      </c>
      <c r="B403" s="19">
        <f>IFERROR(LARGE(智能流水!$B$2:$B$1001,402),"")</f>
        <v/>
      </c>
      <c r="C403" s="19">
        <f>IF($B403="","",IFERROR(INDEX(智能流水!$C$2:$C$1001,MATCH($B403,智能流水!$B$2:$B$1001,0)),""))</f>
        <v/>
      </c>
      <c r="D403" s="19">
        <f>IF($B403="","",IFERROR(INDEX(智能流水!$D$2:$D$1001,MATCH($B403,智能流水!$B$2:$B$1001,0)),""))</f>
        <v/>
      </c>
      <c r="E403" s="19">
        <f>IF($B403="","",IFERROR(INDEX(智能流水!$E$2:$E$1001,MATCH($B403,智能流水!$B$2:$B$1001,0)),""))</f>
        <v/>
      </c>
      <c r="F403" s="19">
        <f>IF($B403="","",IFERROR(INDEX(智能流水!$F$2:$F$1001,MATCH($B403,智能流水!$B$2:$B$1001,0)),""))</f>
        <v/>
      </c>
      <c r="G403" s="19">
        <f>IF($B403="","",IFERROR(INDEX(智能流水!$G$2:$G$1001,MATCH($B403,智能流水!$B$2:$B$1001,0)),""))</f>
        <v/>
      </c>
      <c r="H403" s="19">
        <f>IF($B403="","",IFERROR(INDEX(智能流水!$H$2:$H$1001,MATCH($B403,智能流水!$B$2:$B$1001,0)),""))</f>
        <v/>
      </c>
      <c r="I403" s="19">
        <f>IF($B403="","",IFERROR(INDEX(智能流水!$I$2:$I$1001,MATCH($B403,智能流水!$B$2:$B$1001,0)),""))</f>
        <v/>
      </c>
      <c r="J403" s="19">
        <f>IF($B403="","",IFERROR(INDEX(智能流水!$J$2:$J$1001,MATCH($B403,智能流水!$B$2:$B$1001,0)),""))</f>
        <v/>
      </c>
      <c r="K403" s="19">
        <f>IF($B403="","",IFERROR(INDEX(智能流水!$K$2:$K$1001,MATCH($B403,智能流水!$B$2:$B$1001,0)),""))</f>
        <v/>
      </c>
      <c r="L403" s="19">
        <f>IF($B403="","",IFERROR(INDEX(智能流水!$L$2:$L$1001,MATCH($B403,智能流水!$B$2:$B$1001,0)),""))</f>
        <v/>
      </c>
      <c r="M403" s="19">
        <f>IF($B403="","",IFERROR(INDEX(智能流水!$M$2:$M$1001,MATCH($B403,智能流水!$B$2:$B$1001,0)),""))</f>
        <v/>
      </c>
      <c r="N403" s="19">
        <f>IF($B403="","",IFERROR(INDEX(智能流水!$N$2:$N$1001,MATCH($B403,智能流水!$B$2:$B$1001,0)),""))</f>
        <v/>
      </c>
      <c r="O403" s="19">
        <f>IF($B403="","",IFERROR(INDEX(智能流水!$O$2:$O$1001,MATCH($B403,智能流水!$B$2:$B$1001,0)),""))</f>
        <v/>
      </c>
    </row>
    <row r="404">
      <c r="A404" s="19">
        <f>IF($B404="","",403)</f>
        <v/>
      </c>
      <c r="B404" s="19">
        <f>IFERROR(LARGE(智能流水!$B$2:$B$1001,403),"")</f>
        <v/>
      </c>
      <c r="C404" s="19">
        <f>IF($B404="","",IFERROR(INDEX(智能流水!$C$2:$C$1001,MATCH($B404,智能流水!$B$2:$B$1001,0)),""))</f>
        <v/>
      </c>
      <c r="D404" s="19">
        <f>IF($B404="","",IFERROR(INDEX(智能流水!$D$2:$D$1001,MATCH($B404,智能流水!$B$2:$B$1001,0)),""))</f>
        <v/>
      </c>
      <c r="E404" s="19">
        <f>IF($B404="","",IFERROR(INDEX(智能流水!$E$2:$E$1001,MATCH($B404,智能流水!$B$2:$B$1001,0)),""))</f>
        <v/>
      </c>
      <c r="F404" s="19">
        <f>IF($B404="","",IFERROR(INDEX(智能流水!$F$2:$F$1001,MATCH($B404,智能流水!$B$2:$B$1001,0)),""))</f>
        <v/>
      </c>
      <c r="G404" s="19">
        <f>IF($B404="","",IFERROR(INDEX(智能流水!$G$2:$G$1001,MATCH($B404,智能流水!$B$2:$B$1001,0)),""))</f>
        <v/>
      </c>
      <c r="H404" s="19">
        <f>IF($B404="","",IFERROR(INDEX(智能流水!$H$2:$H$1001,MATCH($B404,智能流水!$B$2:$B$1001,0)),""))</f>
        <v/>
      </c>
      <c r="I404" s="19">
        <f>IF($B404="","",IFERROR(INDEX(智能流水!$I$2:$I$1001,MATCH($B404,智能流水!$B$2:$B$1001,0)),""))</f>
        <v/>
      </c>
      <c r="J404" s="19">
        <f>IF($B404="","",IFERROR(INDEX(智能流水!$J$2:$J$1001,MATCH($B404,智能流水!$B$2:$B$1001,0)),""))</f>
        <v/>
      </c>
      <c r="K404" s="19">
        <f>IF($B404="","",IFERROR(INDEX(智能流水!$K$2:$K$1001,MATCH($B404,智能流水!$B$2:$B$1001,0)),""))</f>
        <v/>
      </c>
      <c r="L404" s="19">
        <f>IF($B404="","",IFERROR(INDEX(智能流水!$L$2:$L$1001,MATCH($B404,智能流水!$B$2:$B$1001,0)),""))</f>
        <v/>
      </c>
      <c r="M404" s="19">
        <f>IF($B404="","",IFERROR(INDEX(智能流水!$M$2:$M$1001,MATCH($B404,智能流水!$B$2:$B$1001,0)),""))</f>
        <v/>
      </c>
      <c r="N404" s="19">
        <f>IF($B404="","",IFERROR(INDEX(智能流水!$N$2:$N$1001,MATCH($B404,智能流水!$B$2:$B$1001,0)),""))</f>
        <v/>
      </c>
      <c r="O404" s="19">
        <f>IF($B404="","",IFERROR(INDEX(智能流水!$O$2:$O$1001,MATCH($B404,智能流水!$B$2:$B$1001,0)),""))</f>
        <v/>
      </c>
    </row>
    <row r="405">
      <c r="A405" s="19">
        <f>IF($B405="","",404)</f>
        <v/>
      </c>
      <c r="B405" s="19">
        <f>IFERROR(LARGE(智能流水!$B$2:$B$1001,404),"")</f>
        <v/>
      </c>
      <c r="C405" s="19">
        <f>IF($B405="","",IFERROR(INDEX(智能流水!$C$2:$C$1001,MATCH($B405,智能流水!$B$2:$B$1001,0)),""))</f>
        <v/>
      </c>
      <c r="D405" s="19">
        <f>IF($B405="","",IFERROR(INDEX(智能流水!$D$2:$D$1001,MATCH($B405,智能流水!$B$2:$B$1001,0)),""))</f>
        <v/>
      </c>
      <c r="E405" s="19">
        <f>IF($B405="","",IFERROR(INDEX(智能流水!$E$2:$E$1001,MATCH($B405,智能流水!$B$2:$B$1001,0)),""))</f>
        <v/>
      </c>
      <c r="F405" s="19">
        <f>IF($B405="","",IFERROR(INDEX(智能流水!$F$2:$F$1001,MATCH($B405,智能流水!$B$2:$B$1001,0)),""))</f>
        <v/>
      </c>
      <c r="G405" s="19">
        <f>IF($B405="","",IFERROR(INDEX(智能流水!$G$2:$G$1001,MATCH($B405,智能流水!$B$2:$B$1001,0)),""))</f>
        <v/>
      </c>
      <c r="H405" s="19">
        <f>IF($B405="","",IFERROR(INDEX(智能流水!$H$2:$H$1001,MATCH($B405,智能流水!$B$2:$B$1001,0)),""))</f>
        <v/>
      </c>
      <c r="I405" s="19">
        <f>IF($B405="","",IFERROR(INDEX(智能流水!$I$2:$I$1001,MATCH($B405,智能流水!$B$2:$B$1001,0)),""))</f>
        <v/>
      </c>
      <c r="J405" s="19">
        <f>IF($B405="","",IFERROR(INDEX(智能流水!$J$2:$J$1001,MATCH($B405,智能流水!$B$2:$B$1001,0)),""))</f>
        <v/>
      </c>
      <c r="K405" s="19">
        <f>IF($B405="","",IFERROR(INDEX(智能流水!$K$2:$K$1001,MATCH($B405,智能流水!$B$2:$B$1001,0)),""))</f>
        <v/>
      </c>
      <c r="L405" s="19">
        <f>IF($B405="","",IFERROR(INDEX(智能流水!$L$2:$L$1001,MATCH($B405,智能流水!$B$2:$B$1001,0)),""))</f>
        <v/>
      </c>
      <c r="M405" s="19">
        <f>IF($B405="","",IFERROR(INDEX(智能流水!$M$2:$M$1001,MATCH($B405,智能流水!$B$2:$B$1001,0)),""))</f>
        <v/>
      </c>
      <c r="N405" s="19">
        <f>IF($B405="","",IFERROR(INDEX(智能流水!$N$2:$N$1001,MATCH($B405,智能流水!$B$2:$B$1001,0)),""))</f>
        <v/>
      </c>
      <c r="O405" s="19">
        <f>IF($B405="","",IFERROR(INDEX(智能流水!$O$2:$O$1001,MATCH($B405,智能流水!$B$2:$B$1001,0)),""))</f>
        <v/>
      </c>
    </row>
    <row r="406">
      <c r="A406" s="19">
        <f>IF($B406="","",405)</f>
        <v/>
      </c>
      <c r="B406" s="19">
        <f>IFERROR(LARGE(智能流水!$B$2:$B$1001,405),"")</f>
        <v/>
      </c>
      <c r="C406" s="19">
        <f>IF($B406="","",IFERROR(INDEX(智能流水!$C$2:$C$1001,MATCH($B406,智能流水!$B$2:$B$1001,0)),""))</f>
        <v/>
      </c>
      <c r="D406" s="19">
        <f>IF($B406="","",IFERROR(INDEX(智能流水!$D$2:$D$1001,MATCH($B406,智能流水!$B$2:$B$1001,0)),""))</f>
        <v/>
      </c>
      <c r="E406" s="19">
        <f>IF($B406="","",IFERROR(INDEX(智能流水!$E$2:$E$1001,MATCH($B406,智能流水!$B$2:$B$1001,0)),""))</f>
        <v/>
      </c>
      <c r="F406" s="19">
        <f>IF($B406="","",IFERROR(INDEX(智能流水!$F$2:$F$1001,MATCH($B406,智能流水!$B$2:$B$1001,0)),""))</f>
        <v/>
      </c>
      <c r="G406" s="19">
        <f>IF($B406="","",IFERROR(INDEX(智能流水!$G$2:$G$1001,MATCH($B406,智能流水!$B$2:$B$1001,0)),""))</f>
        <v/>
      </c>
      <c r="H406" s="19">
        <f>IF($B406="","",IFERROR(INDEX(智能流水!$H$2:$H$1001,MATCH($B406,智能流水!$B$2:$B$1001,0)),""))</f>
        <v/>
      </c>
      <c r="I406" s="19">
        <f>IF($B406="","",IFERROR(INDEX(智能流水!$I$2:$I$1001,MATCH($B406,智能流水!$B$2:$B$1001,0)),""))</f>
        <v/>
      </c>
      <c r="J406" s="19">
        <f>IF($B406="","",IFERROR(INDEX(智能流水!$J$2:$J$1001,MATCH($B406,智能流水!$B$2:$B$1001,0)),""))</f>
        <v/>
      </c>
      <c r="K406" s="19">
        <f>IF($B406="","",IFERROR(INDEX(智能流水!$K$2:$K$1001,MATCH($B406,智能流水!$B$2:$B$1001,0)),""))</f>
        <v/>
      </c>
      <c r="L406" s="19">
        <f>IF($B406="","",IFERROR(INDEX(智能流水!$L$2:$L$1001,MATCH($B406,智能流水!$B$2:$B$1001,0)),""))</f>
        <v/>
      </c>
      <c r="M406" s="19">
        <f>IF($B406="","",IFERROR(INDEX(智能流水!$M$2:$M$1001,MATCH($B406,智能流水!$B$2:$B$1001,0)),""))</f>
        <v/>
      </c>
      <c r="N406" s="19">
        <f>IF($B406="","",IFERROR(INDEX(智能流水!$N$2:$N$1001,MATCH($B406,智能流水!$B$2:$B$1001,0)),""))</f>
        <v/>
      </c>
      <c r="O406" s="19">
        <f>IF($B406="","",IFERROR(INDEX(智能流水!$O$2:$O$1001,MATCH($B406,智能流水!$B$2:$B$1001,0)),""))</f>
        <v/>
      </c>
    </row>
    <row r="407">
      <c r="A407" s="19">
        <f>IF($B407="","",406)</f>
        <v/>
      </c>
      <c r="B407" s="19">
        <f>IFERROR(LARGE(智能流水!$B$2:$B$1001,406),"")</f>
        <v/>
      </c>
      <c r="C407" s="19">
        <f>IF($B407="","",IFERROR(INDEX(智能流水!$C$2:$C$1001,MATCH($B407,智能流水!$B$2:$B$1001,0)),""))</f>
        <v/>
      </c>
      <c r="D407" s="19">
        <f>IF($B407="","",IFERROR(INDEX(智能流水!$D$2:$D$1001,MATCH($B407,智能流水!$B$2:$B$1001,0)),""))</f>
        <v/>
      </c>
      <c r="E407" s="19">
        <f>IF($B407="","",IFERROR(INDEX(智能流水!$E$2:$E$1001,MATCH($B407,智能流水!$B$2:$B$1001,0)),""))</f>
        <v/>
      </c>
      <c r="F407" s="19">
        <f>IF($B407="","",IFERROR(INDEX(智能流水!$F$2:$F$1001,MATCH($B407,智能流水!$B$2:$B$1001,0)),""))</f>
        <v/>
      </c>
      <c r="G407" s="19">
        <f>IF($B407="","",IFERROR(INDEX(智能流水!$G$2:$G$1001,MATCH($B407,智能流水!$B$2:$B$1001,0)),""))</f>
        <v/>
      </c>
      <c r="H407" s="19">
        <f>IF($B407="","",IFERROR(INDEX(智能流水!$H$2:$H$1001,MATCH($B407,智能流水!$B$2:$B$1001,0)),""))</f>
        <v/>
      </c>
      <c r="I407" s="19">
        <f>IF($B407="","",IFERROR(INDEX(智能流水!$I$2:$I$1001,MATCH($B407,智能流水!$B$2:$B$1001,0)),""))</f>
        <v/>
      </c>
      <c r="J407" s="19">
        <f>IF($B407="","",IFERROR(INDEX(智能流水!$J$2:$J$1001,MATCH($B407,智能流水!$B$2:$B$1001,0)),""))</f>
        <v/>
      </c>
      <c r="K407" s="19">
        <f>IF($B407="","",IFERROR(INDEX(智能流水!$K$2:$K$1001,MATCH($B407,智能流水!$B$2:$B$1001,0)),""))</f>
        <v/>
      </c>
      <c r="L407" s="19">
        <f>IF($B407="","",IFERROR(INDEX(智能流水!$L$2:$L$1001,MATCH($B407,智能流水!$B$2:$B$1001,0)),""))</f>
        <v/>
      </c>
      <c r="M407" s="19">
        <f>IF($B407="","",IFERROR(INDEX(智能流水!$M$2:$M$1001,MATCH($B407,智能流水!$B$2:$B$1001,0)),""))</f>
        <v/>
      </c>
      <c r="N407" s="19">
        <f>IF($B407="","",IFERROR(INDEX(智能流水!$N$2:$N$1001,MATCH($B407,智能流水!$B$2:$B$1001,0)),""))</f>
        <v/>
      </c>
      <c r="O407" s="19">
        <f>IF($B407="","",IFERROR(INDEX(智能流水!$O$2:$O$1001,MATCH($B407,智能流水!$B$2:$B$1001,0)),""))</f>
        <v/>
      </c>
    </row>
    <row r="408">
      <c r="A408" s="19">
        <f>IF($B408="","",407)</f>
        <v/>
      </c>
      <c r="B408" s="19">
        <f>IFERROR(LARGE(智能流水!$B$2:$B$1001,407),"")</f>
        <v/>
      </c>
      <c r="C408" s="19">
        <f>IF($B408="","",IFERROR(INDEX(智能流水!$C$2:$C$1001,MATCH($B408,智能流水!$B$2:$B$1001,0)),""))</f>
        <v/>
      </c>
      <c r="D408" s="19">
        <f>IF($B408="","",IFERROR(INDEX(智能流水!$D$2:$D$1001,MATCH($B408,智能流水!$B$2:$B$1001,0)),""))</f>
        <v/>
      </c>
      <c r="E408" s="19">
        <f>IF($B408="","",IFERROR(INDEX(智能流水!$E$2:$E$1001,MATCH($B408,智能流水!$B$2:$B$1001,0)),""))</f>
        <v/>
      </c>
      <c r="F408" s="19">
        <f>IF($B408="","",IFERROR(INDEX(智能流水!$F$2:$F$1001,MATCH($B408,智能流水!$B$2:$B$1001,0)),""))</f>
        <v/>
      </c>
      <c r="G408" s="19">
        <f>IF($B408="","",IFERROR(INDEX(智能流水!$G$2:$G$1001,MATCH($B408,智能流水!$B$2:$B$1001,0)),""))</f>
        <v/>
      </c>
      <c r="H408" s="19">
        <f>IF($B408="","",IFERROR(INDEX(智能流水!$H$2:$H$1001,MATCH($B408,智能流水!$B$2:$B$1001,0)),""))</f>
        <v/>
      </c>
      <c r="I408" s="19">
        <f>IF($B408="","",IFERROR(INDEX(智能流水!$I$2:$I$1001,MATCH($B408,智能流水!$B$2:$B$1001,0)),""))</f>
        <v/>
      </c>
      <c r="J408" s="19">
        <f>IF($B408="","",IFERROR(INDEX(智能流水!$J$2:$J$1001,MATCH($B408,智能流水!$B$2:$B$1001,0)),""))</f>
        <v/>
      </c>
      <c r="K408" s="19">
        <f>IF($B408="","",IFERROR(INDEX(智能流水!$K$2:$K$1001,MATCH($B408,智能流水!$B$2:$B$1001,0)),""))</f>
        <v/>
      </c>
      <c r="L408" s="19">
        <f>IF($B408="","",IFERROR(INDEX(智能流水!$L$2:$L$1001,MATCH($B408,智能流水!$B$2:$B$1001,0)),""))</f>
        <v/>
      </c>
      <c r="M408" s="19">
        <f>IF($B408="","",IFERROR(INDEX(智能流水!$M$2:$M$1001,MATCH($B408,智能流水!$B$2:$B$1001,0)),""))</f>
        <v/>
      </c>
      <c r="N408" s="19">
        <f>IF($B408="","",IFERROR(INDEX(智能流水!$N$2:$N$1001,MATCH($B408,智能流水!$B$2:$B$1001,0)),""))</f>
        <v/>
      </c>
      <c r="O408" s="19">
        <f>IF($B408="","",IFERROR(INDEX(智能流水!$O$2:$O$1001,MATCH($B408,智能流水!$B$2:$B$1001,0)),""))</f>
        <v/>
      </c>
    </row>
    <row r="409">
      <c r="A409" s="19">
        <f>IF($B409="","",408)</f>
        <v/>
      </c>
      <c r="B409" s="19">
        <f>IFERROR(LARGE(智能流水!$B$2:$B$1001,408),"")</f>
        <v/>
      </c>
      <c r="C409" s="19">
        <f>IF($B409="","",IFERROR(INDEX(智能流水!$C$2:$C$1001,MATCH($B409,智能流水!$B$2:$B$1001,0)),""))</f>
        <v/>
      </c>
      <c r="D409" s="19">
        <f>IF($B409="","",IFERROR(INDEX(智能流水!$D$2:$D$1001,MATCH($B409,智能流水!$B$2:$B$1001,0)),""))</f>
        <v/>
      </c>
      <c r="E409" s="19">
        <f>IF($B409="","",IFERROR(INDEX(智能流水!$E$2:$E$1001,MATCH($B409,智能流水!$B$2:$B$1001,0)),""))</f>
        <v/>
      </c>
      <c r="F409" s="19">
        <f>IF($B409="","",IFERROR(INDEX(智能流水!$F$2:$F$1001,MATCH($B409,智能流水!$B$2:$B$1001,0)),""))</f>
        <v/>
      </c>
      <c r="G409" s="19">
        <f>IF($B409="","",IFERROR(INDEX(智能流水!$G$2:$G$1001,MATCH($B409,智能流水!$B$2:$B$1001,0)),""))</f>
        <v/>
      </c>
      <c r="H409" s="19">
        <f>IF($B409="","",IFERROR(INDEX(智能流水!$H$2:$H$1001,MATCH($B409,智能流水!$B$2:$B$1001,0)),""))</f>
        <v/>
      </c>
      <c r="I409" s="19">
        <f>IF($B409="","",IFERROR(INDEX(智能流水!$I$2:$I$1001,MATCH($B409,智能流水!$B$2:$B$1001,0)),""))</f>
        <v/>
      </c>
      <c r="J409" s="19">
        <f>IF($B409="","",IFERROR(INDEX(智能流水!$J$2:$J$1001,MATCH($B409,智能流水!$B$2:$B$1001,0)),""))</f>
        <v/>
      </c>
      <c r="K409" s="19">
        <f>IF($B409="","",IFERROR(INDEX(智能流水!$K$2:$K$1001,MATCH($B409,智能流水!$B$2:$B$1001,0)),""))</f>
        <v/>
      </c>
      <c r="L409" s="19">
        <f>IF($B409="","",IFERROR(INDEX(智能流水!$L$2:$L$1001,MATCH($B409,智能流水!$B$2:$B$1001,0)),""))</f>
        <v/>
      </c>
      <c r="M409" s="19">
        <f>IF($B409="","",IFERROR(INDEX(智能流水!$M$2:$M$1001,MATCH($B409,智能流水!$B$2:$B$1001,0)),""))</f>
        <v/>
      </c>
      <c r="N409" s="19">
        <f>IF($B409="","",IFERROR(INDEX(智能流水!$N$2:$N$1001,MATCH($B409,智能流水!$B$2:$B$1001,0)),""))</f>
        <v/>
      </c>
      <c r="O409" s="19">
        <f>IF($B409="","",IFERROR(INDEX(智能流水!$O$2:$O$1001,MATCH($B409,智能流水!$B$2:$B$1001,0)),""))</f>
        <v/>
      </c>
    </row>
    <row r="410">
      <c r="A410" s="19">
        <f>IF($B410="","",409)</f>
        <v/>
      </c>
      <c r="B410" s="19">
        <f>IFERROR(LARGE(智能流水!$B$2:$B$1001,409),"")</f>
        <v/>
      </c>
      <c r="C410" s="19">
        <f>IF($B410="","",IFERROR(INDEX(智能流水!$C$2:$C$1001,MATCH($B410,智能流水!$B$2:$B$1001,0)),""))</f>
        <v/>
      </c>
      <c r="D410" s="19">
        <f>IF($B410="","",IFERROR(INDEX(智能流水!$D$2:$D$1001,MATCH($B410,智能流水!$B$2:$B$1001,0)),""))</f>
        <v/>
      </c>
      <c r="E410" s="19">
        <f>IF($B410="","",IFERROR(INDEX(智能流水!$E$2:$E$1001,MATCH($B410,智能流水!$B$2:$B$1001,0)),""))</f>
        <v/>
      </c>
      <c r="F410" s="19">
        <f>IF($B410="","",IFERROR(INDEX(智能流水!$F$2:$F$1001,MATCH($B410,智能流水!$B$2:$B$1001,0)),""))</f>
        <v/>
      </c>
      <c r="G410" s="19">
        <f>IF($B410="","",IFERROR(INDEX(智能流水!$G$2:$G$1001,MATCH($B410,智能流水!$B$2:$B$1001,0)),""))</f>
        <v/>
      </c>
      <c r="H410" s="19">
        <f>IF($B410="","",IFERROR(INDEX(智能流水!$H$2:$H$1001,MATCH($B410,智能流水!$B$2:$B$1001,0)),""))</f>
        <v/>
      </c>
      <c r="I410" s="19">
        <f>IF($B410="","",IFERROR(INDEX(智能流水!$I$2:$I$1001,MATCH($B410,智能流水!$B$2:$B$1001,0)),""))</f>
        <v/>
      </c>
      <c r="J410" s="19">
        <f>IF($B410="","",IFERROR(INDEX(智能流水!$J$2:$J$1001,MATCH($B410,智能流水!$B$2:$B$1001,0)),""))</f>
        <v/>
      </c>
      <c r="K410" s="19">
        <f>IF($B410="","",IFERROR(INDEX(智能流水!$K$2:$K$1001,MATCH($B410,智能流水!$B$2:$B$1001,0)),""))</f>
        <v/>
      </c>
      <c r="L410" s="19">
        <f>IF($B410="","",IFERROR(INDEX(智能流水!$L$2:$L$1001,MATCH($B410,智能流水!$B$2:$B$1001,0)),""))</f>
        <v/>
      </c>
      <c r="M410" s="19">
        <f>IF($B410="","",IFERROR(INDEX(智能流水!$M$2:$M$1001,MATCH($B410,智能流水!$B$2:$B$1001,0)),""))</f>
        <v/>
      </c>
      <c r="N410" s="19">
        <f>IF($B410="","",IFERROR(INDEX(智能流水!$N$2:$N$1001,MATCH($B410,智能流水!$B$2:$B$1001,0)),""))</f>
        <v/>
      </c>
      <c r="O410" s="19">
        <f>IF($B410="","",IFERROR(INDEX(智能流水!$O$2:$O$1001,MATCH($B410,智能流水!$B$2:$B$1001,0)),""))</f>
        <v/>
      </c>
    </row>
    <row r="411">
      <c r="A411" s="19">
        <f>IF($B411="","",410)</f>
        <v/>
      </c>
      <c r="B411" s="19">
        <f>IFERROR(LARGE(智能流水!$B$2:$B$1001,410),"")</f>
        <v/>
      </c>
      <c r="C411" s="19">
        <f>IF($B411="","",IFERROR(INDEX(智能流水!$C$2:$C$1001,MATCH($B411,智能流水!$B$2:$B$1001,0)),""))</f>
        <v/>
      </c>
      <c r="D411" s="19">
        <f>IF($B411="","",IFERROR(INDEX(智能流水!$D$2:$D$1001,MATCH($B411,智能流水!$B$2:$B$1001,0)),""))</f>
        <v/>
      </c>
      <c r="E411" s="19">
        <f>IF($B411="","",IFERROR(INDEX(智能流水!$E$2:$E$1001,MATCH($B411,智能流水!$B$2:$B$1001,0)),""))</f>
        <v/>
      </c>
      <c r="F411" s="19">
        <f>IF($B411="","",IFERROR(INDEX(智能流水!$F$2:$F$1001,MATCH($B411,智能流水!$B$2:$B$1001,0)),""))</f>
        <v/>
      </c>
      <c r="G411" s="19">
        <f>IF($B411="","",IFERROR(INDEX(智能流水!$G$2:$G$1001,MATCH($B411,智能流水!$B$2:$B$1001,0)),""))</f>
        <v/>
      </c>
      <c r="H411" s="19">
        <f>IF($B411="","",IFERROR(INDEX(智能流水!$H$2:$H$1001,MATCH($B411,智能流水!$B$2:$B$1001,0)),""))</f>
        <v/>
      </c>
      <c r="I411" s="19">
        <f>IF($B411="","",IFERROR(INDEX(智能流水!$I$2:$I$1001,MATCH($B411,智能流水!$B$2:$B$1001,0)),""))</f>
        <v/>
      </c>
      <c r="J411" s="19">
        <f>IF($B411="","",IFERROR(INDEX(智能流水!$J$2:$J$1001,MATCH($B411,智能流水!$B$2:$B$1001,0)),""))</f>
        <v/>
      </c>
      <c r="K411" s="19">
        <f>IF($B411="","",IFERROR(INDEX(智能流水!$K$2:$K$1001,MATCH($B411,智能流水!$B$2:$B$1001,0)),""))</f>
        <v/>
      </c>
      <c r="L411" s="19">
        <f>IF($B411="","",IFERROR(INDEX(智能流水!$L$2:$L$1001,MATCH($B411,智能流水!$B$2:$B$1001,0)),""))</f>
        <v/>
      </c>
      <c r="M411" s="19">
        <f>IF($B411="","",IFERROR(INDEX(智能流水!$M$2:$M$1001,MATCH($B411,智能流水!$B$2:$B$1001,0)),""))</f>
        <v/>
      </c>
      <c r="N411" s="19">
        <f>IF($B411="","",IFERROR(INDEX(智能流水!$N$2:$N$1001,MATCH($B411,智能流水!$B$2:$B$1001,0)),""))</f>
        <v/>
      </c>
      <c r="O411" s="19">
        <f>IF($B411="","",IFERROR(INDEX(智能流水!$O$2:$O$1001,MATCH($B411,智能流水!$B$2:$B$1001,0)),""))</f>
        <v/>
      </c>
    </row>
    <row r="412">
      <c r="A412" s="19">
        <f>IF($B412="","",411)</f>
        <v/>
      </c>
      <c r="B412" s="19">
        <f>IFERROR(LARGE(智能流水!$B$2:$B$1001,411),"")</f>
        <v/>
      </c>
      <c r="C412" s="19">
        <f>IF($B412="","",IFERROR(INDEX(智能流水!$C$2:$C$1001,MATCH($B412,智能流水!$B$2:$B$1001,0)),""))</f>
        <v/>
      </c>
      <c r="D412" s="19">
        <f>IF($B412="","",IFERROR(INDEX(智能流水!$D$2:$D$1001,MATCH($B412,智能流水!$B$2:$B$1001,0)),""))</f>
        <v/>
      </c>
      <c r="E412" s="19">
        <f>IF($B412="","",IFERROR(INDEX(智能流水!$E$2:$E$1001,MATCH($B412,智能流水!$B$2:$B$1001,0)),""))</f>
        <v/>
      </c>
      <c r="F412" s="19">
        <f>IF($B412="","",IFERROR(INDEX(智能流水!$F$2:$F$1001,MATCH($B412,智能流水!$B$2:$B$1001,0)),""))</f>
        <v/>
      </c>
      <c r="G412" s="19">
        <f>IF($B412="","",IFERROR(INDEX(智能流水!$G$2:$G$1001,MATCH($B412,智能流水!$B$2:$B$1001,0)),""))</f>
        <v/>
      </c>
      <c r="H412" s="19">
        <f>IF($B412="","",IFERROR(INDEX(智能流水!$H$2:$H$1001,MATCH($B412,智能流水!$B$2:$B$1001,0)),""))</f>
        <v/>
      </c>
      <c r="I412" s="19">
        <f>IF($B412="","",IFERROR(INDEX(智能流水!$I$2:$I$1001,MATCH($B412,智能流水!$B$2:$B$1001,0)),""))</f>
        <v/>
      </c>
      <c r="J412" s="19">
        <f>IF($B412="","",IFERROR(INDEX(智能流水!$J$2:$J$1001,MATCH($B412,智能流水!$B$2:$B$1001,0)),""))</f>
        <v/>
      </c>
      <c r="K412" s="19">
        <f>IF($B412="","",IFERROR(INDEX(智能流水!$K$2:$K$1001,MATCH($B412,智能流水!$B$2:$B$1001,0)),""))</f>
        <v/>
      </c>
      <c r="L412" s="19">
        <f>IF($B412="","",IFERROR(INDEX(智能流水!$L$2:$L$1001,MATCH($B412,智能流水!$B$2:$B$1001,0)),""))</f>
        <v/>
      </c>
      <c r="M412" s="19">
        <f>IF($B412="","",IFERROR(INDEX(智能流水!$M$2:$M$1001,MATCH($B412,智能流水!$B$2:$B$1001,0)),""))</f>
        <v/>
      </c>
      <c r="N412" s="19">
        <f>IF($B412="","",IFERROR(INDEX(智能流水!$N$2:$N$1001,MATCH($B412,智能流水!$B$2:$B$1001,0)),""))</f>
        <v/>
      </c>
      <c r="O412" s="19">
        <f>IF($B412="","",IFERROR(INDEX(智能流水!$O$2:$O$1001,MATCH($B412,智能流水!$B$2:$B$1001,0)),""))</f>
        <v/>
      </c>
    </row>
    <row r="413">
      <c r="A413" s="19">
        <f>IF($B413="","",412)</f>
        <v/>
      </c>
      <c r="B413" s="19">
        <f>IFERROR(LARGE(智能流水!$B$2:$B$1001,412),"")</f>
        <v/>
      </c>
      <c r="C413" s="19">
        <f>IF($B413="","",IFERROR(INDEX(智能流水!$C$2:$C$1001,MATCH($B413,智能流水!$B$2:$B$1001,0)),""))</f>
        <v/>
      </c>
      <c r="D413" s="19">
        <f>IF($B413="","",IFERROR(INDEX(智能流水!$D$2:$D$1001,MATCH($B413,智能流水!$B$2:$B$1001,0)),""))</f>
        <v/>
      </c>
      <c r="E413" s="19">
        <f>IF($B413="","",IFERROR(INDEX(智能流水!$E$2:$E$1001,MATCH($B413,智能流水!$B$2:$B$1001,0)),""))</f>
        <v/>
      </c>
      <c r="F413" s="19">
        <f>IF($B413="","",IFERROR(INDEX(智能流水!$F$2:$F$1001,MATCH($B413,智能流水!$B$2:$B$1001,0)),""))</f>
        <v/>
      </c>
      <c r="G413" s="19">
        <f>IF($B413="","",IFERROR(INDEX(智能流水!$G$2:$G$1001,MATCH($B413,智能流水!$B$2:$B$1001,0)),""))</f>
        <v/>
      </c>
      <c r="H413" s="19">
        <f>IF($B413="","",IFERROR(INDEX(智能流水!$H$2:$H$1001,MATCH($B413,智能流水!$B$2:$B$1001,0)),""))</f>
        <v/>
      </c>
      <c r="I413" s="19">
        <f>IF($B413="","",IFERROR(INDEX(智能流水!$I$2:$I$1001,MATCH($B413,智能流水!$B$2:$B$1001,0)),""))</f>
        <v/>
      </c>
      <c r="J413" s="19">
        <f>IF($B413="","",IFERROR(INDEX(智能流水!$J$2:$J$1001,MATCH($B413,智能流水!$B$2:$B$1001,0)),""))</f>
        <v/>
      </c>
      <c r="K413" s="19">
        <f>IF($B413="","",IFERROR(INDEX(智能流水!$K$2:$K$1001,MATCH($B413,智能流水!$B$2:$B$1001,0)),""))</f>
        <v/>
      </c>
      <c r="L413" s="19">
        <f>IF($B413="","",IFERROR(INDEX(智能流水!$L$2:$L$1001,MATCH($B413,智能流水!$B$2:$B$1001,0)),""))</f>
        <v/>
      </c>
      <c r="M413" s="19">
        <f>IF($B413="","",IFERROR(INDEX(智能流水!$M$2:$M$1001,MATCH($B413,智能流水!$B$2:$B$1001,0)),""))</f>
        <v/>
      </c>
      <c r="N413" s="19">
        <f>IF($B413="","",IFERROR(INDEX(智能流水!$N$2:$N$1001,MATCH($B413,智能流水!$B$2:$B$1001,0)),""))</f>
        <v/>
      </c>
      <c r="O413" s="19">
        <f>IF($B413="","",IFERROR(INDEX(智能流水!$O$2:$O$1001,MATCH($B413,智能流水!$B$2:$B$1001,0)),""))</f>
        <v/>
      </c>
    </row>
    <row r="414">
      <c r="A414" s="19">
        <f>IF($B414="","",413)</f>
        <v/>
      </c>
      <c r="B414" s="19">
        <f>IFERROR(LARGE(智能流水!$B$2:$B$1001,413),"")</f>
        <v/>
      </c>
      <c r="C414" s="19">
        <f>IF($B414="","",IFERROR(INDEX(智能流水!$C$2:$C$1001,MATCH($B414,智能流水!$B$2:$B$1001,0)),""))</f>
        <v/>
      </c>
      <c r="D414" s="19">
        <f>IF($B414="","",IFERROR(INDEX(智能流水!$D$2:$D$1001,MATCH($B414,智能流水!$B$2:$B$1001,0)),""))</f>
        <v/>
      </c>
      <c r="E414" s="19">
        <f>IF($B414="","",IFERROR(INDEX(智能流水!$E$2:$E$1001,MATCH($B414,智能流水!$B$2:$B$1001,0)),""))</f>
        <v/>
      </c>
      <c r="F414" s="19">
        <f>IF($B414="","",IFERROR(INDEX(智能流水!$F$2:$F$1001,MATCH($B414,智能流水!$B$2:$B$1001,0)),""))</f>
        <v/>
      </c>
      <c r="G414" s="19">
        <f>IF($B414="","",IFERROR(INDEX(智能流水!$G$2:$G$1001,MATCH($B414,智能流水!$B$2:$B$1001,0)),""))</f>
        <v/>
      </c>
      <c r="H414" s="19">
        <f>IF($B414="","",IFERROR(INDEX(智能流水!$H$2:$H$1001,MATCH($B414,智能流水!$B$2:$B$1001,0)),""))</f>
        <v/>
      </c>
      <c r="I414" s="19">
        <f>IF($B414="","",IFERROR(INDEX(智能流水!$I$2:$I$1001,MATCH($B414,智能流水!$B$2:$B$1001,0)),""))</f>
        <v/>
      </c>
      <c r="J414" s="19">
        <f>IF($B414="","",IFERROR(INDEX(智能流水!$J$2:$J$1001,MATCH($B414,智能流水!$B$2:$B$1001,0)),""))</f>
        <v/>
      </c>
      <c r="K414" s="19">
        <f>IF($B414="","",IFERROR(INDEX(智能流水!$K$2:$K$1001,MATCH($B414,智能流水!$B$2:$B$1001,0)),""))</f>
        <v/>
      </c>
      <c r="L414" s="19">
        <f>IF($B414="","",IFERROR(INDEX(智能流水!$L$2:$L$1001,MATCH($B414,智能流水!$B$2:$B$1001,0)),""))</f>
        <v/>
      </c>
      <c r="M414" s="19">
        <f>IF($B414="","",IFERROR(INDEX(智能流水!$M$2:$M$1001,MATCH($B414,智能流水!$B$2:$B$1001,0)),""))</f>
        <v/>
      </c>
      <c r="N414" s="19">
        <f>IF($B414="","",IFERROR(INDEX(智能流水!$N$2:$N$1001,MATCH($B414,智能流水!$B$2:$B$1001,0)),""))</f>
        <v/>
      </c>
      <c r="O414" s="19">
        <f>IF($B414="","",IFERROR(INDEX(智能流水!$O$2:$O$1001,MATCH($B414,智能流水!$B$2:$B$1001,0)),""))</f>
        <v/>
      </c>
    </row>
    <row r="415">
      <c r="A415" s="19">
        <f>IF($B415="","",414)</f>
        <v/>
      </c>
      <c r="B415" s="19">
        <f>IFERROR(LARGE(智能流水!$B$2:$B$1001,414),"")</f>
        <v/>
      </c>
      <c r="C415" s="19">
        <f>IF($B415="","",IFERROR(INDEX(智能流水!$C$2:$C$1001,MATCH($B415,智能流水!$B$2:$B$1001,0)),""))</f>
        <v/>
      </c>
      <c r="D415" s="19">
        <f>IF($B415="","",IFERROR(INDEX(智能流水!$D$2:$D$1001,MATCH($B415,智能流水!$B$2:$B$1001,0)),""))</f>
        <v/>
      </c>
      <c r="E415" s="19">
        <f>IF($B415="","",IFERROR(INDEX(智能流水!$E$2:$E$1001,MATCH($B415,智能流水!$B$2:$B$1001,0)),""))</f>
        <v/>
      </c>
      <c r="F415" s="19">
        <f>IF($B415="","",IFERROR(INDEX(智能流水!$F$2:$F$1001,MATCH($B415,智能流水!$B$2:$B$1001,0)),""))</f>
        <v/>
      </c>
      <c r="G415" s="19">
        <f>IF($B415="","",IFERROR(INDEX(智能流水!$G$2:$G$1001,MATCH($B415,智能流水!$B$2:$B$1001,0)),""))</f>
        <v/>
      </c>
      <c r="H415" s="19">
        <f>IF($B415="","",IFERROR(INDEX(智能流水!$H$2:$H$1001,MATCH($B415,智能流水!$B$2:$B$1001,0)),""))</f>
        <v/>
      </c>
      <c r="I415" s="19">
        <f>IF($B415="","",IFERROR(INDEX(智能流水!$I$2:$I$1001,MATCH($B415,智能流水!$B$2:$B$1001,0)),""))</f>
        <v/>
      </c>
      <c r="J415" s="19">
        <f>IF($B415="","",IFERROR(INDEX(智能流水!$J$2:$J$1001,MATCH($B415,智能流水!$B$2:$B$1001,0)),""))</f>
        <v/>
      </c>
      <c r="K415" s="19">
        <f>IF($B415="","",IFERROR(INDEX(智能流水!$K$2:$K$1001,MATCH($B415,智能流水!$B$2:$B$1001,0)),""))</f>
        <v/>
      </c>
      <c r="L415" s="19">
        <f>IF($B415="","",IFERROR(INDEX(智能流水!$L$2:$L$1001,MATCH($B415,智能流水!$B$2:$B$1001,0)),""))</f>
        <v/>
      </c>
      <c r="M415" s="19">
        <f>IF($B415="","",IFERROR(INDEX(智能流水!$M$2:$M$1001,MATCH($B415,智能流水!$B$2:$B$1001,0)),""))</f>
        <v/>
      </c>
      <c r="N415" s="19">
        <f>IF($B415="","",IFERROR(INDEX(智能流水!$N$2:$N$1001,MATCH($B415,智能流水!$B$2:$B$1001,0)),""))</f>
        <v/>
      </c>
      <c r="O415" s="19">
        <f>IF($B415="","",IFERROR(INDEX(智能流水!$O$2:$O$1001,MATCH($B415,智能流水!$B$2:$B$1001,0)),""))</f>
        <v/>
      </c>
    </row>
    <row r="416">
      <c r="A416" s="19">
        <f>IF($B416="","",415)</f>
        <v/>
      </c>
      <c r="B416" s="19">
        <f>IFERROR(LARGE(智能流水!$B$2:$B$1001,415),"")</f>
        <v/>
      </c>
      <c r="C416" s="19">
        <f>IF($B416="","",IFERROR(INDEX(智能流水!$C$2:$C$1001,MATCH($B416,智能流水!$B$2:$B$1001,0)),""))</f>
        <v/>
      </c>
      <c r="D416" s="19">
        <f>IF($B416="","",IFERROR(INDEX(智能流水!$D$2:$D$1001,MATCH($B416,智能流水!$B$2:$B$1001,0)),""))</f>
        <v/>
      </c>
      <c r="E416" s="19">
        <f>IF($B416="","",IFERROR(INDEX(智能流水!$E$2:$E$1001,MATCH($B416,智能流水!$B$2:$B$1001,0)),""))</f>
        <v/>
      </c>
      <c r="F416" s="19">
        <f>IF($B416="","",IFERROR(INDEX(智能流水!$F$2:$F$1001,MATCH($B416,智能流水!$B$2:$B$1001,0)),""))</f>
        <v/>
      </c>
      <c r="G416" s="19">
        <f>IF($B416="","",IFERROR(INDEX(智能流水!$G$2:$G$1001,MATCH($B416,智能流水!$B$2:$B$1001,0)),""))</f>
        <v/>
      </c>
      <c r="H416" s="19">
        <f>IF($B416="","",IFERROR(INDEX(智能流水!$H$2:$H$1001,MATCH($B416,智能流水!$B$2:$B$1001,0)),""))</f>
        <v/>
      </c>
      <c r="I416" s="19">
        <f>IF($B416="","",IFERROR(INDEX(智能流水!$I$2:$I$1001,MATCH($B416,智能流水!$B$2:$B$1001,0)),""))</f>
        <v/>
      </c>
      <c r="J416" s="19">
        <f>IF($B416="","",IFERROR(INDEX(智能流水!$J$2:$J$1001,MATCH($B416,智能流水!$B$2:$B$1001,0)),""))</f>
        <v/>
      </c>
      <c r="K416" s="19">
        <f>IF($B416="","",IFERROR(INDEX(智能流水!$K$2:$K$1001,MATCH($B416,智能流水!$B$2:$B$1001,0)),""))</f>
        <v/>
      </c>
      <c r="L416" s="19">
        <f>IF($B416="","",IFERROR(INDEX(智能流水!$L$2:$L$1001,MATCH($B416,智能流水!$B$2:$B$1001,0)),""))</f>
        <v/>
      </c>
      <c r="M416" s="19">
        <f>IF($B416="","",IFERROR(INDEX(智能流水!$M$2:$M$1001,MATCH($B416,智能流水!$B$2:$B$1001,0)),""))</f>
        <v/>
      </c>
      <c r="N416" s="19">
        <f>IF($B416="","",IFERROR(INDEX(智能流水!$N$2:$N$1001,MATCH($B416,智能流水!$B$2:$B$1001,0)),""))</f>
        <v/>
      </c>
      <c r="O416" s="19">
        <f>IF($B416="","",IFERROR(INDEX(智能流水!$O$2:$O$1001,MATCH($B416,智能流水!$B$2:$B$1001,0)),""))</f>
        <v/>
      </c>
    </row>
    <row r="417">
      <c r="A417" s="19">
        <f>IF($B417="","",416)</f>
        <v/>
      </c>
      <c r="B417" s="19">
        <f>IFERROR(LARGE(智能流水!$B$2:$B$1001,416),"")</f>
        <v/>
      </c>
      <c r="C417" s="19">
        <f>IF($B417="","",IFERROR(INDEX(智能流水!$C$2:$C$1001,MATCH($B417,智能流水!$B$2:$B$1001,0)),""))</f>
        <v/>
      </c>
      <c r="D417" s="19">
        <f>IF($B417="","",IFERROR(INDEX(智能流水!$D$2:$D$1001,MATCH($B417,智能流水!$B$2:$B$1001,0)),""))</f>
        <v/>
      </c>
      <c r="E417" s="19">
        <f>IF($B417="","",IFERROR(INDEX(智能流水!$E$2:$E$1001,MATCH($B417,智能流水!$B$2:$B$1001,0)),""))</f>
        <v/>
      </c>
      <c r="F417" s="19">
        <f>IF($B417="","",IFERROR(INDEX(智能流水!$F$2:$F$1001,MATCH($B417,智能流水!$B$2:$B$1001,0)),""))</f>
        <v/>
      </c>
      <c r="G417" s="19">
        <f>IF($B417="","",IFERROR(INDEX(智能流水!$G$2:$G$1001,MATCH($B417,智能流水!$B$2:$B$1001,0)),""))</f>
        <v/>
      </c>
      <c r="H417" s="19">
        <f>IF($B417="","",IFERROR(INDEX(智能流水!$H$2:$H$1001,MATCH($B417,智能流水!$B$2:$B$1001,0)),""))</f>
        <v/>
      </c>
      <c r="I417" s="19">
        <f>IF($B417="","",IFERROR(INDEX(智能流水!$I$2:$I$1001,MATCH($B417,智能流水!$B$2:$B$1001,0)),""))</f>
        <v/>
      </c>
      <c r="J417" s="19">
        <f>IF($B417="","",IFERROR(INDEX(智能流水!$J$2:$J$1001,MATCH($B417,智能流水!$B$2:$B$1001,0)),""))</f>
        <v/>
      </c>
      <c r="K417" s="19">
        <f>IF($B417="","",IFERROR(INDEX(智能流水!$K$2:$K$1001,MATCH($B417,智能流水!$B$2:$B$1001,0)),""))</f>
        <v/>
      </c>
      <c r="L417" s="19">
        <f>IF($B417="","",IFERROR(INDEX(智能流水!$L$2:$L$1001,MATCH($B417,智能流水!$B$2:$B$1001,0)),""))</f>
        <v/>
      </c>
      <c r="M417" s="19">
        <f>IF($B417="","",IFERROR(INDEX(智能流水!$M$2:$M$1001,MATCH($B417,智能流水!$B$2:$B$1001,0)),""))</f>
        <v/>
      </c>
      <c r="N417" s="19">
        <f>IF($B417="","",IFERROR(INDEX(智能流水!$N$2:$N$1001,MATCH($B417,智能流水!$B$2:$B$1001,0)),""))</f>
        <v/>
      </c>
      <c r="O417" s="19">
        <f>IF($B417="","",IFERROR(INDEX(智能流水!$O$2:$O$1001,MATCH($B417,智能流水!$B$2:$B$1001,0)),""))</f>
        <v/>
      </c>
    </row>
    <row r="418">
      <c r="A418" s="19">
        <f>IF($B418="","",417)</f>
        <v/>
      </c>
      <c r="B418" s="19">
        <f>IFERROR(LARGE(智能流水!$B$2:$B$1001,417),"")</f>
        <v/>
      </c>
      <c r="C418" s="19">
        <f>IF($B418="","",IFERROR(INDEX(智能流水!$C$2:$C$1001,MATCH($B418,智能流水!$B$2:$B$1001,0)),""))</f>
        <v/>
      </c>
      <c r="D418" s="19">
        <f>IF($B418="","",IFERROR(INDEX(智能流水!$D$2:$D$1001,MATCH($B418,智能流水!$B$2:$B$1001,0)),""))</f>
        <v/>
      </c>
      <c r="E418" s="19">
        <f>IF($B418="","",IFERROR(INDEX(智能流水!$E$2:$E$1001,MATCH($B418,智能流水!$B$2:$B$1001,0)),""))</f>
        <v/>
      </c>
      <c r="F418" s="19">
        <f>IF($B418="","",IFERROR(INDEX(智能流水!$F$2:$F$1001,MATCH($B418,智能流水!$B$2:$B$1001,0)),""))</f>
        <v/>
      </c>
      <c r="G418" s="19">
        <f>IF($B418="","",IFERROR(INDEX(智能流水!$G$2:$G$1001,MATCH($B418,智能流水!$B$2:$B$1001,0)),""))</f>
        <v/>
      </c>
      <c r="H418" s="19">
        <f>IF($B418="","",IFERROR(INDEX(智能流水!$H$2:$H$1001,MATCH($B418,智能流水!$B$2:$B$1001,0)),""))</f>
        <v/>
      </c>
      <c r="I418" s="19">
        <f>IF($B418="","",IFERROR(INDEX(智能流水!$I$2:$I$1001,MATCH($B418,智能流水!$B$2:$B$1001,0)),""))</f>
        <v/>
      </c>
      <c r="J418" s="19">
        <f>IF($B418="","",IFERROR(INDEX(智能流水!$J$2:$J$1001,MATCH($B418,智能流水!$B$2:$B$1001,0)),""))</f>
        <v/>
      </c>
      <c r="K418" s="19">
        <f>IF($B418="","",IFERROR(INDEX(智能流水!$K$2:$K$1001,MATCH($B418,智能流水!$B$2:$B$1001,0)),""))</f>
        <v/>
      </c>
      <c r="L418" s="19">
        <f>IF($B418="","",IFERROR(INDEX(智能流水!$L$2:$L$1001,MATCH($B418,智能流水!$B$2:$B$1001,0)),""))</f>
        <v/>
      </c>
      <c r="M418" s="19">
        <f>IF($B418="","",IFERROR(INDEX(智能流水!$M$2:$M$1001,MATCH($B418,智能流水!$B$2:$B$1001,0)),""))</f>
        <v/>
      </c>
      <c r="N418" s="19">
        <f>IF($B418="","",IFERROR(INDEX(智能流水!$N$2:$N$1001,MATCH($B418,智能流水!$B$2:$B$1001,0)),""))</f>
        <v/>
      </c>
      <c r="O418" s="19">
        <f>IF($B418="","",IFERROR(INDEX(智能流水!$O$2:$O$1001,MATCH($B418,智能流水!$B$2:$B$1001,0)),""))</f>
        <v/>
      </c>
    </row>
    <row r="419">
      <c r="A419" s="19">
        <f>IF($B419="","",418)</f>
        <v/>
      </c>
      <c r="B419" s="19">
        <f>IFERROR(LARGE(智能流水!$B$2:$B$1001,418),"")</f>
        <v/>
      </c>
      <c r="C419" s="19">
        <f>IF($B419="","",IFERROR(INDEX(智能流水!$C$2:$C$1001,MATCH($B419,智能流水!$B$2:$B$1001,0)),""))</f>
        <v/>
      </c>
      <c r="D419" s="19">
        <f>IF($B419="","",IFERROR(INDEX(智能流水!$D$2:$D$1001,MATCH($B419,智能流水!$B$2:$B$1001,0)),""))</f>
        <v/>
      </c>
      <c r="E419" s="19">
        <f>IF($B419="","",IFERROR(INDEX(智能流水!$E$2:$E$1001,MATCH($B419,智能流水!$B$2:$B$1001,0)),""))</f>
        <v/>
      </c>
      <c r="F419" s="19">
        <f>IF($B419="","",IFERROR(INDEX(智能流水!$F$2:$F$1001,MATCH($B419,智能流水!$B$2:$B$1001,0)),""))</f>
        <v/>
      </c>
      <c r="G419" s="19">
        <f>IF($B419="","",IFERROR(INDEX(智能流水!$G$2:$G$1001,MATCH($B419,智能流水!$B$2:$B$1001,0)),""))</f>
        <v/>
      </c>
      <c r="H419" s="19">
        <f>IF($B419="","",IFERROR(INDEX(智能流水!$H$2:$H$1001,MATCH($B419,智能流水!$B$2:$B$1001,0)),""))</f>
        <v/>
      </c>
      <c r="I419" s="19">
        <f>IF($B419="","",IFERROR(INDEX(智能流水!$I$2:$I$1001,MATCH($B419,智能流水!$B$2:$B$1001,0)),""))</f>
        <v/>
      </c>
      <c r="J419" s="19">
        <f>IF($B419="","",IFERROR(INDEX(智能流水!$J$2:$J$1001,MATCH($B419,智能流水!$B$2:$B$1001,0)),""))</f>
        <v/>
      </c>
      <c r="K419" s="19">
        <f>IF($B419="","",IFERROR(INDEX(智能流水!$K$2:$K$1001,MATCH($B419,智能流水!$B$2:$B$1001,0)),""))</f>
        <v/>
      </c>
      <c r="L419" s="19">
        <f>IF($B419="","",IFERROR(INDEX(智能流水!$L$2:$L$1001,MATCH($B419,智能流水!$B$2:$B$1001,0)),""))</f>
        <v/>
      </c>
      <c r="M419" s="19">
        <f>IF($B419="","",IFERROR(INDEX(智能流水!$M$2:$M$1001,MATCH($B419,智能流水!$B$2:$B$1001,0)),""))</f>
        <v/>
      </c>
      <c r="N419" s="19">
        <f>IF($B419="","",IFERROR(INDEX(智能流水!$N$2:$N$1001,MATCH($B419,智能流水!$B$2:$B$1001,0)),""))</f>
        <v/>
      </c>
      <c r="O419" s="19">
        <f>IF($B419="","",IFERROR(INDEX(智能流水!$O$2:$O$1001,MATCH($B419,智能流水!$B$2:$B$1001,0)),""))</f>
        <v/>
      </c>
    </row>
    <row r="420">
      <c r="A420" s="19">
        <f>IF($B420="","",419)</f>
        <v/>
      </c>
      <c r="B420" s="19">
        <f>IFERROR(LARGE(智能流水!$B$2:$B$1001,419),"")</f>
        <v/>
      </c>
      <c r="C420" s="19">
        <f>IF($B420="","",IFERROR(INDEX(智能流水!$C$2:$C$1001,MATCH($B420,智能流水!$B$2:$B$1001,0)),""))</f>
        <v/>
      </c>
      <c r="D420" s="19">
        <f>IF($B420="","",IFERROR(INDEX(智能流水!$D$2:$D$1001,MATCH($B420,智能流水!$B$2:$B$1001,0)),""))</f>
        <v/>
      </c>
      <c r="E420" s="19">
        <f>IF($B420="","",IFERROR(INDEX(智能流水!$E$2:$E$1001,MATCH($B420,智能流水!$B$2:$B$1001,0)),""))</f>
        <v/>
      </c>
      <c r="F420" s="19">
        <f>IF($B420="","",IFERROR(INDEX(智能流水!$F$2:$F$1001,MATCH($B420,智能流水!$B$2:$B$1001,0)),""))</f>
        <v/>
      </c>
      <c r="G420" s="19">
        <f>IF($B420="","",IFERROR(INDEX(智能流水!$G$2:$G$1001,MATCH($B420,智能流水!$B$2:$B$1001,0)),""))</f>
        <v/>
      </c>
      <c r="H420" s="19">
        <f>IF($B420="","",IFERROR(INDEX(智能流水!$H$2:$H$1001,MATCH($B420,智能流水!$B$2:$B$1001,0)),""))</f>
        <v/>
      </c>
      <c r="I420" s="19">
        <f>IF($B420="","",IFERROR(INDEX(智能流水!$I$2:$I$1001,MATCH($B420,智能流水!$B$2:$B$1001,0)),""))</f>
        <v/>
      </c>
      <c r="J420" s="19">
        <f>IF($B420="","",IFERROR(INDEX(智能流水!$J$2:$J$1001,MATCH($B420,智能流水!$B$2:$B$1001,0)),""))</f>
        <v/>
      </c>
      <c r="K420" s="19">
        <f>IF($B420="","",IFERROR(INDEX(智能流水!$K$2:$K$1001,MATCH($B420,智能流水!$B$2:$B$1001,0)),""))</f>
        <v/>
      </c>
      <c r="L420" s="19">
        <f>IF($B420="","",IFERROR(INDEX(智能流水!$L$2:$L$1001,MATCH($B420,智能流水!$B$2:$B$1001,0)),""))</f>
        <v/>
      </c>
      <c r="M420" s="19">
        <f>IF($B420="","",IFERROR(INDEX(智能流水!$M$2:$M$1001,MATCH($B420,智能流水!$B$2:$B$1001,0)),""))</f>
        <v/>
      </c>
      <c r="N420" s="19">
        <f>IF($B420="","",IFERROR(INDEX(智能流水!$N$2:$N$1001,MATCH($B420,智能流水!$B$2:$B$1001,0)),""))</f>
        <v/>
      </c>
      <c r="O420" s="19">
        <f>IF($B420="","",IFERROR(INDEX(智能流水!$O$2:$O$1001,MATCH($B420,智能流水!$B$2:$B$1001,0)),""))</f>
        <v/>
      </c>
    </row>
    <row r="421">
      <c r="A421" s="19">
        <f>IF($B421="","",420)</f>
        <v/>
      </c>
      <c r="B421" s="19">
        <f>IFERROR(LARGE(智能流水!$B$2:$B$1001,420),"")</f>
        <v/>
      </c>
      <c r="C421" s="19">
        <f>IF($B421="","",IFERROR(INDEX(智能流水!$C$2:$C$1001,MATCH($B421,智能流水!$B$2:$B$1001,0)),""))</f>
        <v/>
      </c>
      <c r="D421" s="19">
        <f>IF($B421="","",IFERROR(INDEX(智能流水!$D$2:$D$1001,MATCH($B421,智能流水!$B$2:$B$1001,0)),""))</f>
        <v/>
      </c>
      <c r="E421" s="19">
        <f>IF($B421="","",IFERROR(INDEX(智能流水!$E$2:$E$1001,MATCH($B421,智能流水!$B$2:$B$1001,0)),""))</f>
        <v/>
      </c>
      <c r="F421" s="19">
        <f>IF($B421="","",IFERROR(INDEX(智能流水!$F$2:$F$1001,MATCH($B421,智能流水!$B$2:$B$1001,0)),""))</f>
        <v/>
      </c>
      <c r="G421" s="19">
        <f>IF($B421="","",IFERROR(INDEX(智能流水!$G$2:$G$1001,MATCH($B421,智能流水!$B$2:$B$1001,0)),""))</f>
        <v/>
      </c>
      <c r="H421" s="19">
        <f>IF($B421="","",IFERROR(INDEX(智能流水!$H$2:$H$1001,MATCH($B421,智能流水!$B$2:$B$1001,0)),""))</f>
        <v/>
      </c>
      <c r="I421" s="19">
        <f>IF($B421="","",IFERROR(INDEX(智能流水!$I$2:$I$1001,MATCH($B421,智能流水!$B$2:$B$1001,0)),""))</f>
        <v/>
      </c>
      <c r="J421" s="19">
        <f>IF($B421="","",IFERROR(INDEX(智能流水!$J$2:$J$1001,MATCH($B421,智能流水!$B$2:$B$1001,0)),""))</f>
        <v/>
      </c>
      <c r="K421" s="19">
        <f>IF($B421="","",IFERROR(INDEX(智能流水!$K$2:$K$1001,MATCH($B421,智能流水!$B$2:$B$1001,0)),""))</f>
        <v/>
      </c>
      <c r="L421" s="19">
        <f>IF($B421="","",IFERROR(INDEX(智能流水!$L$2:$L$1001,MATCH($B421,智能流水!$B$2:$B$1001,0)),""))</f>
        <v/>
      </c>
      <c r="M421" s="19">
        <f>IF($B421="","",IFERROR(INDEX(智能流水!$M$2:$M$1001,MATCH($B421,智能流水!$B$2:$B$1001,0)),""))</f>
        <v/>
      </c>
      <c r="N421" s="19">
        <f>IF($B421="","",IFERROR(INDEX(智能流水!$N$2:$N$1001,MATCH($B421,智能流水!$B$2:$B$1001,0)),""))</f>
        <v/>
      </c>
      <c r="O421" s="19">
        <f>IF($B421="","",IFERROR(INDEX(智能流水!$O$2:$O$1001,MATCH($B421,智能流水!$B$2:$B$1001,0)),""))</f>
        <v/>
      </c>
    </row>
    <row r="422">
      <c r="A422" s="19">
        <f>IF($B422="","",421)</f>
        <v/>
      </c>
      <c r="B422" s="19">
        <f>IFERROR(LARGE(智能流水!$B$2:$B$1001,421),"")</f>
        <v/>
      </c>
      <c r="C422" s="19">
        <f>IF($B422="","",IFERROR(INDEX(智能流水!$C$2:$C$1001,MATCH($B422,智能流水!$B$2:$B$1001,0)),""))</f>
        <v/>
      </c>
      <c r="D422" s="19">
        <f>IF($B422="","",IFERROR(INDEX(智能流水!$D$2:$D$1001,MATCH($B422,智能流水!$B$2:$B$1001,0)),""))</f>
        <v/>
      </c>
      <c r="E422" s="19">
        <f>IF($B422="","",IFERROR(INDEX(智能流水!$E$2:$E$1001,MATCH($B422,智能流水!$B$2:$B$1001,0)),""))</f>
        <v/>
      </c>
      <c r="F422" s="19">
        <f>IF($B422="","",IFERROR(INDEX(智能流水!$F$2:$F$1001,MATCH($B422,智能流水!$B$2:$B$1001,0)),""))</f>
        <v/>
      </c>
      <c r="G422" s="19">
        <f>IF($B422="","",IFERROR(INDEX(智能流水!$G$2:$G$1001,MATCH($B422,智能流水!$B$2:$B$1001,0)),""))</f>
        <v/>
      </c>
      <c r="H422" s="19">
        <f>IF($B422="","",IFERROR(INDEX(智能流水!$H$2:$H$1001,MATCH($B422,智能流水!$B$2:$B$1001,0)),""))</f>
        <v/>
      </c>
      <c r="I422" s="19">
        <f>IF($B422="","",IFERROR(INDEX(智能流水!$I$2:$I$1001,MATCH($B422,智能流水!$B$2:$B$1001,0)),""))</f>
        <v/>
      </c>
      <c r="J422" s="19">
        <f>IF($B422="","",IFERROR(INDEX(智能流水!$J$2:$J$1001,MATCH($B422,智能流水!$B$2:$B$1001,0)),""))</f>
        <v/>
      </c>
      <c r="K422" s="19">
        <f>IF($B422="","",IFERROR(INDEX(智能流水!$K$2:$K$1001,MATCH($B422,智能流水!$B$2:$B$1001,0)),""))</f>
        <v/>
      </c>
      <c r="L422" s="19">
        <f>IF($B422="","",IFERROR(INDEX(智能流水!$L$2:$L$1001,MATCH($B422,智能流水!$B$2:$B$1001,0)),""))</f>
        <v/>
      </c>
      <c r="M422" s="19">
        <f>IF($B422="","",IFERROR(INDEX(智能流水!$M$2:$M$1001,MATCH($B422,智能流水!$B$2:$B$1001,0)),""))</f>
        <v/>
      </c>
      <c r="N422" s="19">
        <f>IF($B422="","",IFERROR(INDEX(智能流水!$N$2:$N$1001,MATCH($B422,智能流水!$B$2:$B$1001,0)),""))</f>
        <v/>
      </c>
      <c r="O422" s="19">
        <f>IF($B422="","",IFERROR(INDEX(智能流水!$O$2:$O$1001,MATCH($B422,智能流水!$B$2:$B$1001,0)),""))</f>
        <v/>
      </c>
    </row>
    <row r="423">
      <c r="A423" s="19">
        <f>IF($B423="","",422)</f>
        <v/>
      </c>
      <c r="B423" s="19">
        <f>IFERROR(LARGE(智能流水!$B$2:$B$1001,422),"")</f>
        <v/>
      </c>
      <c r="C423" s="19">
        <f>IF($B423="","",IFERROR(INDEX(智能流水!$C$2:$C$1001,MATCH($B423,智能流水!$B$2:$B$1001,0)),""))</f>
        <v/>
      </c>
      <c r="D423" s="19">
        <f>IF($B423="","",IFERROR(INDEX(智能流水!$D$2:$D$1001,MATCH($B423,智能流水!$B$2:$B$1001,0)),""))</f>
        <v/>
      </c>
      <c r="E423" s="19">
        <f>IF($B423="","",IFERROR(INDEX(智能流水!$E$2:$E$1001,MATCH($B423,智能流水!$B$2:$B$1001,0)),""))</f>
        <v/>
      </c>
      <c r="F423" s="19">
        <f>IF($B423="","",IFERROR(INDEX(智能流水!$F$2:$F$1001,MATCH($B423,智能流水!$B$2:$B$1001,0)),""))</f>
        <v/>
      </c>
      <c r="G423" s="19">
        <f>IF($B423="","",IFERROR(INDEX(智能流水!$G$2:$G$1001,MATCH($B423,智能流水!$B$2:$B$1001,0)),""))</f>
        <v/>
      </c>
      <c r="H423" s="19">
        <f>IF($B423="","",IFERROR(INDEX(智能流水!$H$2:$H$1001,MATCH($B423,智能流水!$B$2:$B$1001,0)),""))</f>
        <v/>
      </c>
      <c r="I423" s="19">
        <f>IF($B423="","",IFERROR(INDEX(智能流水!$I$2:$I$1001,MATCH($B423,智能流水!$B$2:$B$1001,0)),""))</f>
        <v/>
      </c>
      <c r="J423" s="19">
        <f>IF($B423="","",IFERROR(INDEX(智能流水!$J$2:$J$1001,MATCH($B423,智能流水!$B$2:$B$1001,0)),""))</f>
        <v/>
      </c>
      <c r="K423" s="19">
        <f>IF($B423="","",IFERROR(INDEX(智能流水!$K$2:$K$1001,MATCH($B423,智能流水!$B$2:$B$1001,0)),""))</f>
        <v/>
      </c>
      <c r="L423" s="19">
        <f>IF($B423="","",IFERROR(INDEX(智能流水!$L$2:$L$1001,MATCH($B423,智能流水!$B$2:$B$1001,0)),""))</f>
        <v/>
      </c>
      <c r="M423" s="19">
        <f>IF($B423="","",IFERROR(INDEX(智能流水!$M$2:$M$1001,MATCH($B423,智能流水!$B$2:$B$1001,0)),""))</f>
        <v/>
      </c>
      <c r="N423" s="19">
        <f>IF($B423="","",IFERROR(INDEX(智能流水!$N$2:$N$1001,MATCH($B423,智能流水!$B$2:$B$1001,0)),""))</f>
        <v/>
      </c>
      <c r="O423" s="19">
        <f>IF($B423="","",IFERROR(INDEX(智能流水!$O$2:$O$1001,MATCH($B423,智能流水!$B$2:$B$1001,0)),""))</f>
        <v/>
      </c>
    </row>
    <row r="424">
      <c r="A424" s="19">
        <f>IF($B424="","",423)</f>
        <v/>
      </c>
      <c r="B424" s="19">
        <f>IFERROR(LARGE(智能流水!$B$2:$B$1001,423),"")</f>
        <v/>
      </c>
      <c r="C424" s="19">
        <f>IF($B424="","",IFERROR(INDEX(智能流水!$C$2:$C$1001,MATCH($B424,智能流水!$B$2:$B$1001,0)),""))</f>
        <v/>
      </c>
      <c r="D424" s="19">
        <f>IF($B424="","",IFERROR(INDEX(智能流水!$D$2:$D$1001,MATCH($B424,智能流水!$B$2:$B$1001,0)),""))</f>
        <v/>
      </c>
      <c r="E424" s="19">
        <f>IF($B424="","",IFERROR(INDEX(智能流水!$E$2:$E$1001,MATCH($B424,智能流水!$B$2:$B$1001,0)),""))</f>
        <v/>
      </c>
      <c r="F424" s="19">
        <f>IF($B424="","",IFERROR(INDEX(智能流水!$F$2:$F$1001,MATCH($B424,智能流水!$B$2:$B$1001,0)),""))</f>
        <v/>
      </c>
      <c r="G424" s="19">
        <f>IF($B424="","",IFERROR(INDEX(智能流水!$G$2:$G$1001,MATCH($B424,智能流水!$B$2:$B$1001,0)),""))</f>
        <v/>
      </c>
      <c r="H424" s="19">
        <f>IF($B424="","",IFERROR(INDEX(智能流水!$H$2:$H$1001,MATCH($B424,智能流水!$B$2:$B$1001,0)),""))</f>
        <v/>
      </c>
      <c r="I424" s="19">
        <f>IF($B424="","",IFERROR(INDEX(智能流水!$I$2:$I$1001,MATCH($B424,智能流水!$B$2:$B$1001,0)),""))</f>
        <v/>
      </c>
      <c r="J424" s="19">
        <f>IF($B424="","",IFERROR(INDEX(智能流水!$J$2:$J$1001,MATCH($B424,智能流水!$B$2:$B$1001,0)),""))</f>
        <v/>
      </c>
      <c r="K424" s="19">
        <f>IF($B424="","",IFERROR(INDEX(智能流水!$K$2:$K$1001,MATCH($B424,智能流水!$B$2:$B$1001,0)),""))</f>
        <v/>
      </c>
      <c r="L424" s="19">
        <f>IF($B424="","",IFERROR(INDEX(智能流水!$L$2:$L$1001,MATCH($B424,智能流水!$B$2:$B$1001,0)),""))</f>
        <v/>
      </c>
      <c r="M424" s="19">
        <f>IF($B424="","",IFERROR(INDEX(智能流水!$M$2:$M$1001,MATCH($B424,智能流水!$B$2:$B$1001,0)),""))</f>
        <v/>
      </c>
      <c r="N424" s="19">
        <f>IF($B424="","",IFERROR(INDEX(智能流水!$N$2:$N$1001,MATCH($B424,智能流水!$B$2:$B$1001,0)),""))</f>
        <v/>
      </c>
      <c r="O424" s="19">
        <f>IF($B424="","",IFERROR(INDEX(智能流水!$O$2:$O$1001,MATCH($B424,智能流水!$B$2:$B$1001,0)),""))</f>
        <v/>
      </c>
    </row>
    <row r="425">
      <c r="A425" s="19">
        <f>IF($B425="","",424)</f>
        <v/>
      </c>
      <c r="B425" s="19">
        <f>IFERROR(LARGE(智能流水!$B$2:$B$1001,424),"")</f>
        <v/>
      </c>
      <c r="C425" s="19">
        <f>IF($B425="","",IFERROR(INDEX(智能流水!$C$2:$C$1001,MATCH($B425,智能流水!$B$2:$B$1001,0)),""))</f>
        <v/>
      </c>
      <c r="D425" s="19">
        <f>IF($B425="","",IFERROR(INDEX(智能流水!$D$2:$D$1001,MATCH($B425,智能流水!$B$2:$B$1001,0)),""))</f>
        <v/>
      </c>
      <c r="E425" s="19">
        <f>IF($B425="","",IFERROR(INDEX(智能流水!$E$2:$E$1001,MATCH($B425,智能流水!$B$2:$B$1001,0)),""))</f>
        <v/>
      </c>
      <c r="F425" s="19">
        <f>IF($B425="","",IFERROR(INDEX(智能流水!$F$2:$F$1001,MATCH($B425,智能流水!$B$2:$B$1001,0)),""))</f>
        <v/>
      </c>
      <c r="G425" s="19">
        <f>IF($B425="","",IFERROR(INDEX(智能流水!$G$2:$G$1001,MATCH($B425,智能流水!$B$2:$B$1001,0)),""))</f>
        <v/>
      </c>
      <c r="H425" s="19">
        <f>IF($B425="","",IFERROR(INDEX(智能流水!$H$2:$H$1001,MATCH($B425,智能流水!$B$2:$B$1001,0)),""))</f>
        <v/>
      </c>
      <c r="I425" s="19">
        <f>IF($B425="","",IFERROR(INDEX(智能流水!$I$2:$I$1001,MATCH($B425,智能流水!$B$2:$B$1001,0)),""))</f>
        <v/>
      </c>
      <c r="J425" s="19">
        <f>IF($B425="","",IFERROR(INDEX(智能流水!$J$2:$J$1001,MATCH($B425,智能流水!$B$2:$B$1001,0)),""))</f>
        <v/>
      </c>
      <c r="K425" s="19">
        <f>IF($B425="","",IFERROR(INDEX(智能流水!$K$2:$K$1001,MATCH($B425,智能流水!$B$2:$B$1001,0)),""))</f>
        <v/>
      </c>
      <c r="L425" s="19">
        <f>IF($B425="","",IFERROR(INDEX(智能流水!$L$2:$L$1001,MATCH($B425,智能流水!$B$2:$B$1001,0)),""))</f>
        <v/>
      </c>
      <c r="M425" s="19">
        <f>IF($B425="","",IFERROR(INDEX(智能流水!$M$2:$M$1001,MATCH($B425,智能流水!$B$2:$B$1001,0)),""))</f>
        <v/>
      </c>
      <c r="N425" s="19">
        <f>IF($B425="","",IFERROR(INDEX(智能流水!$N$2:$N$1001,MATCH($B425,智能流水!$B$2:$B$1001,0)),""))</f>
        <v/>
      </c>
      <c r="O425" s="19">
        <f>IF($B425="","",IFERROR(INDEX(智能流水!$O$2:$O$1001,MATCH($B425,智能流水!$B$2:$B$1001,0)),""))</f>
        <v/>
      </c>
    </row>
    <row r="426">
      <c r="A426" s="19">
        <f>IF($B426="","",425)</f>
        <v/>
      </c>
      <c r="B426" s="19">
        <f>IFERROR(LARGE(智能流水!$B$2:$B$1001,425),"")</f>
        <v/>
      </c>
      <c r="C426" s="19">
        <f>IF($B426="","",IFERROR(INDEX(智能流水!$C$2:$C$1001,MATCH($B426,智能流水!$B$2:$B$1001,0)),""))</f>
        <v/>
      </c>
      <c r="D426" s="19">
        <f>IF($B426="","",IFERROR(INDEX(智能流水!$D$2:$D$1001,MATCH($B426,智能流水!$B$2:$B$1001,0)),""))</f>
        <v/>
      </c>
      <c r="E426" s="19">
        <f>IF($B426="","",IFERROR(INDEX(智能流水!$E$2:$E$1001,MATCH($B426,智能流水!$B$2:$B$1001,0)),""))</f>
        <v/>
      </c>
      <c r="F426" s="19">
        <f>IF($B426="","",IFERROR(INDEX(智能流水!$F$2:$F$1001,MATCH($B426,智能流水!$B$2:$B$1001,0)),""))</f>
        <v/>
      </c>
      <c r="G426" s="19">
        <f>IF($B426="","",IFERROR(INDEX(智能流水!$G$2:$G$1001,MATCH($B426,智能流水!$B$2:$B$1001,0)),""))</f>
        <v/>
      </c>
      <c r="H426" s="19">
        <f>IF($B426="","",IFERROR(INDEX(智能流水!$H$2:$H$1001,MATCH($B426,智能流水!$B$2:$B$1001,0)),""))</f>
        <v/>
      </c>
      <c r="I426" s="19">
        <f>IF($B426="","",IFERROR(INDEX(智能流水!$I$2:$I$1001,MATCH($B426,智能流水!$B$2:$B$1001,0)),""))</f>
        <v/>
      </c>
      <c r="J426" s="19">
        <f>IF($B426="","",IFERROR(INDEX(智能流水!$J$2:$J$1001,MATCH($B426,智能流水!$B$2:$B$1001,0)),""))</f>
        <v/>
      </c>
      <c r="K426" s="19">
        <f>IF($B426="","",IFERROR(INDEX(智能流水!$K$2:$K$1001,MATCH($B426,智能流水!$B$2:$B$1001,0)),""))</f>
        <v/>
      </c>
      <c r="L426" s="19">
        <f>IF($B426="","",IFERROR(INDEX(智能流水!$L$2:$L$1001,MATCH($B426,智能流水!$B$2:$B$1001,0)),""))</f>
        <v/>
      </c>
      <c r="M426" s="19">
        <f>IF($B426="","",IFERROR(INDEX(智能流水!$M$2:$M$1001,MATCH($B426,智能流水!$B$2:$B$1001,0)),""))</f>
        <v/>
      </c>
      <c r="N426" s="19">
        <f>IF($B426="","",IFERROR(INDEX(智能流水!$N$2:$N$1001,MATCH($B426,智能流水!$B$2:$B$1001,0)),""))</f>
        <v/>
      </c>
      <c r="O426" s="19">
        <f>IF($B426="","",IFERROR(INDEX(智能流水!$O$2:$O$1001,MATCH($B426,智能流水!$B$2:$B$1001,0)),""))</f>
        <v/>
      </c>
    </row>
    <row r="427">
      <c r="A427" s="19">
        <f>IF($B427="","",426)</f>
        <v/>
      </c>
      <c r="B427" s="19">
        <f>IFERROR(LARGE(智能流水!$B$2:$B$1001,426),"")</f>
        <v/>
      </c>
      <c r="C427" s="19">
        <f>IF($B427="","",IFERROR(INDEX(智能流水!$C$2:$C$1001,MATCH($B427,智能流水!$B$2:$B$1001,0)),""))</f>
        <v/>
      </c>
      <c r="D427" s="19">
        <f>IF($B427="","",IFERROR(INDEX(智能流水!$D$2:$D$1001,MATCH($B427,智能流水!$B$2:$B$1001,0)),""))</f>
        <v/>
      </c>
      <c r="E427" s="19">
        <f>IF($B427="","",IFERROR(INDEX(智能流水!$E$2:$E$1001,MATCH($B427,智能流水!$B$2:$B$1001,0)),""))</f>
        <v/>
      </c>
      <c r="F427" s="19">
        <f>IF($B427="","",IFERROR(INDEX(智能流水!$F$2:$F$1001,MATCH($B427,智能流水!$B$2:$B$1001,0)),""))</f>
        <v/>
      </c>
      <c r="G427" s="19">
        <f>IF($B427="","",IFERROR(INDEX(智能流水!$G$2:$G$1001,MATCH($B427,智能流水!$B$2:$B$1001,0)),""))</f>
        <v/>
      </c>
      <c r="H427" s="19">
        <f>IF($B427="","",IFERROR(INDEX(智能流水!$H$2:$H$1001,MATCH($B427,智能流水!$B$2:$B$1001,0)),""))</f>
        <v/>
      </c>
      <c r="I427" s="19">
        <f>IF($B427="","",IFERROR(INDEX(智能流水!$I$2:$I$1001,MATCH($B427,智能流水!$B$2:$B$1001,0)),""))</f>
        <v/>
      </c>
      <c r="J427" s="19">
        <f>IF($B427="","",IFERROR(INDEX(智能流水!$J$2:$J$1001,MATCH($B427,智能流水!$B$2:$B$1001,0)),""))</f>
        <v/>
      </c>
      <c r="K427" s="19">
        <f>IF($B427="","",IFERROR(INDEX(智能流水!$K$2:$K$1001,MATCH($B427,智能流水!$B$2:$B$1001,0)),""))</f>
        <v/>
      </c>
      <c r="L427" s="19">
        <f>IF($B427="","",IFERROR(INDEX(智能流水!$L$2:$L$1001,MATCH($B427,智能流水!$B$2:$B$1001,0)),""))</f>
        <v/>
      </c>
      <c r="M427" s="19">
        <f>IF($B427="","",IFERROR(INDEX(智能流水!$M$2:$M$1001,MATCH($B427,智能流水!$B$2:$B$1001,0)),""))</f>
        <v/>
      </c>
      <c r="N427" s="19">
        <f>IF($B427="","",IFERROR(INDEX(智能流水!$N$2:$N$1001,MATCH($B427,智能流水!$B$2:$B$1001,0)),""))</f>
        <v/>
      </c>
      <c r="O427" s="19">
        <f>IF($B427="","",IFERROR(INDEX(智能流水!$O$2:$O$1001,MATCH($B427,智能流水!$B$2:$B$1001,0)),""))</f>
        <v/>
      </c>
    </row>
    <row r="428">
      <c r="A428" s="19">
        <f>IF($B428="","",427)</f>
        <v/>
      </c>
      <c r="B428" s="19">
        <f>IFERROR(LARGE(智能流水!$B$2:$B$1001,427),"")</f>
        <v/>
      </c>
      <c r="C428" s="19">
        <f>IF($B428="","",IFERROR(INDEX(智能流水!$C$2:$C$1001,MATCH($B428,智能流水!$B$2:$B$1001,0)),""))</f>
        <v/>
      </c>
      <c r="D428" s="19">
        <f>IF($B428="","",IFERROR(INDEX(智能流水!$D$2:$D$1001,MATCH($B428,智能流水!$B$2:$B$1001,0)),""))</f>
        <v/>
      </c>
      <c r="E428" s="19">
        <f>IF($B428="","",IFERROR(INDEX(智能流水!$E$2:$E$1001,MATCH($B428,智能流水!$B$2:$B$1001,0)),""))</f>
        <v/>
      </c>
      <c r="F428" s="19">
        <f>IF($B428="","",IFERROR(INDEX(智能流水!$F$2:$F$1001,MATCH($B428,智能流水!$B$2:$B$1001,0)),""))</f>
        <v/>
      </c>
      <c r="G428" s="19">
        <f>IF($B428="","",IFERROR(INDEX(智能流水!$G$2:$G$1001,MATCH($B428,智能流水!$B$2:$B$1001,0)),""))</f>
        <v/>
      </c>
      <c r="H428" s="19">
        <f>IF($B428="","",IFERROR(INDEX(智能流水!$H$2:$H$1001,MATCH($B428,智能流水!$B$2:$B$1001,0)),""))</f>
        <v/>
      </c>
      <c r="I428" s="19">
        <f>IF($B428="","",IFERROR(INDEX(智能流水!$I$2:$I$1001,MATCH($B428,智能流水!$B$2:$B$1001,0)),""))</f>
        <v/>
      </c>
      <c r="J428" s="19">
        <f>IF($B428="","",IFERROR(INDEX(智能流水!$J$2:$J$1001,MATCH($B428,智能流水!$B$2:$B$1001,0)),""))</f>
        <v/>
      </c>
      <c r="K428" s="19">
        <f>IF($B428="","",IFERROR(INDEX(智能流水!$K$2:$K$1001,MATCH($B428,智能流水!$B$2:$B$1001,0)),""))</f>
        <v/>
      </c>
      <c r="L428" s="19">
        <f>IF($B428="","",IFERROR(INDEX(智能流水!$L$2:$L$1001,MATCH($B428,智能流水!$B$2:$B$1001,0)),""))</f>
        <v/>
      </c>
      <c r="M428" s="19">
        <f>IF($B428="","",IFERROR(INDEX(智能流水!$M$2:$M$1001,MATCH($B428,智能流水!$B$2:$B$1001,0)),""))</f>
        <v/>
      </c>
      <c r="N428" s="19">
        <f>IF($B428="","",IFERROR(INDEX(智能流水!$N$2:$N$1001,MATCH($B428,智能流水!$B$2:$B$1001,0)),""))</f>
        <v/>
      </c>
      <c r="O428" s="19">
        <f>IF($B428="","",IFERROR(INDEX(智能流水!$O$2:$O$1001,MATCH($B428,智能流水!$B$2:$B$1001,0)),""))</f>
        <v/>
      </c>
    </row>
    <row r="429">
      <c r="A429" s="19">
        <f>IF($B429="","",428)</f>
        <v/>
      </c>
      <c r="B429" s="19">
        <f>IFERROR(LARGE(智能流水!$B$2:$B$1001,428),"")</f>
        <v/>
      </c>
      <c r="C429" s="19">
        <f>IF($B429="","",IFERROR(INDEX(智能流水!$C$2:$C$1001,MATCH($B429,智能流水!$B$2:$B$1001,0)),""))</f>
        <v/>
      </c>
      <c r="D429" s="19">
        <f>IF($B429="","",IFERROR(INDEX(智能流水!$D$2:$D$1001,MATCH($B429,智能流水!$B$2:$B$1001,0)),""))</f>
        <v/>
      </c>
      <c r="E429" s="19">
        <f>IF($B429="","",IFERROR(INDEX(智能流水!$E$2:$E$1001,MATCH($B429,智能流水!$B$2:$B$1001,0)),""))</f>
        <v/>
      </c>
      <c r="F429" s="19">
        <f>IF($B429="","",IFERROR(INDEX(智能流水!$F$2:$F$1001,MATCH($B429,智能流水!$B$2:$B$1001,0)),""))</f>
        <v/>
      </c>
      <c r="G429" s="19">
        <f>IF($B429="","",IFERROR(INDEX(智能流水!$G$2:$G$1001,MATCH($B429,智能流水!$B$2:$B$1001,0)),""))</f>
        <v/>
      </c>
      <c r="H429" s="19">
        <f>IF($B429="","",IFERROR(INDEX(智能流水!$H$2:$H$1001,MATCH($B429,智能流水!$B$2:$B$1001,0)),""))</f>
        <v/>
      </c>
      <c r="I429" s="19">
        <f>IF($B429="","",IFERROR(INDEX(智能流水!$I$2:$I$1001,MATCH($B429,智能流水!$B$2:$B$1001,0)),""))</f>
        <v/>
      </c>
      <c r="J429" s="19">
        <f>IF($B429="","",IFERROR(INDEX(智能流水!$J$2:$J$1001,MATCH($B429,智能流水!$B$2:$B$1001,0)),""))</f>
        <v/>
      </c>
      <c r="K429" s="19">
        <f>IF($B429="","",IFERROR(INDEX(智能流水!$K$2:$K$1001,MATCH($B429,智能流水!$B$2:$B$1001,0)),""))</f>
        <v/>
      </c>
      <c r="L429" s="19">
        <f>IF($B429="","",IFERROR(INDEX(智能流水!$L$2:$L$1001,MATCH($B429,智能流水!$B$2:$B$1001,0)),""))</f>
        <v/>
      </c>
      <c r="M429" s="19">
        <f>IF($B429="","",IFERROR(INDEX(智能流水!$M$2:$M$1001,MATCH($B429,智能流水!$B$2:$B$1001,0)),""))</f>
        <v/>
      </c>
      <c r="N429" s="19">
        <f>IF($B429="","",IFERROR(INDEX(智能流水!$N$2:$N$1001,MATCH($B429,智能流水!$B$2:$B$1001,0)),""))</f>
        <v/>
      </c>
      <c r="O429" s="19">
        <f>IF($B429="","",IFERROR(INDEX(智能流水!$O$2:$O$1001,MATCH($B429,智能流水!$B$2:$B$1001,0)),""))</f>
        <v/>
      </c>
    </row>
    <row r="430">
      <c r="A430" s="19">
        <f>IF($B430="","",429)</f>
        <v/>
      </c>
      <c r="B430" s="19">
        <f>IFERROR(LARGE(智能流水!$B$2:$B$1001,429),"")</f>
        <v/>
      </c>
      <c r="C430" s="19">
        <f>IF($B430="","",IFERROR(INDEX(智能流水!$C$2:$C$1001,MATCH($B430,智能流水!$B$2:$B$1001,0)),""))</f>
        <v/>
      </c>
      <c r="D430" s="19">
        <f>IF($B430="","",IFERROR(INDEX(智能流水!$D$2:$D$1001,MATCH($B430,智能流水!$B$2:$B$1001,0)),""))</f>
        <v/>
      </c>
      <c r="E430" s="19">
        <f>IF($B430="","",IFERROR(INDEX(智能流水!$E$2:$E$1001,MATCH($B430,智能流水!$B$2:$B$1001,0)),""))</f>
        <v/>
      </c>
      <c r="F430" s="19">
        <f>IF($B430="","",IFERROR(INDEX(智能流水!$F$2:$F$1001,MATCH($B430,智能流水!$B$2:$B$1001,0)),""))</f>
        <v/>
      </c>
      <c r="G430" s="19">
        <f>IF($B430="","",IFERROR(INDEX(智能流水!$G$2:$G$1001,MATCH($B430,智能流水!$B$2:$B$1001,0)),""))</f>
        <v/>
      </c>
      <c r="H430" s="19">
        <f>IF($B430="","",IFERROR(INDEX(智能流水!$H$2:$H$1001,MATCH($B430,智能流水!$B$2:$B$1001,0)),""))</f>
        <v/>
      </c>
      <c r="I430" s="19">
        <f>IF($B430="","",IFERROR(INDEX(智能流水!$I$2:$I$1001,MATCH($B430,智能流水!$B$2:$B$1001,0)),""))</f>
        <v/>
      </c>
      <c r="J430" s="19">
        <f>IF($B430="","",IFERROR(INDEX(智能流水!$J$2:$J$1001,MATCH($B430,智能流水!$B$2:$B$1001,0)),""))</f>
        <v/>
      </c>
      <c r="K430" s="19">
        <f>IF($B430="","",IFERROR(INDEX(智能流水!$K$2:$K$1001,MATCH($B430,智能流水!$B$2:$B$1001,0)),""))</f>
        <v/>
      </c>
      <c r="L430" s="19">
        <f>IF($B430="","",IFERROR(INDEX(智能流水!$L$2:$L$1001,MATCH($B430,智能流水!$B$2:$B$1001,0)),""))</f>
        <v/>
      </c>
      <c r="M430" s="19">
        <f>IF($B430="","",IFERROR(INDEX(智能流水!$M$2:$M$1001,MATCH($B430,智能流水!$B$2:$B$1001,0)),""))</f>
        <v/>
      </c>
      <c r="N430" s="19">
        <f>IF($B430="","",IFERROR(INDEX(智能流水!$N$2:$N$1001,MATCH($B430,智能流水!$B$2:$B$1001,0)),""))</f>
        <v/>
      </c>
      <c r="O430" s="19">
        <f>IF($B430="","",IFERROR(INDEX(智能流水!$O$2:$O$1001,MATCH($B430,智能流水!$B$2:$B$1001,0)),""))</f>
        <v/>
      </c>
    </row>
    <row r="431">
      <c r="A431" s="19">
        <f>IF($B431="","",430)</f>
        <v/>
      </c>
      <c r="B431" s="19">
        <f>IFERROR(LARGE(智能流水!$B$2:$B$1001,430),"")</f>
        <v/>
      </c>
      <c r="C431" s="19">
        <f>IF($B431="","",IFERROR(INDEX(智能流水!$C$2:$C$1001,MATCH($B431,智能流水!$B$2:$B$1001,0)),""))</f>
        <v/>
      </c>
      <c r="D431" s="19">
        <f>IF($B431="","",IFERROR(INDEX(智能流水!$D$2:$D$1001,MATCH($B431,智能流水!$B$2:$B$1001,0)),""))</f>
        <v/>
      </c>
      <c r="E431" s="19">
        <f>IF($B431="","",IFERROR(INDEX(智能流水!$E$2:$E$1001,MATCH($B431,智能流水!$B$2:$B$1001,0)),""))</f>
        <v/>
      </c>
      <c r="F431" s="19">
        <f>IF($B431="","",IFERROR(INDEX(智能流水!$F$2:$F$1001,MATCH($B431,智能流水!$B$2:$B$1001,0)),""))</f>
        <v/>
      </c>
      <c r="G431" s="19">
        <f>IF($B431="","",IFERROR(INDEX(智能流水!$G$2:$G$1001,MATCH($B431,智能流水!$B$2:$B$1001,0)),""))</f>
        <v/>
      </c>
      <c r="H431" s="19">
        <f>IF($B431="","",IFERROR(INDEX(智能流水!$H$2:$H$1001,MATCH($B431,智能流水!$B$2:$B$1001,0)),""))</f>
        <v/>
      </c>
      <c r="I431" s="19">
        <f>IF($B431="","",IFERROR(INDEX(智能流水!$I$2:$I$1001,MATCH($B431,智能流水!$B$2:$B$1001,0)),""))</f>
        <v/>
      </c>
      <c r="J431" s="19">
        <f>IF($B431="","",IFERROR(INDEX(智能流水!$J$2:$J$1001,MATCH($B431,智能流水!$B$2:$B$1001,0)),""))</f>
        <v/>
      </c>
      <c r="K431" s="19">
        <f>IF($B431="","",IFERROR(INDEX(智能流水!$K$2:$K$1001,MATCH($B431,智能流水!$B$2:$B$1001,0)),""))</f>
        <v/>
      </c>
      <c r="L431" s="19">
        <f>IF($B431="","",IFERROR(INDEX(智能流水!$L$2:$L$1001,MATCH($B431,智能流水!$B$2:$B$1001,0)),""))</f>
        <v/>
      </c>
      <c r="M431" s="19">
        <f>IF($B431="","",IFERROR(INDEX(智能流水!$M$2:$M$1001,MATCH($B431,智能流水!$B$2:$B$1001,0)),""))</f>
        <v/>
      </c>
      <c r="N431" s="19">
        <f>IF($B431="","",IFERROR(INDEX(智能流水!$N$2:$N$1001,MATCH($B431,智能流水!$B$2:$B$1001,0)),""))</f>
        <v/>
      </c>
      <c r="O431" s="19">
        <f>IF($B431="","",IFERROR(INDEX(智能流水!$O$2:$O$1001,MATCH($B431,智能流水!$B$2:$B$1001,0)),""))</f>
        <v/>
      </c>
    </row>
    <row r="432">
      <c r="A432" s="19">
        <f>IF($B432="","",431)</f>
        <v/>
      </c>
      <c r="B432" s="19">
        <f>IFERROR(LARGE(智能流水!$B$2:$B$1001,431),"")</f>
        <v/>
      </c>
      <c r="C432" s="19">
        <f>IF($B432="","",IFERROR(INDEX(智能流水!$C$2:$C$1001,MATCH($B432,智能流水!$B$2:$B$1001,0)),""))</f>
        <v/>
      </c>
      <c r="D432" s="19">
        <f>IF($B432="","",IFERROR(INDEX(智能流水!$D$2:$D$1001,MATCH($B432,智能流水!$B$2:$B$1001,0)),""))</f>
        <v/>
      </c>
      <c r="E432" s="19">
        <f>IF($B432="","",IFERROR(INDEX(智能流水!$E$2:$E$1001,MATCH($B432,智能流水!$B$2:$B$1001,0)),""))</f>
        <v/>
      </c>
      <c r="F432" s="19">
        <f>IF($B432="","",IFERROR(INDEX(智能流水!$F$2:$F$1001,MATCH($B432,智能流水!$B$2:$B$1001,0)),""))</f>
        <v/>
      </c>
      <c r="G432" s="19">
        <f>IF($B432="","",IFERROR(INDEX(智能流水!$G$2:$G$1001,MATCH($B432,智能流水!$B$2:$B$1001,0)),""))</f>
        <v/>
      </c>
      <c r="H432" s="19">
        <f>IF($B432="","",IFERROR(INDEX(智能流水!$H$2:$H$1001,MATCH($B432,智能流水!$B$2:$B$1001,0)),""))</f>
        <v/>
      </c>
      <c r="I432" s="19">
        <f>IF($B432="","",IFERROR(INDEX(智能流水!$I$2:$I$1001,MATCH($B432,智能流水!$B$2:$B$1001,0)),""))</f>
        <v/>
      </c>
      <c r="J432" s="19">
        <f>IF($B432="","",IFERROR(INDEX(智能流水!$J$2:$J$1001,MATCH($B432,智能流水!$B$2:$B$1001,0)),""))</f>
        <v/>
      </c>
      <c r="K432" s="19">
        <f>IF($B432="","",IFERROR(INDEX(智能流水!$K$2:$K$1001,MATCH($B432,智能流水!$B$2:$B$1001,0)),""))</f>
        <v/>
      </c>
      <c r="L432" s="19">
        <f>IF($B432="","",IFERROR(INDEX(智能流水!$L$2:$L$1001,MATCH($B432,智能流水!$B$2:$B$1001,0)),""))</f>
        <v/>
      </c>
      <c r="M432" s="19">
        <f>IF($B432="","",IFERROR(INDEX(智能流水!$M$2:$M$1001,MATCH($B432,智能流水!$B$2:$B$1001,0)),""))</f>
        <v/>
      </c>
      <c r="N432" s="19">
        <f>IF($B432="","",IFERROR(INDEX(智能流水!$N$2:$N$1001,MATCH($B432,智能流水!$B$2:$B$1001,0)),""))</f>
        <v/>
      </c>
      <c r="O432" s="19">
        <f>IF($B432="","",IFERROR(INDEX(智能流水!$O$2:$O$1001,MATCH($B432,智能流水!$B$2:$B$1001,0)),""))</f>
        <v/>
      </c>
    </row>
    <row r="433">
      <c r="A433" s="19">
        <f>IF($B433="","",432)</f>
        <v/>
      </c>
      <c r="B433" s="19">
        <f>IFERROR(LARGE(智能流水!$B$2:$B$1001,432),"")</f>
        <v/>
      </c>
      <c r="C433" s="19">
        <f>IF($B433="","",IFERROR(INDEX(智能流水!$C$2:$C$1001,MATCH($B433,智能流水!$B$2:$B$1001,0)),""))</f>
        <v/>
      </c>
      <c r="D433" s="19">
        <f>IF($B433="","",IFERROR(INDEX(智能流水!$D$2:$D$1001,MATCH($B433,智能流水!$B$2:$B$1001,0)),""))</f>
        <v/>
      </c>
      <c r="E433" s="19">
        <f>IF($B433="","",IFERROR(INDEX(智能流水!$E$2:$E$1001,MATCH($B433,智能流水!$B$2:$B$1001,0)),""))</f>
        <v/>
      </c>
      <c r="F433" s="19">
        <f>IF($B433="","",IFERROR(INDEX(智能流水!$F$2:$F$1001,MATCH($B433,智能流水!$B$2:$B$1001,0)),""))</f>
        <v/>
      </c>
      <c r="G433" s="19">
        <f>IF($B433="","",IFERROR(INDEX(智能流水!$G$2:$G$1001,MATCH($B433,智能流水!$B$2:$B$1001,0)),""))</f>
        <v/>
      </c>
      <c r="H433" s="19">
        <f>IF($B433="","",IFERROR(INDEX(智能流水!$H$2:$H$1001,MATCH($B433,智能流水!$B$2:$B$1001,0)),""))</f>
        <v/>
      </c>
      <c r="I433" s="19">
        <f>IF($B433="","",IFERROR(INDEX(智能流水!$I$2:$I$1001,MATCH($B433,智能流水!$B$2:$B$1001,0)),""))</f>
        <v/>
      </c>
      <c r="J433" s="19">
        <f>IF($B433="","",IFERROR(INDEX(智能流水!$J$2:$J$1001,MATCH($B433,智能流水!$B$2:$B$1001,0)),""))</f>
        <v/>
      </c>
      <c r="K433" s="19">
        <f>IF($B433="","",IFERROR(INDEX(智能流水!$K$2:$K$1001,MATCH($B433,智能流水!$B$2:$B$1001,0)),""))</f>
        <v/>
      </c>
      <c r="L433" s="19">
        <f>IF($B433="","",IFERROR(INDEX(智能流水!$L$2:$L$1001,MATCH($B433,智能流水!$B$2:$B$1001,0)),""))</f>
        <v/>
      </c>
      <c r="M433" s="19">
        <f>IF($B433="","",IFERROR(INDEX(智能流水!$M$2:$M$1001,MATCH($B433,智能流水!$B$2:$B$1001,0)),""))</f>
        <v/>
      </c>
      <c r="N433" s="19">
        <f>IF($B433="","",IFERROR(INDEX(智能流水!$N$2:$N$1001,MATCH($B433,智能流水!$B$2:$B$1001,0)),""))</f>
        <v/>
      </c>
      <c r="O433" s="19">
        <f>IF($B433="","",IFERROR(INDEX(智能流水!$O$2:$O$1001,MATCH($B433,智能流水!$B$2:$B$1001,0)),""))</f>
        <v/>
      </c>
    </row>
    <row r="434">
      <c r="A434" s="19">
        <f>IF($B434="","",433)</f>
        <v/>
      </c>
      <c r="B434" s="19">
        <f>IFERROR(LARGE(智能流水!$B$2:$B$1001,433),"")</f>
        <v/>
      </c>
      <c r="C434" s="19">
        <f>IF($B434="","",IFERROR(INDEX(智能流水!$C$2:$C$1001,MATCH($B434,智能流水!$B$2:$B$1001,0)),""))</f>
        <v/>
      </c>
      <c r="D434" s="19">
        <f>IF($B434="","",IFERROR(INDEX(智能流水!$D$2:$D$1001,MATCH($B434,智能流水!$B$2:$B$1001,0)),""))</f>
        <v/>
      </c>
      <c r="E434" s="19">
        <f>IF($B434="","",IFERROR(INDEX(智能流水!$E$2:$E$1001,MATCH($B434,智能流水!$B$2:$B$1001,0)),""))</f>
        <v/>
      </c>
      <c r="F434" s="19">
        <f>IF($B434="","",IFERROR(INDEX(智能流水!$F$2:$F$1001,MATCH($B434,智能流水!$B$2:$B$1001,0)),""))</f>
        <v/>
      </c>
      <c r="G434" s="19">
        <f>IF($B434="","",IFERROR(INDEX(智能流水!$G$2:$G$1001,MATCH($B434,智能流水!$B$2:$B$1001,0)),""))</f>
        <v/>
      </c>
      <c r="H434" s="19">
        <f>IF($B434="","",IFERROR(INDEX(智能流水!$H$2:$H$1001,MATCH($B434,智能流水!$B$2:$B$1001,0)),""))</f>
        <v/>
      </c>
      <c r="I434" s="19">
        <f>IF($B434="","",IFERROR(INDEX(智能流水!$I$2:$I$1001,MATCH($B434,智能流水!$B$2:$B$1001,0)),""))</f>
        <v/>
      </c>
      <c r="J434" s="19">
        <f>IF($B434="","",IFERROR(INDEX(智能流水!$J$2:$J$1001,MATCH($B434,智能流水!$B$2:$B$1001,0)),""))</f>
        <v/>
      </c>
      <c r="K434" s="19">
        <f>IF($B434="","",IFERROR(INDEX(智能流水!$K$2:$K$1001,MATCH($B434,智能流水!$B$2:$B$1001,0)),""))</f>
        <v/>
      </c>
      <c r="L434" s="19">
        <f>IF($B434="","",IFERROR(INDEX(智能流水!$L$2:$L$1001,MATCH($B434,智能流水!$B$2:$B$1001,0)),""))</f>
        <v/>
      </c>
      <c r="M434" s="19">
        <f>IF($B434="","",IFERROR(INDEX(智能流水!$M$2:$M$1001,MATCH($B434,智能流水!$B$2:$B$1001,0)),""))</f>
        <v/>
      </c>
      <c r="N434" s="19">
        <f>IF($B434="","",IFERROR(INDEX(智能流水!$N$2:$N$1001,MATCH($B434,智能流水!$B$2:$B$1001,0)),""))</f>
        <v/>
      </c>
      <c r="O434" s="19">
        <f>IF($B434="","",IFERROR(INDEX(智能流水!$O$2:$O$1001,MATCH($B434,智能流水!$B$2:$B$1001,0)),""))</f>
        <v/>
      </c>
    </row>
    <row r="435">
      <c r="A435" s="19">
        <f>IF($B435="","",434)</f>
        <v/>
      </c>
      <c r="B435" s="19">
        <f>IFERROR(LARGE(智能流水!$B$2:$B$1001,434),"")</f>
        <v/>
      </c>
      <c r="C435" s="19">
        <f>IF($B435="","",IFERROR(INDEX(智能流水!$C$2:$C$1001,MATCH($B435,智能流水!$B$2:$B$1001,0)),""))</f>
        <v/>
      </c>
      <c r="D435" s="19">
        <f>IF($B435="","",IFERROR(INDEX(智能流水!$D$2:$D$1001,MATCH($B435,智能流水!$B$2:$B$1001,0)),""))</f>
        <v/>
      </c>
      <c r="E435" s="19">
        <f>IF($B435="","",IFERROR(INDEX(智能流水!$E$2:$E$1001,MATCH($B435,智能流水!$B$2:$B$1001,0)),""))</f>
        <v/>
      </c>
      <c r="F435" s="19">
        <f>IF($B435="","",IFERROR(INDEX(智能流水!$F$2:$F$1001,MATCH($B435,智能流水!$B$2:$B$1001,0)),""))</f>
        <v/>
      </c>
      <c r="G435" s="19">
        <f>IF($B435="","",IFERROR(INDEX(智能流水!$G$2:$G$1001,MATCH($B435,智能流水!$B$2:$B$1001,0)),""))</f>
        <v/>
      </c>
      <c r="H435" s="19">
        <f>IF($B435="","",IFERROR(INDEX(智能流水!$H$2:$H$1001,MATCH($B435,智能流水!$B$2:$B$1001,0)),""))</f>
        <v/>
      </c>
      <c r="I435" s="19">
        <f>IF($B435="","",IFERROR(INDEX(智能流水!$I$2:$I$1001,MATCH($B435,智能流水!$B$2:$B$1001,0)),""))</f>
        <v/>
      </c>
      <c r="J435" s="19">
        <f>IF($B435="","",IFERROR(INDEX(智能流水!$J$2:$J$1001,MATCH($B435,智能流水!$B$2:$B$1001,0)),""))</f>
        <v/>
      </c>
      <c r="K435" s="19">
        <f>IF($B435="","",IFERROR(INDEX(智能流水!$K$2:$K$1001,MATCH($B435,智能流水!$B$2:$B$1001,0)),""))</f>
        <v/>
      </c>
      <c r="L435" s="19">
        <f>IF($B435="","",IFERROR(INDEX(智能流水!$L$2:$L$1001,MATCH($B435,智能流水!$B$2:$B$1001,0)),""))</f>
        <v/>
      </c>
      <c r="M435" s="19">
        <f>IF($B435="","",IFERROR(INDEX(智能流水!$M$2:$M$1001,MATCH($B435,智能流水!$B$2:$B$1001,0)),""))</f>
        <v/>
      </c>
      <c r="N435" s="19">
        <f>IF($B435="","",IFERROR(INDEX(智能流水!$N$2:$N$1001,MATCH($B435,智能流水!$B$2:$B$1001,0)),""))</f>
        <v/>
      </c>
      <c r="O435" s="19">
        <f>IF($B435="","",IFERROR(INDEX(智能流水!$O$2:$O$1001,MATCH($B435,智能流水!$B$2:$B$1001,0)),""))</f>
        <v/>
      </c>
    </row>
    <row r="436">
      <c r="A436" s="19">
        <f>IF($B436="","",435)</f>
        <v/>
      </c>
      <c r="B436" s="19">
        <f>IFERROR(LARGE(智能流水!$B$2:$B$1001,435),"")</f>
        <v/>
      </c>
      <c r="C436" s="19">
        <f>IF($B436="","",IFERROR(INDEX(智能流水!$C$2:$C$1001,MATCH($B436,智能流水!$B$2:$B$1001,0)),""))</f>
        <v/>
      </c>
      <c r="D436" s="19">
        <f>IF($B436="","",IFERROR(INDEX(智能流水!$D$2:$D$1001,MATCH($B436,智能流水!$B$2:$B$1001,0)),""))</f>
        <v/>
      </c>
      <c r="E436" s="19">
        <f>IF($B436="","",IFERROR(INDEX(智能流水!$E$2:$E$1001,MATCH($B436,智能流水!$B$2:$B$1001,0)),""))</f>
        <v/>
      </c>
      <c r="F436" s="19">
        <f>IF($B436="","",IFERROR(INDEX(智能流水!$F$2:$F$1001,MATCH($B436,智能流水!$B$2:$B$1001,0)),""))</f>
        <v/>
      </c>
      <c r="G436" s="19">
        <f>IF($B436="","",IFERROR(INDEX(智能流水!$G$2:$G$1001,MATCH($B436,智能流水!$B$2:$B$1001,0)),""))</f>
        <v/>
      </c>
      <c r="H436" s="19">
        <f>IF($B436="","",IFERROR(INDEX(智能流水!$H$2:$H$1001,MATCH($B436,智能流水!$B$2:$B$1001,0)),""))</f>
        <v/>
      </c>
      <c r="I436" s="19">
        <f>IF($B436="","",IFERROR(INDEX(智能流水!$I$2:$I$1001,MATCH($B436,智能流水!$B$2:$B$1001,0)),""))</f>
        <v/>
      </c>
      <c r="J436" s="19">
        <f>IF($B436="","",IFERROR(INDEX(智能流水!$J$2:$J$1001,MATCH($B436,智能流水!$B$2:$B$1001,0)),""))</f>
        <v/>
      </c>
      <c r="K436" s="19">
        <f>IF($B436="","",IFERROR(INDEX(智能流水!$K$2:$K$1001,MATCH($B436,智能流水!$B$2:$B$1001,0)),""))</f>
        <v/>
      </c>
      <c r="L436" s="19">
        <f>IF($B436="","",IFERROR(INDEX(智能流水!$L$2:$L$1001,MATCH($B436,智能流水!$B$2:$B$1001,0)),""))</f>
        <v/>
      </c>
      <c r="M436" s="19">
        <f>IF($B436="","",IFERROR(INDEX(智能流水!$M$2:$M$1001,MATCH($B436,智能流水!$B$2:$B$1001,0)),""))</f>
        <v/>
      </c>
      <c r="N436" s="19">
        <f>IF($B436="","",IFERROR(INDEX(智能流水!$N$2:$N$1001,MATCH($B436,智能流水!$B$2:$B$1001,0)),""))</f>
        <v/>
      </c>
      <c r="O436" s="19">
        <f>IF($B436="","",IFERROR(INDEX(智能流水!$O$2:$O$1001,MATCH($B436,智能流水!$B$2:$B$1001,0)),""))</f>
        <v/>
      </c>
    </row>
    <row r="437">
      <c r="A437" s="19">
        <f>IF($B437="","",436)</f>
        <v/>
      </c>
      <c r="B437" s="19">
        <f>IFERROR(LARGE(智能流水!$B$2:$B$1001,436),"")</f>
        <v/>
      </c>
      <c r="C437" s="19">
        <f>IF($B437="","",IFERROR(INDEX(智能流水!$C$2:$C$1001,MATCH($B437,智能流水!$B$2:$B$1001,0)),""))</f>
        <v/>
      </c>
      <c r="D437" s="19">
        <f>IF($B437="","",IFERROR(INDEX(智能流水!$D$2:$D$1001,MATCH($B437,智能流水!$B$2:$B$1001,0)),""))</f>
        <v/>
      </c>
      <c r="E437" s="19">
        <f>IF($B437="","",IFERROR(INDEX(智能流水!$E$2:$E$1001,MATCH($B437,智能流水!$B$2:$B$1001,0)),""))</f>
        <v/>
      </c>
      <c r="F437" s="19">
        <f>IF($B437="","",IFERROR(INDEX(智能流水!$F$2:$F$1001,MATCH($B437,智能流水!$B$2:$B$1001,0)),""))</f>
        <v/>
      </c>
      <c r="G437" s="19">
        <f>IF($B437="","",IFERROR(INDEX(智能流水!$G$2:$G$1001,MATCH($B437,智能流水!$B$2:$B$1001,0)),""))</f>
        <v/>
      </c>
      <c r="H437" s="19">
        <f>IF($B437="","",IFERROR(INDEX(智能流水!$H$2:$H$1001,MATCH($B437,智能流水!$B$2:$B$1001,0)),""))</f>
        <v/>
      </c>
      <c r="I437" s="19">
        <f>IF($B437="","",IFERROR(INDEX(智能流水!$I$2:$I$1001,MATCH($B437,智能流水!$B$2:$B$1001,0)),""))</f>
        <v/>
      </c>
      <c r="J437" s="19">
        <f>IF($B437="","",IFERROR(INDEX(智能流水!$J$2:$J$1001,MATCH($B437,智能流水!$B$2:$B$1001,0)),""))</f>
        <v/>
      </c>
      <c r="K437" s="19">
        <f>IF($B437="","",IFERROR(INDEX(智能流水!$K$2:$K$1001,MATCH($B437,智能流水!$B$2:$B$1001,0)),""))</f>
        <v/>
      </c>
      <c r="L437" s="19">
        <f>IF($B437="","",IFERROR(INDEX(智能流水!$L$2:$L$1001,MATCH($B437,智能流水!$B$2:$B$1001,0)),""))</f>
        <v/>
      </c>
      <c r="M437" s="19">
        <f>IF($B437="","",IFERROR(INDEX(智能流水!$M$2:$M$1001,MATCH($B437,智能流水!$B$2:$B$1001,0)),""))</f>
        <v/>
      </c>
      <c r="N437" s="19">
        <f>IF($B437="","",IFERROR(INDEX(智能流水!$N$2:$N$1001,MATCH($B437,智能流水!$B$2:$B$1001,0)),""))</f>
        <v/>
      </c>
      <c r="O437" s="19">
        <f>IF($B437="","",IFERROR(INDEX(智能流水!$O$2:$O$1001,MATCH($B437,智能流水!$B$2:$B$1001,0)),""))</f>
        <v/>
      </c>
    </row>
    <row r="438">
      <c r="A438" s="19">
        <f>IF($B438="","",437)</f>
        <v/>
      </c>
      <c r="B438" s="19">
        <f>IFERROR(LARGE(智能流水!$B$2:$B$1001,437),"")</f>
        <v/>
      </c>
      <c r="C438" s="19">
        <f>IF($B438="","",IFERROR(INDEX(智能流水!$C$2:$C$1001,MATCH($B438,智能流水!$B$2:$B$1001,0)),""))</f>
        <v/>
      </c>
      <c r="D438" s="19">
        <f>IF($B438="","",IFERROR(INDEX(智能流水!$D$2:$D$1001,MATCH($B438,智能流水!$B$2:$B$1001,0)),""))</f>
        <v/>
      </c>
      <c r="E438" s="19">
        <f>IF($B438="","",IFERROR(INDEX(智能流水!$E$2:$E$1001,MATCH($B438,智能流水!$B$2:$B$1001,0)),""))</f>
        <v/>
      </c>
      <c r="F438" s="19">
        <f>IF($B438="","",IFERROR(INDEX(智能流水!$F$2:$F$1001,MATCH($B438,智能流水!$B$2:$B$1001,0)),""))</f>
        <v/>
      </c>
      <c r="G438" s="19">
        <f>IF($B438="","",IFERROR(INDEX(智能流水!$G$2:$G$1001,MATCH($B438,智能流水!$B$2:$B$1001,0)),""))</f>
        <v/>
      </c>
      <c r="H438" s="19">
        <f>IF($B438="","",IFERROR(INDEX(智能流水!$H$2:$H$1001,MATCH($B438,智能流水!$B$2:$B$1001,0)),""))</f>
        <v/>
      </c>
      <c r="I438" s="19">
        <f>IF($B438="","",IFERROR(INDEX(智能流水!$I$2:$I$1001,MATCH($B438,智能流水!$B$2:$B$1001,0)),""))</f>
        <v/>
      </c>
      <c r="J438" s="19">
        <f>IF($B438="","",IFERROR(INDEX(智能流水!$J$2:$J$1001,MATCH($B438,智能流水!$B$2:$B$1001,0)),""))</f>
        <v/>
      </c>
      <c r="K438" s="19">
        <f>IF($B438="","",IFERROR(INDEX(智能流水!$K$2:$K$1001,MATCH($B438,智能流水!$B$2:$B$1001,0)),""))</f>
        <v/>
      </c>
      <c r="L438" s="19">
        <f>IF($B438="","",IFERROR(INDEX(智能流水!$L$2:$L$1001,MATCH($B438,智能流水!$B$2:$B$1001,0)),""))</f>
        <v/>
      </c>
      <c r="M438" s="19">
        <f>IF($B438="","",IFERROR(INDEX(智能流水!$M$2:$M$1001,MATCH($B438,智能流水!$B$2:$B$1001,0)),""))</f>
        <v/>
      </c>
      <c r="N438" s="19">
        <f>IF($B438="","",IFERROR(INDEX(智能流水!$N$2:$N$1001,MATCH($B438,智能流水!$B$2:$B$1001,0)),""))</f>
        <v/>
      </c>
      <c r="O438" s="19">
        <f>IF($B438="","",IFERROR(INDEX(智能流水!$O$2:$O$1001,MATCH($B438,智能流水!$B$2:$B$1001,0)),""))</f>
        <v/>
      </c>
    </row>
    <row r="439">
      <c r="A439" s="19">
        <f>IF($B439="","",438)</f>
        <v/>
      </c>
      <c r="B439" s="19">
        <f>IFERROR(LARGE(智能流水!$B$2:$B$1001,438),"")</f>
        <v/>
      </c>
      <c r="C439" s="19">
        <f>IF($B439="","",IFERROR(INDEX(智能流水!$C$2:$C$1001,MATCH($B439,智能流水!$B$2:$B$1001,0)),""))</f>
        <v/>
      </c>
      <c r="D439" s="19">
        <f>IF($B439="","",IFERROR(INDEX(智能流水!$D$2:$D$1001,MATCH($B439,智能流水!$B$2:$B$1001,0)),""))</f>
        <v/>
      </c>
      <c r="E439" s="19">
        <f>IF($B439="","",IFERROR(INDEX(智能流水!$E$2:$E$1001,MATCH($B439,智能流水!$B$2:$B$1001,0)),""))</f>
        <v/>
      </c>
      <c r="F439" s="19">
        <f>IF($B439="","",IFERROR(INDEX(智能流水!$F$2:$F$1001,MATCH($B439,智能流水!$B$2:$B$1001,0)),""))</f>
        <v/>
      </c>
      <c r="G439" s="19">
        <f>IF($B439="","",IFERROR(INDEX(智能流水!$G$2:$G$1001,MATCH($B439,智能流水!$B$2:$B$1001,0)),""))</f>
        <v/>
      </c>
      <c r="H439" s="19">
        <f>IF($B439="","",IFERROR(INDEX(智能流水!$H$2:$H$1001,MATCH($B439,智能流水!$B$2:$B$1001,0)),""))</f>
        <v/>
      </c>
      <c r="I439" s="19">
        <f>IF($B439="","",IFERROR(INDEX(智能流水!$I$2:$I$1001,MATCH($B439,智能流水!$B$2:$B$1001,0)),""))</f>
        <v/>
      </c>
      <c r="J439" s="19">
        <f>IF($B439="","",IFERROR(INDEX(智能流水!$J$2:$J$1001,MATCH($B439,智能流水!$B$2:$B$1001,0)),""))</f>
        <v/>
      </c>
      <c r="K439" s="19">
        <f>IF($B439="","",IFERROR(INDEX(智能流水!$K$2:$K$1001,MATCH($B439,智能流水!$B$2:$B$1001,0)),""))</f>
        <v/>
      </c>
      <c r="L439" s="19">
        <f>IF($B439="","",IFERROR(INDEX(智能流水!$L$2:$L$1001,MATCH($B439,智能流水!$B$2:$B$1001,0)),""))</f>
        <v/>
      </c>
      <c r="M439" s="19">
        <f>IF($B439="","",IFERROR(INDEX(智能流水!$M$2:$M$1001,MATCH($B439,智能流水!$B$2:$B$1001,0)),""))</f>
        <v/>
      </c>
      <c r="N439" s="19">
        <f>IF($B439="","",IFERROR(INDEX(智能流水!$N$2:$N$1001,MATCH($B439,智能流水!$B$2:$B$1001,0)),""))</f>
        <v/>
      </c>
      <c r="O439" s="19">
        <f>IF($B439="","",IFERROR(INDEX(智能流水!$O$2:$O$1001,MATCH($B439,智能流水!$B$2:$B$1001,0)),""))</f>
        <v/>
      </c>
    </row>
    <row r="440">
      <c r="A440" s="19">
        <f>IF($B440="","",439)</f>
        <v/>
      </c>
      <c r="B440" s="19">
        <f>IFERROR(LARGE(智能流水!$B$2:$B$1001,439),"")</f>
        <v/>
      </c>
      <c r="C440" s="19">
        <f>IF($B440="","",IFERROR(INDEX(智能流水!$C$2:$C$1001,MATCH($B440,智能流水!$B$2:$B$1001,0)),""))</f>
        <v/>
      </c>
      <c r="D440" s="19">
        <f>IF($B440="","",IFERROR(INDEX(智能流水!$D$2:$D$1001,MATCH($B440,智能流水!$B$2:$B$1001,0)),""))</f>
        <v/>
      </c>
      <c r="E440" s="19">
        <f>IF($B440="","",IFERROR(INDEX(智能流水!$E$2:$E$1001,MATCH($B440,智能流水!$B$2:$B$1001,0)),""))</f>
        <v/>
      </c>
      <c r="F440" s="19">
        <f>IF($B440="","",IFERROR(INDEX(智能流水!$F$2:$F$1001,MATCH($B440,智能流水!$B$2:$B$1001,0)),""))</f>
        <v/>
      </c>
      <c r="G440" s="19">
        <f>IF($B440="","",IFERROR(INDEX(智能流水!$G$2:$G$1001,MATCH($B440,智能流水!$B$2:$B$1001,0)),""))</f>
        <v/>
      </c>
      <c r="H440" s="19">
        <f>IF($B440="","",IFERROR(INDEX(智能流水!$H$2:$H$1001,MATCH($B440,智能流水!$B$2:$B$1001,0)),""))</f>
        <v/>
      </c>
      <c r="I440" s="19">
        <f>IF($B440="","",IFERROR(INDEX(智能流水!$I$2:$I$1001,MATCH($B440,智能流水!$B$2:$B$1001,0)),""))</f>
        <v/>
      </c>
      <c r="J440" s="19">
        <f>IF($B440="","",IFERROR(INDEX(智能流水!$J$2:$J$1001,MATCH($B440,智能流水!$B$2:$B$1001,0)),""))</f>
        <v/>
      </c>
      <c r="K440" s="19">
        <f>IF($B440="","",IFERROR(INDEX(智能流水!$K$2:$K$1001,MATCH($B440,智能流水!$B$2:$B$1001,0)),""))</f>
        <v/>
      </c>
      <c r="L440" s="19">
        <f>IF($B440="","",IFERROR(INDEX(智能流水!$L$2:$L$1001,MATCH($B440,智能流水!$B$2:$B$1001,0)),""))</f>
        <v/>
      </c>
      <c r="M440" s="19">
        <f>IF($B440="","",IFERROR(INDEX(智能流水!$M$2:$M$1001,MATCH($B440,智能流水!$B$2:$B$1001,0)),""))</f>
        <v/>
      </c>
      <c r="N440" s="19">
        <f>IF($B440="","",IFERROR(INDEX(智能流水!$N$2:$N$1001,MATCH($B440,智能流水!$B$2:$B$1001,0)),""))</f>
        <v/>
      </c>
      <c r="O440" s="19">
        <f>IF($B440="","",IFERROR(INDEX(智能流水!$O$2:$O$1001,MATCH($B440,智能流水!$B$2:$B$1001,0)),""))</f>
        <v/>
      </c>
    </row>
    <row r="441">
      <c r="A441" s="19">
        <f>IF($B441="","",440)</f>
        <v/>
      </c>
      <c r="B441" s="19">
        <f>IFERROR(LARGE(智能流水!$B$2:$B$1001,440),"")</f>
        <v/>
      </c>
      <c r="C441" s="19">
        <f>IF($B441="","",IFERROR(INDEX(智能流水!$C$2:$C$1001,MATCH($B441,智能流水!$B$2:$B$1001,0)),""))</f>
        <v/>
      </c>
      <c r="D441" s="19">
        <f>IF($B441="","",IFERROR(INDEX(智能流水!$D$2:$D$1001,MATCH($B441,智能流水!$B$2:$B$1001,0)),""))</f>
        <v/>
      </c>
      <c r="E441" s="19">
        <f>IF($B441="","",IFERROR(INDEX(智能流水!$E$2:$E$1001,MATCH($B441,智能流水!$B$2:$B$1001,0)),""))</f>
        <v/>
      </c>
      <c r="F441" s="19">
        <f>IF($B441="","",IFERROR(INDEX(智能流水!$F$2:$F$1001,MATCH($B441,智能流水!$B$2:$B$1001,0)),""))</f>
        <v/>
      </c>
      <c r="G441" s="19">
        <f>IF($B441="","",IFERROR(INDEX(智能流水!$G$2:$G$1001,MATCH($B441,智能流水!$B$2:$B$1001,0)),""))</f>
        <v/>
      </c>
      <c r="H441" s="19">
        <f>IF($B441="","",IFERROR(INDEX(智能流水!$H$2:$H$1001,MATCH($B441,智能流水!$B$2:$B$1001,0)),""))</f>
        <v/>
      </c>
      <c r="I441" s="19">
        <f>IF($B441="","",IFERROR(INDEX(智能流水!$I$2:$I$1001,MATCH($B441,智能流水!$B$2:$B$1001,0)),""))</f>
        <v/>
      </c>
      <c r="J441" s="19">
        <f>IF($B441="","",IFERROR(INDEX(智能流水!$J$2:$J$1001,MATCH($B441,智能流水!$B$2:$B$1001,0)),""))</f>
        <v/>
      </c>
      <c r="K441" s="19">
        <f>IF($B441="","",IFERROR(INDEX(智能流水!$K$2:$K$1001,MATCH($B441,智能流水!$B$2:$B$1001,0)),""))</f>
        <v/>
      </c>
      <c r="L441" s="19">
        <f>IF($B441="","",IFERROR(INDEX(智能流水!$L$2:$L$1001,MATCH($B441,智能流水!$B$2:$B$1001,0)),""))</f>
        <v/>
      </c>
      <c r="M441" s="19">
        <f>IF($B441="","",IFERROR(INDEX(智能流水!$M$2:$M$1001,MATCH($B441,智能流水!$B$2:$B$1001,0)),""))</f>
        <v/>
      </c>
      <c r="N441" s="19">
        <f>IF($B441="","",IFERROR(INDEX(智能流水!$N$2:$N$1001,MATCH($B441,智能流水!$B$2:$B$1001,0)),""))</f>
        <v/>
      </c>
      <c r="O441" s="19">
        <f>IF($B441="","",IFERROR(INDEX(智能流水!$O$2:$O$1001,MATCH($B441,智能流水!$B$2:$B$1001,0)),""))</f>
        <v/>
      </c>
    </row>
    <row r="442">
      <c r="A442" s="19">
        <f>IF($B442="","",441)</f>
        <v/>
      </c>
      <c r="B442" s="19">
        <f>IFERROR(LARGE(智能流水!$B$2:$B$1001,441),"")</f>
        <v/>
      </c>
      <c r="C442" s="19">
        <f>IF($B442="","",IFERROR(INDEX(智能流水!$C$2:$C$1001,MATCH($B442,智能流水!$B$2:$B$1001,0)),""))</f>
        <v/>
      </c>
      <c r="D442" s="19">
        <f>IF($B442="","",IFERROR(INDEX(智能流水!$D$2:$D$1001,MATCH($B442,智能流水!$B$2:$B$1001,0)),""))</f>
        <v/>
      </c>
      <c r="E442" s="19">
        <f>IF($B442="","",IFERROR(INDEX(智能流水!$E$2:$E$1001,MATCH($B442,智能流水!$B$2:$B$1001,0)),""))</f>
        <v/>
      </c>
      <c r="F442" s="19">
        <f>IF($B442="","",IFERROR(INDEX(智能流水!$F$2:$F$1001,MATCH($B442,智能流水!$B$2:$B$1001,0)),""))</f>
        <v/>
      </c>
      <c r="G442" s="19">
        <f>IF($B442="","",IFERROR(INDEX(智能流水!$G$2:$G$1001,MATCH($B442,智能流水!$B$2:$B$1001,0)),""))</f>
        <v/>
      </c>
      <c r="H442" s="19">
        <f>IF($B442="","",IFERROR(INDEX(智能流水!$H$2:$H$1001,MATCH($B442,智能流水!$B$2:$B$1001,0)),""))</f>
        <v/>
      </c>
      <c r="I442" s="19">
        <f>IF($B442="","",IFERROR(INDEX(智能流水!$I$2:$I$1001,MATCH($B442,智能流水!$B$2:$B$1001,0)),""))</f>
        <v/>
      </c>
      <c r="J442" s="19">
        <f>IF($B442="","",IFERROR(INDEX(智能流水!$J$2:$J$1001,MATCH($B442,智能流水!$B$2:$B$1001,0)),""))</f>
        <v/>
      </c>
      <c r="K442" s="19">
        <f>IF($B442="","",IFERROR(INDEX(智能流水!$K$2:$K$1001,MATCH($B442,智能流水!$B$2:$B$1001,0)),""))</f>
        <v/>
      </c>
      <c r="L442" s="19">
        <f>IF($B442="","",IFERROR(INDEX(智能流水!$L$2:$L$1001,MATCH($B442,智能流水!$B$2:$B$1001,0)),""))</f>
        <v/>
      </c>
      <c r="M442" s="19">
        <f>IF($B442="","",IFERROR(INDEX(智能流水!$M$2:$M$1001,MATCH($B442,智能流水!$B$2:$B$1001,0)),""))</f>
        <v/>
      </c>
      <c r="N442" s="19">
        <f>IF($B442="","",IFERROR(INDEX(智能流水!$N$2:$N$1001,MATCH($B442,智能流水!$B$2:$B$1001,0)),""))</f>
        <v/>
      </c>
      <c r="O442" s="19">
        <f>IF($B442="","",IFERROR(INDEX(智能流水!$O$2:$O$1001,MATCH($B442,智能流水!$B$2:$B$1001,0)),""))</f>
        <v/>
      </c>
    </row>
    <row r="443">
      <c r="A443" s="19">
        <f>IF($B443="","",442)</f>
        <v/>
      </c>
      <c r="B443" s="19">
        <f>IFERROR(LARGE(智能流水!$B$2:$B$1001,442),"")</f>
        <v/>
      </c>
      <c r="C443" s="19">
        <f>IF($B443="","",IFERROR(INDEX(智能流水!$C$2:$C$1001,MATCH($B443,智能流水!$B$2:$B$1001,0)),""))</f>
        <v/>
      </c>
      <c r="D443" s="19">
        <f>IF($B443="","",IFERROR(INDEX(智能流水!$D$2:$D$1001,MATCH($B443,智能流水!$B$2:$B$1001,0)),""))</f>
        <v/>
      </c>
      <c r="E443" s="19">
        <f>IF($B443="","",IFERROR(INDEX(智能流水!$E$2:$E$1001,MATCH($B443,智能流水!$B$2:$B$1001,0)),""))</f>
        <v/>
      </c>
      <c r="F443" s="19">
        <f>IF($B443="","",IFERROR(INDEX(智能流水!$F$2:$F$1001,MATCH($B443,智能流水!$B$2:$B$1001,0)),""))</f>
        <v/>
      </c>
      <c r="G443" s="19">
        <f>IF($B443="","",IFERROR(INDEX(智能流水!$G$2:$G$1001,MATCH($B443,智能流水!$B$2:$B$1001,0)),""))</f>
        <v/>
      </c>
      <c r="H443" s="19">
        <f>IF($B443="","",IFERROR(INDEX(智能流水!$H$2:$H$1001,MATCH($B443,智能流水!$B$2:$B$1001,0)),""))</f>
        <v/>
      </c>
      <c r="I443" s="19">
        <f>IF($B443="","",IFERROR(INDEX(智能流水!$I$2:$I$1001,MATCH($B443,智能流水!$B$2:$B$1001,0)),""))</f>
        <v/>
      </c>
      <c r="J443" s="19">
        <f>IF($B443="","",IFERROR(INDEX(智能流水!$J$2:$J$1001,MATCH($B443,智能流水!$B$2:$B$1001,0)),""))</f>
        <v/>
      </c>
      <c r="K443" s="19">
        <f>IF($B443="","",IFERROR(INDEX(智能流水!$K$2:$K$1001,MATCH($B443,智能流水!$B$2:$B$1001,0)),""))</f>
        <v/>
      </c>
      <c r="L443" s="19">
        <f>IF($B443="","",IFERROR(INDEX(智能流水!$L$2:$L$1001,MATCH($B443,智能流水!$B$2:$B$1001,0)),""))</f>
        <v/>
      </c>
      <c r="M443" s="19">
        <f>IF($B443="","",IFERROR(INDEX(智能流水!$M$2:$M$1001,MATCH($B443,智能流水!$B$2:$B$1001,0)),""))</f>
        <v/>
      </c>
      <c r="N443" s="19">
        <f>IF($B443="","",IFERROR(INDEX(智能流水!$N$2:$N$1001,MATCH($B443,智能流水!$B$2:$B$1001,0)),""))</f>
        <v/>
      </c>
      <c r="O443" s="19">
        <f>IF($B443="","",IFERROR(INDEX(智能流水!$O$2:$O$1001,MATCH($B443,智能流水!$B$2:$B$1001,0)),""))</f>
        <v/>
      </c>
    </row>
    <row r="444">
      <c r="A444" s="19">
        <f>IF($B444="","",443)</f>
        <v/>
      </c>
      <c r="B444" s="19">
        <f>IFERROR(LARGE(智能流水!$B$2:$B$1001,443),"")</f>
        <v/>
      </c>
      <c r="C444" s="19">
        <f>IF($B444="","",IFERROR(INDEX(智能流水!$C$2:$C$1001,MATCH($B444,智能流水!$B$2:$B$1001,0)),""))</f>
        <v/>
      </c>
      <c r="D444" s="19">
        <f>IF($B444="","",IFERROR(INDEX(智能流水!$D$2:$D$1001,MATCH($B444,智能流水!$B$2:$B$1001,0)),""))</f>
        <v/>
      </c>
      <c r="E444" s="19">
        <f>IF($B444="","",IFERROR(INDEX(智能流水!$E$2:$E$1001,MATCH($B444,智能流水!$B$2:$B$1001,0)),""))</f>
        <v/>
      </c>
      <c r="F444" s="19">
        <f>IF($B444="","",IFERROR(INDEX(智能流水!$F$2:$F$1001,MATCH($B444,智能流水!$B$2:$B$1001,0)),""))</f>
        <v/>
      </c>
      <c r="G444" s="19">
        <f>IF($B444="","",IFERROR(INDEX(智能流水!$G$2:$G$1001,MATCH($B444,智能流水!$B$2:$B$1001,0)),""))</f>
        <v/>
      </c>
      <c r="H444" s="19">
        <f>IF($B444="","",IFERROR(INDEX(智能流水!$H$2:$H$1001,MATCH($B444,智能流水!$B$2:$B$1001,0)),""))</f>
        <v/>
      </c>
      <c r="I444" s="19">
        <f>IF($B444="","",IFERROR(INDEX(智能流水!$I$2:$I$1001,MATCH($B444,智能流水!$B$2:$B$1001,0)),""))</f>
        <v/>
      </c>
      <c r="J444" s="19">
        <f>IF($B444="","",IFERROR(INDEX(智能流水!$J$2:$J$1001,MATCH($B444,智能流水!$B$2:$B$1001,0)),""))</f>
        <v/>
      </c>
      <c r="K444" s="19">
        <f>IF($B444="","",IFERROR(INDEX(智能流水!$K$2:$K$1001,MATCH($B444,智能流水!$B$2:$B$1001,0)),""))</f>
        <v/>
      </c>
      <c r="L444" s="19">
        <f>IF($B444="","",IFERROR(INDEX(智能流水!$L$2:$L$1001,MATCH($B444,智能流水!$B$2:$B$1001,0)),""))</f>
        <v/>
      </c>
      <c r="M444" s="19">
        <f>IF($B444="","",IFERROR(INDEX(智能流水!$M$2:$M$1001,MATCH($B444,智能流水!$B$2:$B$1001,0)),""))</f>
        <v/>
      </c>
      <c r="N444" s="19">
        <f>IF($B444="","",IFERROR(INDEX(智能流水!$N$2:$N$1001,MATCH($B444,智能流水!$B$2:$B$1001,0)),""))</f>
        <v/>
      </c>
      <c r="O444" s="19">
        <f>IF($B444="","",IFERROR(INDEX(智能流水!$O$2:$O$1001,MATCH($B444,智能流水!$B$2:$B$1001,0)),""))</f>
        <v/>
      </c>
    </row>
    <row r="445">
      <c r="A445" s="19">
        <f>IF($B445="","",444)</f>
        <v/>
      </c>
      <c r="B445" s="19">
        <f>IFERROR(LARGE(智能流水!$B$2:$B$1001,444),"")</f>
        <v/>
      </c>
      <c r="C445" s="19">
        <f>IF($B445="","",IFERROR(INDEX(智能流水!$C$2:$C$1001,MATCH($B445,智能流水!$B$2:$B$1001,0)),""))</f>
        <v/>
      </c>
      <c r="D445" s="19">
        <f>IF($B445="","",IFERROR(INDEX(智能流水!$D$2:$D$1001,MATCH($B445,智能流水!$B$2:$B$1001,0)),""))</f>
        <v/>
      </c>
      <c r="E445" s="19">
        <f>IF($B445="","",IFERROR(INDEX(智能流水!$E$2:$E$1001,MATCH($B445,智能流水!$B$2:$B$1001,0)),""))</f>
        <v/>
      </c>
      <c r="F445" s="19">
        <f>IF($B445="","",IFERROR(INDEX(智能流水!$F$2:$F$1001,MATCH($B445,智能流水!$B$2:$B$1001,0)),""))</f>
        <v/>
      </c>
      <c r="G445" s="19">
        <f>IF($B445="","",IFERROR(INDEX(智能流水!$G$2:$G$1001,MATCH($B445,智能流水!$B$2:$B$1001,0)),""))</f>
        <v/>
      </c>
      <c r="H445" s="19">
        <f>IF($B445="","",IFERROR(INDEX(智能流水!$H$2:$H$1001,MATCH($B445,智能流水!$B$2:$B$1001,0)),""))</f>
        <v/>
      </c>
      <c r="I445" s="19">
        <f>IF($B445="","",IFERROR(INDEX(智能流水!$I$2:$I$1001,MATCH($B445,智能流水!$B$2:$B$1001,0)),""))</f>
        <v/>
      </c>
      <c r="J445" s="19">
        <f>IF($B445="","",IFERROR(INDEX(智能流水!$J$2:$J$1001,MATCH($B445,智能流水!$B$2:$B$1001,0)),""))</f>
        <v/>
      </c>
      <c r="K445" s="19">
        <f>IF($B445="","",IFERROR(INDEX(智能流水!$K$2:$K$1001,MATCH($B445,智能流水!$B$2:$B$1001,0)),""))</f>
        <v/>
      </c>
      <c r="L445" s="19">
        <f>IF($B445="","",IFERROR(INDEX(智能流水!$L$2:$L$1001,MATCH($B445,智能流水!$B$2:$B$1001,0)),""))</f>
        <v/>
      </c>
      <c r="M445" s="19">
        <f>IF($B445="","",IFERROR(INDEX(智能流水!$M$2:$M$1001,MATCH($B445,智能流水!$B$2:$B$1001,0)),""))</f>
        <v/>
      </c>
      <c r="N445" s="19">
        <f>IF($B445="","",IFERROR(INDEX(智能流水!$N$2:$N$1001,MATCH($B445,智能流水!$B$2:$B$1001,0)),""))</f>
        <v/>
      </c>
      <c r="O445" s="19">
        <f>IF($B445="","",IFERROR(INDEX(智能流水!$O$2:$O$1001,MATCH($B445,智能流水!$B$2:$B$1001,0)),""))</f>
        <v/>
      </c>
    </row>
    <row r="446">
      <c r="A446" s="19">
        <f>IF($B446="","",445)</f>
        <v/>
      </c>
      <c r="B446" s="19">
        <f>IFERROR(LARGE(智能流水!$B$2:$B$1001,445),"")</f>
        <v/>
      </c>
      <c r="C446" s="19">
        <f>IF($B446="","",IFERROR(INDEX(智能流水!$C$2:$C$1001,MATCH($B446,智能流水!$B$2:$B$1001,0)),""))</f>
        <v/>
      </c>
      <c r="D446" s="19">
        <f>IF($B446="","",IFERROR(INDEX(智能流水!$D$2:$D$1001,MATCH($B446,智能流水!$B$2:$B$1001,0)),""))</f>
        <v/>
      </c>
      <c r="E446" s="19">
        <f>IF($B446="","",IFERROR(INDEX(智能流水!$E$2:$E$1001,MATCH($B446,智能流水!$B$2:$B$1001,0)),""))</f>
        <v/>
      </c>
      <c r="F446" s="19">
        <f>IF($B446="","",IFERROR(INDEX(智能流水!$F$2:$F$1001,MATCH($B446,智能流水!$B$2:$B$1001,0)),""))</f>
        <v/>
      </c>
      <c r="G446" s="19">
        <f>IF($B446="","",IFERROR(INDEX(智能流水!$G$2:$G$1001,MATCH($B446,智能流水!$B$2:$B$1001,0)),""))</f>
        <v/>
      </c>
      <c r="H446" s="19">
        <f>IF($B446="","",IFERROR(INDEX(智能流水!$H$2:$H$1001,MATCH($B446,智能流水!$B$2:$B$1001,0)),""))</f>
        <v/>
      </c>
      <c r="I446" s="19">
        <f>IF($B446="","",IFERROR(INDEX(智能流水!$I$2:$I$1001,MATCH($B446,智能流水!$B$2:$B$1001,0)),""))</f>
        <v/>
      </c>
      <c r="J446" s="19">
        <f>IF($B446="","",IFERROR(INDEX(智能流水!$J$2:$J$1001,MATCH($B446,智能流水!$B$2:$B$1001,0)),""))</f>
        <v/>
      </c>
      <c r="K446" s="19">
        <f>IF($B446="","",IFERROR(INDEX(智能流水!$K$2:$K$1001,MATCH($B446,智能流水!$B$2:$B$1001,0)),""))</f>
        <v/>
      </c>
      <c r="L446" s="19">
        <f>IF($B446="","",IFERROR(INDEX(智能流水!$L$2:$L$1001,MATCH($B446,智能流水!$B$2:$B$1001,0)),""))</f>
        <v/>
      </c>
      <c r="M446" s="19">
        <f>IF($B446="","",IFERROR(INDEX(智能流水!$M$2:$M$1001,MATCH($B446,智能流水!$B$2:$B$1001,0)),""))</f>
        <v/>
      </c>
      <c r="N446" s="19">
        <f>IF($B446="","",IFERROR(INDEX(智能流水!$N$2:$N$1001,MATCH($B446,智能流水!$B$2:$B$1001,0)),""))</f>
        <v/>
      </c>
      <c r="O446" s="19">
        <f>IF($B446="","",IFERROR(INDEX(智能流水!$O$2:$O$1001,MATCH($B446,智能流水!$B$2:$B$1001,0)),""))</f>
        <v/>
      </c>
    </row>
    <row r="447">
      <c r="A447" s="19">
        <f>IF($B447="","",446)</f>
        <v/>
      </c>
      <c r="B447" s="19">
        <f>IFERROR(LARGE(智能流水!$B$2:$B$1001,446),"")</f>
        <v/>
      </c>
      <c r="C447" s="19">
        <f>IF($B447="","",IFERROR(INDEX(智能流水!$C$2:$C$1001,MATCH($B447,智能流水!$B$2:$B$1001,0)),""))</f>
        <v/>
      </c>
      <c r="D447" s="19">
        <f>IF($B447="","",IFERROR(INDEX(智能流水!$D$2:$D$1001,MATCH($B447,智能流水!$B$2:$B$1001,0)),""))</f>
        <v/>
      </c>
      <c r="E447" s="19">
        <f>IF($B447="","",IFERROR(INDEX(智能流水!$E$2:$E$1001,MATCH($B447,智能流水!$B$2:$B$1001,0)),""))</f>
        <v/>
      </c>
      <c r="F447" s="19">
        <f>IF($B447="","",IFERROR(INDEX(智能流水!$F$2:$F$1001,MATCH($B447,智能流水!$B$2:$B$1001,0)),""))</f>
        <v/>
      </c>
      <c r="G447" s="19">
        <f>IF($B447="","",IFERROR(INDEX(智能流水!$G$2:$G$1001,MATCH($B447,智能流水!$B$2:$B$1001,0)),""))</f>
        <v/>
      </c>
      <c r="H447" s="19">
        <f>IF($B447="","",IFERROR(INDEX(智能流水!$H$2:$H$1001,MATCH($B447,智能流水!$B$2:$B$1001,0)),""))</f>
        <v/>
      </c>
      <c r="I447" s="19">
        <f>IF($B447="","",IFERROR(INDEX(智能流水!$I$2:$I$1001,MATCH($B447,智能流水!$B$2:$B$1001,0)),""))</f>
        <v/>
      </c>
      <c r="J447" s="19">
        <f>IF($B447="","",IFERROR(INDEX(智能流水!$J$2:$J$1001,MATCH($B447,智能流水!$B$2:$B$1001,0)),""))</f>
        <v/>
      </c>
      <c r="K447" s="19">
        <f>IF($B447="","",IFERROR(INDEX(智能流水!$K$2:$K$1001,MATCH($B447,智能流水!$B$2:$B$1001,0)),""))</f>
        <v/>
      </c>
      <c r="L447" s="19">
        <f>IF($B447="","",IFERROR(INDEX(智能流水!$L$2:$L$1001,MATCH($B447,智能流水!$B$2:$B$1001,0)),""))</f>
        <v/>
      </c>
      <c r="M447" s="19">
        <f>IF($B447="","",IFERROR(INDEX(智能流水!$M$2:$M$1001,MATCH($B447,智能流水!$B$2:$B$1001,0)),""))</f>
        <v/>
      </c>
      <c r="N447" s="19">
        <f>IF($B447="","",IFERROR(INDEX(智能流水!$N$2:$N$1001,MATCH($B447,智能流水!$B$2:$B$1001,0)),""))</f>
        <v/>
      </c>
      <c r="O447" s="19">
        <f>IF($B447="","",IFERROR(INDEX(智能流水!$O$2:$O$1001,MATCH($B447,智能流水!$B$2:$B$1001,0)),""))</f>
        <v/>
      </c>
    </row>
    <row r="448">
      <c r="A448" s="19">
        <f>IF($B448="","",447)</f>
        <v/>
      </c>
      <c r="B448" s="19">
        <f>IFERROR(LARGE(智能流水!$B$2:$B$1001,447),"")</f>
        <v/>
      </c>
      <c r="C448" s="19">
        <f>IF($B448="","",IFERROR(INDEX(智能流水!$C$2:$C$1001,MATCH($B448,智能流水!$B$2:$B$1001,0)),""))</f>
        <v/>
      </c>
      <c r="D448" s="19">
        <f>IF($B448="","",IFERROR(INDEX(智能流水!$D$2:$D$1001,MATCH($B448,智能流水!$B$2:$B$1001,0)),""))</f>
        <v/>
      </c>
      <c r="E448" s="19">
        <f>IF($B448="","",IFERROR(INDEX(智能流水!$E$2:$E$1001,MATCH($B448,智能流水!$B$2:$B$1001,0)),""))</f>
        <v/>
      </c>
      <c r="F448" s="19">
        <f>IF($B448="","",IFERROR(INDEX(智能流水!$F$2:$F$1001,MATCH($B448,智能流水!$B$2:$B$1001,0)),""))</f>
        <v/>
      </c>
      <c r="G448" s="19">
        <f>IF($B448="","",IFERROR(INDEX(智能流水!$G$2:$G$1001,MATCH($B448,智能流水!$B$2:$B$1001,0)),""))</f>
        <v/>
      </c>
      <c r="H448" s="19">
        <f>IF($B448="","",IFERROR(INDEX(智能流水!$H$2:$H$1001,MATCH($B448,智能流水!$B$2:$B$1001,0)),""))</f>
        <v/>
      </c>
      <c r="I448" s="19">
        <f>IF($B448="","",IFERROR(INDEX(智能流水!$I$2:$I$1001,MATCH($B448,智能流水!$B$2:$B$1001,0)),""))</f>
        <v/>
      </c>
      <c r="J448" s="19">
        <f>IF($B448="","",IFERROR(INDEX(智能流水!$J$2:$J$1001,MATCH($B448,智能流水!$B$2:$B$1001,0)),""))</f>
        <v/>
      </c>
      <c r="K448" s="19">
        <f>IF($B448="","",IFERROR(INDEX(智能流水!$K$2:$K$1001,MATCH($B448,智能流水!$B$2:$B$1001,0)),""))</f>
        <v/>
      </c>
      <c r="L448" s="19">
        <f>IF($B448="","",IFERROR(INDEX(智能流水!$L$2:$L$1001,MATCH($B448,智能流水!$B$2:$B$1001,0)),""))</f>
        <v/>
      </c>
      <c r="M448" s="19">
        <f>IF($B448="","",IFERROR(INDEX(智能流水!$M$2:$M$1001,MATCH($B448,智能流水!$B$2:$B$1001,0)),""))</f>
        <v/>
      </c>
      <c r="N448" s="19">
        <f>IF($B448="","",IFERROR(INDEX(智能流水!$N$2:$N$1001,MATCH($B448,智能流水!$B$2:$B$1001,0)),""))</f>
        <v/>
      </c>
      <c r="O448" s="19">
        <f>IF($B448="","",IFERROR(INDEX(智能流水!$O$2:$O$1001,MATCH($B448,智能流水!$B$2:$B$1001,0)),""))</f>
        <v/>
      </c>
    </row>
    <row r="449">
      <c r="A449" s="19">
        <f>IF($B449="","",448)</f>
        <v/>
      </c>
      <c r="B449" s="19">
        <f>IFERROR(LARGE(智能流水!$B$2:$B$1001,448),"")</f>
        <v/>
      </c>
      <c r="C449" s="19">
        <f>IF($B449="","",IFERROR(INDEX(智能流水!$C$2:$C$1001,MATCH($B449,智能流水!$B$2:$B$1001,0)),""))</f>
        <v/>
      </c>
      <c r="D449" s="19">
        <f>IF($B449="","",IFERROR(INDEX(智能流水!$D$2:$D$1001,MATCH($B449,智能流水!$B$2:$B$1001,0)),""))</f>
        <v/>
      </c>
      <c r="E449" s="19">
        <f>IF($B449="","",IFERROR(INDEX(智能流水!$E$2:$E$1001,MATCH($B449,智能流水!$B$2:$B$1001,0)),""))</f>
        <v/>
      </c>
      <c r="F449" s="19">
        <f>IF($B449="","",IFERROR(INDEX(智能流水!$F$2:$F$1001,MATCH($B449,智能流水!$B$2:$B$1001,0)),""))</f>
        <v/>
      </c>
      <c r="G449" s="19">
        <f>IF($B449="","",IFERROR(INDEX(智能流水!$G$2:$G$1001,MATCH($B449,智能流水!$B$2:$B$1001,0)),""))</f>
        <v/>
      </c>
      <c r="H449" s="19">
        <f>IF($B449="","",IFERROR(INDEX(智能流水!$H$2:$H$1001,MATCH($B449,智能流水!$B$2:$B$1001,0)),""))</f>
        <v/>
      </c>
      <c r="I449" s="19">
        <f>IF($B449="","",IFERROR(INDEX(智能流水!$I$2:$I$1001,MATCH($B449,智能流水!$B$2:$B$1001,0)),""))</f>
        <v/>
      </c>
      <c r="J449" s="19">
        <f>IF($B449="","",IFERROR(INDEX(智能流水!$J$2:$J$1001,MATCH($B449,智能流水!$B$2:$B$1001,0)),""))</f>
        <v/>
      </c>
      <c r="K449" s="19">
        <f>IF($B449="","",IFERROR(INDEX(智能流水!$K$2:$K$1001,MATCH($B449,智能流水!$B$2:$B$1001,0)),""))</f>
        <v/>
      </c>
      <c r="L449" s="19">
        <f>IF($B449="","",IFERROR(INDEX(智能流水!$L$2:$L$1001,MATCH($B449,智能流水!$B$2:$B$1001,0)),""))</f>
        <v/>
      </c>
      <c r="M449" s="19">
        <f>IF($B449="","",IFERROR(INDEX(智能流水!$M$2:$M$1001,MATCH($B449,智能流水!$B$2:$B$1001,0)),""))</f>
        <v/>
      </c>
      <c r="N449" s="19">
        <f>IF($B449="","",IFERROR(INDEX(智能流水!$N$2:$N$1001,MATCH($B449,智能流水!$B$2:$B$1001,0)),""))</f>
        <v/>
      </c>
      <c r="O449" s="19">
        <f>IF($B449="","",IFERROR(INDEX(智能流水!$O$2:$O$1001,MATCH($B449,智能流水!$B$2:$B$1001,0)),""))</f>
        <v/>
      </c>
    </row>
    <row r="450">
      <c r="A450" s="19">
        <f>IF($B450="","",449)</f>
        <v/>
      </c>
      <c r="B450" s="19">
        <f>IFERROR(LARGE(智能流水!$B$2:$B$1001,449),"")</f>
        <v/>
      </c>
      <c r="C450" s="19">
        <f>IF($B450="","",IFERROR(INDEX(智能流水!$C$2:$C$1001,MATCH($B450,智能流水!$B$2:$B$1001,0)),""))</f>
        <v/>
      </c>
      <c r="D450" s="19">
        <f>IF($B450="","",IFERROR(INDEX(智能流水!$D$2:$D$1001,MATCH($B450,智能流水!$B$2:$B$1001,0)),""))</f>
        <v/>
      </c>
      <c r="E450" s="19">
        <f>IF($B450="","",IFERROR(INDEX(智能流水!$E$2:$E$1001,MATCH($B450,智能流水!$B$2:$B$1001,0)),""))</f>
        <v/>
      </c>
      <c r="F450" s="19">
        <f>IF($B450="","",IFERROR(INDEX(智能流水!$F$2:$F$1001,MATCH($B450,智能流水!$B$2:$B$1001,0)),""))</f>
        <v/>
      </c>
      <c r="G450" s="19">
        <f>IF($B450="","",IFERROR(INDEX(智能流水!$G$2:$G$1001,MATCH($B450,智能流水!$B$2:$B$1001,0)),""))</f>
        <v/>
      </c>
      <c r="H450" s="19">
        <f>IF($B450="","",IFERROR(INDEX(智能流水!$H$2:$H$1001,MATCH($B450,智能流水!$B$2:$B$1001,0)),""))</f>
        <v/>
      </c>
      <c r="I450" s="19">
        <f>IF($B450="","",IFERROR(INDEX(智能流水!$I$2:$I$1001,MATCH($B450,智能流水!$B$2:$B$1001,0)),""))</f>
        <v/>
      </c>
      <c r="J450" s="19">
        <f>IF($B450="","",IFERROR(INDEX(智能流水!$J$2:$J$1001,MATCH($B450,智能流水!$B$2:$B$1001,0)),""))</f>
        <v/>
      </c>
      <c r="K450" s="19">
        <f>IF($B450="","",IFERROR(INDEX(智能流水!$K$2:$K$1001,MATCH($B450,智能流水!$B$2:$B$1001,0)),""))</f>
        <v/>
      </c>
      <c r="L450" s="19">
        <f>IF($B450="","",IFERROR(INDEX(智能流水!$L$2:$L$1001,MATCH($B450,智能流水!$B$2:$B$1001,0)),""))</f>
        <v/>
      </c>
      <c r="M450" s="19">
        <f>IF($B450="","",IFERROR(INDEX(智能流水!$M$2:$M$1001,MATCH($B450,智能流水!$B$2:$B$1001,0)),""))</f>
        <v/>
      </c>
      <c r="N450" s="19">
        <f>IF($B450="","",IFERROR(INDEX(智能流水!$N$2:$N$1001,MATCH($B450,智能流水!$B$2:$B$1001,0)),""))</f>
        <v/>
      </c>
      <c r="O450" s="19">
        <f>IF($B450="","",IFERROR(INDEX(智能流水!$O$2:$O$1001,MATCH($B450,智能流水!$B$2:$B$1001,0)),""))</f>
        <v/>
      </c>
    </row>
    <row r="451">
      <c r="A451" s="19">
        <f>IF($B451="","",450)</f>
        <v/>
      </c>
      <c r="B451" s="19">
        <f>IFERROR(LARGE(智能流水!$B$2:$B$1001,450),"")</f>
        <v/>
      </c>
      <c r="C451" s="19">
        <f>IF($B451="","",IFERROR(INDEX(智能流水!$C$2:$C$1001,MATCH($B451,智能流水!$B$2:$B$1001,0)),""))</f>
        <v/>
      </c>
      <c r="D451" s="19">
        <f>IF($B451="","",IFERROR(INDEX(智能流水!$D$2:$D$1001,MATCH($B451,智能流水!$B$2:$B$1001,0)),""))</f>
        <v/>
      </c>
      <c r="E451" s="19">
        <f>IF($B451="","",IFERROR(INDEX(智能流水!$E$2:$E$1001,MATCH($B451,智能流水!$B$2:$B$1001,0)),""))</f>
        <v/>
      </c>
      <c r="F451" s="19">
        <f>IF($B451="","",IFERROR(INDEX(智能流水!$F$2:$F$1001,MATCH($B451,智能流水!$B$2:$B$1001,0)),""))</f>
        <v/>
      </c>
      <c r="G451" s="19">
        <f>IF($B451="","",IFERROR(INDEX(智能流水!$G$2:$G$1001,MATCH($B451,智能流水!$B$2:$B$1001,0)),""))</f>
        <v/>
      </c>
      <c r="H451" s="19">
        <f>IF($B451="","",IFERROR(INDEX(智能流水!$H$2:$H$1001,MATCH($B451,智能流水!$B$2:$B$1001,0)),""))</f>
        <v/>
      </c>
      <c r="I451" s="19">
        <f>IF($B451="","",IFERROR(INDEX(智能流水!$I$2:$I$1001,MATCH($B451,智能流水!$B$2:$B$1001,0)),""))</f>
        <v/>
      </c>
      <c r="J451" s="19">
        <f>IF($B451="","",IFERROR(INDEX(智能流水!$J$2:$J$1001,MATCH($B451,智能流水!$B$2:$B$1001,0)),""))</f>
        <v/>
      </c>
      <c r="K451" s="19">
        <f>IF($B451="","",IFERROR(INDEX(智能流水!$K$2:$K$1001,MATCH($B451,智能流水!$B$2:$B$1001,0)),""))</f>
        <v/>
      </c>
      <c r="L451" s="19">
        <f>IF($B451="","",IFERROR(INDEX(智能流水!$L$2:$L$1001,MATCH($B451,智能流水!$B$2:$B$1001,0)),""))</f>
        <v/>
      </c>
      <c r="M451" s="19">
        <f>IF($B451="","",IFERROR(INDEX(智能流水!$M$2:$M$1001,MATCH($B451,智能流水!$B$2:$B$1001,0)),""))</f>
        <v/>
      </c>
      <c r="N451" s="19">
        <f>IF($B451="","",IFERROR(INDEX(智能流水!$N$2:$N$1001,MATCH($B451,智能流水!$B$2:$B$1001,0)),""))</f>
        <v/>
      </c>
      <c r="O451" s="19">
        <f>IF($B451="","",IFERROR(INDEX(智能流水!$O$2:$O$1001,MATCH($B451,智能流水!$B$2:$B$1001,0)),""))</f>
        <v/>
      </c>
    </row>
    <row r="452">
      <c r="A452" s="19">
        <f>IF($B452="","",451)</f>
        <v/>
      </c>
      <c r="B452" s="19">
        <f>IFERROR(LARGE(智能流水!$B$2:$B$1001,451),"")</f>
        <v/>
      </c>
      <c r="C452" s="19">
        <f>IF($B452="","",IFERROR(INDEX(智能流水!$C$2:$C$1001,MATCH($B452,智能流水!$B$2:$B$1001,0)),""))</f>
        <v/>
      </c>
      <c r="D452" s="19">
        <f>IF($B452="","",IFERROR(INDEX(智能流水!$D$2:$D$1001,MATCH($B452,智能流水!$B$2:$B$1001,0)),""))</f>
        <v/>
      </c>
      <c r="E452" s="19">
        <f>IF($B452="","",IFERROR(INDEX(智能流水!$E$2:$E$1001,MATCH($B452,智能流水!$B$2:$B$1001,0)),""))</f>
        <v/>
      </c>
      <c r="F452" s="19">
        <f>IF($B452="","",IFERROR(INDEX(智能流水!$F$2:$F$1001,MATCH($B452,智能流水!$B$2:$B$1001,0)),""))</f>
        <v/>
      </c>
      <c r="G452" s="19">
        <f>IF($B452="","",IFERROR(INDEX(智能流水!$G$2:$G$1001,MATCH($B452,智能流水!$B$2:$B$1001,0)),""))</f>
        <v/>
      </c>
      <c r="H452" s="19">
        <f>IF($B452="","",IFERROR(INDEX(智能流水!$H$2:$H$1001,MATCH($B452,智能流水!$B$2:$B$1001,0)),""))</f>
        <v/>
      </c>
      <c r="I452" s="19">
        <f>IF($B452="","",IFERROR(INDEX(智能流水!$I$2:$I$1001,MATCH($B452,智能流水!$B$2:$B$1001,0)),""))</f>
        <v/>
      </c>
      <c r="J452" s="19">
        <f>IF($B452="","",IFERROR(INDEX(智能流水!$J$2:$J$1001,MATCH($B452,智能流水!$B$2:$B$1001,0)),""))</f>
        <v/>
      </c>
      <c r="K452" s="19">
        <f>IF($B452="","",IFERROR(INDEX(智能流水!$K$2:$K$1001,MATCH($B452,智能流水!$B$2:$B$1001,0)),""))</f>
        <v/>
      </c>
      <c r="L452" s="19">
        <f>IF($B452="","",IFERROR(INDEX(智能流水!$L$2:$L$1001,MATCH($B452,智能流水!$B$2:$B$1001,0)),""))</f>
        <v/>
      </c>
      <c r="M452" s="19">
        <f>IF($B452="","",IFERROR(INDEX(智能流水!$M$2:$M$1001,MATCH($B452,智能流水!$B$2:$B$1001,0)),""))</f>
        <v/>
      </c>
      <c r="N452" s="19">
        <f>IF($B452="","",IFERROR(INDEX(智能流水!$N$2:$N$1001,MATCH($B452,智能流水!$B$2:$B$1001,0)),""))</f>
        <v/>
      </c>
      <c r="O452" s="19">
        <f>IF($B452="","",IFERROR(INDEX(智能流水!$O$2:$O$1001,MATCH($B452,智能流水!$B$2:$B$1001,0)),""))</f>
        <v/>
      </c>
    </row>
    <row r="453">
      <c r="A453" s="19">
        <f>IF($B453="","",452)</f>
        <v/>
      </c>
      <c r="B453" s="19">
        <f>IFERROR(LARGE(智能流水!$B$2:$B$1001,452),"")</f>
        <v/>
      </c>
      <c r="C453" s="19">
        <f>IF($B453="","",IFERROR(INDEX(智能流水!$C$2:$C$1001,MATCH($B453,智能流水!$B$2:$B$1001,0)),""))</f>
        <v/>
      </c>
      <c r="D453" s="19">
        <f>IF($B453="","",IFERROR(INDEX(智能流水!$D$2:$D$1001,MATCH($B453,智能流水!$B$2:$B$1001,0)),""))</f>
        <v/>
      </c>
      <c r="E453" s="19">
        <f>IF($B453="","",IFERROR(INDEX(智能流水!$E$2:$E$1001,MATCH($B453,智能流水!$B$2:$B$1001,0)),""))</f>
        <v/>
      </c>
      <c r="F453" s="19">
        <f>IF($B453="","",IFERROR(INDEX(智能流水!$F$2:$F$1001,MATCH($B453,智能流水!$B$2:$B$1001,0)),""))</f>
        <v/>
      </c>
      <c r="G453" s="19">
        <f>IF($B453="","",IFERROR(INDEX(智能流水!$G$2:$G$1001,MATCH($B453,智能流水!$B$2:$B$1001,0)),""))</f>
        <v/>
      </c>
      <c r="H453" s="19">
        <f>IF($B453="","",IFERROR(INDEX(智能流水!$H$2:$H$1001,MATCH($B453,智能流水!$B$2:$B$1001,0)),""))</f>
        <v/>
      </c>
      <c r="I453" s="19">
        <f>IF($B453="","",IFERROR(INDEX(智能流水!$I$2:$I$1001,MATCH($B453,智能流水!$B$2:$B$1001,0)),""))</f>
        <v/>
      </c>
      <c r="J453" s="19">
        <f>IF($B453="","",IFERROR(INDEX(智能流水!$J$2:$J$1001,MATCH($B453,智能流水!$B$2:$B$1001,0)),""))</f>
        <v/>
      </c>
      <c r="K453" s="19">
        <f>IF($B453="","",IFERROR(INDEX(智能流水!$K$2:$K$1001,MATCH($B453,智能流水!$B$2:$B$1001,0)),""))</f>
        <v/>
      </c>
      <c r="L453" s="19">
        <f>IF($B453="","",IFERROR(INDEX(智能流水!$L$2:$L$1001,MATCH($B453,智能流水!$B$2:$B$1001,0)),""))</f>
        <v/>
      </c>
      <c r="M453" s="19">
        <f>IF($B453="","",IFERROR(INDEX(智能流水!$M$2:$M$1001,MATCH($B453,智能流水!$B$2:$B$1001,0)),""))</f>
        <v/>
      </c>
      <c r="N453" s="19">
        <f>IF($B453="","",IFERROR(INDEX(智能流水!$N$2:$N$1001,MATCH($B453,智能流水!$B$2:$B$1001,0)),""))</f>
        <v/>
      </c>
      <c r="O453" s="19">
        <f>IF($B453="","",IFERROR(INDEX(智能流水!$O$2:$O$1001,MATCH($B453,智能流水!$B$2:$B$1001,0)),""))</f>
        <v/>
      </c>
    </row>
    <row r="454">
      <c r="A454" s="19">
        <f>IF($B454="","",453)</f>
        <v/>
      </c>
      <c r="B454" s="19">
        <f>IFERROR(LARGE(智能流水!$B$2:$B$1001,453),"")</f>
        <v/>
      </c>
      <c r="C454" s="19">
        <f>IF($B454="","",IFERROR(INDEX(智能流水!$C$2:$C$1001,MATCH($B454,智能流水!$B$2:$B$1001,0)),""))</f>
        <v/>
      </c>
      <c r="D454" s="19">
        <f>IF($B454="","",IFERROR(INDEX(智能流水!$D$2:$D$1001,MATCH($B454,智能流水!$B$2:$B$1001,0)),""))</f>
        <v/>
      </c>
      <c r="E454" s="19">
        <f>IF($B454="","",IFERROR(INDEX(智能流水!$E$2:$E$1001,MATCH($B454,智能流水!$B$2:$B$1001,0)),""))</f>
        <v/>
      </c>
      <c r="F454" s="19">
        <f>IF($B454="","",IFERROR(INDEX(智能流水!$F$2:$F$1001,MATCH($B454,智能流水!$B$2:$B$1001,0)),""))</f>
        <v/>
      </c>
      <c r="G454" s="19">
        <f>IF($B454="","",IFERROR(INDEX(智能流水!$G$2:$G$1001,MATCH($B454,智能流水!$B$2:$B$1001,0)),""))</f>
        <v/>
      </c>
      <c r="H454" s="19">
        <f>IF($B454="","",IFERROR(INDEX(智能流水!$H$2:$H$1001,MATCH($B454,智能流水!$B$2:$B$1001,0)),""))</f>
        <v/>
      </c>
      <c r="I454" s="19">
        <f>IF($B454="","",IFERROR(INDEX(智能流水!$I$2:$I$1001,MATCH($B454,智能流水!$B$2:$B$1001,0)),""))</f>
        <v/>
      </c>
      <c r="J454" s="19">
        <f>IF($B454="","",IFERROR(INDEX(智能流水!$J$2:$J$1001,MATCH($B454,智能流水!$B$2:$B$1001,0)),""))</f>
        <v/>
      </c>
      <c r="K454" s="19">
        <f>IF($B454="","",IFERROR(INDEX(智能流水!$K$2:$K$1001,MATCH($B454,智能流水!$B$2:$B$1001,0)),""))</f>
        <v/>
      </c>
      <c r="L454" s="19">
        <f>IF($B454="","",IFERROR(INDEX(智能流水!$L$2:$L$1001,MATCH($B454,智能流水!$B$2:$B$1001,0)),""))</f>
        <v/>
      </c>
      <c r="M454" s="19">
        <f>IF($B454="","",IFERROR(INDEX(智能流水!$M$2:$M$1001,MATCH($B454,智能流水!$B$2:$B$1001,0)),""))</f>
        <v/>
      </c>
      <c r="N454" s="19">
        <f>IF($B454="","",IFERROR(INDEX(智能流水!$N$2:$N$1001,MATCH($B454,智能流水!$B$2:$B$1001,0)),""))</f>
        <v/>
      </c>
      <c r="O454" s="19">
        <f>IF($B454="","",IFERROR(INDEX(智能流水!$O$2:$O$1001,MATCH($B454,智能流水!$B$2:$B$1001,0)),""))</f>
        <v/>
      </c>
    </row>
    <row r="455">
      <c r="A455" s="19">
        <f>IF($B455="","",454)</f>
        <v/>
      </c>
      <c r="B455" s="19">
        <f>IFERROR(LARGE(智能流水!$B$2:$B$1001,454),"")</f>
        <v/>
      </c>
      <c r="C455" s="19">
        <f>IF($B455="","",IFERROR(INDEX(智能流水!$C$2:$C$1001,MATCH($B455,智能流水!$B$2:$B$1001,0)),""))</f>
        <v/>
      </c>
      <c r="D455" s="19">
        <f>IF($B455="","",IFERROR(INDEX(智能流水!$D$2:$D$1001,MATCH($B455,智能流水!$B$2:$B$1001,0)),""))</f>
        <v/>
      </c>
      <c r="E455" s="19">
        <f>IF($B455="","",IFERROR(INDEX(智能流水!$E$2:$E$1001,MATCH($B455,智能流水!$B$2:$B$1001,0)),""))</f>
        <v/>
      </c>
      <c r="F455" s="19">
        <f>IF($B455="","",IFERROR(INDEX(智能流水!$F$2:$F$1001,MATCH($B455,智能流水!$B$2:$B$1001,0)),""))</f>
        <v/>
      </c>
      <c r="G455" s="19">
        <f>IF($B455="","",IFERROR(INDEX(智能流水!$G$2:$G$1001,MATCH($B455,智能流水!$B$2:$B$1001,0)),""))</f>
        <v/>
      </c>
      <c r="H455" s="19">
        <f>IF($B455="","",IFERROR(INDEX(智能流水!$H$2:$H$1001,MATCH($B455,智能流水!$B$2:$B$1001,0)),""))</f>
        <v/>
      </c>
      <c r="I455" s="19">
        <f>IF($B455="","",IFERROR(INDEX(智能流水!$I$2:$I$1001,MATCH($B455,智能流水!$B$2:$B$1001,0)),""))</f>
        <v/>
      </c>
      <c r="J455" s="19">
        <f>IF($B455="","",IFERROR(INDEX(智能流水!$J$2:$J$1001,MATCH($B455,智能流水!$B$2:$B$1001,0)),""))</f>
        <v/>
      </c>
      <c r="K455" s="19">
        <f>IF($B455="","",IFERROR(INDEX(智能流水!$K$2:$K$1001,MATCH($B455,智能流水!$B$2:$B$1001,0)),""))</f>
        <v/>
      </c>
      <c r="L455" s="19">
        <f>IF($B455="","",IFERROR(INDEX(智能流水!$L$2:$L$1001,MATCH($B455,智能流水!$B$2:$B$1001,0)),""))</f>
        <v/>
      </c>
      <c r="M455" s="19">
        <f>IF($B455="","",IFERROR(INDEX(智能流水!$M$2:$M$1001,MATCH($B455,智能流水!$B$2:$B$1001,0)),""))</f>
        <v/>
      </c>
      <c r="N455" s="19">
        <f>IF($B455="","",IFERROR(INDEX(智能流水!$N$2:$N$1001,MATCH($B455,智能流水!$B$2:$B$1001,0)),""))</f>
        <v/>
      </c>
      <c r="O455" s="19">
        <f>IF($B455="","",IFERROR(INDEX(智能流水!$O$2:$O$1001,MATCH($B455,智能流水!$B$2:$B$1001,0)),""))</f>
        <v/>
      </c>
    </row>
    <row r="456">
      <c r="A456" s="19">
        <f>IF($B456="","",455)</f>
        <v/>
      </c>
      <c r="B456" s="19">
        <f>IFERROR(LARGE(智能流水!$B$2:$B$1001,455),"")</f>
        <v/>
      </c>
      <c r="C456" s="19">
        <f>IF($B456="","",IFERROR(INDEX(智能流水!$C$2:$C$1001,MATCH($B456,智能流水!$B$2:$B$1001,0)),""))</f>
        <v/>
      </c>
      <c r="D456" s="19">
        <f>IF($B456="","",IFERROR(INDEX(智能流水!$D$2:$D$1001,MATCH($B456,智能流水!$B$2:$B$1001,0)),""))</f>
        <v/>
      </c>
      <c r="E456" s="19">
        <f>IF($B456="","",IFERROR(INDEX(智能流水!$E$2:$E$1001,MATCH($B456,智能流水!$B$2:$B$1001,0)),""))</f>
        <v/>
      </c>
      <c r="F456" s="19">
        <f>IF($B456="","",IFERROR(INDEX(智能流水!$F$2:$F$1001,MATCH($B456,智能流水!$B$2:$B$1001,0)),""))</f>
        <v/>
      </c>
      <c r="G456" s="19">
        <f>IF($B456="","",IFERROR(INDEX(智能流水!$G$2:$G$1001,MATCH($B456,智能流水!$B$2:$B$1001,0)),""))</f>
        <v/>
      </c>
      <c r="H456" s="19">
        <f>IF($B456="","",IFERROR(INDEX(智能流水!$H$2:$H$1001,MATCH($B456,智能流水!$B$2:$B$1001,0)),""))</f>
        <v/>
      </c>
      <c r="I456" s="19">
        <f>IF($B456="","",IFERROR(INDEX(智能流水!$I$2:$I$1001,MATCH($B456,智能流水!$B$2:$B$1001,0)),""))</f>
        <v/>
      </c>
      <c r="J456" s="19">
        <f>IF($B456="","",IFERROR(INDEX(智能流水!$J$2:$J$1001,MATCH($B456,智能流水!$B$2:$B$1001,0)),""))</f>
        <v/>
      </c>
      <c r="K456" s="19">
        <f>IF($B456="","",IFERROR(INDEX(智能流水!$K$2:$K$1001,MATCH($B456,智能流水!$B$2:$B$1001,0)),""))</f>
        <v/>
      </c>
      <c r="L456" s="19">
        <f>IF($B456="","",IFERROR(INDEX(智能流水!$L$2:$L$1001,MATCH($B456,智能流水!$B$2:$B$1001,0)),""))</f>
        <v/>
      </c>
      <c r="M456" s="19">
        <f>IF($B456="","",IFERROR(INDEX(智能流水!$M$2:$M$1001,MATCH($B456,智能流水!$B$2:$B$1001,0)),""))</f>
        <v/>
      </c>
      <c r="N456" s="19">
        <f>IF($B456="","",IFERROR(INDEX(智能流水!$N$2:$N$1001,MATCH($B456,智能流水!$B$2:$B$1001,0)),""))</f>
        <v/>
      </c>
      <c r="O456" s="19">
        <f>IF($B456="","",IFERROR(INDEX(智能流水!$O$2:$O$1001,MATCH($B456,智能流水!$B$2:$B$1001,0)),""))</f>
        <v/>
      </c>
    </row>
    <row r="457">
      <c r="A457" s="19">
        <f>IF($B457="","",456)</f>
        <v/>
      </c>
      <c r="B457" s="19">
        <f>IFERROR(LARGE(智能流水!$B$2:$B$1001,456),"")</f>
        <v/>
      </c>
      <c r="C457" s="19">
        <f>IF($B457="","",IFERROR(INDEX(智能流水!$C$2:$C$1001,MATCH($B457,智能流水!$B$2:$B$1001,0)),""))</f>
        <v/>
      </c>
      <c r="D457" s="19">
        <f>IF($B457="","",IFERROR(INDEX(智能流水!$D$2:$D$1001,MATCH($B457,智能流水!$B$2:$B$1001,0)),""))</f>
        <v/>
      </c>
      <c r="E457" s="19">
        <f>IF($B457="","",IFERROR(INDEX(智能流水!$E$2:$E$1001,MATCH($B457,智能流水!$B$2:$B$1001,0)),""))</f>
        <v/>
      </c>
      <c r="F457" s="19">
        <f>IF($B457="","",IFERROR(INDEX(智能流水!$F$2:$F$1001,MATCH($B457,智能流水!$B$2:$B$1001,0)),""))</f>
        <v/>
      </c>
      <c r="G457" s="19">
        <f>IF($B457="","",IFERROR(INDEX(智能流水!$G$2:$G$1001,MATCH($B457,智能流水!$B$2:$B$1001,0)),""))</f>
        <v/>
      </c>
      <c r="H457" s="19">
        <f>IF($B457="","",IFERROR(INDEX(智能流水!$H$2:$H$1001,MATCH($B457,智能流水!$B$2:$B$1001,0)),""))</f>
        <v/>
      </c>
      <c r="I457" s="19">
        <f>IF($B457="","",IFERROR(INDEX(智能流水!$I$2:$I$1001,MATCH($B457,智能流水!$B$2:$B$1001,0)),""))</f>
        <v/>
      </c>
      <c r="J457" s="19">
        <f>IF($B457="","",IFERROR(INDEX(智能流水!$J$2:$J$1001,MATCH($B457,智能流水!$B$2:$B$1001,0)),""))</f>
        <v/>
      </c>
      <c r="K457" s="19">
        <f>IF($B457="","",IFERROR(INDEX(智能流水!$K$2:$K$1001,MATCH($B457,智能流水!$B$2:$B$1001,0)),""))</f>
        <v/>
      </c>
      <c r="L457" s="19">
        <f>IF($B457="","",IFERROR(INDEX(智能流水!$L$2:$L$1001,MATCH($B457,智能流水!$B$2:$B$1001,0)),""))</f>
        <v/>
      </c>
      <c r="M457" s="19">
        <f>IF($B457="","",IFERROR(INDEX(智能流水!$M$2:$M$1001,MATCH($B457,智能流水!$B$2:$B$1001,0)),""))</f>
        <v/>
      </c>
      <c r="N457" s="19">
        <f>IF($B457="","",IFERROR(INDEX(智能流水!$N$2:$N$1001,MATCH($B457,智能流水!$B$2:$B$1001,0)),""))</f>
        <v/>
      </c>
      <c r="O457" s="19">
        <f>IF($B457="","",IFERROR(INDEX(智能流水!$O$2:$O$1001,MATCH($B457,智能流水!$B$2:$B$1001,0)),""))</f>
        <v/>
      </c>
    </row>
    <row r="458">
      <c r="A458" s="19">
        <f>IF($B458="","",457)</f>
        <v/>
      </c>
      <c r="B458" s="19">
        <f>IFERROR(LARGE(智能流水!$B$2:$B$1001,457),"")</f>
        <v/>
      </c>
      <c r="C458" s="19">
        <f>IF($B458="","",IFERROR(INDEX(智能流水!$C$2:$C$1001,MATCH($B458,智能流水!$B$2:$B$1001,0)),""))</f>
        <v/>
      </c>
      <c r="D458" s="19">
        <f>IF($B458="","",IFERROR(INDEX(智能流水!$D$2:$D$1001,MATCH($B458,智能流水!$B$2:$B$1001,0)),""))</f>
        <v/>
      </c>
      <c r="E458" s="19">
        <f>IF($B458="","",IFERROR(INDEX(智能流水!$E$2:$E$1001,MATCH($B458,智能流水!$B$2:$B$1001,0)),""))</f>
        <v/>
      </c>
      <c r="F458" s="19">
        <f>IF($B458="","",IFERROR(INDEX(智能流水!$F$2:$F$1001,MATCH($B458,智能流水!$B$2:$B$1001,0)),""))</f>
        <v/>
      </c>
      <c r="G458" s="19">
        <f>IF($B458="","",IFERROR(INDEX(智能流水!$G$2:$G$1001,MATCH($B458,智能流水!$B$2:$B$1001,0)),""))</f>
        <v/>
      </c>
      <c r="H458" s="19">
        <f>IF($B458="","",IFERROR(INDEX(智能流水!$H$2:$H$1001,MATCH($B458,智能流水!$B$2:$B$1001,0)),""))</f>
        <v/>
      </c>
      <c r="I458" s="19">
        <f>IF($B458="","",IFERROR(INDEX(智能流水!$I$2:$I$1001,MATCH($B458,智能流水!$B$2:$B$1001,0)),""))</f>
        <v/>
      </c>
      <c r="J458" s="19">
        <f>IF($B458="","",IFERROR(INDEX(智能流水!$J$2:$J$1001,MATCH($B458,智能流水!$B$2:$B$1001,0)),""))</f>
        <v/>
      </c>
      <c r="K458" s="19">
        <f>IF($B458="","",IFERROR(INDEX(智能流水!$K$2:$K$1001,MATCH($B458,智能流水!$B$2:$B$1001,0)),""))</f>
        <v/>
      </c>
      <c r="L458" s="19">
        <f>IF($B458="","",IFERROR(INDEX(智能流水!$L$2:$L$1001,MATCH($B458,智能流水!$B$2:$B$1001,0)),""))</f>
        <v/>
      </c>
      <c r="M458" s="19">
        <f>IF($B458="","",IFERROR(INDEX(智能流水!$M$2:$M$1001,MATCH($B458,智能流水!$B$2:$B$1001,0)),""))</f>
        <v/>
      </c>
      <c r="N458" s="19">
        <f>IF($B458="","",IFERROR(INDEX(智能流水!$N$2:$N$1001,MATCH($B458,智能流水!$B$2:$B$1001,0)),""))</f>
        <v/>
      </c>
      <c r="O458" s="19">
        <f>IF($B458="","",IFERROR(INDEX(智能流水!$O$2:$O$1001,MATCH($B458,智能流水!$B$2:$B$1001,0)),""))</f>
        <v/>
      </c>
    </row>
    <row r="459">
      <c r="A459" s="19">
        <f>IF($B459="","",458)</f>
        <v/>
      </c>
      <c r="B459" s="19">
        <f>IFERROR(LARGE(智能流水!$B$2:$B$1001,458),"")</f>
        <v/>
      </c>
      <c r="C459" s="19">
        <f>IF($B459="","",IFERROR(INDEX(智能流水!$C$2:$C$1001,MATCH($B459,智能流水!$B$2:$B$1001,0)),""))</f>
        <v/>
      </c>
      <c r="D459" s="19">
        <f>IF($B459="","",IFERROR(INDEX(智能流水!$D$2:$D$1001,MATCH($B459,智能流水!$B$2:$B$1001,0)),""))</f>
        <v/>
      </c>
      <c r="E459" s="19">
        <f>IF($B459="","",IFERROR(INDEX(智能流水!$E$2:$E$1001,MATCH($B459,智能流水!$B$2:$B$1001,0)),""))</f>
        <v/>
      </c>
      <c r="F459" s="19">
        <f>IF($B459="","",IFERROR(INDEX(智能流水!$F$2:$F$1001,MATCH($B459,智能流水!$B$2:$B$1001,0)),""))</f>
        <v/>
      </c>
      <c r="G459" s="19">
        <f>IF($B459="","",IFERROR(INDEX(智能流水!$G$2:$G$1001,MATCH($B459,智能流水!$B$2:$B$1001,0)),""))</f>
        <v/>
      </c>
      <c r="H459" s="19">
        <f>IF($B459="","",IFERROR(INDEX(智能流水!$H$2:$H$1001,MATCH($B459,智能流水!$B$2:$B$1001,0)),""))</f>
        <v/>
      </c>
      <c r="I459" s="19">
        <f>IF($B459="","",IFERROR(INDEX(智能流水!$I$2:$I$1001,MATCH($B459,智能流水!$B$2:$B$1001,0)),""))</f>
        <v/>
      </c>
      <c r="J459" s="19">
        <f>IF($B459="","",IFERROR(INDEX(智能流水!$J$2:$J$1001,MATCH($B459,智能流水!$B$2:$B$1001,0)),""))</f>
        <v/>
      </c>
      <c r="K459" s="19">
        <f>IF($B459="","",IFERROR(INDEX(智能流水!$K$2:$K$1001,MATCH($B459,智能流水!$B$2:$B$1001,0)),""))</f>
        <v/>
      </c>
      <c r="L459" s="19">
        <f>IF($B459="","",IFERROR(INDEX(智能流水!$L$2:$L$1001,MATCH($B459,智能流水!$B$2:$B$1001,0)),""))</f>
        <v/>
      </c>
      <c r="M459" s="19">
        <f>IF($B459="","",IFERROR(INDEX(智能流水!$M$2:$M$1001,MATCH($B459,智能流水!$B$2:$B$1001,0)),""))</f>
        <v/>
      </c>
      <c r="N459" s="19">
        <f>IF($B459="","",IFERROR(INDEX(智能流水!$N$2:$N$1001,MATCH($B459,智能流水!$B$2:$B$1001,0)),""))</f>
        <v/>
      </c>
      <c r="O459" s="19">
        <f>IF($B459="","",IFERROR(INDEX(智能流水!$O$2:$O$1001,MATCH($B459,智能流水!$B$2:$B$1001,0)),""))</f>
        <v/>
      </c>
    </row>
    <row r="460">
      <c r="A460" s="19">
        <f>IF($B460="","",459)</f>
        <v/>
      </c>
      <c r="B460" s="19">
        <f>IFERROR(LARGE(智能流水!$B$2:$B$1001,459),"")</f>
        <v/>
      </c>
      <c r="C460" s="19">
        <f>IF($B460="","",IFERROR(INDEX(智能流水!$C$2:$C$1001,MATCH($B460,智能流水!$B$2:$B$1001,0)),""))</f>
        <v/>
      </c>
      <c r="D460" s="19">
        <f>IF($B460="","",IFERROR(INDEX(智能流水!$D$2:$D$1001,MATCH($B460,智能流水!$B$2:$B$1001,0)),""))</f>
        <v/>
      </c>
      <c r="E460" s="19">
        <f>IF($B460="","",IFERROR(INDEX(智能流水!$E$2:$E$1001,MATCH($B460,智能流水!$B$2:$B$1001,0)),""))</f>
        <v/>
      </c>
      <c r="F460" s="19">
        <f>IF($B460="","",IFERROR(INDEX(智能流水!$F$2:$F$1001,MATCH($B460,智能流水!$B$2:$B$1001,0)),""))</f>
        <v/>
      </c>
      <c r="G460" s="19">
        <f>IF($B460="","",IFERROR(INDEX(智能流水!$G$2:$G$1001,MATCH($B460,智能流水!$B$2:$B$1001,0)),""))</f>
        <v/>
      </c>
      <c r="H460" s="19">
        <f>IF($B460="","",IFERROR(INDEX(智能流水!$H$2:$H$1001,MATCH($B460,智能流水!$B$2:$B$1001,0)),""))</f>
        <v/>
      </c>
      <c r="I460" s="19">
        <f>IF($B460="","",IFERROR(INDEX(智能流水!$I$2:$I$1001,MATCH($B460,智能流水!$B$2:$B$1001,0)),""))</f>
        <v/>
      </c>
      <c r="J460" s="19">
        <f>IF($B460="","",IFERROR(INDEX(智能流水!$J$2:$J$1001,MATCH($B460,智能流水!$B$2:$B$1001,0)),""))</f>
        <v/>
      </c>
      <c r="K460" s="19">
        <f>IF($B460="","",IFERROR(INDEX(智能流水!$K$2:$K$1001,MATCH($B460,智能流水!$B$2:$B$1001,0)),""))</f>
        <v/>
      </c>
      <c r="L460" s="19">
        <f>IF($B460="","",IFERROR(INDEX(智能流水!$L$2:$L$1001,MATCH($B460,智能流水!$B$2:$B$1001,0)),""))</f>
        <v/>
      </c>
      <c r="M460" s="19">
        <f>IF($B460="","",IFERROR(INDEX(智能流水!$M$2:$M$1001,MATCH($B460,智能流水!$B$2:$B$1001,0)),""))</f>
        <v/>
      </c>
      <c r="N460" s="19">
        <f>IF($B460="","",IFERROR(INDEX(智能流水!$N$2:$N$1001,MATCH($B460,智能流水!$B$2:$B$1001,0)),""))</f>
        <v/>
      </c>
      <c r="O460" s="19">
        <f>IF($B460="","",IFERROR(INDEX(智能流水!$O$2:$O$1001,MATCH($B460,智能流水!$B$2:$B$1001,0)),""))</f>
        <v/>
      </c>
    </row>
    <row r="461">
      <c r="A461" s="19">
        <f>IF($B461="","",460)</f>
        <v/>
      </c>
      <c r="B461" s="19">
        <f>IFERROR(LARGE(智能流水!$B$2:$B$1001,460),"")</f>
        <v/>
      </c>
      <c r="C461" s="19">
        <f>IF($B461="","",IFERROR(INDEX(智能流水!$C$2:$C$1001,MATCH($B461,智能流水!$B$2:$B$1001,0)),""))</f>
        <v/>
      </c>
      <c r="D461" s="19">
        <f>IF($B461="","",IFERROR(INDEX(智能流水!$D$2:$D$1001,MATCH($B461,智能流水!$B$2:$B$1001,0)),""))</f>
        <v/>
      </c>
      <c r="E461" s="19">
        <f>IF($B461="","",IFERROR(INDEX(智能流水!$E$2:$E$1001,MATCH($B461,智能流水!$B$2:$B$1001,0)),""))</f>
        <v/>
      </c>
      <c r="F461" s="19">
        <f>IF($B461="","",IFERROR(INDEX(智能流水!$F$2:$F$1001,MATCH($B461,智能流水!$B$2:$B$1001,0)),""))</f>
        <v/>
      </c>
      <c r="G461" s="19">
        <f>IF($B461="","",IFERROR(INDEX(智能流水!$G$2:$G$1001,MATCH($B461,智能流水!$B$2:$B$1001,0)),""))</f>
        <v/>
      </c>
      <c r="H461" s="19">
        <f>IF($B461="","",IFERROR(INDEX(智能流水!$H$2:$H$1001,MATCH($B461,智能流水!$B$2:$B$1001,0)),""))</f>
        <v/>
      </c>
      <c r="I461" s="19">
        <f>IF($B461="","",IFERROR(INDEX(智能流水!$I$2:$I$1001,MATCH($B461,智能流水!$B$2:$B$1001,0)),""))</f>
        <v/>
      </c>
      <c r="J461" s="19">
        <f>IF($B461="","",IFERROR(INDEX(智能流水!$J$2:$J$1001,MATCH($B461,智能流水!$B$2:$B$1001,0)),""))</f>
        <v/>
      </c>
      <c r="K461" s="19">
        <f>IF($B461="","",IFERROR(INDEX(智能流水!$K$2:$K$1001,MATCH($B461,智能流水!$B$2:$B$1001,0)),""))</f>
        <v/>
      </c>
      <c r="L461" s="19">
        <f>IF($B461="","",IFERROR(INDEX(智能流水!$L$2:$L$1001,MATCH($B461,智能流水!$B$2:$B$1001,0)),""))</f>
        <v/>
      </c>
      <c r="M461" s="19">
        <f>IF($B461="","",IFERROR(INDEX(智能流水!$M$2:$M$1001,MATCH($B461,智能流水!$B$2:$B$1001,0)),""))</f>
        <v/>
      </c>
      <c r="N461" s="19">
        <f>IF($B461="","",IFERROR(INDEX(智能流水!$N$2:$N$1001,MATCH($B461,智能流水!$B$2:$B$1001,0)),""))</f>
        <v/>
      </c>
      <c r="O461" s="19">
        <f>IF($B461="","",IFERROR(INDEX(智能流水!$O$2:$O$1001,MATCH($B461,智能流水!$B$2:$B$1001,0)),""))</f>
        <v/>
      </c>
    </row>
    <row r="462">
      <c r="A462" s="19">
        <f>IF($B462="","",461)</f>
        <v/>
      </c>
      <c r="B462" s="19">
        <f>IFERROR(LARGE(智能流水!$B$2:$B$1001,461),"")</f>
        <v/>
      </c>
      <c r="C462" s="19">
        <f>IF($B462="","",IFERROR(INDEX(智能流水!$C$2:$C$1001,MATCH($B462,智能流水!$B$2:$B$1001,0)),""))</f>
        <v/>
      </c>
      <c r="D462" s="19">
        <f>IF($B462="","",IFERROR(INDEX(智能流水!$D$2:$D$1001,MATCH($B462,智能流水!$B$2:$B$1001,0)),""))</f>
        <v/>
      </c>
      <c r="E462" s="19">
        <f>IF($B462="","",IFERROR(INDEX(智能流水!$E$2:$E$1001,MATCH($B462,智能流水!$B$2:$B$1001,0)),""))</f>
        <v/>
      </c>
      <c r="F462" s="19">
        <f>IF($B462="","",IFERROR(INDEX(智能流水!$F$2:$F$1001,MATCH($B462,智能流水!$B$2:$B$1001,0)),""))</f>
        <v/>
      </c>
      <c r="G462" s="19">
        <f>IF($B462="","",IFERROR(INDEX(智能流水!$G$2:$G$1001,MATCH($B462,智能流水!$B$2:$B$1001,0)),""))</f>
        <v/>
      </c>
      <c r="H462" s="19">
        <f>IF($B462="","",IFERROR(INDEX(智能流水!$H$2:$H$1001,MATCH($B462,智能流水!$B$2:$B$1001,0)),""))</f>
        <v/>
      </c>
      <c r="I462" s="19">
        <f>IF($B462="","",IFERROR(INDEX(智能流水!$I$2:$I$1001,MATCH($B462,智能流水!$B$2:$B$1001,0)),""))</f>
        <v/>
      </c>
      <c r="J462" s="19">
        <f>IF($B462="","",IFERROR(INDEX(智能流水!$J$2:$J$1001,MATCH($B462,智能流水!$B$2:$B$1001,0)),""))</f>
        <v/>
      </c>
      <c r="K462" s="19">
        <f>IF($B462="","",IFERROR(INDEX(智能流水!$K$2:$K$1001,MATCH($B462,智能流水!$B$2:$B$1001,0)),""))</f>
        <v/>
      </c>
      <c r="L462" s="19">
        <f>IF($B462="","",IFERROR(INDEX(智能流水!$L$2:$L$1001,MATCH($B462,智能流水!$B$2:$B$1001,0)),""))</f>
        <v/>
      </c>
      <c r="M462" s="19">
        <f>IF($B462="","",IFERROR(INDEX(智能流水!$M$2:$M$1001,MATCH($B462,智能流水!$B$2:$B$1001,0)),""))</f>
        <v/>
      </c>
      <c r="N462" s="19">
        <f>IF($B462="","",IFERROR(INDEX(智能流水!$N$2:$N$1001,MATCH($B462,智能流水!$B$2:$B$1001,0)),""))</f>
        <v/>
      </c>
      <c r="O462" s="19">
        <f>IF($B462="","",IFERROR(INDEX(智能流水!$O$2:$O$1001,MATCH($B462,智能流水!$B$2:$B$1001,0)),""))</f>
        <v/>
      </c>
    </row>
    <row r="463">
      <c r="A463" s="19">
        <f>IF($B463="","",462)</f>
        <v/>
      </c>
      <c r="B463" s="19">
        <f>IFERROR(LARGE(智能流水!$B$2:$B$1001,462),"")</f>
        <v/>
      </c>
      <c r="C463" s="19">
        <f>IF($B463="","",IFERROR(INDEX(智能流水!$C$2:$C$1001,MATCH($B463,智能流水!$B$2:$B$1001,0)),""))</f>
        <v/>
      </c>
      <c r="D463" s="19">
        <f>IF($B463="","",IFERROR(INDEX(智能流水!$D$2:$D$1001,MATCH($B463,智能流水!$B$2:$B$1001,0)),""))</f>
        <v/>
      </c>
      <c r="E463" s="19">
        <f>IF($B463="","",IFERROR(INDEX(智能流水!$E$2:$E$1001,MATCH($B463,智能流水!$B$2:$B$1001,0)),""))</f>
        <v/>
      </c>
      <c r="F463" s="19">
        <f>IF($B463="","",IFERROR(INDEX(智能流水!$F$2:$F$1001,MATCH($B463,智能流水!$B$2:$B$1001,0)),""))</f>
        <v/>
      </c>
      <c r="G463" s="19">
        <f>IF($B463="","",IFERROR(INDEX(智能流水!$G$2:$G$1001,MATCH($B463,智能流水!$B$2:$B$1001,0)),""))</f>
        <v/>
      </c>
      <c r="H463" s="19">
        <f>IF($B463="","",IFERROR(INDEX(智能流水!$H$2:$H$1001,MATCH($B463,智能流水!$B$2:$B$1001,0)),""))</f>
        <v/>
      </c>
      <c r="I463" s="19">
        <f>IF($B463="","",IFERROR(INDEX(智能流水!$I$2:$I$1001,MATCH($B463,智能流水!$B$2:$B$1001,0)),""))</f>
        <v/>
      </c>
      <c r="J463" s="19">
        <f>IF($B463="","",IFERROR(INDEX(智能流水!$J$2:$J$1001,MATCH($B463,智能流水!$B$2:$B$1001,0)),""))</f>
        <v/>
      </c>
      <c r="K463" s="19">
        <f>IF($B463="","",IFERROR(INDEX(智能流水!$K$2:$K$1001,MATCH($B463,智能流水!$B$2:$B$1001,0)),""))</f>
        <v/>
      </c>
      <c r="L463" s="19">
        <f>IF($B463="","",IFERROR(INDEX(智能流水!$L$2:$L$1001,MATCH($B463,智能流水!$B$2:$B$1001,0)),""))</f>
        <v/>
      </c>
      <c r="M463" s="19">
        <f>IF($B463="","",IFERROR(INDEX(智能流水!$M$2:$M$1001,MATCH($B463,智能流水!$B$2:$B$1001,0)),""))</f>
        <v/>
      </c>
      <c r="N463" s="19">
        <f>IF($B463="","",IFERROR(INDEX(智能流水!$N$2:$N$1001,MATCH($B463,智能流水!$B$2:$B$1001,0)),""))</f>
        <v/>
      </c>
      <c r="O463" s="19">
        <f>IF($B463="","",IFERROR(INDEX(智能流水!$O$2:$O$1001,MATCH($B463,智能流水!$B$2:$B$1001,0)),""))</f>
        <v/>
      </c>
    </row>
    <row r="464">
      <c r="A464" s="19">
        <f>IF($B464="","",463)</f>
        <v/>
      </c>
      <c r="B464" s="19">
        <f>IFERROR(LARGE(智能流水!$B$2:$B$1001,463),"")</f>
        <v/>
      </c>
      <c r="C464" s="19">
        <f>IF($B464="","",IFERROR(INDEX(智能流水!$C$2:$C$1001,MATCH($B464,智能流水!$B$2:$B$1001,0)),""))</f>
        <v/>
      </c>
      <c r="D464" s="19">
        <f>IF($B464="","",IFERROR(INDEX(智能流水!$D$2:$D$1001,MATCH($B464,智能流水!$B$2:$B$1001,0)),""))</f>
        <v/>
      </c>
      <c r="E464" s="19">
        <f>IF($B464="","",IFERROR(INDEX(智能流水!$E$2:$E$1001,MATCH($B464,智能流水!$B$2:$B$1001,0)),""))</f>
        <v/>
      </c>
      <c r="F464" s="19">
        <f>IF($B464="","",IFERROR(INDEX(智能流水!$F$2:$F$1001,MATCH($B464,智能流水!$B$2:$B$1001,0)),""))</f>
        <v/>
      </c>
      <c r="G464" s="19">
        <f>IF($B464="","",IFERROR(INDEX(智能流水!$G$2:$G$1001,MATCH($B464,智能流水!$B$2:$B$1001,0)),""))</f>
        <v/>
      </c>
      <c r="H464" s="19">
        <f>IF($B464="","",IFERROR(INDEX(智能流水!$H$2:$H$1001,MATCH($B464,智能流水!$B$2:$B$1001,0)),""))</f>
        <v/>
      </c>
      <c r="I464" s="19">
        <f>IF($B464="","",IFERROR(INDEX(智能流水!$I$2:$I$1001,MATCH($B464,智能流水!$B$2:$B$1001,0)),""))</f>
        <v/>
      </c>
      <c r="J464" s="19">
        <f>IF($B464="","",IFERROR(INDEX(智能流水!$J$2:$J$1001,MATCH($B464,智能流水!$B$2:$B$1001,0)),""))</f>
        <v/>
      </c>
      <c r="K464" s="19">
        <f>IF($B464="","",IFERROR(INDEX(智能流水!$K$2:$K$1001,MATCH($B464,智能流水!$B$2:$B$1001,0)),""))</f>
        <v/>
      </c>
      <c r="L464" s="19">
        <f>IF($B464="","",IFERROR(INDEX(智能流水!$L$2:$L$1001,MATCH($B464,智能流水!$B$2:$B$1001,0)),""))</f>
        <v/>
      </c>
      <c r="M464" s="19">
        <f>IF($B464="","",IFERROR(INDEX(智能流水!$M$2:$M$1001,MATCH($B464,智能流水!$B$2:$B$1001,0)),""))</f>
        <v/>
      </c>
      <c r="N464" s="19">
        <f>IF($B464="","",IFERROR(INDEX(智能流水!$N$2:$N$1001,MATCH($B464,智能流水!$B$2:$B$1001,0)),""))</f>
        <v/>
      </c>
      <c r="O464" s="19">
        <f>IF($B464="","",IFERROR(INDEX(智能流水!$O$2:$O$1001,MATCH($B464,智能流水!$B$2:$B$1001,0)),""))</f>
        <v/>
      </c>
    </row>
    <row r="465">
      <c r="A465" s="19">
        <f>IF($B465="","",464)</f>
        <v/>
      </c>
      <c r="B465" s="19">
        <f>IFERROR(LARGE(智能流水!$B$2:$B$1001,464),"")</f>
        <v/>
      </c>
      <c r="C465" s="19">
        <f>IF($B465="","",IFERROR(INDEX(智能流水!$C$2:$C$1001,MATCH($B465,智能流水!$B$2:$B$1001,0)),""))</f>
        <v/>
      </c>
      <c r="D465" s="19">
        <f>IF($B465="","",IFERROR(INDEX(智能流水!$D$2:$D$1001,MATCH($B465,智能流水!$B$2:$B$1001,0)),""))</f>
        <v/>
      </c>
      <c r="E465" s="19">
        <f>IF($B465="","",IFERROR(INDEX(智能流水!$E$2:$E$1001,MATCH($B465,智能流水!$B$2:$B$1001,0)),""))</f>
        <v/>
      </c>
      <c r="F465" s="19">
        <f>IF($B465="","",IFERROR(INDEX(智能流水!$F$2:$F$1001,MATCH($B465,智能流水!$B$2:$B$1001,0)),""))</f>
        <v/>
      </c>
      <c r="G465" s="19">
        <f>IF($B465="","",IFERROR(INDEX(智能流水!$G$2:$G$1001,MATCH($B465,智能流水!$B$2:$B$1001,0)),""))</f>
        <v/>
      </c>
      <c r="H465" s="19">
        <f>IF($B465="","",IFERROR(INDEX(智能流水!$H$2:$H$1001,MATCH($B465,智能流水!$B$2:$B$1001,0)),""))</f>
        <v/>
      </c>
      <c r="I465" s="19">
        <f>IF($B465="","",IFERROR(INDEX(智能流水!$I$2:$I$1001,MATCH($B465,智能流水!$B$2:$B$1001,0)),""))</f>
        <v/>
      </c>
      <c r="J465" s="19">
        <f>IF($B465="","",IFERROR(INDEX(智能流水!$J$2:$J$1001,MATCH($B465,智能流水!$B$2:$B$1001,0)),""))</f>
        <v/>
      </c>
      <c r="K465" s="19">
        <f>IF($B465="","",IFERROR(INDEX(智能流水!$K$2:$K$1001,MATCH($B465,智能流水!$B$2:$B$1001,0)),""))</f>
        <v/>
      </c>
      <c r="L465" s="19">
        <f>IF($B465="","",IFERROR(INDEX(智能流水!$L$2:$L$1001,MATCH($B465,智能流水!$B$2:$B$1001,0)),""))</f>
        <v/>
      </c>
      <c r="M465" s="19">
        <f>IF($B465="","",IFERROR(INDEX(智能流水!$M$2:$M$1001,MATCH($B465,智能流水!$B$2:$B$1001,0)),""))</f>
        <v/>
      </c>
      <c r="N465" s="19">
        <f>IF($B465="","",IFERROR(INDEX(智能流水!$N$2:$N$1001,MATCH($B465,智能流水!$B$2:$B$1001,0)),""))</f>
        <v/>
      </c>
      <c r="O465" s="19">
        <f>IF($B465="","",IFERROR(INDEX(智能流水!$O$2:$O$1001,MATCH($B465,智能流水!$B$2:$B$1001,0)),""))</f>
        <v/>
      </c>
    </row>
    <row r="466">
      <c r="A466" s="19">
        <f>IF($B466="","",465)</f>
        <v/>
      </c>
      <c r="B466" s="19">
        <f>IFERROR(LARGE(智能流水!$B$2:$B$1001,465),"")</f>
        <v/>
      </c>
      <c r="C466" s="19">
        <f>IF($B466="","",IFERROR(INDEX(智能流水!$C$2:$C$1001,MATCH($B466,智能流水!$B$2:$B$1001,0)),""))</f>
        <v/>
      </c>
      <c r="D466" s="19">
        <f>IF($B466="","",IFERROR(INDEX(智能流水!$D$2:$D$1001,MATCH($B466,智能流水!$B$2:$B$1001,0)),""))</f>
        <v/>
      </c>
      <c r="E466" s="19">
        <f>IF($B466="","",IFERROR(INDEX(智能流水!$E$2:$E$1001,MATCH($B466,智能流水!$B$2:$B$1001,0)),""))</f>
        <v/>
      </c>
      <c r="F466" s="19">
        <f>IF($B466="","",IFERROR(INDEX(智能流水!$F$2:$F$1001,MATCH($B466,智能流水!$B$2:$B$1001,0)),""))</f>
        <v/>
      </c>
      <c r="G466" s="19">
        <f>IF($B466="","",IFERROR(INDEX(智能流水!$G$2:$G$1001,MATCH($B466,智能流水!$B$2:$B$1001,0)),""))</f>
        <v/>
      </c>
      <c r="H466" s="19">
        <f>IF($B466="","",IFERROR(INDEX(智能流水!$H$2:$H$1001,MATCH($B466,智能流水!$B$2:$B$1001,0)),""))</f>
        <v/>
      </c>
      <c r="I466" s="19">
        <f>IF($B466="","",IFERROR(INDEX(智能流水!$I$2:$I$1001,MATCH($B466,智能流水!$B$2:$B$1001,0)),""))</f>
        <v/>
      </c>
      <c r="J466" s="19">
        <f>IF($B466="","",IFERROR(INDEX(智能流水!$J$2:$J$1001,MATCH($B466,智能流水!$B$2:$B$1001,0)),""))</f>
        <v/>
      </c>
      <c r="K466" s="19">
        <f>IF($B466="","",IFERROR(INDEX(智能流水!$K$2:$K$1001,MATCH($B466,智能流水!$B$2:$B$1001,0)),""))</f>
        <v/>
      </c>
      <c r="L466" s="19">
        <f>IF($B466="","",IFERROR(INDEX(智能流水!$L$2:$L$1001,MATCH($B466,智能流水!$B$2:$B$1001,0)),""))</f>
        <v/>
      </c>
      <c r="M466" s="19">
        <f>IF($B466="","",IFERROR(INDEX(智能流水!$M$2:$M$1001,MATCH($B466,智能流水!$B$2:$B$1001,0)),""))</f>
        <v/>
      </c>
      <c r="N466" s="19">
        <f>IF($B466="","",IFERROR(INDEX(智能流水!$N$2:$N$1001,MATCH($B466,智能流水!$B$2:$B$1001,0)),""))</f>
        <v/>
      </c>
      <c r="O466" s="19">
        <f>IF($B466="","",IFERROR(INDEX(智能流水!$O$2:$O$1001,MATCH($B466,智能流水!$B$2:$B$1001,0)),""))</f>
        <v/>
      </c>
    </row>
    <row r="467">
      <c r="A467" s="19">
        <f>IF($B467="","",466)</f>
        <v/>
      </c>
      <c r="B467" s="19">
        <f>IFERROR(LARGE(智能流水!$B$2:$B$1001,466),"")</f>
        <v/>
      </c>
      <c r="C467" s="19">
        <f>IF($B467="","",IFERROR(INDEX(智能流水!$C$2:$C$1001,MATCH($B467,智能流水!$B$2:$B$1001,0)),""))</f>
        <v/>
      </c>
      <c r="D467" s="19">
        <f>IF($B467="","",IFERROR(INDEX(智能流水!$D$2:$D$1001,MATCH($B467,智能流水!$B$2:$B$1001,0)),""))</f>
        <v/>
      </c>
      <c r="E467" s="19">
        <f>IF($B467="","",IFERROR(INDEX(智能流水!$E$2:$E$1001,MATCH($B467,智能流水!$B$2:$B$1001,0)),""))</f>
        <v/>
      </c>
      <c r="F467" s="19">
        <f>IF($B467="","",IFERROR(INDEX(智能流水!$F$2:$F$1001,MATCH($B467,智能流水!$B$2:$B$1001,0)),""))</f>
        <v/>
      </c>
      <c r="G467" s="19">
        <f>IF($B467="","",IFERROR(INDEX(智能流水!$G$2:$G$1001,MATCH($B467,智能流水!$B$2:$B$1001,0)),""))</f>
        <v/>
      </c>
      <c r="H467" s="19">
        <f>IF($B467="","",IFERROR(INDEX(智能流水!$H$2:$H$1001,MATCH($B467,智能流水!$B$2:$B$1001,0)),""))</f>
        <v/>
      </c>
      <c r="I467" s="19">
        <f>IF($B467="","",IFERROR(INDEX(智能流水!$I$2:$I$1001,MATCH($B467,智能流水!$B$2:$B$1001,0)),""))</f>
        <v/>
      </c>
      <c r="J467" s="19">
        <f>IF($B467="","",IFERROR(INDEX(智能流水!$J$2:$J$1001,MATCH($B467,智能流水!$B$2:$B$1001,0)),""))</f>
        <v/>
      </c>
      <c r="K467" s="19">
        <f>IF($B467="","",IFERROR(INDEX(智能流水!$K$2:$K$1001,MATCH($B467,智能流水!$B$2:$B$1001,0)),""))</f>
        <v/>
      </c>
      <c r="L467" s="19">
        <f>IF($B467="","",IFERROR(INDEX(智能流水!$L$2:$L$1001,MATCH($B467,智能流水!$B$2:$B$1001,0)),""))</f>
        <v/>
      </c>
      <c r="M467" s="19">
        <f>IF($B467="","",IFERROR(INDEX(智能流水!$M$2:$M$1001,MATCH($B467,智能流水!$B$2:$B$1001,0)),""))</f>
        <v/>
      </c>
      <c r="N467" s="19">
        <f>IF($B467="","",IFERROR(INDEX(智能流水!$N$2:$N$1001,MATCH($B467,智能流水!$B$2:$B$1001,0)),""))</f>
        <v/>
      </c>
      <c r="O467" s="19">
        <f>IF($B467="","",IFERROR(INDEX(智能流水!$O$2:$O$1001,MATCH($B467,智能流水!$B$2:$B$1001,0)),""))</f>
        <v/>
      </c>
    </row>
    <row r="468">
      <c r="A468" s="19">
        <f>IF($B468="","",467)</f>
        <v/>
      </c>
      <c r="B468" s="19">
        <f>IFERROR(LARGE(智能流水!$B$2:$B$1001,467),"")</f>
        <v/>
      </c>
      <c r="C468" s="19">
        <f>IF($B468="","",IFERROR(INDEX(智能流水!$C$2:$C$1001,MATCH($B468,智能流水!$B$2:$B$1001,0)),""))</f>
        <v/>
      </c>
      <c r="D468" s="19">
        <f>IF($B468="","",IFERROR(INDEX(智能流水!$D$2:$D$1001,MATCH($B468,智能流水!$B$2:$B$1001,0)),""))</f>
        <v/>
      </c>
      <c r="E468" s="19">
        <f>IF($B468="","",IFERROR(INDEX(智能流水!$E$2:$E$1001,MATCH($B468,智能流水!$B$2:$B$1001,0)),""))</f>
        <v/>
      </c>
      <c r="F468" s="19">
        <f>IF($B468="","",IFERROR(INDEX(智能流水!$F$2:$F$1001,MATCH($B468,智能流水!$B$2:$B$1001,0)),""))</f>
        <v/>
      </c>
      <c r="G468" s="19">
        <f>IF($B468="","",IFERROR(INDEX(智能流水!$G$2:$G$1001,MATCH($B468,智能流水!$B$2:$B$1001,0)),""))</f>
        <v/>
      </c>
      <c r="H468" s="19">
        <f>IF($B468="","",IFERROR(INDEX(智能流水!$H$2:$H$1001,MATCH($B468,智能流水!$B$2:$B$1001,0)),""))</f>
        <v/>
      </c>
      <c r="I468" s="19">
        <f>IF($B468="","",IFERROR(INDEX(智能流水!$I$2:$I$1001,MATCH($B468,智能流水!$B$2:$B$1001,0)),""))</f>
        <v/>
      </c>
      <c r="J468" s="19">
        <f>IF($B468="","",IFERROR(INDEX(智能流水!$J$2:$J$1001,MATCH($B468,智能流水!$B$2:$B$1001,0)),""))</f>
        <v/>
      </c>
      <c r="K468" s="19">
        <f>IF($B468="","",IFERROR(INDEX(智能流水!$K$2:$K$1001,MATCH($B468,智能流水!$B$2:$B$1001,0)),""))</f>
        <v/>
      </c>
      <c r="L468" s="19">
        <f>IF($B468="","",IFERROR(INDEX(智能流水!$L$2:$L$1001,MATCH($B468,智能流水!$B$2:$B$1001,0)),""))</f>
        <v/>
      </c>
      <c r="M468" s="19">
        <f>IF($B468="","",IFERROR(INDEX(智能流水!$M$2:$M$1001,MATCH($B468,智能流水!$B$2:$B$1001,0)),""))</f>
        <v/>
      </c>
      <c r="N468" s="19">
        <f>IF($B468="","",IFERROR(INDEX(智能流水!$N$2:$N$1001,MATCH($B468,智能流水!$B$2:$B$1001,0)),""))</f>
        <v/>
      </c>
      <c r="O468" s="19">
        <f>IF($B468="","",IFERROR(INDEX(智能流水!$O$2:$O$1001,MATCH($B468,智能流水!$B$2:$B$1001,0)),""))</f>
        <v/>
      </c>
    </row>
    <row r="469">
      <c r="A469" s="19">
        <f>IF($B469="","",468)</f>
        <v/>
      </c>
      <c r="B469" s="19">
        <f>IFERROR(LARGE(智能流水!$B$2:$B$1001,468),"")</f>
        <v/>
      </c>
      <c r="C469" s="19">
        <f>IF($B469="","",IFERROR(INDEX(智能流水!$C$2:$C$1001,MATCH($B469,智能流水!$B$2:$B$1001,0)),""))</f>
        <v/>
      </c>
      <c r="D469" s="19">
        <f>IF($B469="","",IFERROR(INDEX(智能流水!$D$2:$D$1001,MATCH($B469,智能流水!$B$2:$B$1001,0)),""))</f>
        <v/>
      </c>
      <c r="E469" s="19">
        <f>IF($B469="","",IFERROR(INDEX(智能流水!$E$2:$E$1001,MATCH($B469,智能流水!$B$2:$B$1001,0)),""))</f>
        <v/>
      </c>
      <c r="F469" s="19">
        <f>IF($B469="","",IFERROR(INDEX(智能流水!$F$2:$F$1001,MATCH($B469,智能流水!$B$2:$B$1001,0)),""))</f>
        <v/>
      </c>
      <c r="G469" s="19">
        <f>IF($B469="","",IFERROR(INDEX(智能流水!$G$2:$G$1001,MATCH($B469,智能流水!$B$2:$B$1001,0)),""))</f>
        <v/>
      </c>
      <c r="H469" s="19">
        <f>IF($B469="","",IFERROR(INDEX(智能流水!$H$2:$H$1001,MATCH($B469,智能流水!$B$2:$B$1001,0)),""))</f>
        <v/>
      </c>
      <c r="I469" s="19">
        <f>IF($B469="","",IFERROR(INDEX(智能流水!$I$2:$I$1001,MATCH($B469,智能流水!$B$2:$B$1001,0)),""))</f>
        <v/>
      </c>
      <c r="J469" s="19">
        <f>IF($B469="","",IFERROR(INDEX(智能流水!$J$2:$J$1001,MATCH($B469,智能流水!$B$2:$B$1001,0)),""))</f>
        <v/>
      </c>
      <c r="K469" s="19">
        <f>IF($B469="","",IFERROR(INDEX(智能流水!$K$2:$K$1001,MATCH($B469,智能流水!$B$2:$B$1001,0)),""))</f>
        <v/>
      </c>
      <c r="L469" s="19">
        <f>IF($B469="","",IFERROR(INDEX(智能流水!$L$2:$L$1001,MATCH($B469,智能流水!$B$2:$B$1001,0)),""))</f>
        <v/>
      </c>
      <c r="M469" s="19">
        <f>IF($B469="","",IFERROR(INDEX(智能流水!$M$2:$M$1001,MATCH($B469,智能流水!$B$2:$B$1001,0)),""))</f>
        <v/>
      </c>
      <c r="N469" s="19">
        <f>IF($B469="","",IFERROR(INDEX(智能流水!$N$2:$N$1001,MATCH($B469,智能流水!$B$2:$B$1001,0)),""))</f>
        <v/>
      </c>
      <c r="O469" s="19">
        <f>IF($B469="","",IFERROR(INDEX(智能流水!$O$2:$O$1001,MATCH($B469,智能流水!$B$2:$B$1001,0)),""))</f>
        <v/>
      </c>
    </row>
    <row r="470">
      <c r="A470" s="19">
        <f>IF($B470="","",469)</f>
        <v/>
      </c>
      <c r="B470" s="19">
        <f>IFERROR(LARGE(智能流水!$B$2:$B$1001,469),"")</f>
        <v/>
      </c>
      <c r="C470" s="19">
        <f>IF($B470="","",IFERROR(INDEX(智能流水!$C$2:$C$1001,MATCH($B470,智能流水!$B$2:$B$1001,0)),""))</f>
        <v/>
      </c>
      <c r="D470" s="19">
        <f>IF($B470="","",IFERROR(INDEX(智能流水!$D$2:$D$1001,MATCH($B470,智能流水!$B$2:$B$1001,0)),""))</f>
        <v/>
      </c>
      <c r="E470" s="19">
        <f>IF($B470="","",IFERROR(INDEX(智能流水!$E$2:$E$1001,MATCH($B470,智能流水!$B$2:$B$1001,0)),""))</f>
        <v/>
      </c>
      <c r="F470" s="19">
        <f>IF($B470="","",IFERROR(INDEX(智能流水!$F$2:$F$1001,MATCH($B470,智能流水!$B$2:$B$1001,0)),""))</f>
        <v/>
      </c>
      <c r="G470" s="19">
        <f>IF($B470="","",IFERROR(INDEX(智能流水!$G$2:$G$1001,MATCH($B470,智能流水!$B$2:$B$1001,0)),""))</f>
        <v/>
      </c>
      <c r="H470" s="19">
        <f>IF($B470="","",IFERROR(INDEX(智能流水!$H$2:$H$1001,MATCH($B470,智能流水!$B$2:$B$1001,0)),""))</f>
        <v/>
      </c>
      <c r="I470" s="19">
        <f>IF($B470="","",IFERROR(INDEX(智能流水!$I$2:$I$1001,MATCH($B470,智能流水!$B$2:$B$1001,0)),""))</f>
        <v/>
      </c>
      <c r="J470" s="19">
        <f>IF($B470="","",IFERROR(INDEX(智能流水!$J$2:$J$1001,MATCH($B470,智能流水!$B$2:$B$1001,0)),""))</f>
        <v/>
      </c>
      <c r="K470" s="19">
        <f>IF($B470="","",IFERROR(INDEX(智能流水!$K$2:$K$1001,MATCH($B470,智能流水!$B$2:$B$1001,0)),""))</f>
        <v/>
      </c>
      <c r="L470" s="19">
        <f>IF($B470="","",IFERROR(INDEX(智能流水!$L$2:$L$1001,MATCH($B470,智能流水!$B$2:$B$1001,0)),""))</f>
        <v/>
      </c>
      <c r="M470" s="19">
        <f>IF($B470="","",IFERROR(INDEX(智能流水!$M$2:$M$1001,MATCH($B470,智能流水!$B$2:$B$1001,0)),""))</f>
        <v/>
      </c>
      <c r="N470" s="19">
        <f>IF($B470="","",IFERROR(INDEX(智能流水!$N$2:$N$1001,MATCH($B470,智能流水!$B$2:$B$1001,0)),""))</f>
        <v/>
      </c>
      <c r="O470" s="19">
        <f>IF($B470="","",IFERROR(INDEX(智能流水!$O$2:$O$1001,MATCH($B470,智能流水!$B$2:$B$1001,0)),""))</f>
        <v/>
      </c>
    </row>
    <row r="471">
      <c r="A471" s="19">
        <f>IF($B471="","",470)</f>
        <v/>
      </c>
      <c r="B471" s="19">
        <f>IFERROR(LARGE(智能流水!$B$2:$B$1001,470),"")</f>
        <v/>
      </c>
      <c r="C471" s="19">
        <f>IF($B471="","",IFERROR(INDEX(智能流水!$C$2:$C$1001,MATCH($B471,智能流水!$B$2:$B$1001,0)),""))</f>
        <v/>
      </c>
      <c r="D471" s="19">
        <f>IF($B471="","",IFERROR(INDEX(智能流水!$D$2:$D$1001,MATCH($B471,智能流水!$B$2:$B$1001,0)),""))</f>
        <v/>
      </c>
      <c r="E471" s="19">
        <f>IF($B471="","",IFERROR(INDEX(智能流水!$E$2:$E$1001,MATCH($B471,智能流水!$B$2:$B$1001,0)),""))</f>
        <v/>
      </c>
      <c r="F471" s="19">
        <f>IF($B471="","",IFERROR(INDEX(智能流水!$F$2:$F$1001,MATCH($B471,智能流水!$B$2:$B$1001,0)),""))</f>
        <v/>
      </c>
      <c r="G471" s="19">
        <f>IF($B471="","",IFERROR(INDEX(智能流水!$G$2:$G$1001,MATCH($B471,智能流水!$B$2:$B$1001,0)),""))</f>
        <v/>
      </c>
      <c r="H471" s="19">
        <f>IF($B471="","",IFERROR(INDEX(智能流水!$H$2:$H$1001,MATCH($B471,智能流水!$B$2:$B$1001,0)),""))</f>
        <v/>
      </c>
      <c r="I471" s="19">
        <f>IF($B471="","",IFERROR(INDEX(智能流水!$I$2:$I$1001,MATCH($B471,智能流水!$B$2:$B$1001,0)),""))</f>
        <v/>
      </c>
      <c r="J471" s="19">
        <f>IF($B471="","",IFERROR(INDEX(智能流水!$J$2:$J$1001,MATCH($B471,智能流水!$B$2:$B$1001,0)),""))</f>
        <v/>
      </c>
      <c r="K471" s="19">
        <f>IF($B471="","",IFERROR(INDEX(智能流水!$K$2:$K$1001,MATCH($B471,智能流水!$B$2:$B$1001,0)),""))</f>
        <v/>
      </c>
      <c r="L471" s="19">
        <f>IF($B471="","",IFERROR(INDEX(智能流水!$L$2:$L$1001,MATCH($B471,智能流水!$B$2:$B$1001,0)),""))</f>
        <v/>
      </c>
      <c r="M471" s="19">
        <f>IF($B471="","",IFERROR(INDEX(智能流水!$M$2:$M$1001,MATCH($B471,智能流水!$B$2:$B$1001,0)),""))</f>
        <v/>
      </c>
      <c r="N471" s="19">
        <f>IF($B471="","",IFERROR(INDEX(智能流水!$N$2:$N$1001,MATCH($B471,智能流水!$B$2:$B$1001,0)),""))</f>
        <v/>
      </c>
      <c r="O471" s="19">
        <f>IF($B471="","",IFERROR(INDEX(智能流水!$O$2:$O$1001,MATCH($B471,智能流水!$B$2:$B$1001,0)),""))</f>
        <v/>
      </c>
    </row>
    <row r="472">
      <c r="A472" s="19">
        <f>IF($B472="","",471)</f>
        <v/>
      </c>
      <c r="B472" s="19">
        <f>IFERROR(LARGE(智能流水!$B$2:$B$1001,471),"")</f>
        <v/>
      </c>
      <c r="C472" s="19">
        <f>IF($B472="","",IFERROR(INDEX(智能流水!$C$2:$C$1001,MATCH($B472,智能流水!$B$2:$B$1001,0)),""))</f>
        <v/>
      </c>
      <c r="D472" s="19">
        <f>IF($B472="","",IFERROR(INDEX(智能流水!$D$2:$D$1001,MATCH($B472,智能流水!$B$2:$B$1001,0)),""))</f>
        <v/>
      </c>
      <c r="E472" s="19">
        <f>IF($B472="","",IFERROR(INDEX(智能流水!$E$2:$E$1001,MATCH($B472,智能流水!$B$2:$B$1001,0)),""))</f>
        <v/>
      </c>
      <c r="F472" s="19">
        <f>IF($B472="","",IFERROR(INDEX(智能流水!$F$2:$F$1001,MATCH($B472,智能流水!$B$2:$B$1001,0)),""))</f>
        <v/>
      </c>
      <c r="G472" s="19">
        <f>IF($B472="","",IFERROR(INDEX(智能流水!$G$2:$G$1001,MATCH($B472,智能流水!$B$2:$B$1001,0)),""))</f>
        <v/>
      </c>
      <c r="H472" s="19">
        <f>IF($B472="","",IFERROR(INDEX(智能流水!$H$2:$H$1001,MATCH($B472,智能流水!$B$2:$B$1001,0)),""))</f>
        <v/>
      </c>
      <c r="I472" s="19">
        <f>IF($B472="","",IFERROR(INDEX(智能流水!$I$2:$I$1001,MATCH($B472,智能流水!$B$2:$B$1001,0)),""))</f>
        <v/>
      </c>
      <c r="J472" s="19">
        <f>IF($B472="","",IFERROR(INDEX(智能流水!$J$2:$J$1001,MATCH($B472,智能流水!$B$2:$B$1001,0)),""))</f>
        <v/>
      </c>
      <c r="K472" s="19">
        <f>IF($B472="","",IFERROR(INDEX(智能流水!$K$2:$K$1001,MATCH($B472,智能流水!$B$2:$B$1001,0)),""))</f>
        <v/>
      </c>
      <c r="L472" s="19">
        <f>IF($B472="","",IFERROR(INDEX(智能流水!$L$2:$L$1001,MATCH($B472,智能流水!$B$2:$B$1001,0)),""))</f>
        <v/>
      </c>
      <c r="M472" s="19">
        <f>IF($B472="","",IFERROR(INDEX(智能流水!$M$2:$M$1001,MATCH($B472,智能流水!$B$2:$B$1001,0)),""))</f>
        <v/>
      </c>
      <c r="N472" s="19">
        <f>IF($B472="","",IFERROR(INDEX(智能流水!$N$2:$N$1001,MATCH($B472,智能流水!$B$2:$B$1001,0)),""))</f>
        <v/>
      </c>
      <c r="O472" s="19">
        <f>IF($B472="","",IFERROR(INDEX(智能流水!$O$2:$O$1001,MATCH($B472,智能流水!$B$2:$B$1001,0)),""))</f>
        <v/>
      </c>
    </row>
    <row r="473">
      <c r="A473" s="19">
        <f>IF($B473="","",472)</f>
        <v/>
      </c>
      <c r="B473" s="19">
        <f>IFERROR(LARGE(智能流水!$B$2:$B$1001,472),"")</f>
        <v/>
      </c>
      <c r="C473" s="19">
        <f>IF($B473="","",IFERROR(INDEX(智能流水!$C$2:$C$1001,MATCH($B473,智能流水!$B$2:$B$1001,0)),""))</f>
        <v/>
      </c>
      <c r="D473" s="19">
        <f>IF($B473="","",IFERROR(INDEX(智能流水!$D$2:$D$1001,MATCH($B473,智能流水!$B$2:$B$1001,0)),""))</f>
        <v/>
      </c>
      <c r="E473" s="19">
        <f>IF($B473="","",IFERROR(INDEX(智能流水!$E$2:$E$1001,MATCH($B473,智能流水!$B$2:$B$1001,0)),""))</f>
        <v/>
      </c>
      <c r="F473" s="19">
        <f>IF($B473="","",IFERROR(INDEX(智能流水!$F$2:$F$1001,MATCH($B473,智能流水!$B$2:$B$1001,0)),""))</f>
        <v/>
      </c>
      <c r="G473" s="19">
        <f>IF($B473="","",IFERROR(INDEX(智能流水!$G$2:$G$1001,MATCH($B473,智能流水!$B$2:$B$1001,0)),""))</f>
        <v/>
      </c>
      <c r="H473" s="19">
        <f>IF($B473="","",IFERROR(INDEX(智能流水!$H$2:$H$1001,MATCH($B473,智能流水!$B$2:$B$1001,0)),""))</f>
        <v/>
      </c>
      <c r="I473" s="19">
        <f>IF($B473="","",IFERROR(INDEX(智能流水!$I$2:$I$1001,MATCH($B473,智能流水!$B$2:$B$1001,0)),""))</f>
        <v/>
      </c>
      <c r="J473" s="19">
        <f>IF($B473="","",IFERROR(INDEX(智能流水!$J$2:$J$1001,MATCH($B473,智能流水!$B$2:$B$1001,0)),""))</f>
        <v/>
      </c>
      <c r="K473" s="19">
        <f>IF($B473="","",IFERROR(INDEX(智能流水!$K$2:$K$1001,MATCH($B473,智能流水!$B$2:$B$1001,0)),""))</f>
        <v/>
      </c>
      <c r="L473" s="19">
        <f>IF($B473="","",IFERROR(INDEX(智能流水!$L$2:$L$1001,MATCH($B473,智能流水!$B$2:$B$1001,0)),""))</f>
        <v/>
      </c>
      <c r="M473" s="19">
        <f>IF($B473="","",IFERROR(INDEX(智能流水!$M$2:$M$1001,MATCH($B473,智能流水!$B$2:$B$1001,0)),""))</f>
        <v/>
      </c>
      <c r="N473" s="19">
        <f>IF($B473="","",IFERROR(INDEX(智能流水!$N$2:$N$1001,MATCH($B473,智能流水!$B$2:$B$1001,0)),""))</f>
        <v/>
      </c>
      <c r="O473" s="19">
        <f>IF($B473="","",IFERROR(INDEX(智能流水!$O$2:$O$1001,MATCH($B473,智能流水!$B$2:$B$1001,0)),""))</f>
        <v/>
      </c>
    </row>
    <row r="474">
      <c r="A474" s="19">
        <f>IF($B474="","",473)</f>
        <v/>
      </c>
      <c r="B474" s="19">
        <f>IFERROR(LARGE(智能流水!$B$2:$B$1001,473),"")</f>
        <v/>
      </c>
      <c r="C474" s="19">
        <f>IF($B474="","",IFERROR(INDEX(智能流水!$C$2:$C$1001,MATCH($B474,智能流水!$B$2:$B$1001,0)),""))</f>
        <v/>
      </c>
      <c r="D474" s="19">
        <f>IF($B474="","",IFERROR(INDEX(智能流水!$D$2:$D$1001,MATCH($B474,智能流水!$B$2:$B$1001,0)),""))</f>
        <v/>
      </c>
      <c r="E474" s="19">
        <f>IF($B474="","",IFERROR(INDEX(智能流水!$E$2:$E$1001,MATCH($B474,智能流水!$B$2:$B$1001,0)),""))</f>
        <v/>
      </c>
      <c r="F474" s="19">
        <f>IF($B474="","",IFERROR(INDEX(智能流水!$F$2:$F$1001,MATCH($B474,智能流水!$B$2:$B$1001,0)),""))</f>
        <v/>
      </c>
      <c r="G474" s="19">
        <f>IF($B474="","",IFERROR(INDEX(智能流水!$G$2:$G$1001,MATCH($B474,智能流水!$B$2:$B$1001,0)),""))</f>
        <v/>
      </c>
      <c r="H474" s="19">
        <f>IF($B474="","",IFERROR(INDEX(智能流水!$H$2:$H$1001,MATCH($B474,智能流水!$B$2:$B$1001,0)),""))</f>
        <v/>
      </c>
      <c r="I474" s="19">
        <f>IF($B474="","",IFERROR(INDEX(智能流水!$I$2:$I$1001,MATCH($B474,智能流水!$B$2:$B$1001,0)),""))</f>
        <v/>
      </c>
      <c r="J474" s="19">
        <f>IF($B474="","",IFERROR(INDEX(智能流水!$J$2:$J$1001,MATCH($B474,智能流水!$B$2:$B$1001,0)),""))</f>
        <v/>
      </c>
      <c r="K474" s="19">
        <f>IF($B474="","",IFERROR(INDEX(智能流水!$K$2:$K$1001,MATCH($B474,智能流水!$B$2:$B$1001,0)),""))</f>
        <v/>
      </c>
      <c r="L474" s="19">
        <f>IF($B474="","",IFERROR(INDEX(智能流水!$L$2:$L$1001,MATCH($B474,智能流水!$B$2:$B$1001,0)),""))</f>
        <v/>
      </c>
      <c r="M474" s="19">
        <f>IF($B474="","",IFERROR(INDEX(智能流水!$M$2:$M$1001,MATCH($B474,智能流水!$B$2:$B$1001,0)),""))</f>
        <v/>
      </c>
      <c r="N474" s="19">
        <f>IF($B474="","",IFERROR(INDEX(智能流水!$N$2:$N$1001,MATCH($B474,智能流水!$B$2:$B$1001,0)),""))</f>
        <v/>
      </c>
      <c r="O474" s="19">
        <f>IF($B474="","",IFERROR(INDEX(智能流水!$O$2:$O$1001,MATCH($B474,智能流水!$B$2:$B$1001,0)),""))</f>
        <v/>
      </c>
    </row>
    <row r="475">
      <c r="A475" s="19">
        <f>IF($B475="","",474)</f>
        <v/>
      </c>
      <c r="B475" s="19">
        <f>IFERROR(LARGE(智能流水!$B$2:$B$1001,474),"")</f>
        <v/>
      </c>
      <c r="C475" s="19">
        <f>IF($B475="","",IFERROR(INDEX(智能流水!$C$2:$C$1001,MATCH($B475,智能流水!$B$2:$B$1001,0)),""))</f>
        <v/>
      </c>
      <c r="D475" s="19">
        <f>IF($B475="","",IFERROR(INDEX(智能流水!$D$2:$D$1001,MATCH($B475,智能流水!$B$2:$B$1001,0)),""))</f>
        <v/>
      </c>
      <c r="E475" s="19">
        <f>IF($B475="","",IFERROR(INDEX(智能流水!$E$2:$E$1001,MATCH($B475,智能流水!$B$2:$B$1001,0)),""))</f>
        <v/>
      </c>
      <c r="F475" s="19">
        <f>IF($B475="","",IFERROR(INDEX(智能流水!$F$2:$F$1001,MATCH($B475,智能流水!$B$2:$B$1001,0)),""))</f>
        <v/>
      </c>
      <c r="G475" s="19">
        <f>IF($B475="","",IFERROR(INDEX(智能流水!$G$2:$G$1001,MATCH($B475,智能流水!$B$2:$B$1001,0)),""))</f>
        <v/>
      </c>
      <c r="H475" s="19">
        <f>IF($B475="","",IFERROR(INDEX(智能流水!$H$2:$H$1001,MATCH($B475,智能流水!$B$2:$B$1001,0)),""))</f>
        <v/>
      </c>
      <c r="I475" s="19">
        <f>IF($B475="","",IFERROR(INDEX(智能流水!$I$2:$I$1001,MATCH($B475,智能流水!$B$2:$B$1001,0)),""))</f>
        <v/>
      </c>
      <c r="J475" s="19">
        <f>IF($B475="","",IFERROR(INDEX(智能流水!$J$2:$J$1001,MATCH($B475,智能流水!$B$2:$B$1001,0)),""))</f>
        <v/>
      </c>
      <c r="K475" s="19">
        <f>IF($B475="","",IFERROR(INDEX(智能流水!$K$2:$K$1001,MATCH($B475,智能流水!$B$2:$B$1001,0)),""))</f>
        <v/>
      </c>
      <c r="L475" s="19">
        <f>IF($B475="","",IFERROR(INDEX(智能流水!$L$2:$L$1001,MATCH($B475,智能流水!$B$2:$B$1001,0)),""))</f>
        <v/>
      </c>
      <c r="M475" s="19">
        <f>IF($B475="","",IFERROR(INDEX(智能流水!$M$2:$M$1001,MATCH($B475,智能流水!$B$2:$B$1001,0)),""))</f>
        <v/>
      </c>
      <c r="N475" s="19">
        <f>IF($B475="","",IFERROR(INDEX(智能流水!$N$2:$N$1001,MATCH($B475,智能流水!$B$2:$B$1001,0)),""))</f>
        <v/>
      </c>
      <c r="O475" s="19">
        <f>IF($B475="","",IFERROR(INDEX(智能流水!$O$2:$O$1001,MATCH($B475,智能流水!$B$2:$B$1001,0)),""))</f>
        <v/>
      </c>
    </row>
    <row r="476">
      <c r="A476" s="19">
        <f>IF($B476="","",475)</f>
        <v/>
      </c>
      <c r="B476" s="19">
        <f>IFERROR(LARGE(智能流水!$B$2:$B$1001,475),"")</f>
        <v/>
      </c>
      <c r="C476" s="19">
        <f>IF($B476="","",IFERROR(INDEX(智能流水!$C$2:$C$1001,MATCH($B476,智能流水!$B$2:$B$1001,0)),""))</f>
        <v/>
      </c>
      <c r="D476" s="19">
        <f>IF($B476="","",IFERROR(INDEX(智能流水!$D$2:$D$1001,MATCH($B476,智能流水!$B$2:$B$1001,0)),""))</f>
        <v/>
      </c>
      <c r="E476" s="19">
        <f>IF($B476="","",IFERROR(INDEX(智能流水!$E$2:$E$1001,MATCH($B476,智能流水!$B$2:$B$1001,0)),""))</f>
        <v/>
      </c>
      <c r="F476" s="19">
        <f>IF($B476="","",IFERROR(INDEX(智能流水!$F$2:$F$1001,MATCH($B476,智能流水!$B$2:$B$1001,0)),""))</f>
        <v/>
      </c>
      <c r="G476" s="19">
        <f>IF($B476="","",IFERROR(INDEX(智能流水!$G$2:$G$1001,MATCH($B476,智能流水!$B$2:$B$1001,0)),""))</f>
        <v/>
      </c>
      <c r="H476" s="19">
        <f>IF($B476="","",IFERROR(INDEX(智能流水!$H$2:$H$1001,MATCH($B476,智能流水!$B$2:$B$1001,0)),""))</f>
        <v/>
      </c>
      <c r="I476" s="19">
        <f>IF($B476="","",IFERROR(INDEX(智能流水!$I$2:$I$1001,MATCH($B476,智能流水!$B$2:$B$1001,0)),""))</f>
        <v/>
      </c>
      <c r="J476" s="19">
        <f>IF($B476="","",IFERROR(INDEX(智能流水!$J$2:$J$1001,MATCH($B476,智能流水!$B$2:$B$1001,0)),""))</f>
        <v/>
      </c>
      <c r="K476" s="19">
        <f>IF($B476="","",IFERROR(INDEX(智能流水!$K$2:$K$1001,MATCH($B476,智能流水!$B$2:$B$1001,0)),""))</f>
        <v/>
      </c>
      <c r="L476" s="19">
        <f>IF($B476="","",IFERROR(INDEX(智能流水!$L$2:$L$1001,MATCH($B476,智能流水!$B$2:$B$1001,0)),""))</f>
        <v/>
      </c>
      <c r="M476" s="19">
        <f>IF($B476="","",IFERROR(INDEX(智能流水!$M$2:$M$1001,MATCH($B476,智能流水!$B$2:$B$1001,0)),""))</f>
        <v/>
      </c>
      <c r="N476" s="19">
        <f>IF($B476="","",IFERROR(INDEX(智能流水!$N$2:$N$1001,MATCH($B476,智能流水!$B$2:$B$1001,0)),""))</f>
        <v/>
      </c>
      <c r="O476" s="19">
        <f>IF($B476="","",IFERROR(INDEX(智能流水!$O$2:$O$1001,MATCH($B476,智能流水!$B$2:$B$1001,0)),""))</f>
        <v/>
      </c>
    </row>
    <row r="477">
      <c r="A477" s="19">
        <f>IF($B477="","",476)</f>
        <v/>
      </c>
      <c r="B477" s="19">
        <f>IFERROR(LARGE(智能流水!$B$2:$B$1001,476),"")</f>
        <v/>
      </c>
      <c r="C477" s="19">
        <f>IF($B477="","",IFERROR(INDEX(智能流水!$C$2:$C$1001,MATCH($B477,智能流水!$B$2:$B$1001,0)),""))</f>
        <v/>
      </c>
      <c r="D477" s="19">
        <f>IF($B477="","",IFERROR(INDEX(智能流水!$D$2:$D$1001,MATCH($B477,智能流水!$B$2:$B$1001,0)),""))</f>
        <v/>
      </c>
      <c r="E477" s="19">
        <f>IF($B477="","",IFERROR(INDEX(智能流水!$E$2:$E$1001,MATCH($B477,智能流水!$B$2:$B$1001,0)),""))</f>
        <v/>
      </c>
      <c r="F477" s="19">
        <f>IF($B477="","",IFERROR(INDEX(智能流水!$F$2:$F$1001,MATCH($B477,智能流水!$B$2:$B$1001,0)),""))</f>
        <v/>
      </c>
      <c r="G477" s="19">
        <f>IF($B477="","",IFERROR(INDEX(智能流水!$G$2:$G$1001,MATCH($B477,智能流水!$B$2:$B$1001,0)),""))</f>
        <v/>
      </c>
      <c r="H477" s="19">
        <f>IF($B477="","",IFERROR(INDEX(智能流水!$H$2:$H$1001,MATCH($B477,智能流水!$B$2:$B$1001,0)),""))</f>
        <v/>
      </c>
      <c r="I477" s="19">
        <f>IF($B477="","",IFERROR(INDEX(智能流水!$I$2:$I$1001,MATCH($B477,智能流水!$B$2:$B$1001,0)),""))</f>
        <v/>
      </c>
      <c r="J477" s="19">
        <f>IF($B477="","",IFERROR(INDEX(智能流水!$J$2:$J$1001,MATCH($B477,智能流水!$B$2:$B$1001,0)),""))</f>
        <v/>
      </c>
      <c r="K477" s="19">
        <f>IF($B477="","",IFERROR(INDEX(智能流水!$K$2:$K$1001,MATCH($B477,智能流水!$B$2:$B$1001,0)),""))</f>
        <v/>
      </c>
      <c r="L477" s="19">
        <f>IF($B477="","",IFERROR(INDEX(智能流水!$L$2:$L$1001,MATCH($B477,智能流水!$B$2:$B$1001,0)),""))</f>
        <v/>
      </c>
      <c r="M477" s="19">
        <f>IF($B477="","",IFERROR(INDEX(智能流水!$M$2:$M$1001,MATCH($B477,智能流水!$B$2:$B$1001,0)),""))</f>
        <v/>
      </c>
      <c r="N477" s="19">
        <f>IF($B477="","",IFERROR(INDEX(智能流水!$N$2:$N$1001,MATCH($B477,智能流水!$B$2:$B$1001,0)),""))</f>
        <v/>
      </c>
      <c r="O477" s="19">
        <f>IF($B477="","",IFERROR(INDEX(智能流水!$O$2:$O$1001,MATCH($B477,智能流水!$B$2:$B$1001,0)),""))</f>
        <v/>
      </c>
    </row>
    <row r="478">
      <c r="A478" s="19">
        <f>IF($B478="","",477)</f>
        <v/>
      </c>
      <c r="B478" s="19">
        <f>IFERROR(LARGE(智能流水!$B$2:$B$1001,477),"")</f>
        <v/>
      </c>
      <c r="C478" s="19">
        <f>IF($B478="","",IFERROR(INDEX(智能流水!$C$2:$C$1001,MATCH($B478,智能流水!$B$2:$B$1001,0)),""))</f>
        <v/>
      </c>
      <c r="D478" s="19">
        <f>IF($B478="","",IFERROR(INDEX(智能流水!$D$2:$D$1001,MATCH($B478,智能流水!$B$2:$B$1001,0)),""))</f>
        <v/>
      </c>
      <c r="E478" s="19">
        <f>IF($B478="","",IFERROR(INDEX(智能流水!$E$2:$E$1001,MATCH($B478,智能流水!$B$2:$B$1001,0)),""))</f>
        <v/>
      </c>
      <c r="F478" s="19">
        <f>IF($B478="","",IFERROR(INDEX(智能流水!$F$2:$F$1001,MATCH($B478,智能流水!$B$2:$B$1001,0)),""))</f>
        <v/>
      </c>
      <c r="G478" s="19">
        <f>IF($B478="","",IFERROR(INDEX(智能流水!$G$2:$G$1001,MATCH($B478,智能流水!$B$2:$B$1001,0)),""))</f>
        <v/>
      </c>
      <c r="H478" s="19">
        <f>IF($B478="","",IFERROR(INDEX(智能流水!$H$2:$H$1001,MATCH($B478,智能流水!$B$2:$B$1001,0)),""))</f>
        <v/>
      </c>
      <c r="I478" s="19">
        <f>IF($B478="","",IFERROR(INDEX(智能流水!$I$2:$I$1001,MATCH($B478,智能流水!$B$2:$B$1001,0)),""))</f>
        <v/>
      </c>
      <c r="J478" s="19">
        <f>IF($B478="","",IFERROR(INDEX(智能流水!$J$2:$J$1001,MATCH($B478,智能流水!$B$2:$B$1001,0)),""))</f>
        <v/>
      </c>
      <c r="K478" s="19">
        <f>IF($B478="","",IFERROR(INDEX(智能流水!$K$2:$K$1001,MATCH($B478,智能流水!$B$2:$B$1001,0)),""))</f>
        <v/>
      </c>
      <c r="L478" s="19">
        <f>IF($B478="","",IFERROR(INDEX(智能流水!$L$2:$L$1001,MATCH($B478,智能流水!$B$2:$B$1001,0)),""))</f>
        <v/>
      </c>
      <c r="M478" s="19">
        <f>IF($B478="","",IFERROR(INDEX(智能流水!$M$2:$M$1001,MATCH($B478,智能流水!$B$2:$B$1001,0)),""))</f>
        <v/>
      </c>
      <c r="N478" s="19">
        <f>IF($B478="","",IFERROR(INDEX(智能流水!$N$2:$N$1001,MATCH($B478,智能流水!$B$2:$B$1001,0)),""))</f>
        <v/>
      </c>
      <c r="O478" s="19">
        <f>IF($B478="","",IFERROR(INDEX(智能流水!$O$2:$O$1001,MATCH($B478,智能流水!$B$2:$B$1001,0)),""))</f>
        <v/>
      </c>
    </row>
    <row r="479">
      <c r="A479" s="19">
        <f>IF($B479="","",478)</f>
        <v/>
      </c>
      <c r="B479" s="19">
        <f>IFERROR(LARGE(智能流水!$B$2:$B$1001,478),"")</f>
        <v/>
      </c>
      <c r="C479" s="19">
        <f>IF($B479="","",IFERROR(INDEX(智能流水!$C$2:$C$1001,MATCH($B479,智能流水!$B$2:$B$1001,0)),""))</f>
        <v/>
      </c>
      <c r="D479" s="19">
        <f>IF($B479="","",IFERROR(INDEX(智能流水!$D$2:$D$1001,MATCH($B479,智能流水!$B$2:$B$1001,0)),""))</f>
        <v/>
      </c>
      <c r="E479" s="19">
        <f>IF($B479="","",IFERROR(INDEX(智能流水!$E$2:$E$1001,MATCH($B479,智能流水!$B$2:$B$1001,0)),""))</f>
        <v/>
      </c>
      <c r="F479" s="19">
        <f>IF($B479="","",IFERROR(INDEX(智能流水!$F$2:$F$1001,MATCH($B479,智能流水!$B$2:$B$1001,0)),""))</f>
        <v/>
      </c>
      <c r="G479" s="19">
        <f>IF($B479="","",IFERROR(INDEX(智能流水!$G$2:$G$1001,MATCH($B479,智能流水!$B$2:$B$1001,0)),""))</f>
        <v/>
      </c>
      <c r="H479" s="19">
        <f>IF($B479="","",IFERROR(INDEX(智能流水!$H$2:$H$1001,MATCH($B479,智能流水!$B$2:$B$1001,0)),""))</f>
        <v/>
      </c>
      <c r="I479" s="19">
        <f>IF($B479="","",IFERROR(INDEX(智能流水!$I$2:$I$1001,MATCH($B479,智能流水!$B$2:$B$1001,0)),""))</f>
        <v/>
      </c>
      <c r="J479" s="19">
        <f>IF($B479="","",IFERROR(INDEX(智能流水!$J$2:$J$1001,MATCH($B479,智能流水!$B$2:$B$1001,0)),""))</f>
        <v/>
      </c>
      <c r="K479" s="19">
        <f>IF($B479="","",IFERROR(INDEX(智能流水!$K$2:$K$1001,MATCH($B479,智能流水!$B$2:$B$1001,0)),""))</f>
        <v/>
      </c>
      <c r="L479" s="19">
        <f>IF($B479="","",IFERROR(INDEX(智能流水!$L$2:$L$1001,MATCH($B479,智能流水!$B$2:$B$1001,0)),""))</f>
        <v/>
      </c>
      <c r="M479" s="19">
        <f>IF($B479="","",IFERROR(INDEX(智能流水!$M$2:$M$1001,MATCH($B479,智能流水!$B$2:$B$1001,0)),""))</f>
        <v/>
      </c>
      <c r="N479" s="19">
        <f>IF($B479="","",IFERROR(INDEX(智能流水!$N$2:$N$1001,MATCH($B479,智能流水!$B$2:$B$1001,0)),""))</f>
        <v/>
      </c>
      <c r="O479" s="19">
        <f>IF($B479="","",IFERROR(INDEX(智能流水!$O$2:$O$1001,MATCH($B479,智能流水!$B$2:$B$1001,0)),""))</f>
        <v/>
      </c>
    </row>
    <row r="480">
      <c r="A480" s="19">
        <f>IF($B480="","",479)</f>
        <v/>
      </c>
      <c r="B480" s="19">
        <f>IFERROR(LARGE(智能流水!$B$2:$B$1001,479),"")</f>
        <v/>
      </c>
      <c r="C480" s="19">
        <f>IF($B480="","",IFERROR(INDEX(智能流水!$C$2:$C$1001,MATCH($B480,智能流水!$B$2:$B$1001,0)),""))</f>
        <v/>
      </c>
      <c r="D480" s="19">
        <f>IF($B480="","",IFERROR(INDEX(智能流水!$D$2:$D$1001,MATCH($B480,智能流水!$B$2:$B$1001,0)),""))</f>
        <v/>
      </c>
      <c r="E480" s="19">
        <f>IF($B480="","",IFERROR(INDEX(智能流水!$E$2:$E$1001,MATCH($B480,智能流水!$B$2:$B$1001,0)),""))</f>
        <v/>
      </c>
      <c r="F480" s="19">
        <f>IF($B480="","",IFERROR(INDEX(智能流水!$F$2:$F$1001,MATCH($B480,智能流水!$B$2:$B$1001,0)),""))</f>
        <v/>
      </c>
      <c r="G480" s="19">
        <f>IF($B480="","",IFERROR(INDEX(智能流水!$G$2:$G$1001,MATCH($B480,智能流水!$B$2:$B$1001,0)),""))</f>
        <v/>
      </c>
      <c r="H480" s="19">
        <f>IF($B480="","",IFERROR(INDEX(智能流水!$H$2:$H$1001,MATCH($B480,智能流水!$B$2:$B$1001,0)),""))</f>
        <v/>
      </c>
      <c r="I480" s="19">
        <f>IF($B480="","",IFERROR(INDEX(智能流水!$I$2:$I$1001,MATCH($B480,智能流水!$B$2:$B$1001,0)),""))</f>
        <v/>
      </c>
      <c r="J480" s="19">
        <f>IF($B480="","",IFERROR(INDEX(智能流水!$J$2:$J$1001,MATCH($B480,智能流水!$B$2:$B$1001,0)),""))</f>
        <v/>
      </c>
      <c r="K480" s="19">
        <f>IF($B480="","",IFERROR(INDEX(智能流水!$K$2:$K$1001,MATCH($B480,智能流水!$B$2:$B$1001,0)),""))</f>
        <v/>
      </c>
      <c r="L480" s="19">
        <f>IF($B480="","",IFERROR(INDEX(智能流水!$L$2:$L$1001,MATCH($B480,智能流水!$B$2:$B$1001,0)),""))</f>
        <v/>
      </c>
      <c r="M480" s="19">
        <f>IF($B480="","",IFERROR(INDEX(智能流水!$M$2:$M$1001,MATCH($B480,智能流水!$B$2:$B$1001,0)),""))</f>
        <v/>
      </c>
      <c r="N480" s="19">
        <f>IF($B480="","",IFERROR(INDEX(智能流水!$N$2:$N$1001,MATCH($B480,智能流水!$B$2:$B$1001,0)),""))</f>
        <v/>
      </c>
      <c r="O480" s="19">
        <f>IF($B480="","",IFERROR(INDEX(智能流水!$O$2:$O$1001,MATCH($B480,智能流水!$B$2:$B$1001,0)),""))</f>
        <v/>
      </c>
    </row>
    <row r="481">
      <c r="A481" s="19">
        <f>IF($B481="","",480)</f>
        <v/>
      </c>
      <c r="B481" s="19">
        <f>IFERROR(LARGE(智能流水!$B$2:$B$1001,480),"")</f>
        <v/>
      </c>
      <c r="C481" s="19">
        <f>IF($B481="","",IFERROR(INDEX(智能流水!$C$2:$C$1001,MATCH($B481,智能流水!$B$2:$B$1001,0)),""))</f>
        <v/>
      </c>
      <c r="D481" s="19">
        <f>IF($B481="","",IFERROR(INDEX(智能流水!$D$2:$D$1001,MATCH($B481,智能流水!$B$2:$B$1001,0)),""))</f>
        <v/>
      </c>
      <c r="E481" s="19">
        <f>IF($B481="","",IFERROR(INDEX(智能流水!$E$2:$E$1001,MATCH($B481,智能流水!$B$2:$B$1001,0)),""))</f>
        <v/>
      </c>
      <c r="F481" s="19">
        <f>IF($B481="","",IFERROR(INDEX(智能流水!$F$2:$F$1001,MATCH($B481,智能流水!$B$2:$B$1001,0)),""))</f>
        <v/>
      </c>
      <c r="G481" s="19">
        <f>IF($B481="","",IFERROR(INDEX(智能流水!$G$2:$G$1001,MATCH($B481,智能流水!$B$2:$B$1001,0)),""))</f>
        <v/>
      </c>
      <c r="H481" s="19">
        <f>IF($B481="","",IFERROR(INDEX(智能流水!$H$2:$H$1001,MATCH($B481,智能流水!$B$2:$B$1001,0)),""))</f>
        <v/>
      </c>
      <c r="I481" s="19">
        <f>IF($B481="","",IFERROR(INDEX(智能流水!$I$2:$I$1001,MATCH($B481,智能流水!$B$2:$B$1001,0)),""))</f>
        <v/>
      </c>
      <c r="J481" s="19">
        <f>IF($B481="","",IFERROR(INDEX(智能流水!$J$2:$J$1001,MATCH($B481,智能流水!$B$2:$B$1001,0)),""))</f>
        <v/>
      </c>
      <c r="K481" s="19">
        <f>IF($B481="","",IFERROR(INDEX(智能流水!$K$2:$K$1001,MATCH($B481,智能流水!$B$2:$B$1001,0)),""))</f>
        <v/>
      </c>
      <c r="L481" s="19">
        <f>IF($B481="","",IFERROR(INDEX(智能流水!$L$2:$L$1001,MATCH($B481,智能流水!$B$2:$B$1001,0)),""))</f>
        <v/>
      </c>
      <c r="M481" s="19">
        <f>IF($B481="","",IFERROR(INDEX(智能流水!$M$2:$M$1001,MATCH($B481,智能流水!$B$2:$B$1001,0)),""))</f>
        <v/>
      </c>
      <c r="N481" s="19">
        <f>IF($B481="","",IFERROR(INDEX(智能流水!$N$2:$N$1001,MATCH($B481,智能流水!$B$2:$B$1001,0)),""))</f>
        <v/>
      </c>
      <c r="O481" s="19">
        <f>IF($B481="","",IFERROR(INDEX(智能流水!$O$2:$O$1001,MATCH($B481,智能流水!$B$2:$B$1001,0)),""))</f>
        <v/>
      </c>
    </row>
    <row r="482">
      <c r="A482" s="19">
        <f>IF($B482="","",481)</f>
        <v/>
      </c>
      <c r="B482" s="19">
        <f>IFERROR(LARGE(智能流水!$B$2:$B$1001,481),"")</f>
        <v/>
      </c>
      <c r="C482" s="19">
        <f>IF($B482="","",IFERROR(INDEX(智能流水!$C$2:$C$1001,MATCH($B482,智能流水!$B$2:$B$1001,0)),""))</f>
        <v/>
      </c>
      <c r="D482" s="19">
        <f>IF($B482="","",IFERROR(INDEX(智能流水!$D$2:$D$1001,MATCH($B482,智能流水!$B$2:$B$1001,0)),""))</f>
        <v/>
      </c>
      <c r="E482" s="19">
        <f>IF($B482="","",IFERROR(INDEX(智能流水!$E$2:$E$1001,MATCH($B482,智能流水!$B$2:$B$1001,0)),""))</f>
        <v/>
      </c>
      <c r="F482" s="19">
        <f>IF($B482="","",IFERROR(INDEX(智能流水!$F$2:$F$1001,MATCH($B482,智能流水!$B$2:$B$1001,0)),""))</f>
        <v/>
      </c>
      <c r="G482" s="19">
        <f>IF($B482="","",IFERROR(INDEX(智能流水!$G$2:$G$1001,MATCH($B482,智能流水!$B$2:$B$1001,0)),""))</f>
        <v/>
      </c>
      <c r="H482" s="19">
        <f>IF($B482="","",IFERROR(INDEX(智能流水!$H$2:$H$1001,MATCH($B482,智能流水!$B$2:$B$1001,0)),""))</f>
        <v/>
      </c>
      <c r="I482" s="19">
        <f>IF($B482="","",IFERROR(INDEX(智能流水!$I$2:$I$1001,MATCH($B482,智能流水!$B$2:$B$1001,0)),""))</f>
        <v/>
      </c>
      <c r="J482" s="19">
        <f>IF($B482="","",IFERROR(INDEX(智能流水!$J$2:$J$1001,MATCH($B482,智能流水!$B$2:$B$1001,0)),""))</f>
        <v/>
      </c>
      <c r="K482" s="19">
        <f>IF($B482="","",IFERROR(INDEX(智能流水!$K$2:$K$1001,MATCH($B482,智能流水!$B$2:$B$1001,0)),""))</f>
        <v/>
      </c>
      <c r="L482" s="19">
        <f>IF($B482="","",IFERROR(INDEX(智能流水!$L$2:$L$1001,MATCH($B482,智能流水!$B$2:$B$1001,0)),""))</f>
        <v/>
      </c>
      <c r="M482" s="19">
        <f>IF($B482="","",IFERROR(INDEX(智能流水!$M$2:$M$1001,MATCH($B482,智能流水!$B$2:$B$1001,0)),""))</f>
        <v/>
      </c>
      <c r="N482" s="19">
        <f>IF($B482="","",IFERROR(INDEX(智能流水!$N$2:$N$1001,MATCH($B482,智能流水!$B$2:$B$1001,0)),""))</f>
        <v/>
      </c>
      <c r="O482" s="19">
        <f>IF($B482="","",IFERROR(INDEX(智能流水!$O$2:$O$1001,MATCH($B482,智能流水!$B$2:$B$1001,0)),""))</f>
        <v/>
      </c>
    </row>
    <row r="483">
      <c r="A483" s="19">
        <f>IF($B483="","",482)</f>
        <v/>
      </c>
      <c r="B483" s="19">
        <f>IFERROR(LARGE(智能流水!$B$2:$B$1001,482),"")</f>
        <v/>
      </c>
      <c r="C483" s="19">
        <f>IF($B483="","",IFERROR(INDEX(智能流水!$C$2:$C$1001,MATCH($B483,智能流水!$B$2:$B$1001,0)),""))</f>
        <v/>
      </c>
      <c r="D483" s="19">
        <f>IF($B483="","",IFERROR(INDEX(智能流水!$D$2:$D$1001,MATCH($B483,智能流水!$B$2:$B$1001,0)),""))</f>
        <v/>
      </c>
      <c r="E483" s="19">
        <f>IF($B483="","",IFERROR(INDEX(智能流水!$E$2:$E$1001,MATCH($B483,智能流水!$B$2:$B$1001,0)),""))</f>
        <v/>
      </c>
      <c r="F483" s="19">
        <f>IF($B483="","",IFERROR(INDEX(智能流水!$F$2:$F$1001,MATCH($B483,智能流水!$B$2:$B$1001,0)),""))</f>
        <v/>
      </c>
      <c r="G483" s="19">
        <f>IF($B483="","",IFERROR(INDEX(智能流水!$G$2:$G$1001,MATCH($B483,智能流水!$B$2:$B$1001,0)),""))</f>
        <v/>
      </c>
      <c r="H483" s="19">
        <f>IF($B483="","",IFERROR(INDEX(智能流水!$H$2:$H$1001,MATCH($B483,智能流水!$B$2:$B$1001,0)),""))</f>
        <v/>
      </c>
      <c r="I483" s="19">
        <f>IF($B483="","",IFERROR(INDEX(智能流水!$I$2:$I$1001,MATCH($B483,智能流水!$B$2:$B$1001,0)),""))</f>
        <v/>
      </c>
      <c r="J483" s="19">
        <f>IF($B483="","",IFERROR(INDEX(智能流水!$J$2:$J$1001,MATCH($B483,智能流水!$B$2:$B$1001,0)),""))</f>
        <v/>
      </c>
      <c r="K483" s="19">
        <f>IF($B483="","",IFERROR(INDEX(智能流水!$K$2:$K$1001,MATCH($B483,智能流水!$B$2:$B$1001,0)),""))</f>
        <v/>
      </c>
      <c r="L483" s="19">
        <f>IF($B483="","",IFERROR(INDEX(智能流水!$L$2:$L$1001,MATCH($B483,智能流水!$B$2:$B$1001,0)),""))</f>
        <v/>
      </c>
      <c r="M483" s="19">
        <f>IF($B483="","",IFERROR(INDEX(智能流水!$M$2:$M$1001,MATCH($B483,智能流水!$B$2:$B$1001,0)),""))</f>
        <v/>
      </c>
      <c r="N483" s="19">
        <f>IF($B483="","",IFERROR(INDEX(智能流水!$N$2:$N$1001,MATCH($B483,智能流水!$B$2:$B$1001,0)),""))</f>
        <v/>
      </c>
      <c r="O483" s="19">
        <f>IF($B483="","",IFERROR(INDEX(智能流水!$O$2:$O$1001,MATCH($B483,智能流水!$B$2:$B$1001,0)),""))</f>
        <v/>
      </c>
    </row>
    <row r="484">
      <c r="A484" s="19">
        <f>IF($B484="","",483)</f>
        <v/>
      </c>
      <c r="B484" s="19">
        <f>IFERROR(LARGE(智能流水!$B$2:$B$1001,483),"")</f>
        <v/>
      </c>
      <c r="C484" s="19">
        <f>IF($B484="","",IFERROR(INDEX(智能流水!$C$2:$C$1001,MATCH($B484,智能流水!$B$2:$B$1001,0)),""))</f>
        <v/>
      </c>
      <c r="D484" s="19">
        <f>IF($B484="","",IFERROR(INDEX(智能流水!$D$2:$D$1001,MATCH($B484,智能流水!$B$2:$B$1001,0)),""))</f>
        <v/>
      </c>
      <c r="E484" s="19">
        <f>IF($B484="","",IFERROR(INDEX(智能流水!$E$2:$E$1001,MATCH($B484,智能流水!$B$2:$B$1001,0)),""))</f>
        <v/>
      </c>
      <c r="F484" s="19">
        <f>IF($B484="","",IFERROR(INDEX(智能流水!$F$2:$F$1001,MATCH($B484,智能流水!$B$2:$B$1001,0)),""))</f>
        <v/>
      </c>
      <c r="G484" s="19">
        <f>IF($B484="","",IFERROR(INDEX(智能流水!$G$2:$G$1001,MATCH($B484,智能流水!$B$2:$B$1001,0)),""))</f>
        <v/>
      </c>
      <c r="H484" s="19">
        <f>IF($B484="","",IFERROR(INDEX(智能流水!$H$2:$H$1001,MATCH($B484,智能流水!$B$2:$B$1001,0)),""))</f>
        <v/>
      </c>
      <c r="I484" s="19">
        <f>IF($B484="","",IFERROR(INDEX(智能流水!$I$2:$I$1001,MATCH($B484,智能流水!$B$2:$B$1001,0)),""))</f>
        <v/>
      </c>
      <c r="J484" s="19">
        <f>IF($B484="","",IFERROR(INDEX(智能流水!$J$2:$J$1001,MATCH($B484,智能流水!$B$2:$B$1001,0)),""))</f>
        <v/>
      </c>
      <c r="K484" s="19">
        <f>IF($B484="","",IFERROR(INDEX(智能流水!$K$2:$K$1001,MATCH($B484,智能流水!$B$2:$B$1001,0)),""))</f>
        <v/>
      </c>
      <c r="L484" s="19">
        <f>IF($B484="","",IFERROR(INDEX(智能流水!$L$2:$L$1001,MATCH($B484,智能流水!$B$2:$B$1001,0)),""))</f>
        <v/>
      </c>
      <c r="M484" s="19">
        <f>IF($B484="","",IFERROR(INDEX(智能流水!$M$2:$M$1001,MATCH($B484,智能流水!$B$2:$B$1001,0)),""))</f>
        <v/>
      </c>
      <c r="N484" s="19">
        <f>IF($B484="","",IFERROR(INDEX(智能流水!$N$2:$N$1001,MATCH($B484,智能流水!$B$2:$B$1001,0)),""))</f>
        <v/>
      </c>
      <c r="O484" s="19">
        <f>IF($B484="","",IFERROR(INDEX(智能流水!$O$2:$O$1001,MATCH($B484,智能流水!$B$2:$B$1001,0)),""))</f>
        <v/>
      </c>
    </row>
    <row r="485">
      <c r="A485" s="19">
        <f>IF($B485="","",484)</f>
        <v/>
      </c>
      <c r="B485" s="19">
        <f>IFERROR(LARGE(智能流水!$B$2:$B$1001,484),"")</f>
        <v/>
      </c>
      <c r="C485" s="19">
        <f>IF($B485="","",IFERROR(INDEX(智能流水!$C$2:$C$1001,MATCH($B485,智能流水!$B$2:$B$1001,0)),""))</f>
        <v/>
      </c>
      <c r="D485" s="19">
        <f>IF($B485="","",IFERROR(INDEX(智能流水!$D$2:$D$1001,MATCH($B485,智能流水!$B$2:$B$1001,0)),""))</f>
        <v/>
      </c>
      <c r="E485" s="19">
        <f>IF($B485="","",IFERROR(INDEX(智能流水!$E$2:$E$1001,MATCH($B485,智能流水!$B$2:$B$1001,0)),""))</f>
        <v/>
      </c>
      <c r="F485" s="19">
        <f>IF($B485="","",IFERROR(INDEX(智能流水!$F$2:$F$1001,MATCH($B485,智能流水!$B$2:$B$1001,0)),""))</f>
        <v/>
      </c>
      <c r="G485" s="19">
        <f>IF($B485="","",IFERROR(INDEX(智能流水!$G$2:$G$1001,MATCH($B485,智能流水!$B$2:$B$1001,0)),""))</f>
        <v/>
      </c>
      <c r="H485" s="19">
        <f>IF($B485="","",IFERROR(INDEX(智能流水!$H$2:$H$1001,MATCH($B485,智能流水!$B$2:$B$1001,0)),""))</f>
        <v/>
      </c>
      <c r="I485" s="19">
        <f>IF($B485="","",IFERROR(INDEX(智能流水!$I$2:$I$1001,MATCH($B485,智能流水!$B$2:$B$1001,0)),""))</f>
        <v/>
      </c>
      <c r="J485" s="19">
        <f>IF($B485="","",IFERROR(INDEX(智能流水!$J$2:$J$1001,MATCH($B485,智能流水!$B$2:$B$1001,0)),""))</f>
        <v/>
      </c>
      <c r="K485" s="19">
        <f>IF($B485="","",IFERROR(INDEX(智能流水!$K$2:$K$1001,MATCH($B485,智能流水!$B$2:$B$1001,0)),""))</f>
        <v/>
      </c>
      <c r="L485" s="19">
        <f>IF($B485="","",IFERROR(INDEX(智能流水!$L$2:$L$1001,MATCH($B485,智能流水!$B$2:$B$1001,0)),""))</f>
        <v/>
      </c>
      <c r="M485" s="19">
        <f>IF($B485="","",IFERROR(INDEX(智能流水!$M$2:$M$1001,MATCH($B485,智能流水!$B$2:$B$1001,0)),""))</f>
        <v/>
      </c>
      <c r="N485" s="19">
        <f>IF($B485="","",IFERROR(INDEX(智能流水!$N$2:$N$1001,MATCH($B485,智能流水!$B$2:$B$1001,0)),""))</f>
        <v/>
      </c>
      <c r="O485" s="19">
        <f>IF($B485="","",IFERROR(INDEX(智能流水!$O$2:$O$1001,MATCH($B485,智能流水!$B$2:$B$1001,0)),""))</f>
        <v/>
      </c>
    </row>
    <row r="486">
      <c r="A486" s="19">
        <f>IF($B486="","",485)</f>
        <v/>
      </c>
      <c r="B486" s="19">
        <f>IFERROR(LARGE(智能流水!$B$2:$B$1001,485),"")</f>
        <v/>
      </c>
      <c r="C486" s="19">
        <f>IF($B486="","",IFERROR(INDEX(智能流水!$C$2:$C$1001,MATCH($B486,智能流水!$B$2:$B$1001,0)),""))</f>
        <v/>
      </c>
      <c r="D486" s="19">
        <f>IF($B486="","",IFERROR(INDEX(智能流水!$D$2:$D$1001,MATCH($B486,智能流水!$B$2:$B$1001,0)),""))</f>
        <v/>
      </c>
      <c r="E486" s="19">
        <f>IF($B486="","",IFERROR(INDEX(智能流水!$E$2:$E$1001,MATCH($B486,智能流水!$B$2:$B$1001,0)),""))</f>
        <v/>
      </c>
      <c r="F486" s="19">
        <f>IF($B486="","",IFERROR(INDEX(智能流水!$F$2:$F$1001,MATCH($B486,智能流水!$B$2:$B$1001,0)),""))</f>
        <v/>
      </c>
      <c r="G486" s="19">
        <f>IF($B486="","",IFERROR(INDEX(智能流水!$G$2:$G$1001,MATCH($B486,智能流水!$B$2:$B$1001,0)),""))</f>
        <v/>
      </c>
      <c r="H486" s="19">
        <f>IF($B486="","",IFERROR(INDEX(智能流水!$H$2:$H$1001,MATCH($B486,智能流水!$B$2:$B$1001,0)),""))</f>
        <v/>
      </c>
      <c r="I486" s="19">
        <f>IF($B486="","",IFERROR(INDEX(智能流水!$I$2:$I$1001,MATCH($B486,智能流水!$B$2:$B$1001,0)),""))</f>
        <v/>
      </c>
      <c r="J486" s="19">
        <f>IF($B486="","",IFERROR(INDEX(智能流水!$J$2:$J$1001,MATCH($B486,智能流水!$B$2:$B$1001,0)),""))</f>
        <v/>
      </c>
      <c r="K486" s="19">
        <f>IF($B486="","",IFERROR(INDEX(智能流水!$K$2:$K$1001,MATCH($B486,智能流水!$B$2:$B$1001,0)),""))</f>
        <v/>
      </c>
      <c r="L486" s="19">
        <f>IF($B486="","",IFERROR(INDEX(智能流水!$L$2:$L$1001,MATCH($B486,智能流水!$B$2:$B$1001,0)),""))</f>
        <v/>
      </c>
      <c r="M486" s="19">
        <f>IF($B486="","",IFERROR(INDEX(智能流水!$M$2:$M$1001,MATCH($B486,智能流水!$B$2:$B$1001,0)),""))</f>
        <v/>
      </c>
      <c r="N486" s="19">
        <f>IF($B486="","",IFERROR(INDEX(智能流水!$N$2:$N$1001,MATCH($B486,智能流水!$B$2:$B$1001,0)),""))</f>
        <v/>
      </c>
      <c r="O486" s="19">
        <f>IF($B486="","",IFERROR(INDEX(智能流水!$O$2:$O$1001,MATCH($B486,智能流水!$B$2:$B$1001,0)),""))</f>
        <v/>
      </c>
    </row>
    <row r="487">
      <c r="A487" s="19">
        <f>IF($B487="","",486)</f>
        <v/>
      </c>
      <c r="B487" s="19">
        <f>IFERROR(LARGE(智能流水!$B$2:$B$1001,486),"")</f>
        <v/>
      </c>
      <c r="C487" s="19">
        <f>IF($B487="","",IFERROR(INDEX(智能流水!$C$2:$C$1001,MATCH($B487,智能流水!$B$2:$B$1001,0)),""))</f>
        <v/>
      </c>
      <c r="D487" s="19">
        <f>IF($B487="","",IFERROR(INDEX(智能流水!$D$2:$D$1001,MATCH($B487,智能流水!$B$2:$B$1001,0)),""))</f>
        <v/>
      </c>
      <c r="E487" s="19">
        <f>IF($B487="","",IFERROR(INDEX(智能流水!$E$2:$E$1001,MATCH($B487,智能流水!$B$2:$B$1001,0)),""))</f>
        <v/>
      </c>
      <c r="F487" s="19">
        <f>IF($B487="","",IFERROR(INDEX(智能流水!$F$2:$F$1001,MATCH($B487,智能流水!$B$2:$B$1001,0)),""))</f>
        <v/>
      </c>
      <c r="G487" s="19">
        <f>IF($B487="","",IFERROR(INDEX(智能流水!$G$2:$G$1001,MATCH($B487,智能流水!$B$2:$B$1001,0)),""))</f>
        <v/>
      </c>
      <c r="H487" s="19">
        <f>IF($B487="","",IFERROR(INDEX(智能流水!$H$2:$H$1001,MATCH($B487,智能流水!$B$2:$B$1001,0)),""))</f>
        <v/>
      </c>
      <c r="I487" s="19">
        <f>IF($B487="","",IFERROR(INDEX(智能流水!$I$2:$I$1001,MATCH($B487,智能流水!$B$2:$B$1001,0)),""))</f>
        <v/>
      </c>
      <c r="J487" s="19">
        <f>IF($B487="","",IFERROR(INDEX(智能流水!$J$2:$J$1001,MATCH($B487,智能流水!$B$2:$B$1001,0)),""))</f>
        <v/>
      </c>
      <c r="K487" s="19">
        <f>IF($B487="","",IFERROR(INDEX(智能流水!$K$2:$K$1001,MATCH($B487,智能流水!$B$2:$B$1001,0)),""))</f>
        <v/>
      </c>
      <c r="L487" s="19">
        <f>IF($B487="","",IFERROR(INDEX(智能流水!$L$2:$L$1001,MATCH($B487,智能流水!$B$2:$B$1001,0)),""))</f>
        <v/>
      </c>
      <c r="M487" s="19">
        <f>IF($B487="","",IFERROR(INDEX(智能流水!$M$2:$M$1001,MATCH($B487,智能流水!$B$2:$B$1001,0)),""))</f>
        <v/>
      </c>
      <c r="N487" s="19">
        <f>IF($B487="","",IFERROR(INDEX(智能流水!$N$2:$N$1001,MATCH($B487,智能流水!$B$2:$B$1001,0)),""))</f>
        <v/>
      </c>
      <c r="O487" s="19">
        <f>IF($B487="","",IFERROR(INDEX(智能流水!$O$2:$O$1001,MATCH($B487,智能流水!$B$2:$B$1001,0)),""))</f>
        <v/>
      </c>
    </row>
    <row r="488">
      <c r="A488" s="19">
        <f>IF($B488="","",487)</f>
        <v/>
      </c>
      <c r="B488" s="19">
        <f>IFERROR(LARGE(智能流水!$B$2:$B$1001,487),"")</f>
        <v/>
      </c>
      <c r="C488" s="19">
        <f>IF($B488="","",IFERROR(INDEX(智能流水!$C$2:$C$1001,MATCH($B488,智能流水!$B$2:$B$1001,0)),""))</f>
        <v/>
      </c>
      <c r="D488" s="19">
        <f>IF($B488="","",IFERROR(INDEX(智能流水!$D$2:$D$1001,MATCH($B488,智能流水!$B$2:$B$1001,0)),""))</f>
        <v/>
      </c>
      <c r="E488" s="19">
        <f>IF($B488="","",IFERROR(INDEX(智能流水!$E$2:$E$1001,MATCH($B488,智能流水!$B$2:$B$1001,0)),""))</f>
        <v/>
      </c>
      <c r="F488" s="19">
        <f>IF($B488="","",IFERROR(INDEX(智能流水!$F$2:$F$1001,MATCH($B488,智能流水!$B$2:$B$1001,0)),""))</f>
        <v/>
      </c>
      <c r="G488" s="19">
        <f>IF($B488="","",IFERROR(INDEX(智能流水!$G$2:$G$1001,MATCH($B488,智能流水!$B$2:$B$1001,0)),""))</f>
        <v/>
      </c>
      <c r="H488" s="19">
        <f>IF($B488="","",IFERROR(INDEX(智能流水!$H$2:$H$1001,MATCH($B488,智能流水!$B$2:$B$1001,0)),""))</f>
        <v/>
      </c>
      <c r="I488" s="19">
        <f>IF($B488="","",IFERROR(INDEX(智能流水!$I$2:$I$1001,MATCH($B488,智能流水!$B$2:$B$1001,0)),""))</f>
        <v/>
      </c>
      <c r="J488" s="19">
        <f>IF($B488="","",IFERROR(INDEX(智能流水!$J$2:$J$1001,MATCH($B488,智能流水!$B$2:$B$1001,0)),""))</f>
        <v/>
      </c>
      <c r="K488" s="19">
        <f>IF($B488="","",IFERROR(INDEX(智能流水!$K$2:$K$1001,MATCH($B488,智能流水!$B$2:$B$1001,0)),""))</f>
        <v/>
      </c>
      <c r="L488" s="19">
        <f>IF($B488="","",IFERROR(INDEX(智能流水!$L$2:$L$1001,MATCH($B488,智能流水!$B$2:$B$1001,0)),""))</f>
        <v/>
      </c>
      <c r="M488" s="19">
        <f>IF($B488="","",IFERROR(INDEX(智能流水!$M$2:$M$1001,MATCH($B488,智能流水!$B$2:$B$1001,0)),""))</f>
        <v/>
      </c>
      <c r="N488" s="19">
        <f>IF($B488="","",IFERROR(INDEX(智能流水!$N$2:$N$1001,MATCH($B488,智能流水!$B$2:$B$1001,0)),""))</f>
        <v/>
      </c>
      <c r="O488" s="19">
        <f>IF($B488="","",IFERROR(INDEX(智能流水!$O$2:$O$1001,MATCH($B488,智能流水!$B$2:$B$1001,0)),""))</f>
        <v/>
      </c>
    </row>
    <row r="489">
      <c r="A489" s="19">
        <f>IF($B489="","",488)</f>
        <v/>
      </c>
      <c r="B489" s="19">
        <f>IFERROR(LARGE(智能流水!$B$2:$B$1001,488),"")</f>
        <v/>
      </c>
      <c r="C489" s="19">
        <f>IF($B489="","",IFERROR(INDEX(智能流水!$C$2:$C$1001,MATCH($B489,智能流水!$B$2:$B$1001,0)),""))</f>
        <v/>
      </c>
      <c r="D489" s="19">
        <f>IF($B489="","",IFERROR(INDEX(智能流水!$D$2:$D$1001,MATCH($B489,智能流水!$B$2:$B$1001,0)),""))</f>
        <v/>
      </c>
      <c r="E489" s="19">
        <f>IF($B489="","",IFERROR(INDEX(智能流水!$E$2:$E$1001,MATCH($B489,智能流水!$B$2:$B$1001,0)),""))</f>
        <v/>
      </c>
      <c r="F489" s="19">
        <f>IF($B489="","",IFERROR(INDEX(智能流水!$F$2:$F$1001,MATCH($B489,智能流水!$B$2:$B$1001,0)),""))</f>
        <v/>
      </c>
      <c r="G489" s="19">
        <f>IF($B489="","",IFERROR(INDEX(智能流水!$G$2:$G$1001,MATCH($B489,智能流水!$B$2:$B$1001,0)),""))</f>
        <v/>
      </c>
      <c r="H489" s="19">
        <f>IF($B489="","",IFERROR(INDEX(智能流水!$H$2:$H$1001,MATCH($B489,智能流水!$B$2:$B$1001,0)),""))</f>
        <v/>
      </c>
      <c r="I489" s="19">
        <f>IF($B489="","",IFERROR(INDEX(智能流水!$I$2:$I$1001,MATCH($B489,智能流水!$B$2:$B$1001,0)),""))</f>
        <v/>
      </c>
      <c r="J489" s="19">
        <f>IF($B489="","",IFERROR(INDEX(智能流水!$J$2:$J$1001,MATCH($B489,智能流水!$B$2:$B$1001,0)),""))</f>
        <v/>
      </c>
      <c r="K489" s="19">
        <f>IF($B489="","",IFERROR(INDEX(智能流水!$K$2:$K$1001,MATCH($B489,智能流水!$B$2:$B$1001,0)),""))</f>
        <v/>
      </c>
      <c r="L489" s="19">
        <f>IF($B489="","",IFERROR(INDEX(智能流水!$L$2:$L$1001,MATCH($B489,智能流水!$B$2:$B$1001,0)),""))</f>
        <v/>
      </c>
      <c r="M489" s="19">
        <f>IF($B489="","",IFERROR(INDEX(智能流水!$M$2:$M$1001,MATCH($B489,智能流水!$B$2:$B$1001,0)),""))</f>
        <v/>
      </c>
      <c r="N489" s="19">
        <f>IF($B489="","",IFERROR(INDEX(智能流水!$N$2:$N$1001,MATCH($B489,智能流水!$B$2:$B$1001,0)),""))</f>
        <v/>
      </c>
      <c r="O489" s="19">
        <f>IF($B489="","",IFERROR(INDEX(智能流水!$O$2:$O$1001,MATCH($B489,智能流水!$B$2:$B$1001,0)),""))</f>
        <v/>
      </c>
    </row>
    <row r="490">
      <c r="A490" s="19">
        <f>IF($B490="","",489)</f>
        <v/>
      </c>
      <c r="B490" s="19">
        <f>IFERROR(LARGE(智能流水!$B$2:$B$1001,489),"")</f>
        <v/>
      </c>
      <c r="C490" s="19">
        <f>IF($B490="","",IFERROR(INDEX(智能流水!$C$2:$C$1001,MATCH($B490,智能流水!$B$2:$B$1001,0)),""))</f>
        <v/>
      </c>
      <c r="D490" s="19">
        <f>IF($B490="","",IFERROR(INDEX(智能流水!$D$2:$D$1001,MATCH($B490,智能流水!$B$2:$B$1001,0)),""))</f>
        <v/>
      </c>
      <c r="E490" s="19">
        <f>IF($B490="","",IFERROR(INDEX(智能流水!$E$2:$E$1001,MATCH($B490,智能流水!$B$2:$B$1001,0)),""))</f>
        <v/>
      </c>
      <c r="F490" s="19">
        <f>IF($B490="","",IFERROR(INDEX(智能流水!$F$2:$F$1001,MATCH($B490,智能流水!$B$2:$B$1001,0)),""))</f>
        <v/>
      </c>
      <c r="G490" s="19">
        <f>IF($B490="","",IFERROR(INDEX(智能流水!$G$2:$G$1001,MATCH($B490,智能流水!$B$2:$B$1001,0)),""))</f>
        <v/>
      </c>
      <c r="H490" s="19">
        <f>IF($B490="","",IFERROR(INDEX(智能流水!$H$2:$H$1001,MATCH($B490,智能流水!$B$2:$B$1001,0)),""))</f>
        <v/>
      </c>
      <c r="I490" s="19">
        <f>IF($B490="","",IFERROR(INDEX(智能流水!$I$2:$I$1001,MATCH($B490,智能流水!$B$2:$B$1001,0)),""))</f>
        <v/>
      </c>
      <c r="J490" s="19">
        <f>IF($B490="","",IFERROR(INDEX(智能流水!$J$2:$J$1001,MATCH($B490,智能流水!$B$2:$B$1001,0)),""))</f>
        <v/>
      </c>
      <c r="K490" s="19">
        <f>IF($B490="","",IFERROR(INDEX(智能流水!$K$2:$K$1001,MATCH($B490,智能流水!$B$2:$B$1001,0)),""))</f>
        <v/>
      </c>
      <c r="L490" s="19">
        <f>IF($B490="","",IFERROR(INDEX(智能流水!$L$2:$L$1001,MATCH($B490,智能流水!$B$2:$B$1001,0)),""))</f>
        <v/>
      </c>
      <c r="M490" s="19">
        <f>IF($B490="","",IFERROR(INDEX(智能流水!$M$2:$M$1001,MATCH($B490,智能流水!$B$2:$B$1001,0)),""))</f>
        <v/>
      </c>
      <c r="N490" s="19">
        <f>IF($B490="","",IFERROR(INDEX(智能流水!$N$2:$N$1001,MATCH($B490,智能流水!$B$2:$B$1001,0)),""))</f>
        <v/>
      </c>
      <c r="O490" s="19">
        <f>IF($B490="","",IFERROR(INDEX(智能流水!$O$2:$O$1001,MATCH($B490,智能流水!$B$2:$B$1001,0)),""))</f>
        <v/>
      </c>
    </row>
    <row r="491">
      <c r="A491" s="19">
        <f>IF($B491="","",490)</f>
        <v/>
      </c>
      <c r="B491" s="19">
        <f>IFERROR(LARGE(智能流水!$B$2:$B$1001,490),"")</f>
        <v/>
      </c>
      <c r="C491" s="19">
        <f>IF($B491="","",IFERROR(INDEX(智能流水!$C$2:$C$1001,MATCH($B491,智能流水!$B$2:$B$1001,0)),""))</f>
        <v/>
      </c>
      <c r="D491" s="19">
        <f>IF($B491="","",IFERROR(INDEX(智能流水!$D$2:$D$1001,MATCH($B491,智能流水!$B$2:$B$1001,0)),""))</f>
        <v/>
      </c>
      <c r="E491" s="19">
        <f>IF($B491="","",IFERROR(INDEX(智能流水!$E$2:$E$1001,MATCH($B491,智能流水!$B$2:$B$1001,0)),""))</f>
        <v/>
      </c>
      <c r="F491" s="19">
        <f>IF($B491="","",IFERROR(INDEX(智能流水!$F$2:$F$1001,MATCH($B491,智能流水!$B$2:$B$1001,0)),""))</f>
        <v/>
      </c>
      <c r="G491" s="19">
        <f>IF($B491="","",IFERROR(INDEX(智能流水!$G$2:$G$1001,MATCH($B491,智能流水!$B$2:$B$1001,0)),""))</f>
        <v/>
      </c>
      <c r="H491" s="19">
        <f>IF($B491="","",IFERROR(INDEX(智能流水!$H$2:$H$1001,MATCH($B491,智能流水!$B$2:$B$1001,0)),""))</f>
        <v/>
      </c>
      <c r="I491" s="19">
        <f>IF($B491="","",IFERROR(INDEX(智能流水!$I$2:$I$1001,MATCH($B491,智能流水!$B$2:$B$1001,0)),""))</f>
        <v/>
      </c>
      <c r="J491" s="19">
        <f>IF($B491="","",IFERROR(INDEX(智能流水!$J$2:$J$1001,MATCH($B491,智能流水!$B$2:$B$1001,0)),""))</f>
        <v/>
      </c>
      <c r="K491" s="19">
        <f>IF($B491="","",IFERROR(INDEX(智能流水!$K$2:$K$1001,MATCH($B491,智能流水!$B$2:$B$1001,0)),""))</f>
        <v/>
      </c>
      <c r="L491" s="19">
        <f>IF($B491="","",IFERROR(INDEX(智能流水!$L$2:$L$1001,MATCH($B491,智能流水!$B$2:$B$1001,0)),""))</f>
        <v/>
      </c>
      <c r="M491" s="19">
        <f>IF($B491="","",IFERROR(INDEX(智能流水!$M$2:$M$1001,MATCH($B491,智能流水!$B$2:$B$1001,0)),""))</f>
        <v/>
      </c>
      <c r="N491" s="19">
        <f>IF($B491="","",IFERROR(INDEX(智能流水!$N$2:$N$1001,MATCH($B491,智能流水!$B$2:$B$1001,0)),""))</f>
        <v/>
      </c>
      <c r="O491" s="19">
        <f>IF($B491="","",IFERROR(INDEX(智能流水!$O$2:$O$1001,MATCH($B491,智能流水!$B$2:$B$1001,0)),""))</f>
        <v/>
      </c>
    </row>
    <row r="492">
      <c r="A492" s="19">
        <f>IF($B492="","",491)</f>
        <v/>
      </c>
      <c r="B492" s="19">
        <f>IFERROR(LARGE(智能流水!$B$2:$B$1001,491),"")</f>
        <v/>
      </c>
      <c r="C492" s="19">
        <f>IF($B492="","",IFERROR(INDEX(智能流水!$C$2:$C$1001,MATCH($B492,智能流水!$B$2:$B$1001,0)),""))</f>
        <v/>
      </c>
      <c r="D492" s="19">
        <f>IF($B492="","",IFERROR(INDEX(智能流水!$D$2:$D$1001,MATCH($B492,智能流水!$B$2:$B$1001,0)),""))</f>
        <v/>
      </c>
      <c r="E492" s="19">
        <f>IF($B492="","",IFERROR(INDEX(智能流水!$E$2:$E$1001,MATCH($B492,智能流水!$B$2:$B$1001,0)),""))</f>
        <v/>
      </c>
      <c r="F492" s="19">
        <f>IF($B492="","",IFERROR(INDEX(智能流水!$F$2:$F$1001,MATCH($B492,智能流水!$B$2:$B$1001,0)),""))</f>
        <v/>
      </c>
      <c r="G492" s="19">
        <f>IF($B492="","",IFERROR(INDEX(智能流水!$G$2:$G$1001,MATCH($B492,智能流水!$B$2:$B$1001,0)),""))</f>
        <v/>
      </c>
      <c r="H492" s="19">
        <f>IF($B492="","",IFERROR(INDEX(智能流水!$H$2:$H$1001,MATCH($B492,智能流水!$B$2:$B$1001,0)),""))</f>
        <v/>
      </c>
      <c r="I492" s="19">
        <f>IF($B492="","",IFERROR(INDEX(智能流水!$I$2:$I$1001,MATCH($B492,智能流水!$B$2:$B$1001,0)),""))</f>
        <v/>
      </c>
      <c r="J492" s="19">
        <f>IF($B492="","",IFERROR(INDEX(智能流水!$J$2:$J$1001,MATCH($B492,智能流水!$B$2:$B$1001,0)),""))</f>
        <v/>
      </c>
      <c r="K492" s="19">
        <f>IF($B492="","",IFERROR(INDEX(智能流水!$K$2:$K$1001,MATCH($B492,智能流水!$B$2:$B$1001,0)),""))</f>
        <v/>
      </c>
      <c r="L492" s="19">
        <f>IF($B492="","",IFERROR(INDEX(智能流水!$L$2:$L$1001,MATCH($B492,智能流水!$B$2:$B$1001,0)),""))</f>
        <v/>
      </c>
      <c r="M492" s="19">
        <f>IF($B492="","",IFERROR(INDEX(智能流水!$M$2:$M$1001,MATCH($B492,智能流水!$B$2:$B$1001,0)),""))</f>
        <v/>
      </c>
      <c r="N492" s="19">
        <f>IF($B492="","",IFERROR(INDEX(智能流水!$N$2:$N$1001,MATCH($B492,智能流水!$B$2:$B$1001,0)),""))</f>
        <v/>
      </c>
      <c r="O492" s="19">
        <f>IF($B492="","",IFERROR(INDEX(智能流水!$O$2:$O$1001,MATCH($B492,智能流水!$B$2:$B$1001,0)),""))</f>
        <v/>
      </c>
    </row>
    <row r="493">
      <c r="A493" s="19">
        <f>IF($B493="","",492)</f>
        <v/>
      </c>
      <c r="B493" s="19">
        <f>IFERROR(LARGE(智能流水!$B$2:$B$1001,492),"")</f>
        <v/>
      </c>
      <c r="C493" s="19">
        <f>IF($B493="","",IFERROR(INDEX(智能流水!$C$2:$C$1001,MATCH($B493,智能流水!$B$2:$B$1001,0)),""))</f>
        <v/>
      </c>
      <c r="D493" s="19">
        <f>IF($B493="","",IFERROR(INDEX(智能流水!$D$2:$D$1001,MATCH($B493,智能流水!$B$2:$B$1001,0)),""))</f>
        <v/>
      </c>
      <c r="E493" s="19">
        <f>IF($B493="","",IFERROR(INDEX(智能流水!$E$2:$E$1001,MATCH($B493,智能流水!$B$2:$B$1001,0)),""))</f>
        <v/>
      </c>
      <c r="F493" s="19">
        <f>IF($B493="","",IFERROR(INDEX(智能流水!$F$2:$F$1001,MATCH($B493,智能流水!$B$2:$B$1001,0)),""))</f>
        <v/>
      </c>
      <c r="G493" s="19">
        <f>IF($B493="","",IFERROR(INDEX(智能流水!$G$2:$G$1001,MATCH($B493,智能流水!$B$2:$B$1001,0)),""))</f>
        <v/>
      </c>
      <c r="H493" s="19">
        <f>IF($B493="","",IFERROR(INDEX(智能流水!$H$2:$H$1001,MATCH($B493,智能流水!$B$2:$B$1001,0)),""))</f>
        <v/>
      </c>
      <c r="I493" s="19">
        <f>IF($B493="","",IFERROR(INDEX(智能流水!$I$2:$I$1001,MATCH($B493,智能流水!$B$2:$B$1001,0)),""))</f>
        <v/>
      </c>
      <c r="J493" s="19">
        <f>IF($B493="","",IFERROR(INDEX(智能流水!$J$2:$J$1001,MATCH($B493,智能流水!$B$2:$B$1001,0)),""))</f>
        <v/>
      </c>
      <c r="K493" s="19">
        <f>IF($B493="","",IFERROR(INDEX(智能流水!$K$2:$K$1001,MATCH($B493,智能流水!$B$2:$B$1001,0)),""))</f>
        <v/>
      </c>
      <c r="L493" s="19">
        <f>IF($B493="","",IFERROR(INDEX(智能流水!$L$2:$L$1001,MATCH($B493,智能流水!$B$2:$B$1001,0)),""))</f>
        <v/>
      </c>
      <c r="M493" s="19">
        <f>IF($B493="","",IFERROR(INDEX(智能流水!$M$2:$M$1001,MATCH($B493,智能流水!$B$2:$B$1001,0)),""))</f>
        <v/>
      </c>
      <c r="N493" s="19">
        <f>IF($B493="","",IFERROR(INDEX(智能流水!$N$2:$N$1001,MATCH($B493,智能流水!$B$2:$B$1001,0)),""))</f>
        <v/>
      </c>
      <c r="O493" s="19">
        <f>IF($B493="","",IFERROR(INDEX(智能流水!$O$2:$O$1001,MATCH($B493,智能流水!$B$2:$B$1001,0)),""))</f>
        <v/>
      </c>
    </row>
    <row r="494">
      <c r="A494" s="19">
        <f>IF($B494="","",493)</f>
        <v/>
      </c>
      <c r="B494" s="19">
        <f>IFERROR(LARGE(智能流水!$B$2:$B$1001,493),"")</f>
        <v/>
      </c>
      <c r="C494" s="19">
        <f>IF($B494="","",IFERROR(INDEX(智能流水!$C$2:$C$1001,MATCH($B494,智能流水!$B$2:$B$1001,0)),""))</f>
        <v/>
      </c>
      <c r="D494" s="19">
        <f>IF($B494="","",IFERROR(INDEX(智能流水!$D$2:$D$1001,MATCH($B494,智能流水!$B$2:$B$1001,0)),""))</f>
        <v/>
      </c>
      <c r="E494" s="19">
        <f>IF($B494="","",IFERROR(INDEX(智能流水!$E$2:$E$1001,MATCH($B494,智能流水!$B$2:$B$1001,0)),""))</f>
        <v/>
      </c>
      <c r="F494" s="19">
        <f>IF($B494="","",IFERROR(INDEX(智能流水!$F$2:$F$1001,MATCH($B494,智能流水!$B$2:$B$1001,0)),""))</f>
        <v/>
      </c>
      <c r="G494" s="19">
        <f>IF($B494="","",IFERROR(INDEX(智能流水!$G$2:$G$1001,MATCH($B494,智能流水!$B$2:$B$1001,0)),""))</f>
        <v/>
      </c>
      <c r="H494" s="19">
        <f>IF($B494="","",IFERROR(INDEX(智能流水!$H$2:$H$1001,MATCH($B494,智能流水!$B$2:$B$1001,0)),""))</f>
        <v/>
      </c>
      <c r="I494" s="19">
        <f>IF($B494="","",IFERROR(INDEX(智能流水!$I$2:$I$1001,MATCH($B494,智能流水!$B$2:$B$1001,0)),""))</f>
        <v/>
      </c>
      <c r="J494" s="19">
        <f>IF($B494="","",IFERROR(INDEX(智能流水!$J$2:$J$1001,MATCH($B494,智能流水!$B$2:$B$1001,0)),""))</f>
        <v/>
      </c>
      <c r="K494" s="19">
        <f>IF($B494="","",IFERROR(INDEX(智能流水!$K$2:$K$1001,MATCH($B494,智能流水!$B$2:$B$1001,0)),""))</f>
        <v/>
      </c>
      <c r="L494" s="19">
        <f>IF($B494="","",IFERROR(INDEX(智能流水!$L$2:$L$1001,MATCH($B494,智能流水!$B$2:$B$1001,0)),""))</f>
        <v/>
      </c>
      <c r="M494" s="19">
        <f>IF($B494="","",IFERROR(INDEX(智能流水!$M$2:$M$1001,MATCH($B494,智能流水!$B$2:$B$1001,0)),""))</f>
        <v/>
      </c>
      <c r="N494" s="19">
        <f>IF($B494="","",IFERROR(INDEX(智能流水!$N$2:$N$1001,MATCH($B494,智能流水!$B$2:$B$1001,0)),""))</f>
        <v/>
      </c>
      <c r="O494" s="19">
        <f>IF($B494="","",IFERROR(INDEX(智能流水!$O$2:$O$1001,MATCH($B494,智能流水!$B$2:$B$1001,0)),""))</f>
        <v/>
      </c>
    </row>
    <row r="495">
      <c r="A495" s="19">
        <f>IF($B495="","",494)</f>
        <v/>
      </c>
      <c r="B495" s="19">
        <f>IFERROR(LARGE(智能流水!$B$2:$B$1001,494),"")</f>
        <v/>
      </c>
      <c r="C495" s="19">
        <f>IF($B495="","",IFERROR(INDEX(智能流水!$C$2:$C$1001,MATCH($B495,智能流水!$B$2:$B$1001,0)),""))</f>
        <v/>
      </c>
      <c r="D495" s="19">
        <f>IF($B495="","",IFERROR(INDEX(智能流水!$D$2:$D$1001,MATCH($B495,智能流水!$B$2:$B$1001,0)),""))</f>
        <v/>
      </c>
      <c r="E495" s="19">
        <f>IF($B495="","",IFERROR(INDEX(智能流水!$E$2:$E$1001,MATCH($B495,智能流水!$B$2:$B$1001,0)),""))</f>
        <v/>
      </c>
      <c r="F495" s="19">
        <f>IF($B495="","",IFERROR(INDEX(智能流水!$F$2:$F$1001,MATCH($B495,智能流水!$B$2:$B$1001,0)),""))</f>
        <v/>
      </c>
      <c r="G495" s="19">
        <f>IF($B495="","",IFERROR(INDEX(智能流水!$G$2:$G$1001,MATCH($B495,智能流水!$B$2:$B$1001,0)),""))</f>
        <v/>
      </c>
      <c r="H495" s="19">
        <f>IF($B495="","",IFERROR(INDEX(智能流水!$H$2:$H$1001,MATCH($B495,智能流水!$B$2:$B$1001,0)),""))</f>
        <v/>
      </c>
      <c r="I495" s="19">
        <f>IF($B495="","",IFERROR(INDEX(智能流水!$I$2:$I$1001,MATCH($B495,智能流水!$B$2:$B$1001,0)),""))</f>
        <v/>
      </c>
      <c r="J495" s="19">
        <f>IF($B495="","",IFERROR(INDEX(智能流水!$J$2:$J$1001,MATCH($B495,智能流水!$B$2:$B$1001,0)),""))</f>
        <v/>
      </c>
      <c r="K495" s="19">
        <f>IF($B495="","",IFERROR(INDEX(智能流水!$K$2:$K$1001,MATCH($B495,智能流水!$B$2:$B$1001,0)),""))</f>
        <v/>
      </c>
      <c r="L495" s="19">
        <f>IF($B495="","",IFERROR(INDEX(智能流水!$L$2:$L$1001,MATCH($B495,智能流水!$B$2:$B$1001,0)),""))</f>
        <v/>
      </c>
      <c r="M495" s="19">
        <f>IF($B495="","",IFERROR(INDEX(智能流水!$M$2:$M$1001,MATCH($B495,智能流水!$B$2:$B$1001,0)),""))</f>
        <v/>
      </c>
      <c r="N495" s="19">
        <f>IF($B495="","",IFERROR(INDEX(智能流水!$N$2:$N$1001,MATCH($B495,智能流水!$B$2:$B$1001,0)),""))</f>
        <v/>
      </c>
      <c r="O495" s="19">
        <f>IF($B495="","",IFERROR(INDEX(智能流水!$O$2:$O$1001,MATCH($B495,智能流水!$B$2:$B$1001,0)),""))</f>
        <v/>
      </c>
    </row>
    <row r="496">
      <c r="A496" s="19">
        <f>IF($B496="","",495)</f>
        <v/>
      </c>
      <c r="B496" s="19">
        <f>IFERROR(LARGE(智能流水!$B$2:$B$1001,495),"")</f>
        <v/>
      </c>
      <c r="C496" s="19">
        <f>IF($B496="","",IFERROR(INDEX(智能流水!$C$2:$C$1001,MATCH($B496,智能流水!$B$2:$B$1001,0)),""))</f>
        <v/>
      </c>
      <c r="D496" s="19">
        <f>IF($B496="","",IFERROR(INDEX(智能流水!$D$2:$D$1001,MATCH($B496,智能流水!$B$2:$B$1001,0)),""))</f>
        <v/>
      </c>
      <c r="E496" s="19">
        <f>IF($B496="","",IFERROR(INDEX(智能流水!$E$2:$E$1001,MATCH($B496,智能流水!$B$2:$B$1001,0)),""))</f>
        <v/>
      </c>
      <c r="F496" s="19">
        <f>IF($B496="","",IFERROR(INDEX(智能流水!$F$2:$F$1001,MATCH($B496,智能流水!$B$2:$B$1001,0)),""))</f>
        <v/>
      </c>
      <c r="G496" s="19">
        <f>IF($B496="","",IFERROR(INDEX(智能流水!$G$2:$G$1001,MATCH($B496,智能流水!$B$2:$B$1001,0)),""))</f>
        <v/>
      </c>
      <c r="H496" s="19">
        <f>IF($B496="","",IFERROR(INDEX(智能流水!$H$2:$H$1001,MATCH($B496,智能流水!$B$2:$B$1001,0)),""))</f>
        <v/>
      </c>
      <c r="I496" s="19">
        <f>IF($B496="","",IFERROR(INDEX(智能流水!$I$2:$I$1001,MATCH($B496,智能流水!$B$2:$B$1001,0)),""))</f>
        <v/>
      </c>
      <c r="J496" s="19">
        <f>IF($B496="","",IFERROR(INDEX(智能流水!$J$2:$J$1001,MATCH($B496,智能流水!$B$2:$B$1001,0)),""))</f>
        <v/>
      </c>
      <c r="K496" s="19">
        <f>IF($B496="","",IFERROR(INDEX(智能流水!$K$2:$K$1001,MATCH($B496,智能流水!$B$2:$B$1001,0)),""))</f>
        <v/>
      </c>
      <c r="L496" s="19">
        <f>IF($B496="","",IFERROR(INDEX(智能流水!$L$2:$L$1001,MATCH($B496,智能流水!$B$2:$B$1001,0)),""))</f>
        <v/>
      </c>
      <c r="M496" s="19">
        <f>IF($B496="","",IFERROR(INDEX(智能流水!$M$2:$M$1001,MATCH($B496,智能流水!$B$2:$B$1001,0)),""))</f>
        <v/>
      </c>
      <c r="N496" s="19">
        <f>IF($B496="","",IFERROR(INDEX(智能流水!$N$2:$N$1001,MATCH($B496,智能流水!$B$2:$B$1001,0)),""))</f>
        <v/>
      </c>
      <c r="O496" s="19">
        <f>IF($B496="","",IFERROR(INDEX(智能流水!$O$2:$O$1001,MATCH($B496,智能流水!$B$2:$B$1001,0)),""))</f>
        <v/>
      </c>
    </row>
    <row r="497">
      <c r="A497" s="19">
        <f>IF($B497="","",496)</f>
        <v/>
      </c>
      <c r="B497" s="19">
        <f>IFERROR(LARGE(智能流水!$B$2:$B$1001,496),"")</f>
        <v/>
      </c>
      <c r="C497" s="19">
        <f>IF($B497="","",IFERROR(INDEX(智能流水!$C$2:$C$1001,MATCH($B497,智能流水!$B$2:$B$1001,0)),""))</f>
        <v/>
      </c>
      <c r="D497" s="19">
        <f>IF($B497="","",IFERROR(INDEX(智能流水!$D$2:$D$1001,MATCH($B497,智能流水!$B$2:$B$1001,0)),""))</f>
        <v/>
      </c>
      <c r="E497" s="19">
        <f>IF($B497="","",IFERROR(INDEX(智能流水!$E$2:$E$1001,MATCH($B497,智能流水!$B$2:$B$1001,0)),""))</f>
        <v/>
      </c>
      <c r="F497" s="19">
        <f>IF($B497="","",IFERROR(INDEX(智能流水!$F$2:$F$1001,MATCH($B497,智能流水!$B$2:$B$1001,0)),""))</f>
        <v/>
      </c>
      <c r="G497" s="19">
        <f>IF($B497="","",IFERROR(INDEX(智能流水!$G$2:$G$1001,MATCH($B497,智能流水!$B$2:$B$1001,0)),""))</f>
        <v/>
      </c>
      <c r="H497" s="19">
        <f>IF($B497="","",IFERROR(INDEX(智能流水!$H$2:$H$1001,MATCH($B497,智能流水!$B$2:$B$1001,0)),""))</f>
        <v/>
      </c>
      <c r="I497" s="19">
        <f>IF($B497="","",IFERROR(INDEX(智能流水!$I$2:$I$1001,MATCH($B497,智能流水!$B$2:$B$1001,0)),""))</f>
        <v/>
      </c>
      <c r="J497" s="19">
        <f>IF($B497="","",IFERROR(INDEX(智能流水!$J$2:$J$1001,MATCH($B497,智能流水!$B$2:$B$1001,0)),""))</f>
        <v/>
      </c>
      <c r="K497" s="19">
        <f>IF($B497="","",IFERROR(INDEX(智能流水!$K$2:$K$1001,MATCH($B497,智能流水!$B$2:$B$1001,0)),""))</f>
        <v/>
      </c>
      <c r="L497" s="19">
        <f>IF($B497="","",IFERROR(INDEX(智能流水!$L$2:$L$1001,MATCH($B497,智能流水!$B$2:$B$1001,0)),""))</f>
        <v/>
      </c>
      <c r="M497" s="19">
        <f>IF($B497="","",IFERROR(INDEX(智能流水!$M$2:$M$1001,MATCH($B497,智能流水!$B$2:$B$1001,0)),""))</f>
        <v/>
      </c>
      <c r="N497" s="19">
        <f>IF($B497="","",IFERROR(INDEX(智能流水!$N$2:$N$1001,MATCH($B497,智能流水!$B$2:$B$1001,0)),""))</f>
        <v/>
      </c>
      <c r="O497" s="19">
        <f>IF($B497="","",IFERROR(INDEX(智能流水!$O$2:$O$1001,MATCH($B497,智能流水!$B$2:$B$1001,0)),""))</f>
        <v/>
      </c>
    </row>
    <row r="498">
      <c r="A498" s="19">
        <f>IF($B498="","",497)</f>
        <v/>
      </c>
      <c r="B498" s="19">
        <f>IFERROR(LARGE(智能流水!$B$2:$B$1001,497),"")</f>
        <v/>
      </c>
      <c r="C498" s="19">
        <f>IF($B498="","",IFERROR(INDEX(智能流水!$C$2:$C$1001,MATCH($B498,智能流水!$B$2:$B$1001,0)),""))</f>
        <v/>
      </c>
      <c r="D498" s="19">
        <f>IF($B498="","",IFERROR(INDEX(智能流水!$D$2:$D$1001,MATCH($B498,智能流水!$B$2:$B$1001,0)),""))</f>
        <v/>
      </c>
      <c r="E498" s="19">
        <f>IF($B498="","",IFERROR(INDEX(智能流水!$E$2:$E$1001,MATCH($B498,智能流水!$B$2:$B$1001,0)),""))</f>
        <v/>
      </c>
      <c r="F498" s="19">
        <f>IF($B498="","",IFERROR(INDEX(智能流水!$F$2:$F$1001,MATCH($B498,智能流水!$B$2:$B$1001,0)),""))</f>
        <v/>
      </c>
      <c r="G498" s="19">
        <f>IF($B498="","",IFERROR(INDEX(智能流水!$G$2:$G$1001,MATCH($B498,智能流水!$B$2:$B$1001,0)),""))</f>
        <v/>
      </c>
      <c r="H498" s="19">
        <f>IF($B498="","",IFERROR(INDEX(智能流水!$H$2:$H$1001,MATCH($B498,智能流水!$B$2:$B$1001,0)),""))</f>
        <v/>
      </c>
      <c r="I498" s="19">
        <f>IF($B498="","",IFERROR(INDEX(智能流水!$I$2:$I$1001,MATCH($B498,智能流水!$B$2:$B$1001,0)),""))</f>
        <v/>
      </c>
      <c r="J498" s="19">
        <f>IF($B498="","",IFERROR(INDEX(智能流水!$J$2:$J$1001,MATCH($B498,智能流水!$B$2:$B$1001,0)),""))</f>
        <v/>
      </c>
      <c r="K498" s="19">
        <f>IF($B498="","",IFERROR(INDEX(智能流水!$K$2:$K$1001,MATCH($B498,智能流水!$B$2:$B$1001,0)),""))</f>
        <v/>
      </c>
      <c r="L498" s="19">
        <f>IF($B498="","",IFERROR(INDEX(智能流水!$L$2:$L$1001,MATCH($B498,智能流水!$B$2:$B$1001,0)),""))</f>
        <v/>
      </c>
      <c r="M498" s="19">
        <f>IF($B498="","",IFERROR(INDEX(智能流水!$M$2:$M$1001,MATCH($B498,智能流水!$B$2:$B$1001,0)),""))</f>
        <v/>
      </c>
      <c r="N498" s="19">
        <f>IF($B498="","",IFERROR(INDEX(智能流水!$N$2:$N$1001,MATCH($B498,智能流水!$B$2:$B$1001,0)),""))</f>
        <v/>
      </c>
      <c r="O498" s="19">
        <f>IF($B498="","",IFERROR(INDEX(智能流水!$O$2:$O$1001,MATCH($B498,智能流水!$B$2:$B$1001,0)),""))</f>
        <v/>
      </c>
    </row>
    <row r="499">
      <c r="A499" s="19">
        <f>IF($B499="","",498)</f>
        <v/>
      </c>
      <c r="B499" s="19">
        <f>IFERROR(LARGE(智能流水!$B$2:$B$1001,498),"")</f>
        <v/>
      </c>
      <c r="C499" s="19">
        <f>IF($B499="","",IFERROR(INDEX(智能流水!$C$2:$C$1001,MATCH($B499,智能流水!$B$2:$B$1001,0)),""))</f>
        <v/>
      </c>
      <c r="D499" s="19">
        <f>IF($B499="","",IFERROR(INDEX(智能流水!$D$2:$D$1001,MATCH($B499,智能流水!$B$2:$B$1001,0)),""))</f>
        <v/>
      </c>
      <c r="E499" s="19">
        <f>IF($B499="","",IFERROR(INDEX(智能流水!$E$2:$E$1001,MATCH($B499,智能流水!$B$2:$B$1001,0)),""))</f>
        <v/>
      </c>
      <c r="F499" s="19">
        <f>IF($B499="","",IFERROR(INDEX(智能流水!$F$2:$F$1001,MATCH($B499,智能流水!$B$2:$B$1001,0)),""))</f>
        <v/>
      </c>
      <c r="G499" s="19">
        <f>IF($B499="","",IFERROR(INDEX(智能流水!$G$2:$G$1001,MATCH($B499,智能流水!$B$2:$B$1001,0)),""))</f>
        <v/>
      </c>
      <c r="H499" s="19">
        <f>IF($B499="","",IFERROR(INDEX(智能流水!$H$2:$H$1001,MATCH($B499,智能流水!$B$2:$B$1001,0)),""))</f>
        <v/>
      </c>
      <c r="I499" s="19">
        <f>IF($B499="","",IFERROR(INDEX(智能流水!$I$2:$I$1001,MATCH($B499,智能流水!$B$2:$B$1001,0)),""))</f>
        <v/>
      </c>
      <c r="J499" s="19">
        <f>IF($B499="","",IFERROR(INDEX(智能流水!$J$2:$J$1001,MATCH($B499,智能流水!$B$2:$B$1001,0)),""))</f>
        <v/>
      </c>
      <c r="K499" s="19">
        <f>IF($B499="","",IFERROR(INDEX(智能流水!$K$2:$K$1001,MATCH($B499,智能流水!$B$2:$B$1001,0)),""))</f>
        <v/>
      </c>
      <c r="L499" s="19">
        <f>IF($B499="","",IFERROR(INDEX(智能流水!$L$2:$L$1001,MATCH($B499,智能流水!$B$2:$B$1001,0)),""))</f>
        <v/>
      </c>
      <c r="M499" s="19">
        <f>IF($B499="","",IFERROR(INDEX(智能流水!$M$2:$M$1001,MATCH($B499,智能流水!$B$2:$B$1001,0)),""))</f>
        <v/>
      </c>
      <c r="N499" s="19">
        <f>IF($B499="","",IFERROR(INDEX(智能流水!$N$2:$N$1001,MATCH($B499,智能流水!$B$2:$B$1001,0)),""))</f>
        <v/>
      </c>
      <c r="O499" s="19">
        <f>IF($B499="","",IFERROR(INDEX(智能流水!$O$2:$O$1001,MATCH($B499,智能流水!$B$2:$B$1001,0)),""))</f>
        <v/>
      </c>
    </row>
    <row r="500">
      <c r="A500" s="19">
        <f>IF($B500="","",499)</f>
        <v/>
      </c>
      <c r="B500" s="19">
        <f>IFERROR(LARGE(智能流水!$B$2:$B$1001,499),"")</f>
        <v/>
      </c>
      <c r="C500" s="19">
        <f>IF($B500="","",IFERROR(INDEX(智能流水!$C$2:$C$1001,MATCH($B500,智能流水!$B$2:$B$1001,0)),""))</f>
        <v/>
      </c>
      <c r="D500" s="19">
        <f>IF($B500="","",IFERROR(INDEX(智能流水!$D$2:$D$1001,MATCH($B500,智能流水!$B$2:$B$1001,0)),""))</f>
        <v/>
      </c>
      <c r="E500" s="19">
        <f>IF($B500="","",IFERROR(INDEX(智能流水!$E$2:$E$1001,MATCH($B500,智能流水!$B$2:$B$1001,0)),""))</f>
        <v/>
      </c>
      <c r="F500" s="19">
        <f>IF($B500="","",IFERROR(INDEX(智能流水!$F$2:$F$1001,MATCH($B500,智能流水!$B$2:$B$1001,0)),""))</f>
        <v/>
      </c>
      <c r="G500" s="19">
        <f>IF($B500="","",IFERROR(INDEX(智能流水!$G$2:$G$1001,MATCH($B500,智能流水!$B$2:$B$1001,0)),""))</f>
        <v/>
      </c>
      <c r="H500" s="19">
        <f>IF($B500="","",IFERROR(INDEX(智能流水!$H$2:$H$1001,MATCH($B500,智能流水!$B$2:$B$1001,0)),""))</f>
        <v/>
      </c>
      <c r="I500" s="19">
        <f>IF($B500="","",IFERROR(INDEX(智能流水!$I$2:$I$1001,MATCH($B500,智能流水!$B$2:$B$1001,0)),""))</f>
        <v/>
      </c>
      <c r="J500" s="19">
        <f>IF($B500="","",IFERROR(INDEX(智能流水!$J$2:$J$1001,MATCH($B500,智能流水!$B$2:$B$1001,0)),""))</f>
        <v/>
      </c>
      <c r="K500" s="19">
        <f>IF($B500="","",IFERROR(INDEX(智能流水!$K$2:$K$1001,MATCH($B500,智能流水!$B$2:$B$1001,0)),""))</f>
        <v/>
      </c>
      <c r="L500" s="19">
        <f>IF($B500="","",IFERROR(INDEX(智能流水!$L$2:$L$1001,MATCH($B500,智能流水!$B$2:$B$1001,0)),""))</f>
        <v/>
      </c>
      <c r="M500" s="19">
        <f>IF($B500="","",IFERROR(INDEX(智能流水!$M$2:$M$1001,MATCH($B500,智能流水!$B$2:$B$1001,0)),""))</f>
        <v/>
      </c>
      <c r="N500" s="19">
        <f>IF($B500="","",IFERROR(INDEX(智能流水!$N$2:$N$1001,MATCH($B500,智能流水!$B$2:$B$1001,0)),""))</f>
        <v/>
      </c>
      <c r="O500" s="19">
        <f>IF($B500="","",IFERROR(INDEX(智能流水!$O$2:$O$1001,MATCH($B500,智能流水!$B$2:$B$1001,0)),""))</f>
        <v/>
      </c>
    </row>
    <row r="501">
      <c r="A501" s="19">
        <f>IF($B501="","",500)</f>
        <v/>
      </c>
      <c r="B501" s="19">
        <f>IFERROR(LARGE(智能流水!$B$2:$B$1001,500),"")</f>
        <v/>
      </c>
      <c r="C501" s="19">
        <f>IF($B501="","",IFERROR(INDEX(智能流水!$C$2:$C$1001,MATCH($B501,智能流水!$B$2:$B$1001,0)),""))</f>
        <v/>
      </c>
      <c r="D501" s="19">
        <f>IF($B501="","",IFERROR(INDEX(智能流水!$D$2:$D$1001,MATCH($B501,智能流水!$B$2:$B$1001,0)),""))</f>
        <v/>
      </c>
      <c r="E501" s="19">
        <f>IF($B501="","",IFERROR(INDEX(智能流水!$E$2:$E$1001,MATCH($B501,智能流水!$B$2:$B$1001,0)),""))</f>
        <v/>
      </c>
      <c r="F501" s="19">
        <f>IF($B501="","",IFERROR(INDEX(智能流水!$F$2:$F$1001,MATCH($B501,智能流水!$B$2:$B$1001,0)),""))</f>
        <v/>
      </c>
      <c r="G501" s="19">
        <f>IF($B501="","",IFERROR(INDEX(智能流水!$G$2:$G$1001,MATCH($B501,智能流水!$B$2:$B$1001,0)),""))</f>
        <v/>
      </c>
      <c r="H501" s="19">
        <f>IF($B501="","",IFERROR(INDEX(智能流水!$H$2:$H$1001,MATCH($B501,智能流水!$B$2:$B$1001,0)),""))</f>
        <v/>
      </c>
      <c r="I501" s="19">
        <f>IF($B501="","",IFERROR(INDEX(智能流水!$I$2:$I$1001,MATCH($B501,智能流水!$B$2:$B$1001,0)),""))</f>
        <v/>
      </c>
      <c r="J501" s="19">
        <f>IF($B501="","",IFERROR(INDEX(智能流水!$J$2:$J$1001,MATCH($B501,智能流水!$B$2:$B$1001,0)),""))</f>
        <v/>
      </c>
      <c r="K501" s="19">
        <f>IF($B501="","",IFERROR(INDEX(智能流水!$K$2:$K$1001,MATCH($B501,智能流水!$B$2:$B$1001,0)),""))</f>
        <v/>
      </c>
      <c r="L501" s="19">
        <f>IF($B501="","",IFERROR(INDEX(智能流水!$L$2:$L$1001,MATCH($B501,智能流水!$B$2:$B$1001,0)),""))</f>
        <v/>
      </c>
      <c r="M501" s="19">
        <f>IF($B501="","",IFERROR(INDEX(智能流水!$M$2:$M$1001,MATCH($B501,智能流水!$B$2:$B$1001,0)),""))</f>
        <v/>
      </c>
      <c r="N501" s="19">
        <f>IF($B501="","",IFERROR(INDEX(智能流水!$N$2:$N$1001,MATCH($B501,智能流水!$B$2:$B$1001,0)),""))</f>
        <v/>
      </c>
      <c r="O501" s="19">
        <f>IF($B501="","",IFERROR(INDEX(智能流水!$O$2:$O$1001,MATCH($B501,智能流水!$B$2:$B$1001,0)),""))</f>
        <v/>
      </c>
    </row>
    <row r="502">
      <c r="A502" s="19">
        <f>IF($B502="","",501)</f>
        <v/>
      </c>
      <c r="B502" s="19">
        <f>IFERROR(LARGE(智能流水!$B$2:$B$1001,501),"")</f>
        <v/>
      </c>
      <c r="C502" s="19">
        <f>IF($B502="","",IFERROR(INDEX(智能流水!$C$2:$C$1001,MATCH($B502,智能流水!$B$2:$B$1001,0)),""))</f>
        <v/>
      </c>
      <c r="D502" s="19">
        <f>IF($B502="","",IFERROR(INDEX(智能流水!$D$2:$D$1001,MATCH($B502,智能流水!$B$2:$B$1001,0)),""))</f>
        <v/>
      </c>
      <c r="E502" s="19">
        <f>IF($B502="","",IFERROR(INDEX(智能流水!$E$2:$E$1001,MATCH($B502,智能流水!$B$2:$B$1001,0)),""))</f>
        <v/>
      </c>
      <c r="F502" s="19">
        <f>IF($B502="","",IFERROR(INDEX(智能流水!$F$2:$F$1001,MATCH($B502,智能流水!$B$2:$B$1001,0)),""))</f>
        <v/>
      </c>
      <c r="G502" s="19">
        <f>IF($B502="","",IFERROR(INDEX(智能流水!$G$2:$G$1001,MATCH($B502,智能流水!$B$2:$B$1001,0)),""))</f>
        <v/>
      </c>
      <c r="H502" s="19">
        <f>IF($B502="","",IFERROR(INDEX(智能流水!$H$2:$H$1001,MATCH($B502,智能流水!$B$2:$B$1001,0)),""))</f>
        <v/>
      </c>
      <c r="I502" s="19">
        <f>IF($B502="","",IFERROR(INDEX(智能流水!$I$2:$I$1001,MATCH($B502,智能流水!$B$2:$B$1001,0)),""))</f>
        <v/>
      </c>
      <c r="J502" s="19">
        <f>IF($B502="","",IFERROR(INDEX(智能流水!$J$2:$J$1001,MATCH($B502,智能流水!$B$2:$B$1001,0)),""))</f>
        <v/>
      </c>
      <c r="K502" s="19">
        <f>IF($B502="","",IFERROR(INDEX(智能流水!$K$2:$K$1001,MATCH($B502,智能流水!$B$2:$B$1001,0)),""))</f>
        <v/>
      </c>
      <c r="L502" s="19">
        <f>IF($B502="","",IFERROR(INDEX(智能流水!$L$2:$L$1001,MATCH($B502,智能流水!$B$2:$B$1001,0)),""))</f>
        <v/>
      </c>
      <c r="M502" s="19">
        <f>IF($B502="","",IFERROR(INDEX(智能流水!$M$2:$M$1001,MATCH($B502,智能流水!$B$2:$B$1001,0)),""))</f>
        <v/>
      </c>
      <c r="N502" s="19">
        <f>IF($B502="","",IFERROR(INDEX(智能流水!$N$2:$N$1001,MATCH($B502,智能流水!$B$2:$B$1001,0)),""))</f>
        <v/>
      </c>
      <c r="O502" s="19">
        <f>IF($B502="","",IFERROR(INDEX(智能流水!$O$2:$O$1001,MATCH($B502,智能流水!$B$2:$B$1001,0)),""))</f>
        <v/>
      </c>
    </row>
    <row r="503">
      <c r="A503" s="19">
        <f>IF($B503="","",502)</f>
        <v/>
      </c>
      <c r="B503" s="19">
        <f>IFERROR(LARGE(智能流水!$B$2:$B$1001,502),"")</f>
        <v/>
      </c>
      <c r="C503" s="19">
        <f>IF($B503="","",IFERROR(INDEX(智能流水!$C$2:$C$1001,MATCH($B503,智能流水!$B$2:$B$1001,0)),""))</f>
        <v/>
      </c>
      <c r="D503" s="19">
        <f>IF($B503="","",IFERROR(INDEX(智能流水!$D$2:$D$1001,MATCH($B503,智能流水!$B$2:$B$1001,0)),""))</f>
        <v/>
      </c>
      <c r="E503" s="19">
        <f>IF($B503="","",IFERROR(INDEX(智能流水!$E$2:$E$1001,MATCH($B503,智能流水!$B$2:$B$1001,0)),""))</f>
        <v/>
      </c>
      <c r="F503" s="19">
        <f>IF($B503="","",IFERROR(INDEX(智能流水!$F$2:$F$1001,MATCH($B503,智能流水!$B$2:$B$1001,0)),""))</f>
        <v/>
      </c>
      <c r="G503" s="19">
        <f>IF($B503="","",IFERROR(INDEX(智能流水!$G$2:$G$1001,MATCH($B503,智能流水!$B$2:$B$1001,0)),""))</f>
        <v/>
      </c>
      <c r="H503" s="19">
        <f>IF($B503="","",IFERROR(INDEX(智能流水!$H$2:$H$1001,MATCH($B503,智能流水!$B$2:$B$1001,0)),""))</f>
        <v/>
      </c>
      <c r="I503" s="19">
        <f>IF($B503="","",IFERROR(INDEX(智能流水!$I$2:$I$1001,MATCH($B503,智能流水!$B$2:$B$1001,0)),""))</f>
        <v/>
      </c>
      <c r="J503" s="19">
        <f>IF($B503="","",IFERROR(INDEX(智能流水!$J$2:$J$1001,MATCH($B503,智能流水!$B$2:$B$1001,0)),""))</f>
        <v/>
      </c>
      <c r="K503" s="19">
        <f>IF($B503="","",IFERROR(INDEX(智能流水!$K$2:$K$1001,MATCH($B503,智能流水!$B$2:$B$1001,0)),""))</f>
        <v/>
      </c>
      <c r="L503" s="19">
        <f>IF($B503="","",IFERROR(INDEX(智能流水!$L$2:$L$1001,MATCH($B503,智能流水!$B$2:$B$1001,0)),""))</f>
        <v/>
      </c>
      <c r="M503" s="19">
        <f>IF($B503="","",IFERROR(INDEX(智能流水!$M$2:$M$1001,MATCH($B503,智能流水!$B$2:$B$1001,0)),""))</f>
        <v/>
      </c>
      <c r="N503" s="19">
        <f>IF($B503="","",IFERROR(INDEX(智能流水!$N$2:$N$1001,MATCH($B503,智能流水!$B$2:$B$1001,0)),""))</f>
        <v/>
      </c>
      <c r="O503" s="19">
        <f>IF($B503="","",IFERROR(INDEX(智能流水!$O$2:$O$1001,MATCH($B503,智能流水!$B$2:$B$1001,0)),""))</f>
        <v/>
      </c>
    </row>
    <row r="504">
      <c r="A504" s="19">
        <f>IF($B504="","",503)</f>
        <v/>
      </c>
      <c r="B504" s="19">
        <f>IFERROR(LARGE(智能流水!$B$2:$B$1001,503),"")</f>
        <v/>
      </c>
      <c r="C504" s="19">
        <f>IF($B504="","",IFERROR(INDEX(智能流水!$C$2:$C$1001,MATCH($B504,智能流水!$B$2:$B$1001,0)),""))</f>
        <v/>
      </c>
      <c r="D504" s="19">
        <f>IF($B504="","",IFERROR(INDEX(智能流水!$D$2:$D$1001,MATCH($B504,智能流水!$B$2:$B$1001,0)),""))</f>
        <v/>
      </c>
      <c r="E504" s="19">
        <f>IF($B504="","",IFERROR(INDEX(智能流水!$E$2:$E$1001,MATCH($B504,智能流水!$B$2:$B$1001,0)),""))</f>
        <v/>
      </c>
      <c r="F504" s="19">
        <f>IF($B504="","",IFERROR(INDEX(智能流水!$F$2:$F$1001,MATCH($B504,智能流水!$B$2:$B$1001,0)),""))</f>
        <v/>
      </c>
      <c r="G504" s="19">
        <f>IF($B504="","",IFERROR(INDEX(智能流水!$G$2:$G$1001,MATCH($B504,智能流水!$B$2:$B$1001,0)),""))</f>
        <v/>
      </c>
      <c r="H504" s="19">
        <f>IF($B504="","",IFERROR(INDEX(智能流水!$H$2:$H$1001,MATCH($B504,智能流水!$B$2:$B$1001,0)),""))</f>
        <v/>
      </c>
      <c r="I504" s="19">
        <f>IF($B504="","",IFERROR(INDEX(智能流水!$I$2:$I$1001,MATCH($B504,智能流水!$B$2:$B$1001,0)),""))</f>
        <v/>
      </c>
      <c r="J504" s="19">
        <f>IF($B504="","",IFERROR(INDEX(智能流水!$J$2:$J$1001,MATCH($B504,智能流水!$B$2:$B$1001,0)),""))</f>
        <v/>
      </c>
      <c r="K504" s="19">
        <f>IF($B504="","",IFERROR(INDEX(智能流水!$K$2:$K$1001,MATCH($B504,智能流水!$B$2:$B$1001,0)),""))</f>
        <v/>
      </c>
      <c r="L504" s="19">
        <f>IF($B504="","",IFERROR(INDEX(智能流水!$L$2:$L$1001,MATCH($B504,智能流水!$B$2:$B$1001,0)),""))</f>
        <v/>
      </c>
      <c r="M504" s="19">
        <f>IF($B504="","",IFERROR(INDEX(智能流水!$M$2:$M$1001,MATCH($B504,智能流水!$B$2:$B$1001,0)),""))</f>
        <v/>
      </c>
      <c r="N504" s="19">
        <f>IF($B504="","",IFERROR(INDEX(智能流水!$N$2:$N$1001,MATCH($B504,智能流水!$B$2:$B$1001,0)),""))</f>
        <v/>
      </c>
      <c r="O504" s="19">
        <f>IF($B504="","",IFERROR(INDEX(智能流水!$O$2:$O$1001,MATCH($B504,智能流水!$B$2:$B$1001,0)),""))</f>
        <v/>
      </c>
    </row>
    <row r="505">
      <c r="A505" s="19">
        <f>IF($B505="","",504)</f>
        <v/>
      </c>
      <c r="B505" s="19">
        <f>IFERROR(LARGE(智能流水!$B$2:$B$1001,504),"")</f>
        <v/>
      </c>
      <c r="C505" s="19">
        <f>IF($B505="","",IFERROR(INDEX(智能流水!$C$2:$C$1001,MATCH($B505,智能流水!$B$2:$B$1001,0)),""))</f>
        <v/>
      </c>
      <c r="D505" s="19">
        <f>IF($B505="","",IFERROR(INDEX(智能流水!$D$2:$D$1001,MATCH($B505,智能流水!$B$2:$B$1001,0)),""))</f>
        <v/>
      </c>
      <c r="E505" s="19">
        <f>IF($B505="","",IFERROR(INDEX(智能流水!$E$2:$E$1001,MATCH($B505,智能流水!$B$2:$B$1001,0)),""))</f>
        <v/>
      </c>
      <c r="F505" s="19">
        <f>IF($B505="","",IFERROR(INDEX(智能流水!$F$2:$F$1001,MATCH($B505,智能流水!$B$2:$B$1001,0)),""))</f>
        <v/>
      </c>
      <c r="G505" s="19">
        <f>IF($B505="","",IFERROR(INDEX(智能流水!$G$2:$G$1001,MATCH($B505,智能流水!$B$2:$B$1001,0)),""))</f>
        <v/>
      </c>
      <c r="H505" s="19">
        <f>IF($B505="","",IFERROR(INDEX(智能流水!$H$2:$H$1001,MATCH($B505,智能流水!$B$2:$B$1001,0)),""))</f>
        <v/>
      </c>
      <c r="I505" s="19">
        <f>IF($B505="","",IFERROR(INDEX(智能流水!$I$2:$I$1001,MATCH($B505,智能流水!$B$2:$B$1001,0)),""))</f>
        <v/>
      </c>
      <c r="J505" s="19">
        <f>IF($B505="","",IFERROR(INDEX(智能流水!$J$2:$J$1001,MATCH($B505,智能流水!$B$2:$B$1001,0)),""))</f>
        <v/>
      </c>
      <c r="K505" s="19">
        <f>IF($B505="","",IFERROR(INDEX(智能流水!$K$2:$K$1001,MATCH($B505,智能流水!$B$2:$B$1001,0)),""))</f>
        <v/>
      </c>
      <c r="L505" s="19">
        <f>IF($B505="","",IFERROR(INDEX(智能流水!$L$2:$L$1001,MATCH($B505,智能流水!$B$2:$B$1001,0)),""))</f>
        <v/>
      </c>
      <c r="M505" s="19">
        <f>IF($B505="","",IFERROR(INDEX(智能流水!$M$2:$M$1001,MATCH($B505,智能流水!$B$2:$B$1001,0)),""))</f>
        <v/>
      </c>
      <c r="N505" s="19">
        <f>IF($B505="","",IFERROR(INDEX(智能流水!$N$2:$N$1001,MATCH($B505,智能流水!$B$2:$B$1001,0)),""))</f>
        <v/>
      </c>
      <c r="O505" s="19">
        <f>IF($B505="","",IFERROR(INDEX(智能流水!$O$2:$O$1001,MATCH($B505,智能流水!$B$2:$B$1001,0)),""))</f>
        <v/>
      </c>
    </row>
    <row r="506">
      <c r="A506" s="19">
        <f>IF($B506="","",505)</f>
        <v/>
      </c>
      <c r="B506" s="19">
        <f>IFERROR(LARGE(智能流水!$B$2:$B$1001,505),"")</f>
        <v/>
      </c>
      <c r="C506" s="19">
        <f>IF($B506="","",IFERROR(INDEX(智能流水!$C$2:$C$1001,MATCH($B506,智能流水!$B$2:$B$1001,0)),""))</f>
        <v/>
      </c>
      <c r="D506" s="19">
        <f>IF($B506="","",IFERROR(INDEX(智能流水!$D$2:$D$1001,MATCH($B506,智能流水!$B$2:$B$1001,0)),""))</f>
        <v/>
      </c>
      <c r="E506" s="19">
        <f>IF($B506="","",IFERROR(INDEX(智能流水!$E$2:$E$1001,MATCH($B506,智能流水!$B$2:$B$1001,0)),""))</f>
        <v/>
      </c>
      <c r="F506" s="19">
        <f>IF($B506="","",IFERROR(INDEX(智能流水!$F$2:$F$1001,MATCH($B506,智能流水!$B$2:$B$1001,0)),""))</f>
        <v/>
      </c>
      <c r="G506" s="19">
        <f>IF($B506="","",IFERROR(INDEX(智能流水!$G$2:$G$1001,MATCH($B506,智能流水!$B$2:$B$1001,0)),""))</f>
        <v/>
      </c>
      <c r="H506" s="19">
        <f>IF($B506="","",IFERROR(INDEX(智能流水!$H$2:$H$1001,MATCH($B506,智能流水!$B$2:$B$1001,0)),""))</f>
        <v/>
      </c>
      <c r="I506" s="19">
        <f>IF($B506="","",IFERROR(INDEX(智能流水!$I$2:$I$1001,MATCH($B506,智能流水!$B$2:$B$1001,0)),""))</f>
        <v/>
      </c>
      <c r="J506" s="19">
        <f>IF($B506="","",IFERROR(INDEX(智能流水!$J$2:$J$1001,MATCH($B506,智能流水!$B$2:$B$1001,0)),""))</f>
        <v/>
      </c>
      <c r="K506" s="19">
        <f>IF($B506="","",IFERROR(INDEX(智能流水!$K$2:$K$1001,MATCH($B506,智能流水!$B$2:$B$1001,0)),""))</f>
        <v/>
      </c>
      <c r="L506" s="19">
        <f>IF($B506="","",IFERROR(INDEX(智能流水!$L$2:$L$1001,MATCH($B506,智能流水!$B$2:$B$1001,0)),""))</f>
        <v/>
      </c>
      <c r="M506" s="19">
        <f>IF($B506="","",IFERROR(INDEX(智能流水!$M$2:$M$1001,MATCH($B506,智能流水!$B$2:$B$1001,0)),""))</f>
        <v/>
      </c>
      <c r="N506" s="19">
        <f>IF($B506="","",IFERROR(INDEX(智能流水!$N$2:$N$1001,MATCH($B506,智能流水!$B$2:$B$1001,0)),""))</f>
        <v/>
      </c>
      <c r="O506" s="19">
        <f>IF($B506="","",IFERROR(INDEX(智能流水!$O$2:$O$1001,MATCH($B506,智能流水!$B$2:$B$1001,0)),""))</f>
        <v/>
      </c>
    </row>
    <row r="507">
      <c r="A507" s="19">
        <f>IF($B507="","",506)</f>
        <v/>
      </c>
      <c r="B507" s="19">
        <f>IFERROR(LARGE(智能流水!$B$2:$B$1001,506),"")</f>
        <v/>
      </c>
      <c r="C507" s="19">
        <f>IF($B507="","",IFERROR(INDEX(智能流水!$C$2:$C$1001,MATCH($B507,智能流水!$B$2:$B$1001,0)),""))</f>
        <v/>
      </c>
      <c r="D507" s="19">
        <f>IF($B507="","",IFERROR(INDEX(智能流水!$D$2:$D$1001,MATCH($B507,智能流水!$B$2:$B$1001,0)),""))</f>
        <v/>
      </c>
      <c r="E507" s="19">
        <f>IF($B507="","",IFERROR(INDEX(智能流水!$E$2:$E$1001,MATCH($B507,智能流水!$B$2:$B$1001,0)),""))</f>
        <v/>
      </c>
      <c r="F507" s="19">
        <f>IF($B507="","",IFERROR(INDEX(智能流水!$F$2:$F$1001,MATCH($B507,智能流水!$B$2:$B$1001,0)),""))</f>
        <v/>
      </c>
      <c r="G507" s="19">
        <f>IF($B507="","",IFERROR(INDEX(智能流水!$G$2:$G$1001,MATCH($B507,智能流水!$B$2:$B$1001,0)),""))</f>
        <v/>
      </c>
      <c r="H507" s="19">
        <f>IF($B507="","",IFERROR(INDEX(智能流水!$H$2:$H$1001,MATCH($B507,智能流水!$B$2:$B$1001,0)),""))</f>
        <v/>
      </c>
      <c r="I507" s="19">
        <f>IF($B507="","",IFERROR(INDEX(智能流水!$I$2:$I$1001,MATCH($B507,智能流水!$B$2:$B$1001,0)),""))</f>
        <v/>
      </c>
      <c r="J507" s="19">
        <f>IF($B507="","",IFERROR(INDEX(智能流水!$J$2:$J$1001,MATCH($B507,智能流水!$B$2:$B$1001,0)),""))</f>
        <v/>
      </c>
      <c r="K507" s="19">
        <f>IF($B507="","",IFERROR(INDEX(智能流水!$K$2:$K$1001,MATCH($B507,智能流水!$B$2:$B$1001,0)),""))</f>
        <v/>
      </c>
      <c r="L507" s="19">
        <f>IF($B507="","",IFERROR(INDEX(智能流水!$L$2:$L$1001,MATCH($B507,智能流水!$B$2:$B$1001,0)),""))</f>
        <v/>
      </c>
      <c r="M507" s="19">
        <f>IF($B507="","",IFERROR(INDEX(智能流水!$M$2:$M$1001,MATCH($B507,智能流水!$B$2:$B$1001,0)),""))</f>
        <v/>
      </c>
      <c r="N507" s="19">
        <f>IF($B507="","",IFERROR(INDEX(智能流水!$N$2:$N$1001,MATCH($B507,智能流水!$B$2:$B$1001,0)),""))</f>
        <v/>
      </c>
      <c r="O507" s="19">
        <f>IF($B507="","",IFERROR(INDEX(智能流水!$O$2:$O$1001,MATCH($B507,智能流水!$B$2:$B$1001,0)),""))</f>
        <v/>
      </c>
    </row>
    <row r="508">
      <c r="A508" s="19">
        <f>IF($B508="","",507)</f>
        <v/>
      </c>
      <c r="B508" s="19">
        <f>IFERROR(LARGE(智能流水!$B$2:$B$1001,507),"")</f>
        <v/>
      </c>
      <c r="C508" s="19">
        <f>IF($B508="","",IFERROR(INDEX(智能流水!$C$2:$C$1001,MATCH($B508,智能流水!$B$2:$B$1001,0)),""))</f>
        <v/>
      </c>
      <c r="D508" s="19">
        <f>IF($B508="","",IFERROR(INDEX(智能流水!$D$2:$D$1001,MATCH($B508,智能流水!$B$2:$B$1001,0)),""))</f>
        <v/>
      </c>
      <c r="E508" s="19">
        <f>IF($B508="","",IFERROR(INDEX(智能流水!$E$2:$E$1001,MATCH($B508,智能流水!$B$2:$B$1001,0)),""))</f>
        <v/>
      </c>
      <c r="F508" s="19">
        <f>IF($B508="","",IFERROR(INDEX(智能流水!$F$2:$F$1001,MATCH($B508,智能流水!$B$2:$B$1001,0)),""))</f>
        <v/>
      </c>
      <c r="G508" s="19">
        <f>IF($B508="","",IFERROR(INDEX(智能流水!$G$2:$G$1001,MATCH($B508,智能流水!$B$2:$B$1001,0)),""))</f>
        <v/>
      </c>
      <c r="H508" s="19">
        <f>IF($B508="","",IFERROR(INDEX(智能流水!$H$2:$H$1001,MATCH($B508,智能流水!$B$2:$B$1001,0)),""))</f>
        <v/>
      </c>
      <c r="I508" s="19">
        <f>IF($B508="","",IFERROR(INDEX(智能流水!$I$2:$I$1001,MATCH($B508,智能流水!$B$2:$B$1001,0)),""))</f>
        <v/>
      </c>
      <c r="J508" s="19">
        <f>IF($B508="","",IFERROR(INDEX(智能流水!$J$2:$J$1001,MATCH($B508,智能流水!$B$2:$B$1001,0)),""))</f>
        <v/>
      </c>
      <c r="K508" s="19">
        <f>IF($B508="","",IFERROR(INDEX(智能流水!$K$2:$K$1001,MATCH($B508,智能流水!$B$2:$B$1001,0)),""))</f>
        <v/>
      </c>
      <c r="L508" s="19">
        <f>IF($B508="","",IFERROR(INDEX(智能流水!$L$2:$L$1001,MATCH($B508,智能流水!$B$2:$B$1001,0)),""))</f>
        <v/>
      </c>
      <c r="M508" s="19">
        <f>IF($B508="","",IFERROR(INDEX(智能流水!$M$2:$M$1001,MATCH($B508,智能流水!$B$2:$B$1001,0)),""))</f>
        <v/>
      </c>
      <c r="N508" s="19">
        <f>IF($B508="","",IFERROR(INDEX(智能流水!$N$2:$N$1001,MATCH($B508,智能流水!$B$2:$B$1001,0)),""))</f>
        <v/>
      </c>
      <c r="O508" s="19">
        <f>IF($B508="","",IFERROR(INDEX(智能流水!$O$2:$O$1001,MATCH($B508,智能流水!$B$2:$B$1001,0)),""))</f>
        <v/>
      </c>
    </row>
    <row r="509">
      <c r="A509" s="19">
        <f>IF($B509="","",508)</f>
        <v/>
      </c>
      <c r="B509" s="19">
        <f>IFERROR(LARGE(智能流水!$B$2:$B$1001,508),"")</f>
        <v/>
      </c>
      <c r="C509" s="19">
        <f>IF($B509="","",IFERROR(INDEX(智能流水!$C$2:$C$1001,MATCH($B509,智能流水!$B$2:$B$1001,0)),""))</f>
        <v/>
      </c>
      <c r="D509" s="19">
        <f>IF($B509="","",IFERROR(INDEX(智能流水!$D$2:$D$1001,MATCH($B509,智能流水!$B$2:$B$1001,0)),""))</f>
        <v/>
      </c>
      <c r="E509" s="19">
        <f>IF($B509="","",IFERROR(INDEX(智能流水!$E$2:$E$1001,MATCH($B509,智能流水!$B$2:$B$1001,0)),""))</f>
        <v/>
      </c>
      <c r="F509" s="19">
        <f>IF($B509="","",IFERROR(INDEX(智能流水!$F$2:$F$1001,MATCH($B509,智能流水!$B$2:$B$1001,0)),""))</f>
        <v/>
      </c>
      <c r="G509" s="19">
        <f>IF($B509="","",IFERROR(INDEX(智能流水!$G$2:$G$1001,MATCH($B509,智能流水!$B$2:$B$1001,0)),""))</f>
        <v/>
      </c>
      <c r="H509" s="19">
        <f>IF($B509="","",IFERROR(INDEX(智能流水!$H$2:$H$1001,MATCH($B509,智能流水!$B$2:$B$1001,0)),""))</f>
        <v/>
      </c>
      <c r="I509" s="19">
        <f>IF($B509="","",IFERROR(INDEX(智能流水!$I$2:$I$1001,MATCH($B509,智能流水!$B$2:$B$1001,0)),""))</f>
        <v/>
      </c>
      <c r="J509" s="19">
        <f>IF($B509="","",IFERROR(INDEX(智能流水!$J$2:$J$1001,MATCH($B509,智能流水!$B$2:$B$1001,0)),""))</f>
        <v/>
      </c>
      <c r="K509" s="19">
        <f>IF($B509="","",IFERROR(INDEX(智能流水!$K$2:$K$1001,MATCH($B509,智能流水!$B$2:$B$1001,0)),""))</f>
        <v/>
      </c>
      <c r="L509" s="19">
        <f>IF($B509="","",IFERROR(INDEX(智能流水!$L$2:$L$1001,MATCH($B509,智能流水!$B$2:$B$1001,0)),""))</f>
        <v/>
      </c>
      <c r="M509" s="19">
        <f>IF($B509="","",IFERROR(INDEX(智能流水!$M$2:$M$1001,MATCH($B509,智能流水!$B$2:$B$1001,0)),""))</f>
        <v/>
      </c>
      <c r="N509" s="19">
        <f>IF($B509="","",IFERROR(INDEX(智能流水!$N$2:$N$1001,MATCH($B509,智能流水!$B$2:$B$1001,0)),""))</f>
        <v/>
      </c>
      <c r="O509" s="19">
        <f>IF($B509="","",IFERROR(INDEX(智能流水!$O$2:$O$1001,MATCH($B509,智能流水!$B$2:$B$1001,0)),""))</f>
        <v/>
      </c>
    </row>
    <row r="510">
      <c r="A510" s="19">
        <f>IF($B510="","",509)</f>
        <v/>
      </c>
      <c r="B510" s="19">
        <f>IFERROR(LARGE(智能流水!$B$2:$B$1001,509),"")</f>
        <v/>
      </c>
      <c r="C510" s="19">
        <f>IF($B510="","",IFERROR(INDEX(智能流水!$C$2:$C$1001,MATCH($B510,智能流水!$B$2:$B$1001,0)),""))</f>
        <v/>
      </c>
      <c r="D510" s="19">
        <f>IF($B510="","",IFERROR(INDEX(智能流水!$D$2:$D$1001,MATCH($B510,智能流水!$B$2:$B$1001,0)),""))</f>
        <v/>
      </c>
      <c r="E510" s="19">
        <f>IF($B510="","",IFERROR(INDEX(智能流水!$E$2:$E$1001,MATCH($B510,智能流水!$B$2:$B$1001,0)),""))</f>
        <v/>
      </c>
      <c r="F510" s="19">
        <f>IF($B510="","",IFERROR(INDEX(智能流水!$F$2:$F$1001,MATCH($B510,智能流水!$B$2:$B$1001,0)),""))</f>
        <v/>
      </c>
      <c r="G510" s="19">
        <f>IF($B510="","",IFERROR(INDEX(智能流水!$G$2:$G$1001,MATCH($B510,智能流水!$B$2:$B$1001,0)),""))</f>
        <v/>
      </c>
      <c r="H510" s="19">
        <f>IF($B510="","",IFERROR(INDEX(智能流水!$H$2:$H$1001,MATCH($B510,智能流水!$B$2:$B$1001,0)),""))</f>
        <v/>
      </c>
      <c r="I510" s="19">
        <f>IF($B510="","",IFERROR(INDEX(智能流水!$I$2:$I$1001,MATCH($B510,智能流水!$B$2:$B$1001,0)),""))</f>
        <v/>
      </c>
      <c r="J510" s="19">
        <f>IF($B510="","",IFERROR(INDEX(智能流水!$J$2:$J$1001,MATCH($B510,智能流水!$B$2:$B$1001,0)),""))</f>
        <v/>
      </c>
      <c r="K510" s="19">
        <f>IF($B510="","",IFERROR(INDEX(智能流水!$K$2:$K$1001,MATCH($B510,智能流水!$B$2:$B$1001,0)),""))</f>
        <v/>
      </c>
      <c r="L510" s="19">
        <f>IF($B510="","",IFERROR(INDEX(智能流水!$L$2:$L$1001,MATCH($B510,智能流水!$B$2:$B$1001,0)),""))</f>
        <v/>
      </c>
      <c r="M510" s="19">
        <f>IF($B510="","",IFERROR(INDEX(智能流水!$M$2:$M$1001,MATCH($B510,智能流水!$B$2:$B$1001,0)),""))</f>
        <v/>
      </c>
      <c r="N510" s="19">
        <f>IF($B510="","",IFERROR(INDEX(智能流水!$N$2:$N$1001,MATCH($B510,智能流水!$B$2:$B$1001,0)),""))</f>
        <v/>
      </c>
      <c r="O510" s="19">
        <f>IF($B510="","",IFERROR(INDEX(智能流水!$O$2:$O$1001,MATCH($B510,智能流水!$B$2:$B$1001,0)),""))</f>
        <v/>
      </c>
    </row>
    <row r="511">
      <c r="A511" s="19">
        <f>IF($B511="","",510)</f>
        <v/>
      </c>
      <c r="B511" s="19">
        <f>IFERROR(LARGE(智能流水!$B$2:$B$1001,510),"")</f>
        <v/>
      </c>
      <c r="C511" s="19">
        <f>IF($B511="","",IFERROR(INDEX(智能流水!$C$2:$C$1001,MATCH($B511,智能流水!$B$2:$B$1001,0)),""))</f>
        <v/>
      </c>
      <c r="D511" s="19">
        <f>IF($B511="","",IFERROR(INDEX(智能流水!$D$2:$D$1001,MATCH($B511,智能流水!$B$2:$B$1001,0)),""))</f>
        <v/>
      </c>
      <c r="E511" s="19">
        <f>IF($B511="","",IFERROR(INDEX(智能流水!$E$2:$E$1001,MATCH($B511,智能流水!$B$2:$B$1001,0)),""))</f>
        <v/>
      </c>
      <c r="F511" s="19">
        <f>IF($B511="","",IFERROR(INDEX(智能流水!$F$2:$F$1001,MATCH($B511,智能流水!$B$2:$B$1001,0)),""))</f>
        <v/>
      </c>
      <c r="G511" s="19">
        <f>IF($B511="","",IFERROR(INDEX(智能流水!$G$2:$G$1001,MATCH($B511,智能流水!$B$2:$B$1001,0)),""))</f>
        <v/>
      </c>
      <c r="H511" s="19">
        <f>IF($B511="","",IFERROR(INDEX(智能流水!$H$2:$H$1001,MATCH($B511,智能流水!$B$2:$B$1001,0)),""))</f>
        <v/>
      </c>
      <c r="I511" s="19">
        <f>IF($B511="","",IFERROR(INDEX(智能流水!$I$2:$I$1001,MATCH($B511,智能流水!$B$2:$B$1001,0)),""))</f>
        <v/>
      </c>
      <c r="J511" s="19">
        <f>IF($B511="","",IFERROR(INDEX(智能流水!$J$2:$J$1001,MATCH($B511,智能流水!$B$2:$B$1001,0)),""))</f>
        <v/>
      </c>
      <c r="K511" s="19">
        <f>IF($B511="","",IFERROR(INDEX(智能流水!$K$2:$K$1001,MATCH($B511,智能流水!$B$2:$B$1001,0)),""))</f>
        <v/>
      </c>
      <c r="L511" s="19">
        <f>IF($B511="","",IFERROR(INDEX(智能流水!$L$2:$L$1001,MATCH($B511,智能流水!$B$2:$B$1001,0)),""))</f>
        <v/>
      </c>
      <c r="M511" s="19">
        <f>IF($B511="","",IFERROR(INDEX(智能流水!$M$2:$M$1001,MATCH($B511,智能流水!$B$2:$B$1001,0)),""))</f>
        <v/>
      </c>
      <c r="N511" s="19">
        <f>IF($B511="","",IFERROR(INDEX(智能流水!$N$2:$N$1001,MATCH($B511,智能流水!$B$2:$B$1001,0)),""))</f>
        <v/>
      </c>
      <c r="O511" s="19">
        <f>IF($B511="","",IFERROR(INDEX(智能流水!$O$2:$O$1001,MATCH($B511,智能流水!$B$2:$B$1001,0)),""))</f>
        <v/>
      </c>
    </row>
    <row r="512">
      <c r="A512" s="19">
        <f>IF($B512="","",511)</f>
        <v/>
      </c>
      <c r="B512" s="19">
        <f>IFERROR(LARGE(智能流水!$B$2:$B$1001,511),"")</f>
        <v/>
      </c>
      <c r="C512" s="19">
        <f>IF($B512="","",IFERROR(INDEX(智能流水!$C$2:$C$1001,MATCH($B512,智能流水!$B$2:$B$1001,0)),""))</f>
        <v/>
      </c>
      <c r="D512" s="19">
        <f>IF($B512="","",IFERROR(INDEX(智能流水!$D$2:$D$1001,MATCH($B512,智能流水!$B$2:$B$1001,0)),""))</f>
        <v/>
      </c>
      <c r="E512" s="19">
        <f>IF($B512="","",IFERROR(INDEX(智能流水!$E$2:$E$1001,MATCH($B512,智能流水!$B$2:$B$1001,0)),""))</f>
        <v/>
      </c>
      <c r="F512" s="19">
        <f>IF($B512="","",IFERROR(INDEX(智能流水!$F$2:$F$1001,MATCH($B512,智能流水!$B$2:$B$1001,0)),""))</f>
        <v/>
      </c>
      <c r="G512" s="19">
        <f>IF($B512="","",IFERROR(INDEX(智能流水!$G$2:$G$1001,MATCH($B512,智能流水!$B$2:$B$1001,0)),""))</f>
        <v/>
      </c>
      <c r="H512" s="19">
        <f>IF($B512="","",IFERROR(INDEX(智能流水!$H$2:$H$1001,MATCH($B512,智能流水!$B$2:$B$1001,0)),""))</f>
        <v/>
      </c>
      <c r="I512" s="19">
        <f>IF($B512="","",IFERROR(INDEX(智能流水!$I$2:$I$1001,MATCH($B512,智能流水!$B$2:$B$1001,0)),""))</f>
        <v/>
      </c>
      <c r="J512" s="19">
        <f>IF($B512="","",IFERROR(INDEX(智能流水!$J$2:$J$1001,MATCH($B512,智能流水!$B$2:$B$1001,0)),""))</f>
        <v/>
      </c>
      <c r="K512" s="19">
        <f>IF($B512="","",IFERROR(INDEX(智能流水!$K$2:$K$1001,MATCH($B512,智能流水!$B$2:$B$1001,0)),""))</f>
        <v/>
      </c>
      <c r="L512" s="19">
        <f>IF($B512="","",IFERROR(INDEX(智能流水!$L$2:$L$1001,MATCH($B512,智能流水!$B$2:$B$1001,0)),""))</f>
        <v/>
      </c>
      <c r="M512" s="19">
        <f>IF($B512="","",IFERROR(INDEX(智能流水!$M$2:$M$1001,MATCH($B512,智能流水!$B$2:$B$1001,0)),""))</f>
        <v/>
      </c>
      <c r="N512" s="19">
        <f>IF($B512="","",IFERROR(INDEX(智能流水!$N$2:$N$1001,MATCH($B512,智能流水!$B$2:$B$1001,0)),""))</f>
        <v/>
      </c>
      <c r="O512" s="19">
        <f>IF($B512="","",IFERROR(INDEX(智能流水!$O$2:$O$1001,MATCH($B512,智能流水!$B$2:$B$1001,0)),""))</f>
        <v/>
      </c>
    </row>
    <row r="513">
      <c r="A513" s="19">
        <f>IF($B513="","",512)</f>
        <v/>
      </c>
      <c r="B513" s="19">
        <f>IFERROR(LARGE(智能流水!$B$2:$B$1001,512),"")</f>
        <v/>
      </c>
      <c r="C513" s="19">
        <f>IF($B513="","",IFERROR(INDEX(智能流水!$C$2:$C$1001,MATCH($B513,智能流水!$B$2:$B$1001,0)),""))</f>
        <v/>
      </c>
      <c r="D513" s="19">
        <f>IF($B513="","",IFERROR(INDEX(智能流水!$D$2:$D$1001,MATCH($B513,智能流水!$B$2:$B$1001,0)),""))</f>
        <v/>
      </c>
      <c r="E513" s="19">
        <f>IF($B513="","",IFERROR(INDEX(智能流水!$E$2:$E$1001,MATCH($B513,智能流水!$B$2:$B$1001,0)),""))</f>
        <v/>
      </c>
      <c r="F513" s="19">
        <f>IF($B513="","",IFERROR(INDEX(智能流水!$F$2:$F$1001,MATCH($B513,智能流水!$B$2:$B$1001,0)),""))</f>
        <v/>
      </c>
      <c r="G513" s="19">
        <f>IF($B513="","",IFERROR(INDEX(智能流水!$G$2:$G$1001,MATCH($B513,智能流水!$B$2:$B$1001,0)),""))</f>
        <v/>
      </c>
      <c r="H513" s="19">
        <f>IF($B513="","",IFERROR(INDEX(智能流水!$H$2:$H$1001,MATCH($B513,智能流水!$B$2:$B$1001,0)),""))</f>
        <v/>
      </c>
      <c r="I513" s="19">
        <f>IF($B513="","",IFERROR(INDEX(智能流水!$I$2:$I$1001,MATCH($B513,智能流水!$B$2:$B$1001,0)),""))</f>
        <v/>
      </c>
      <c r="J513" s="19">
        <f>IF($B513="","",IFERROR(INDEX(智能流水!$J$2:$J$1001,MATCH($B513,智能流水!$B$2:$B$1001,0)),""))</f>
        <v/>
      </c>
      <c r="K513" s="19">
        <f>IF($B513="","",IFERROR(INDEX(智能流水!$K$2:$K$1001,MATCH($B513,智能流水!$B$2:$B$1001,0)),""))</f>
        <v/>
      </c>
      <c r="L513" s="19">
        <f>IF($B513="","",IFERROR(INDEX(智能流水!$L$2:$L$1001,MATCH($B513,智能流水!$B$2:$B$1001,0)),""))</f>
        <v/>
      </c>
      <c r="M513" s="19">
        <f>IF($B513="","",IFERROR(INDEX(智能流水!$M$2:$M$1001,MATCH($B513,智能流水!$B$2:$B$1001,0)),""))</f>
        <v/>
      </c>
      <c r="N513" s="19">
        <f>IF($B513="","",IFERROR(INDEX(智能流水!$N$2:$N$1001,MATCH($B513,智能流水!$B$2:$B$1001,0)),""))</f>
        <v/>
      </c>
      <c r="O513" s="19">
        <f>IF($B513="","",IFERROR(INDEX(智能流水!$O$2:$O$1001,MATCH($B513,智能流水!$B$2:$B$1001,0)),""))</f>
        <v/>
      </c>
    </row>
    <row r="514">
      <c r="A514" s="19">
        <f>IF($B514="","",513)</f>
        <v/>
      </c>
      <c r="B514" s="19">
        <f>IFERROR(LARGE(智能流水!$B$2:$B$1001,513),"")</f>
        <v/>
      </c>
      <c r="C514" s="19">
        <f>IF($B514="","",IFERROR(INDEX(智能流水!$C$2:$C$1001,MATCH($B514,智能流水!$B$2:$B$1001,0)),""))</f>
        <v/>
      </c>
      <c r="D514" s="19">
        <f>IF($B514="","",IFERROR(INDEX(智能流水!$D$2:$D$1001,MATCH($B514,智能流水!$B$2:$B$1001,0)),""))</f>
        <v/>
      </c>
      <c r="E514" s="19">
        <f>IF($B514="","",IFERROR(INDEX(智能流水!$E$2:$E$1001,MATCH($B514,智能流水!$B$2:$B$1001,0)),""))</f>
        <v/>
      </c>
      <c r="F514" s="19">
        <f>IF($B514="","",IFERROR(INDEX(智能流水!$F$2:$F$1001,MATCH($B514,智能流水!$B$2:$B$1001,0)),""))</f>
        <v/>
      </c>
      <c r="G514" s="19">
        <f>IF($B514="","",IFERROR(INDEX(智能流水!$G$2:$G$1001,MATCH($B514,智能流水!$B$2:$B$1001,0)),""))</f>
        <v/>
      </c>
      <c r="H514" s="19">
        <f>IF($B514="","",IFERROR(INDEX(智能流水!$H$2:$H$1001,MATCH($B514,智能流水!$B$2:$B$1001,0)),""))</f>
        <v/>
      </c>
      <c r="I514" s="19">
        <f>IF($B514="","",IFERROR(INDEX(智能流水!$I$2:$I$1001,MATCH($B514,智能流水!$B$2:$B$1001,0)),""))</f>
        <v/>
      </c>
      <c r="J514" s="19">
        <f>IF($B514="","",IFERROR(INDEX(智能流水!$J$2:$J$1001,MATCH($B514,智能流水!$B$2:$B$1001,0)),""))</f>
        <v/>
      </c>
      <c r="K514" s="19">
        <f>IF($B514="","",IFERROR(INDEX(智能流水!$K$2:$K$1001,MATCH($B514,智能流水!$B$2:$B$1001,0)),""))</f>
        <v/>
      </c>
      <c r="L514" s="19">
        <f>IF($B514="","",IFERROR(INDEX(智能流水!$L$2:$L$1001,MATCH($B514,智能流水!$B$2:$B$1001,0)),""))</f>
        <v/>
      </c>
      <c r="M514" s="19">
        <f>IF($B514="","",IFERROR(INDEX(智能流水!$M$2:$M$1001,MATCH($B514,智能流水!$B$2:$B$1001,0)),""))</f>
        <v/>
      </c>
      <c r="N514" s="19">
        <f>IF($B514="","",IFERROR(INDEX(智能流水!$N$2:$N$1001,MATCH($B514,智能流水!$B$2:$B$1001,0)),""))</f>
        <v/>
      </c>
      <c r="O514" s="19">
        <f>IF($B514="","",IFERROR(INDEX(智能流水!$O$2:$O$1001,MATCH($B514,智能流水!$B$2:$B$1001,0)),""))</f>
        <v/>
      </c>
    </row>
    <row r="515">
      <c r="A515" s="19">
        <f>IF($B515="","",514)</f>
        <v/>
      </c>
      <c r="B515" s="19">
        <f>IFERROR(LARGE(智能流水!$B$2:$B$1001,514),"")</f>
        <v/>
      </c>
      <c r="C515" s="19">
        <f>IF($B515="","",IFERROR(INDEX(智能流水!$C$2:$C$1001,MATCH($B515,智能流水!$B$2:$B$1001,0)),""))</f>
        <v/>
      </c>
      <c r="D515" s="19">
        <f>IF($B515="","",IFERROR(INDEX(智能流水!$D$2:$D$1001,MATCH($B515,智能流水!$B$2:$B$1001,0)),""))</f>
        <v/>
      </c>
      <c r="E515" s="19">
        <f>IF($B515="","",IFERROR(INDEX(智能流水!$E$2:$E$1001,MATCH($B515,智能流水!$B$2:$B$1001,0)),""))</f>
        <v/>
      </c>
      <c r="F515" s="19">
        <f>IF($B515="","",IFERROR(INDEX(智能流水!$F$2:$F$1001,MATCH($B515,智能流水!$B$2:$B$1001,0)),""))</f>
        <v/>
      </c>
      <c r="G515" s="19">
        <f>IF($B515="","",IFERROR(INDEX(智能流水!$G$2:$G$1001,MATCH($B515,智能流水!$B$2:$B$1001,0)),""))</f>
        <v/>
      </c>
      <c r="H515" s="19">
        <f>IF($B515="","",IFERROR(INDEX(智能流水!$H$2:$H$1001,MATCH($B515,智能流水!$B$2:$B$1001,0)),""))</f>
        <v/>
      </c>
      <c r="I515" s="19">
        <f>IF($B515="","",IFERROR(INDEX(智能流水!$I$2:$I$1001,MATCH($B515,智能流水!$B$2:$B$1001,0)),""))</f>
        <v/>
      </c>
      <c r="J515" s="19">
        <f>IF($B515="","",IFERROR(INDEX(智能流水!$J$2:$J$1001,MATCH($B515,智能流水!$B$2:$B$1001,0)),""))</f>
        <v/>
      </c>
      <c r="K515" s="19">
        <f>IF($B515="","",IFERROR(INDEX(智能流水!$K$2:$K$1001,MATCH($B515,智能流水!$B$2:$B$1001,0)),""))</f>
        <v/>
      </c>
      <c r="L515" s="19">
        <f>IF($B515="","",IFERROR(INDEX(智能流水!$L$2:$L$1001,MATCH($B515,智能流水!$B$2:$B$1001,0)),""))</f>
        <v/>
      </c>
      <c r="M515" s="19">
        <f>IF($B515="","",IFERROR(INDEX(智能流水!$M$2:$M$1001,MATCH($B515,智能流水!$B$2:$B$1001,0)),""))</f>
        <v/>
      </c>
      <c r="N515" s="19">
        <f>IF($B515="","",IFERROR(INDEX(智能流水!$N$2:$N$1001,MATCH($B515,智能流水!$B$2:$B$1001,0)),""))</f>
        <v/>
      </c>
      <c r="O515" s="19">
        <f>IF($B515="","",IFERROR(INDEX(智能流水!$O$2:$O$1001,MATCH($B515,智能流水!$B$2:$B$1001,0)),""))</f>
        <v/>
      </c>
    </row>
    <row r="516">
      <c r="A516" s="19">
        <f>IF($B516="","",515)</f>
        <v/>
      </c>
      <c r="B516" s="19">
        <f>IFERROR(LARGE(智能流水!$B$2:$B$1001,515),"")</f>
        <v/>
      </c>
      <c r="C516" s="19">
        <f>IF($B516="","",IFERROR(INDEX(智能流水!$C$2:$C$1001,MATCH($B516,智能流水!$B$2:$B$1001,0)),""))</f>
        <v/>
      </c>
      <c r="D516" s="19">
        <f>IF($B516="","",IFERROR(INDEX(智能流水!$D$2:$D$1001,MATCH($B516,智能流水!$B$2:$B$1001,0)),""))</f>
        <v/>
      </c>
      <c r="E516" s="19">
        <f>IF($B516="","",IFERROR(INDEX(智能流水!$E$2:$E$1001,MATCH($B516,智能流水!$B$2:$B$1001,0)),""))</f>
        <v/>
      </c>
      <c r="F516" s="19">
        <f>IF($B516="","",IFERROR(INDEX(智能流水!$F$2:$F$1001,MATCH($B516,智能流水!$B$2:$B$1001,0)),""))</f>
        <v/>
      </c>
      <c r="G516" s="19">
        <f>IF($B516="","",IFERROR(INDEX(智能流水!$G$2:$G$1001,MATCH($B516,智能流水!$B$2:$B$1001,0)),""))</f>
        <v/>
      </c>
      <c r="H516" s="19">
        <f>IF($B516="","",IFERROR(INDEX(智能流水!$H$2:$H$1001,MATCH($B516,智能流水!$B$2:$B$1001,0)),""))</f>
        <v/>
      </c>
      <c r="I516" s="19">
        <f>IF($B516="","",IFERROR(INDEX(智能流水!$I$2:$I$1001,MATCH($B516,智能流水!$B$2:$B$1001,0)),""))</f>
        <v/>
      </c>
      <c r="J516" s="19">
        <f>IF($B516="","",IFERROR(INDEX(智能流水!$J$2:$J$1001,MATCH($B516,智能流水!$B$2:$B$1001,0)),""))</f>
        <v/>
      </c>
      <c r="K516" s="19">
        <f>IF($B516="","",IFERROR(INDEX(智能流水!$K$2:$K$1001,MATCH($B516,智能流水!$B$2:$B$1001,0)),""))</f>
        <v/>
      </c>
      <c r="L516" s="19">
        <f>IF($B516="","",IFERROR(INDEX(智能流水!$L$2:$L$1001,MATCH($B516,智能流水!$B$2:$B$1001,0)),""))</f>
        <v/>
      </c>
      <c r="M516" s="19">
        <f>IF($B516="","",IFERROR(INDEX(智能流水!$M$2:$M$1001,MATCH($B516,智能流水!$B$2:$B$1001,0)),""))</f>
        <v/>
      </c>
      <c r="N516" s="19">
        <f>IF($B516="","",IFERROR(INDEX(智能流水!$N$2:$N$1001,MATCH($B516,智能流水!$B$2:$B$1001,0)),""))</f>
        <v/>
      </c>
      <c r="O516" s="19">
        <f>IF($B516="","",IFERROR(INDEX(智能流水!$O$2:$O$1001,MATCH($B516,智能流水!$B$2:$B$1001,0)),""))</f>
        <v/>
      </c>
    </row>
    <row r="517">
      <c r="A517" s="19">
        <f>IF($B517="","",516)</f>
        <v/>
      </c>
      <c r="B517" s="19">
        <f>IFERROR(LARGE(智能流水!$B$2:$B$1001,516),"")</f>
        <v/>
      </c>
      <c r="C517" s="19">
        <f>IF($B517="","",IFERROR(INDEX(智能流水!$C$2:$C$1001,MATCH($B517,智能流水!$B$2:$B$1001,0)),""))</f>
        <v/>
      </c>
      <c r="D517" s="19">
        <f>IF($B517="","",IFERROR(INDEX(智能流水!$D$2:$D$1001,MATCH($B517,智能流水!$B$2:$B$1001,0)),""))</f>
        <v/>
      </c>
      <c r="E517" s="19">
        <f>IF($B517="","",IFERROR(INDEX(智能流水!$E$2:$E$1001,MATCH($B517,智能流水!$B$2:$B$1001,0)),""))</f>
        <v/>
      </c>
      <c r="F517" s="19">
        <f>IF($B517="","",IFERROR(INDEX(智能流水!$F$2:$F$1001,MATCH($B517,智能流水!$B$2:$B$1001,0)),""))</f>
        <v/>
      </c>
      <c r="G517" s="19">
        <f>IF($B517="","",IFERROR(INDEX(智能流水!$G$2:$G$1001,MATCH($B517,智能流水!$B$2:$B$1001,0)),""))</f>
        <v/>
      </c>
      <c r="H517" s="19">
        <f>IF($B517="","",IFERROR(INDEX(智能流水!$H$2:$H$1001,MATCH($B517,智能流水!$B$2:$B$1001,0)),""))</f>
        <v/>
      </c>
      <c r="I517" s="19">
        <f>IF($B517="","",IFERROR(INDEX(智能流水!$I$2:$I$1001,MATCH($B517,智能流水!$B$2:$B$1001,0)),""))</f>
        <v/>
      </c>
      <c r="J517" s="19">
        <f>IF($B517="","",IFERROR(INDEX(智能流水!$J$2:$J$1001,MATCH($B517,智能流水!$B$2:$B$1001,0)),""))</f>
        <v/>
      </c>
      <c r="K517" s="19">
        <f>IF($B517="","",IFERROR(INDEX(智能流水!$K$2:$K$1001,MATCH($B517,智能流水!$B$2:$B$1001,0)),""))</f>
        <v/>
      </c>
      <c r="L517" s="19">
        <f>IF($B517="","",IFERROR(INDEX(智能流水!$L$2:$L$1001,MATCH($B517,智能流水!$B$2:$B$1001,0)),""))</f>
        <v/>
      </c>
      <c r="M517" s="19">
        <f>IF($B517="","",IFERROR(INDEX(智能流水!$M$2:$M$1001,MATCH($B517,智能流水!$B$2:$B$1001,0)),""))</f>
        <v/>
      </c>
      <c r="N517" s="19">
        <f>IF($B517="","",IFERROR(INDEX(智能流水!$N$2:$N$1001,MATCH($B517,智能流水!$B$2:$B$1001,0)),""))</f>
        <v/>
      </c>
      <c r="O517" s="19">
        <f>IF($B517="","",IFERROR(INDEX(智能流水!$O$2:$O$1001,MATCH($B517,智能流水!$B$2:$B$1001,0)),""))</f>
        <v/>
      </c>
    </row>
    <row r="518">
      <c r="A518" s="19">
        <f>IF($B518="","",517)</f>
        <v/>
      </c>
      <c r="B518" s="19">
        <f>IFERROR(LARGE(智能流水!$B$2:$B$1001,517),"")</f>
        <v/>
      </c>
      <c r="C518" s="19">
        <f>IF($B518="","",IFERROR(INDEX(智能流水!$C$2:$C$1001,MATCH($B518,智能流水!$B$2:$B$1001,0)),""))</f>
        <v/>
      </c>
      <c r="D518" s="19">
        <f>IF($B518="","",IFERROR(INDEX(智能流水!$D$2:$D$1001,MATCH($B518,智能流水!$B$2:$B$1001,0)),""))</f>
        <v/>
      </c>
      <c r="E518" s="19">
        <f>IF($B518="","",IFERROR(INDEX(智能流水!$E$2:$E$1001,MATCH($B518,智能流水!$B$2:$B$1001,0)),""))</f>
        <v/>
      </c>
      <c r="F518" s="19">
        <f>IF($B518="","",IFERROR(INDEX(智能流水!$F$2:$F$1001,MATCH($B518,智能流水!$B$2:$B$1001,0)),""))</f>
        <v/>
      </c>
      <c r="G518" s="19">
        <f>IF($B518="","",IFERROR(INDEX(智能流水!$G$2:$G$1001,MATCH($B518,智能流水!$B$2:$B$1001,0)),""))</f>
        <v/>
      </c>
      <c r="H518" s="19">
        <f>IF($B518="","",IFERROR(INDEX(智能流水!$H$2:$H$1001,MATCH($B518,智能流水!$B$2:$B$1001,0)),""))</f>
        <v/>
      </c>
      <c r="I518" s="19">
        <f>IF($B518="","",IFERROR(INDEX(智能流水!$I$2:$I$1001,MATCH($B518,智能流水!$B$2:$B$1001,0)),""))</f>
        <v/>
      </c>
      <c r="J518" s="19">
        <f>IF($B518="","",IFERROR(INDEX(智能流水!$J$2:$J$1001,MATCH($B518,智能流水!$B$2:$B$1001,0)),""))</f>
        <v/>
      </c>
      <c r="K518" s="19">
        <f>IF($B518="","",IFERROR(INDEX(智能流水!$K$2:$K$1001,MATCH($B518,智能流水!$B$2:$B$1001,0)),""))</f>
        <v/>
      </c>
      <c r="L518" s="19">
        <f>IF($B518="","",IFERROR(INDEX(智能流水!$L$2:$L$1001,MATCH($B518,智能流水!$B$2:$B$1001,0)),""))</f>
        <v/>
      </c>
      <c r="M518" s="19">
        <f>IF($B518="","",IFERROR(INDEX(智能流水!$M$2:$M$1001,MATCH($B518,智能流水!$B$2:$B$1001,0)),""))</f>
        <v/>
      </c>
      <c r="N518" s="19">
        <f>IF($B518="","",IFERROR(INDEX(智能流水!$N$2:$N$1001,MATCH($B518,智能流水!$B$2:$B$1001,0)),""))</f>
        <v/>
      </c>
      <c r="O518" s="19">
        <f>IF($B518="","",IFERROR(INDEX(智能流水!$O$2:$O$1001,MATCH($B518,智能流水!$B$2:$B$1001,0)),""))</f>
        <v/>
      </c>
    </row>
    <row r="519">
      <c r="A519" s="19">
        <f>IF($B519="","",518)</f>
        <v/>
      </c>
      <c r="B519" s="19">
        <f>IFERROR(LARGE(智能流水!$B$2:$B$1001,518),"")</f>
        <v/>
      </c>
      <c r="C519" s="19">
        <f>IF($B519="","",IFERROR(INDEX(智能流水!$C$2:$C$1001,MATCH($B519,智能流水!$B$2:$B$1001,0)),""))</f>
        <v/>
      </c>
      <c r="D519" s="19">
        <f>IF($B519="","",IFERROR(INDEX(智能流水!$D$2:$D$1001,MATCH($B519,智能流水!$B$2:$B$1001,0)),""))</f>
        <v/>
      </c>
      <c r="E519" s="19">
        <f>IF($B519="","",IFERROR(INDEX(智能流水!$E$2:$E$1001,MATCH($B519,智能流水!$B$2:$B$1001,0)),""))</f>
        <v/>
      </c>
      <c r="F519" s="19">
        <f>IF($B519="","",IFERROR(INDEX(智能流水!$F$2:$F$1001,MATCH($B519,智能流水!$B$2:$B$1001,0)),""))</f>
        <v/>
      </c>
      <c r="G519" s="19">
        <f>IF($B519="","",IFERROR(INDEX(智能流水!$G$2:$G$1001,MATCH($B519,智能流水!$B$2:$B$1001,0)),""))</f>
        <v/>
      </c>
      <c r="H519" s="19">
        <f>IF($B519="","",IFERROR(INDEX(智能流水!$H$2:$H$1001,MATCH($B519,智能流水!$B$2:$B$1001,0)),""))</f>
        <v/>
      </c>
      <c r="I519" s="19">
        <f>IF($B519="","",IFERROR(INDEX(智能流水!$I$2:$I$1001,MATCH($B519,智能流水!$B$2:$B$1001,0)),""))</f>
        <v/>
      </c>
      <c r="J519" s="19">
        <f>IF($B519="","",IFERROR(INDEX(智能流水!$J$2:$J$1001,MATCH($B519,智能流水!$B$2:$B$1001,0)),""))</f>
        <v/>
      </c>
      <c r="K519" s="19">
        <f>IF($B519="","",IFERROR(INDEX(智能流水!$K$2:$K$1001,MATCH($B519,智能流水!$B$2:$B$1001,0)),""))</f>
        <v/>
      </c>
      <c r="L519" s="19">
        <f>IF($B519="","",IFERROR(INDEX(智能流水!$L$2:$L$1001,MATCH($B519,智能流水!$B$2:$B$1001,0)),""))</f>
        <v/>
      </c>
      <c r="M519" s="19">
        <f>IF($B519="","",IFERROR(INDEX(智能流水!$M$2:$M$1001,MATCH($B519,智能流水!$B$2:$B$1001,0)),""))</f>
        <v/>
      </c>
      <c r="N519" s="19">
        <f>IF($B519="","",IFERROR(INDEX(智能流水!$N$2:$N$1001,MATCH($B519,智能流水!$B$2:$B$1001,0)),""))</f>
        <v/>
      </c>
      <c r="O519" s="19">
        <f>IF($B519="","",IFERROR(INDEX(智能流水!$O$2:$O$1001,MATCH($B519,智能流水!$B$2:$B$1001,0)),""))</f>
        <v/>
      </c>
    </row>
    <row r="520">
      <c r="A520" s="19">
        <f>IF($B520="","",519)</f>
        <v/>
      </c>
      <c r="B520" s="19">
        <f>IFERROR(LARGE(智能流水!$B$2:$B$1001,519),"")</f>
        <v/>
      </c>
      <c r="C520" s="19">
        <f>IF($B520="","",IFERROR(INDEX(智能流水!$C$2:$C$1001,MATCH($B520,智能流水!$B$2:$B$1001,0)),""))</f>
        <v/>
      </c>
      <c r="D520" s="19">
        <f>IF($B520="","",IFERROR(INDEX(智能流水!$D$2:$D$1001,MATCH($B520,智能流水!$B$2:$B$1001,0)),""))</f>
        <v/>
      </c>
      <c r="E520" s="19">
        <f>IF($B520="","",IFERROR(INDEX(智能流水!$E$2:$E$1001,MATCH($B520,智能流水!$B$2:$B$1001,0)),""))</f>
        <v/>
      </c>
      <c r="F520" s="19">
        <f>IF($B520="","",IFERROR(INDEX(智能流水!$F$2:$F$1001,MATCH($B520,智能流水!$B$2:$B$1001,0)),""))</f>
        <v/>
      </c>
      <c r="G520" s="19">
        <f>IF($B520="","",IFERROR(INDEX(智能流水!$G$2:$G$1001,MATCH($B520,智能流水!$B$2:$B$1001,0)),""))</f>
        <v/>
      </c>
      <c r="H520" s="19">
        <f>IF($B520="","",IFERROR(INDEX(智能流水!$H$2:$H$1001,MATCH($B520,智能流水!$B$2:$B$1001,0)),""))</f>
        <v/>
      </c>
      <c r="I520" s="19">
        <f>IF($B520="","",IFERROR(INDEX(智能流水!$I$2:$I$1001,MATCH($B520,智能流水!$B$2:$B$1001,0)),""))</f>
        <v/>
      </c>
      <c r="J520" s="19">
        <f>IF($B520="","",IFERROR(INDEX(智能流水!$J$2:$J$1001,MATCH($B520,智能流水!$B$2:$B$1001,0)),""))</f>
        <v/>
      </c>
      <c r="K520" s="19">
        <f>IF($B520="","",IFERROR(INDEX(智能流水!$K$2:$K$1001,MATCH($B520,智能流水!$B$2:$B$1001,0)),""))</f>
        <v/>
      </c>
      <c r="L520" s="19">
        <f>IF($B520="","",IFERROR(INDEX(智能流水!$L$2:$L$1001,MATCH($B520,智能流水!$B$2:$B$1001,0)),""))</f>
        <v/>
      </c>
      <c r="M520" s="19">
        <f>IF($B520="","",IFERROR(INDEX(智能流水!$M$2:$M$1001,MATCH($B520,智能流水!$B$2:$B$1001,0)),""))</f>
        <v/>
      </c>
      <c r="N520" s="19">
        <f>IF($B520="","",IFERROR(INDEX(智能流水!$N$2:$N$1001,MATCH($B520,智能流水!$B$2:$B$1001,0)),""))</f>
        <v/>
      </c>
      <c r="O520" s="19">
        <f>IF($B520="","",IFERROR(INDEX(智能流水!$O$2:$O$1001,MATCH($B520,智能流水!$B$2:$B$1001,0)),""))</f>
        <v/>
      </c>
    </row>
    <row r="521">
      <c r="A521" s="19">
        <f>IF($B521="","",520)</f>
        <v/>
      </c>
      <c r="B521" s="19">
        <f>IFERROR(LARGE(智能流水!$B$2:$B$1001,520),"")</f>
        <v/>
      </c>
      <c r="C521" s="19">
        <f>IF($B521="","",IFERROR(INDEX(智能流水!$C$2:$C$1001,MATCH($B521,智能流水!$B$2:$B$1001,0)),""))</f>
        <v/>
      </c>
      <c r="D521" s="19">
        <f>IF($B521="","",IFERROR(INDEX(智能流水!$D$2:$D$1001,MATCH($B521,智能流水!$B$2:$B$1001,0)),""))</f>
        <v/>
      </c>
      <c r="E521" s="19">
        <f>IF($B521="","",IFERROR(INDEX(智能流水!$E$2:$E$1001,MATCH($B521,智能流水!$B$2:$B$1001,0)),""))</f>
        <v/>
      </c>
      <c r="F521" s="19">
        <f>IF($B521="","",IFERROR(INDEX(智能流水!$F$2:$F$1001,MATCH($B521,智能流水!$B$2:$B$1001,0)),""))</f>
        <v/>
      </c>
      <c r="G521" s="19">
        <f>IF($B521="","",IFERROR(INDEX(智能流水!$G$2:$G$1001,MATCH($B521,智能流水!$B$2:$B$1001,0)),""))</f>
        <v/>
      </c>
      <c r="H521" s="19">
        <f>IF($B521="","",IFERROR(INDEX(智能流水!$H$2:$H$1001,MATCH($B521,智能流水!$B$2:$B$1001,0)),""))</f>
        <v/>
      </c>
      <c r="I521" s="19">
        <f>IF($B521="","",IFERROR(INDEX(智能流水!$I$2:$I$1001,MATCH($B521,智能流水!$B$2:$B$1001,0)),""))</f>
        <v/>
      </c>
      <c r="J521" s="19">
        <f>IF($B521="","",IFERROR(INDEX(智能流水!$J$2:$J$1001,MATCH($B521,智能流水!$B$2:$B$1001,0)),""))</f>
        <v/>
      </c>
      <c r="K521" s="19">
        <f>IF($B521="","",IFERROR(INDEX(智能流水!$K$2:$K$1001,MATCH($B521,智能流水!$B$2:$B$1001,0)),""))</f>
        <v/>
      </c>
      <c r="L521" s="19">
        <f>IF($B521="","",IFERROR(INDEX(智能流水!$L$2:$L$1001,MATCH($B521,智能流水!$B$2:$B$1001,0)),""))</f>
        <v/>
      </c>
      <c r="M521" s="19">
        <f>IF($B521="","",IFERROR(INDEX(智能流水!$M$2:$M$1001,MATCH($B521,智能流水!$B$2:$B$1001,0)),""))</f>
        <v/>
      </c>
      <c r="N521" s="19">
        <f>IF($B521="","",IFERROR(INDEX(智能流水!$N$2:$N$1001,MATCH($B521,智能流水!$B$2:$B$1001,0)),""))</f>
        <v/>
      </c>
      <c r="O521" s="19">
        <f>IF($B521="","",IFERROR(INDEX(智能流水!$O$2:$O$1001,MATCH($B521,智能流水!$B$2:$B$1001,0)),""))</f>
        <v/>
      </c>
    </row>
    <row r="522">
      <c r="A522" s="19">
        <f>IF($B522="","",521)</f>
        <v/>
      </c>
      <c r="B522" s="19">
        <f>IFERROR(LARGE(智能流水!$B$2:$B$1001,521),"")</f>
        <v/>
      </c>
      <c r="C522" s="19">
        <f>IF($B522="","",IFERROR(INDEX(智能流水!$C$2:$C$1001,MATCH($B522,智能流水!$B$2:$B$1001,0)),""))</f>
        <v/>
      </c>
      <c r="D522" s="19">
        <f>IF($B522="","",IFERROR(INDEX(智能流水!$D$2:$D$1001,MATCH($B522,智能流水!$B$2:$B$1001,0)),""))</f>
        <v/>
      </c>
      <c r="E522" s="19">
        <f>IF($B522="","",IFERROR(INDEX(智能流水!$E$2:$E$1001,MATCH($B522,智能流水!$B$2:$B$1001,0)),""))</f>
        <v/>
      </c>
      <c r="F522" s="19">
        <f>IF($B522="","",IFERROR(INDEX(智能流水!$F$2:$F$1001,MATCH($B522,智能流水!$B$2:$B$1001,0)),""))</f>
        <v/>
      </c>
      <c r="G522" s="19">
        <f>IF($B522="","",IFERROR(INDEX(智能流水!$G$2:$G$1001,MATCH($B522,智能流水!$B$2:$B$1001,0)),""))</f>
        <v/>
      </c>
      <c r="H522" s="19">
        <f>IF($B522="","",IFERROR(INDEX(智能流水!$H$2:$H$1001,MATCH($B522,智能流水!$B$2:$B$1001,0)),""))</f>
        <v/>
      </c>
      <c r="I522" s="19">
        <f>IF($B522="","",IFERROR(INDEX(智能流水!$I$2:$I$1001,MATCH($B522,智能流水!$B$2:$B$1001,0)),""))</f>
        <v/>
      </c>
      <c r="J522" s="19">
        <f>IF($B522="","",IFERROR(INDEX(智能流水!$J$2:$J$1001,MATCH($B522,智能流水!$B$2:$B$1001,0)),""))</f>
        <v/>
      </c>
      <c r="K522" s="19">
        <f>IF($B522="","",IFERROR(INDEX(智能流水!$K$2:$K$1001,MATCH($B522,智能流水!$B$2:$B$1001,0)),""))</f>
        <v/>
      </c>
      <c r="L522" s="19">
        <f>IF($B522="","",IFERROR(INDEX(智能流水!$L$2:$L$1001,MATCH($B522,智能流水!$B$2:$B$1001,0)),""))</f>
        <v/>
      </c>
      <c r="M522" s="19">
        <f>IF($B522="","",IFERROR(INDEX(智能流水!$M$2:$M$1001,MATCH($B522,智能流水!$B$2:$B$1001,0)),""))</f>
        <v/>
      </c>
      <c r="N522" s="19">
        <f>IF($B522="","",IFERROR(INDEX(智能流水!$N$2:$N$1001,MATCH($B522,智能流水!$B$2:$B$1001,0)),""))</f>
        <v/>
      </c>
      <c r="O522" s="19">
        <f>IF($B522="","",IFERROR(INDEX(智能流水!$O$2:$O$1001,MATCH($B522,智能流水!$B$2:$B$1001,0)),""))</f>
        <v/>
      </c>
    </row>
    <row r="523">
      <c r="A523" s="19">
        <f>IF($B523="","",522)</f>
        <v/>
      </c>
      <c r="B523" s="19">
        <f>IFERROR(LARGE(智能流水!$B$2:$B$1001,522),"")</f>
        <v/>
      </c>
      <c r="C523" s="19">
        <f>IF($B523="","",IFERROR(INDEX(智能流水!$C$2:$C$1001,MATCH($B523,智能流水!$B$2:$B$1001,0)),""))</f>
        <v/>
      </c>
      <c r="D523" s="19">
        <f>IF($B523="","",IFERROR(INDEX(智能流水!$D$2:$D$1001,MATCH($B523,智能流水!$B$2:$B$1001,0)),""))</f>
        <v/>
      </c>
      <c r="E523" s="19">
        <f>IF($B523="","",IFERROR(INDEX(智能流水!$E$2:$E$1001,MATCH($B523,智能流水!$B$2:$B$1001,0)),""))</f>
        <v/>
      </c>
      <c r="F523" s="19">
        <f>IF($B523="","",IFERROR(INDEX(智能流水!$F$2:$F$1001,MATCH($B523,智能流水!$B$2:$B$1001,0)),""))</f>
        <v/>
      </c>
      <c r="G523" s="19">
        <f>IF($B523="","",IFERROR(INDEX(智能流水!$G$2:$G$1001,MATCH($B523,智能流水!$B$2:$B$1001,0)),""))</f>
        <v/>
      </c>
      <c r="H523" s="19">
        <f>IF($B523="","",IFERROR(INDEX(智能流水!$H$2:$H$1001,MATCH($B523,智能流水!$B$2:$B$1001,0)),""))</f>
        <v/>
      </c>
      <c r="I523" s="19">
        <f>IF($B523="","",IFERROR(INDEX(智能流水!$I$2:$I$1001,MATCH($B523,智能流水!$B$2:$B$1001,0)),""))</f>
        <v/>
      </c>
      <c r="J523" s="19">
        <f>IF($B523="","",IFERROR(INDEX(智能流水!$J$2:$J$1001,MATCH($B523,智能流水!$B$2:$B$1001,0)),""))</f>
        <v/>
      </c>
      <c r="K523" s="19">
        <f>IF($B523="","",IFERROR(INDEX(智能流水!$K$2:$K$1001,MATCH($B523,智能流水!$B$2:$B$1001,0)),""))</f>
        <v/>
      </c>
      <c r="L523" s="19">
        <f>IF($B523="","",IFERROR(INDEX(智能流水!$L$2:$L$1001,MATCH($B523,智能流水!$B$2:$B$1001,0)),""))</f>
        <v/>
      </c>
      <c r="M523" s="19">
        <f>IF($B523="","",IFERROR(INDEX(智能流水!$M$2:$M$1001,MATCH($B523,智能流水!$B$2:$B$1001,0)),""))</f>
        <v/>
      </c>
      <c r="N523" s="19">
        <f>IF($B523="","",IFERROR(INDEX(智能流水!$N$2:$N$1001,MATCH($B523,智能流水!$B$2:$B$1001,0)),""))</f>
        <v/>
      </c>
      <c r="O523" s="19">
        <f>IF($B523="","",IFERROR(INDEX(智能流水!$O$2:$O$1001,MATCH($B523,智能流水!$B$2:$B$1001,0)),""))</f>
        <v/>
      </c>
    </row>
    <row r="524">
      <c r="A524" s="19">
        <f>IF($B524="","",523)</f>
        <v/>
      </c>
      <c r="B524" s="19">
        <f>IFERROR(LARGE(智能流水!$B$2:$B$1001,523),"")</f>
        <v/>
      </c>
      <c r="C524" s="19">
        <f>IF($B524="","",IFERROR(INDEX(智能流水!$C$2:$C$1001,MATCH($B524,智能流水!$B$2:$B$1001,0)),""))</f>
        <v/>
      </c>
      <c r="D524" s="19">
        <f>IF($B524="","",IFERROR(INDEX(智能流水!$D$2:$D$1001,MATCH($B524,智能流水!$B$2:$B$1001,0)),""))</f>
        <v/>
      </c>
      <c r="E524" s="19">
        <f>IF($B524="","",IFERROR(INDEX(智能流水!$E$2:$E$1001,MATCH($B524,智能流水!$B$2:$B$1001,0)),""))</f>
        <v/>
      </c>
      <c r="F524" s="19">
        <f>IF($B524="","",IFERROR(INDEX(智能流水!$F$2:$F$1001,MATCH($B524,智能流水!$B$2:$B$1001,0)),""))</f>
        <v/>
      </c>
      <c r="G524" s="19">
        <f>IF($B524="","",IFERROR(INDEX(智能流水!$G$2:$G$1001,MATCH($B524,智能流水!$B$2:$B$1001,0)),""))</f>
        <v/>
      </c>
      <c r="H524" s="19">
        <f>IF($B524="","",IFERROR(INDEX(智能流水!$H$2:$H$1001,MATCH($B524,智能流水!$B$2:$B$1001,0)),""))</f>
        <v/>
      </c>
      <c r="I524" s="19">
        <f>IF($B524="","",IFERROR(INDEX(智能流水!$I$2:$I$1001,MATCH($B524,智能流水!$B$2:$B$1001,0)),""))</f>
        <v/>
      </c>
      <c r="J524" s="19">
        <f>IF($B524="","",IFERROR(INDEX(智能流水!$J$2:$J$1001,MATCH($B524,智能流水!$B$2:$B$1001,0)),""))</f>
        <v/>
      </c>
      <c r="K524" s="19">
        <f>IF($B524="","",IFERROR(INDEX(智能流水!$K$2:$K$1001,MATCH($B524,智能流水!$B$2:$B$1001,0)),""))</f>
        <v/>
      </c>
      <c r="L524" s="19">
        <f>IF($B524="","",IFERROR(INDEX(智能流水!$L$2:$L$1001,MATCH($B524,智能流水!$B$2:$B$1001,0)),""))</f>
        <v/>
      </c>
      <c r="M524" s="19">
        <f>IF($B524="","",IFERROR(INDEX(智能流水!$M$2:$M$1001,MATCH($B524,智能流水!$B$2:$B$1001,0)),""))</f>
        <v/>
      </c>
      <c r="N524" s="19">
        <f>IF($B524="","",IFERROR(INDEX(智能流水!$N$2:$N$1001,MATCH($B524,智能流水!$B$2:$B$1001,0)),""))</f>
        <v/>
      </c>
      <c r="O524" s="19">
        <f>IF($B524="","",IFERROR(INDEX(智能流水!$O$2:$O$1001,MATCH($B524,智能流水!$B$2:$B$1001,0)),""))</f>
        <v/>
      </c>
    </row>
    <row r="525">
      <c r="A525" s="19">
        <f>IF($B525="","",524)</f>
        <v/>
      </c>
      <c r="B525" s="19">
        <f>IFERROR(LARGE(智能流水!$B$2:$B$1001,524),"")</f>
        <v/>
      </c>
      <c r="C525" s="19">
        <f>IF($B525="","",IFERROR(INDEX(智能流水!$C$2:$C$1001,MATCH($B525,智能流水!$B$2:$B$1001,0)),""))</f>
        <v/>
      </c>
      <c r="D525" s="19">
        <f>IF($B525="","",IFERROR(INDEX(智能流水!$D$2:$D$1001,MATCH($B525,智能流水!$B$2:$B$1001,0)),""))</f>
        <v/>
      </c>
      <c r="E525" s="19">
        <f>IF($B525="","",IFERROR(INDEX(智能流水!$E$2:$E$1001,MATCH($B525,智能流水!$B$2:$B$1001,0)),""))</f>
        <v/>
      </c>
      <c r="F525" s="19">
        <f>IF($B525="","",IFERROR(INDEX(智能流水!$F$2:$F$1001,MATCH($B525,智能流水!$B$2:$B$1001,0)),""))</f>
        <v/>
      </c>
      <c r="G525" s="19">
        <f>IF($B525="","",IFERROR(INDEX(智能流水!$G$2:$G$1001,MATCH($B525,智能流水!$B$2:$B$1001,0)),""))</f>
        <v/>
      </c>
      <c r="H525" s="19">
        <f>IF($B525="","",IFERROR(INDEX(智能流水!$H$2:$H$1001,MATCH($B525,智能流水!$B$2:$B$1001,0)),""))</f>
        <v/>
      </c>
      <c r="I525" s="19">
        <f>IF($B525="","",IFERROR(INDEX(智能流水!$I$2:$I$1001,MATCH($B525,智能流水!$B$2:$B$1001,0)),""))</f>
        <v/>
      </c>
      <c r="J525" s="19">
        <f>IF($B525="","",IFERROR(INDEX(智能流水!$J$2:$J$1001,MATCH($B525,智能流水!$B$2:$B$1001,0)),""))</f>
        <v/>
      </c>
      <c r="K525" s="19">
        <f>IF($B525="","",IFERROR(INDEX(智能流水!$K$2:$K$1001,MATCH($B525,智能流水!$B$2:$B$1001,0)),""))</f>
        <v/>
      </c>
      <c r="L525" s="19">
        <f>IF($B525="","",IFERROR(INDEX(智能流水!$L$2:$L$1001,MATCH($B525,智能流水!$B$2:$B$1001,0)),""))</f>
        <v/>
      </c>
      <c r="M525" s="19">
        <f>IF($B525="","",IFERROR(INDEX(智能流水!$M$2:$M$1001,MATCH($B525,智能流水!$B$2:$B$1001,0)),""))</f>
        <v/>
      </c>
      <c r="N525" s="19">
        <f>IF($B525="","",IFERROR(INDEX(智能流水!$N$2:$N$1001,MATCH($B525,智能流水!$B$2:$B$1001,0)),""))</f>
        <v/>
      </c>
      <c r="O525" s="19">
        <f>IF($B525="","",IFERROR(INDEX(智能流水!$O$2:$O$1001,MATCH($B525,智能流水!$B$2:$B$1001,0)),""))</f>
        <v/>
      </c>
    </row>
    <row r="526">
      <c r="A526" s="19">
        <f>IF($B526="","",525)</f>
        <v/>
      </c>
      <c r="B526" s="19">
        <f>IFERROR(LARGE(智能流水!$B$2:$B$1001,525),"")</f>
        <v/>
      </c>
      <c r="C526" s="19">
        <f>IF($B526="","",IFERROR(INDEX(智能流水!$C$2:$C$1001,MATCH($B526,智能流水!$B$2:$B$1001,0)),""))</f>
        <v/>
      </c>
      <c r="D526" s="19">
        <f>IF($B526="","",IFERROR(INDEX(智能流水!$D$2:$D$1001,MATCH($B526,智能流水!$B$2:$B$1001,0)),""))</f>
        <v/>
      </c>
      <c r="E526" s="19">
        <f>IF($B526="","",IFERROR(INDEX(智能流水!$E$2:$E$1001,MATCH($B526,智能流水!$B$2:$B$1001,0)),""))</f>
        <v/>
      </c>
      <c r="F526" s="19">
        <f>IF($B526="","",IFERROR(INDEX(智能流水!$F$2:$F$1001,MATCH($B526,智能流水!$B$2:$B$1001,0)),""))</f>
        <v/>
      </c>
      <c r="G526" s="19">
        <f>IF($B526="","",IFERROR(INDEX(智能流水!$G$2:$G$1001,MATCH($B526,智能流水!$B$2:$B$1001,0)),""))</f>
        <v/>
      </c>
      <c r="H526" s="19">
        <f>IF($B526="","",IFERROR(INDEX(智能流水!$H$2:$H$1001,MATCH($B526,智能流水!$B$2:$B$1001,0)),""))</f>
        <v/>
      </c>
      <c r="I526" s="19">
        <f>IF($B526="","",IFERROR(INDEX(智能流水!$I$2:$I$1001,MATCH($B526,智能流水!$B$2:$B$1001,0)),""))</f>
        <v/>
      </c>
      <c r="J526" s="19">
        <f>IF($B526="","",IFERROR(INDEX(智能流水!$J$2:$J$1001,MATCH($B526,智能流水!$B$2:$B$1001,0)),""))</f>
        <v/>
      </c>
      <c r="K526" s="19">
        <f>IF($B526="","",IFERROR(INDEX(智能流水!$K$2:$K$1001,MATCH($B526,智能流水!$B$2:$B$1001,0)),""))</f>
        <v/>
      </c>
      <c r="L526" s="19">
        <f>IF($B526="","",IFERROR(INDEX(智能流水!$L$2:$L$1001,MATCH($B526,智能流水!$B$2:$B$1001,0)),""))</f>
        <v/>
      </c>
      <c r="M526" s="19">
        <f>IF($B526="","",IFERROR(INDEX(智能流水!$M$2:$M$1001,MATCH($B526,智能流水!$B$2:$B$1001,0)),""))</f>
        <v/>
      </c>
      <c r="N526" s="19">
        <f>IF($B526="","",IFERROR(INDEX(智能流水!$N$2:$N$1001,MATCH($B526,智能流水!$B$2:$B$1001,0)),""))</f>
        <v/>
      </c>
      <c r="O526" s="19">
        <f>IF($B526="","",IFERROR(INDEX(智能流水!$O$2:$O$1001,MATCH($B526,智能流水!$B$2:$B$1001,0)),""))</f>
        <v/>
      </c>
    </row>
    <row r="527">
      <c r="A527" s="19">
        <f>IF($B527="","",526)</f>
        <v/>
      </c>
      <c r="B527" s="19">
        <f>IFERROR(LARGE(智能流水!$B$2:$B$1001,526),"")</f>
        <v/>
      </c>
      <c r="C527" s="19">
        <f>IF($B527="","",IFERROR(INDEX(智能流水!$C$2:$C$1001,MATCH($B527,智能流水!$B$2:$B$1001,0)),""))</f>
        <v/>
      </c>
      <c r="D527" s="19">
        <f>IF($B527="","",IFERROR(INDEX(智能流水!$D$2:$D$1001,MATCH($B527,智能流水!$B$2:$B$1001,0)),""))</f>
        <v/>
      </c>
      <c r="E527" s="19">
        <f>IF($B527="","",IFERROR(INDEX(智能流水!$E$2:$E$1001,MATCH($B527,智能流水!$B$2:$B$1001,0)),""))</f>
        <v/>
      </c>
      <c r="F527" s="19">
        <f>IF($B527="","",IFERROR(INDEX(智能流水!$F$2:$F$1001,MATCH($B527,智能流水!$B$2:$B$1001,0)),""))</f>
        <v/>
      </c>
      <c r="G527" s="19">
        <f>IF($B527="","",IFERROR(INDEX(智能流水!$G$2:$G$1001,MATCH($B527,智能流水!$B$2:$B$1001,0)),""))</f>
        <v/>
      </c>
      <c r="H527" s="19">
        <f>IF($B527="","",IFERROR(INDEX(智能流水!$H$2:$H$1001,MATCH($B527,智能流水!$B$2:$B$1001,0)),""))</f>
        <v/>
      </c>
      <c r="I527" s="19">
        <f>IF($B527="","",IFERROR(INDEX(智能流水!$I$2:$I$1001,MATCH($B527,智能流水!$B$2:$B$1001,0)),""))</f>
        <v/>
      </c>
      <c r="J527" s="19">
        <f>IF($B527="","",IFERROR(INDEX(智能流水!$J$2:$J$1001,MATCH($B527,智能流水!$B$2:$B$1001,0)),""))</f>
        <v/>
      </c>
      <c r="K527" s="19">
        <f>IF($B527="","",IFERROR(INDEX(智能流水!$K$2:$K$1001,MATCH($B527,智能流水!$B$2:$B$1001,0)),""))</f>
        <v/>
      </c>
      <c r="L527" s="19">
        <f>IF($B527="","",IFERROR(INDEX(智能流水!$L$2:$L$1001,MATCH($B527,智能流水!$B$2:$B$1001,0)),""))</f>
        <v/>
      </c>
      <c r="M527" s="19">
        <f>IF($B527="","",IFERROR(INDEX(智能流水!$M$2:$M$1001,MATCH($B527,智能流水!$B$2:$B$1001,0)),""))</f>
        <v/>
      </c>
      <c r="N527" s="19">
        <f>IF($B527="","",IFERROR(INDEX(智能流水!$N$2:$N$1001,MATCH($B527,智能流水!$B$2:$B$1001,0)),""))</f>
        <v/>
      </c>
      <c r="O527" s="19">
        <f>IF($B527="","",IFERROR(INDEX(智能流水!$O$2:$O$1001,MATCH($B527,智能流水!$B$2:$B$1001,0)),""))</f>
        <v/>
      </c>
    </row>
    <row r="528">
      <c r="A528" s="19">
        <f>IF($B528="","",527)</f>
        <v/>
      </c>
      <c r="B528" s="19">
        <f>IFERROR(LARGE(智能流水!$B$2:$B$1001,527),"")</f>
        <v/>
      </c>
      <c r="C528" s="19">
        <f>IF($B528="","",IFERROR(INDEX(智能流水!$C$2:$C$1001,MATCH($B528,智能流水!$B$2:$B$1001,0)),""))</f>
        <v/>
      </c>
      <c r="D528" s="19">
        <f>IF($B528="","",IFERROR(INDEX(智能流水!$D$2:$D$1001,MATCH($B528,智能流水!$B$2:$B$1001,0)),""))</f>
        <v/>
      </c>
      <c r="E528" s="19">
        <f>IF($B528="","",IFERROR(INDEX(智能流水!$E$2:$E$1001,MATCH($B528,智能流水!$B$2:$B$1001,0)),""))</f>
        <v/>
      </c>
      <c r="F528" s="19">
        <f>IF($B528="","",IFERROR(INDEX(智能流水!$F$2:$F$1001,MATCH($B528,智能流水!$B$2:$B$1001,0)),""))</f>
        <v/>
      </c>
      <c r="G528" s="19">
        <f>IF($B528="","",IFERROR(INDEX(智能流水!$G$2:$G$1001,MATCH($B528,智能流水!$B$2:$B$1001,0)),""))</f>
        <v/>
      </c>
      <c r="H528" s="19">
        <f>IF($B528="","",IFERROR(INDEX(智能流水!$H$2:$H$1001,MATCH($B528,智能流水!$B$2:$B$1001,0)),""))</f>
        <v/>
      </c>
      <c r="I528" s="19">
        <f>IF($B528="","",IFERROR(INDEX(智能流水!$I$2:$I$1001,MATCH($B528,智能流水!$B$2:$B$1001,0)),""))</f>
        <v/>
      </c>
      <c r="J528" s="19">
        <f>IF($B528="","",IFERROR(INDEX(智能流水!$J$2:$J$1001,MATCH($B528,智能流水!$B$2:$B$1001,0)),""))</f>
        <v/>
      </c>
      <c r="K528" s="19">
        <f>IF($B528="","",IFERROR(INDEX(智能流水!$K$2:$K$1001,MATCH($B528,智能流水!$B$2:$B$1001,0)),""))</f>
        <v/>
      </c>
      <c r="L528" s="19">
        <f>IF($B528="","",IFERROR(INDEX(智能流水!$L$2:$L$1001,MATCH($B528,智能流水!$B$2:$B$1001,0)),""))</f>
        <v/>
      </c>
      <c r="M528" s="19">
        <f>IF($B528="","",IFERROR(INDEX(智能流水!$M$2:$M$1001,MATCH($B528,智能流水!$B$2:$B$1001,0)),""))</f>
        <v/>
      </c>
      <c r="N528" s="19">
        <f>IF($B528="","",IFERROR(INDEX(智能流水!$N$2:$N$1001,MATCH($B528,智能流水!$B$2:$B$1001,0)),""))</f>
        <v/>
      </c>
      <c r="O528" s="19">
        <f>IF($B528="","",IFERROR(INDEX(智能流水!$O$2:$O$1001,MATCH($B528,智能流水!$B$2:$B$1001,0)),""))</f>
        <v/>
      </c>
    </row>
    <row r="529">
      <c r="A529" s="19">
        <f>IF($B529="","",528)</f>
        <v/>
      </c>
      <c r="B529" s="19">
        <f>IFERROR(LARGE(智能流水!$B$2:$B$1001,528),"")</f>
        <v/>
      </c>
      <c r="C529" s="19">
        <f>IF($B529="","",IFERROR(INDEX(智能流水!$C$2:$C$1001,MATCH($B529,智能流水!$B$2:$B$1001,0)),""))</f>
        <v/>
      </c>
      <c r="D529" s="19">
        <f>IF($B529="","",IFERROR(INDEX(智能流水!$D$2:$D$1001,MATCH($B529,智能流水!$B$2:$B$1001,0)),""))</f>
        <v/>
      </c>
      <c r="E529" s="19">
        <f>IF($B529="","",IFERROR(INDEX(智能流水!$E$2:$E$1001,MATCH($B529,智能流水!$B$2:$B$1001,0)),""))</f>
        <v/>
      </c>
      <c r="F529" s="19">
        <f>IF($B529="","",IFERROR(INDEX(智能流水!$F$2:$F$1001,MATCH($B529,智能流水!$B$2:$B$1001,0)),""))</f>
        <v/>
      </c>
      <c r="G529" s="19">
        <f>IF($B529="","",IFERROR(INDEX(智能流水!$G$2:$G$1001,MATCH($B529,智能流水!$B$2:$B$1001,0)),""))</f>
        <v/>
      </c>
      <c r="H529" s="19">
        <f>IF($B529="","",IFERROR(INDEX(智能流水!$H$2:$H$1001,MATCH($B529,智能流水!$B$2:$B$1001,0)),""))</f>
        <v/>
      </c>
      <c r="I529" s="19">
        <f>IF($B529="","",IFERROR(INDEX(智能流水!$I$2:$I$1001,MATCH($B529,智能流水!$B$2:$B$1001,0)),""))</f>
        <v/>
      </c>
      <c r="J529" s="19">
        <f>IF($B529="","",IFERROR(INDEX(智能流水!$J$2:$J$1001,MATCH($B529,智能流水!$B$2:$B$1001,0)),""))</f>
        <v/>
      </c>
      <c r="K529" s="19">
        <f>IF($B529="","",IFERROR(INDEX(智能流水!$K$2:$K$1001,MATCH($B529,智能流水!$B$2:$B$1001,0)),""))</f>
        <v/>
      </c>
      <c r="L529" s="19">
        <f>IF($B529="","",IFERROR(INDEX(智能流水!$L$2:$L$1001,MATCH($B529,智能流水!$B$2:$B$1001,0)),""))</f>
        <v/>
      </c>
      <c r="M529" s="19">
        <f>IF($B529="","",IFERROR(INDEX(智能流水!$M$2:$M$1001,MATCH($B529,智能流水!$B$2:$B$1001,0)),""))</f>
        <v/>
      </c>
      <c r="N529" s="19">
        <f>IF($B529="","",IFERROR(INDEX(智能流水!$N$2:$N$1001,MATCH($B529,智能流水!$B$2:$B$1001,0)),""))</f>
        <v/>
      </c>
      <c r="O529" s="19">
        <f>IF($B529="","",IFERROR(INDEX(智能流水!$O$2:$O$1001,MATCH($B529,智能流水!$B$2:$B$1001,0)),""))</f>
        <v/>
      </c>
    </row>
    <row r="530">
      <c r="A530" s="19">
        <f>IF($B530="","",529)</f>
        <v/>
      </c>
      <c r="B530" s="19">
        <f>IFERROR(LARGE(智能流水!$B$2:$B$1001,529),"")</f>
        <v/>
      </c>
      <c r="C530" s="19">
        <f>IF($B530="","",IFERROR(INDEX(智能流水!$C$2:$C$1001,MATCH($B530,智能流水!$B$2:$B$1001,0)),""))</f>
        <v/>
      </c>
      <c r="D530" s="19">
        <f>IF($B530="","",IFERROR(INDEX(智能流水!$D$2:$D$1001,MATCH($B530,智能流水!$B$2:$B$1001,0)),""))</f>
        <v/>
      </c>
      <c r="E530" s="19">
        <f>IF($B530="","",IFERROR(INDEX(智能流水!$E$2:$E$1001,MATCH($B530,智能流水!$B$2:$B$1001,0)),""))</f>
        <v/>
      </c>
      <c r="F530" s="19">
        <f>IF($B530="","",IFERROR(INDEX(智能流水!$F$2:$F$1001,MATCH($B530,智能流水!$B$2:$B$1001,0)),""))</f>
        <v/>
      </c>
      <c r="G530" s="19">
        <f>IF($B530="","",IFERROR(INDEX(智能流水!$G$2:$G$1001,MATCH($B530,智能流水!$B$2:$B$1001,0)),""))</f>
        <v/>
      </c>
      <c r="H530" s="19">
        <f>IF($B530="","",IFERROR(INDEX(智能流水!$H$2:$H$1001,MATCH($B530,智能流水!$B$2:$B$1001,0)),""))</f>
        <v/>
      </c>
      <c r="I530" s="19">
        <f>IF($B530="","",IFERROR(INDEX(智能流水!$I$2:$I$1001,MATCH($B530,智能流水!$B$2:$B$1001,0)),""))</f>
        <v/>
      </c>
      <c r="J530" s="19">
        <f>IF($B530="","",IFERROR(INDEX(智能流水!$J$2:$J$1001,MATCH($B530,智能流水!$B$2:$B$1001,0)),""))</f>
        <v/>
      </c>
      <c r="K530" s="19">
        <f>IF($B530="","",IFERROR(INDEX(智能流水!$K$2:$K$1001,MATCH($B530,智能流水!$B$2:$B$1001,0)),""))</f>
        <v/>
      </c>
      <c r="L530" s="19">
        <f>IF($B530="","",IFERROR(INDEX(智能流水!$L$2:$L$1001,MATCH($B530,智能流水!$B$2:$B$1001,0)),""))</f>
        <v/>
      </c>
      <c r="M530" s="19">
        <f>IF($B530="","",IFERROR(INDEX(智能流水!$M$2:$M$1001,MATCH($B530,智能流水!$B$2:$B$1001,0)),""))</f>
        <v/>
      </c>
      <c r="N530" s="19">
        <f>IF($B530="","",IFERROR(INDEX(智能流水!$N$2:$N$1001,MATCH($B530,智能流水!$B$2:$B$1001,0)),""))</f>
        <v/>
      </c>
      <c r="O530" s="19">
        <f>IF($B530="","",IFERROR(INDEX(智能流水!$O$2:$O$1001,MATCH($B530,智能流水!$B$2:$B$1001,0)),""))</f>
        <v/>
      </c>
    </row>
    <row r="531">
      <c r="A531" s="19">
        <f>IF($B531="","",530)</f>
        <v/>
      </c>
      <c r="B531" s="19">
        <f>IFERROR(LARGE(智能流水!$B$2:$B$1001,530),"")</f>
        <v/>
      </c>
      <c r="C531" s="19">
        <f>IF($B531="","",IFERROR(INDEX(智能流水!$C$2:$C$1001,MATCH($B531,智能流水!$B$2:$B$1001,0)),""))</f>
        <v/>
      </c>
      <c r="D531" s="19">
        <f>IF($B531="","",IFERROR(INDEX(智能流水!$D$2:$D$1001,MATCH($B531,智能流水!$B$2:$B$1001,0)),""))</f>
        <v/>
      </c>
      <c r="E531" s="19">
        <f>IF($B531="","",IFERROR(INDEX(智能流水!$E$2:$E$1001,MATCH($B531,智能流水!$B$2:$B$1001,0)),""))</f>
        <v/>
      </c>
      <c r="F531" s="19">
        <f>IF($B531="","",IFERROR(INDEX(智能流水!$F$2:$F$1001,MATCH($B531,智能流水!$B$2:$B$1001,0)),""))</f>
        <v/>
      </c>
      <c r="G531" s="19">
        <f>IF($B531="","",IFERROR(INDEX(智能流水!$G$2:$G$1001,MATCH($B531,智能流水!$B$2:$B$1001,0)),""))</f>
        <v/>
      </c>
      <c r="H531" s="19">
        <f>IF($B531="","",IFERROR(INDEX(智能流水!$H$2:$H$1001,MATCH($B531,智能流水!$B$2:$B$1001,0)),""))</f>
        <v/>
      </c>
      <c r="I531" s="19">
        <f>IF($B531="","",IFERROR(INDEX(智能流水!$I$2:$I$1001,MATCH($B531,智能流水!$B$2:$B$1001,0)),""))</f>
        <v/>
      </c>
      <c r="J531" s="19">
        <f>IF($B531="","",IFERROR(INDEX(智能流水!$J$2:$J$1001,MATCH($B531,智能流水!$B$2:$B$1001,0)),""))</f>
        <v/>
      </c>
      <c r="K531" s="19">
        <f>IF($B531="","",IFERROR(INDEX(智能流水!$K$2:$K$1001,MATCH($B531,智能流水!$B$2:$B$1001,0)),""))</f>
        <v/>
      </c>
      <c r="L531" s="19">
        <f>IF($B531="","",IFERROR(INDEX(智能流水!$L$2:$L$1001,MATCH($B531,智能流水!$B$2:$B$1001,0)),""))</f>
        <v/>
      </c>
      <c r="M531" s="19">
        <f>IF($B531="","",IFERROR(INDEX(智能流水!$M$2:$M$1001,MATCH($B531,智能流水!$B$2:$B$1001,0)),""))</f>
        <v/>
      </c>
      <c r="N531" s="19">
        <f>IF($B531="","",IFERROR(INDEX(智能流水!$N$2:$N$1001,MATCH($B531,智能流水!$B$2:$B$1001,0)),""))</f>
        <v/>
      </c>
      <c r="O531" s="19">
        <f>IF($B531="","",IFERROR(INDEX(智能流水!$O$2:$O$1001,MATCH($B531,智能流水!$B$2:$B$1001,0)),""))</f>
        <v/>
      </c>
    </row>
    <row r="532">
      <c r="A532" s="19">
        <f>IF($B532="","",531)</f>
        <v/>
      </c>
      <c r="B532" s="19">
        <f>IFERROR(LARGE(智能流水!$B$2:$B$1001,531),"")</f>
        <v/>
      </c>
      <c r="C532" s="19">
        <f>IF($B532="","",IFERROR(INDEX(智能流水!$C$2:$C$1001,MATCH($B532,智能流水!$B$2:$B$1001,0)),""))</f>
        <v/>
      </c>
      <c r="D532" s="19">
        <f>IF($B532="","",IFERROR(INDEX(智能流水!$D$2:$D$1001,MATCH($B532,智能流水!$B$2:$B$1001,0)),""))</f>
        <v/>
      </c>
      <c r="E532" s="19">
        <f>IF($B532="","",IFERROR(INDEX(智能流水!$E$2:$E$1001,MATCH($B532,智能流水!$B$2:$B$1001,0)),""))</f>
        <v/>
      </c>
      <c r="F532" s="19">
        <f>IF($B532="","",IFERROR(INDEX(智能流水!$F$2:$F$1001,MATCH($B532,智能流水!$B$2:$B$1001,0)),""))</f>
        <v/>
      </c>
      <c r="G532" s="19">
        <f>IF($B532="","",IFERROR(INDEX(智能流水!$G$2:$G$1001,MATCH($B532,智能流水!$B$2:$B$1001,0)),""))</f>
        <v/>
      </c>
      <c r="H532" s="19">
        <f>IF($B532="","",IFERROR(INDEX(智能流水!$H$2:$H$1001,MATCH($B532,智能流水!$B$2:$B$1001,0)),""))</f>
        <v/>
      </c>
      <c r="I532" s="19">
        <f>IF($B532="","",IFERROR(INDEX(智能流水!$I$2:$I$1001,MATCH($B532,智能流水!$B$2:$B$1001,0)),""))</f>
        <v/>
      </c>
      <c r="J532" s="19">
        <f>IF($B532="","",IFERROR(INDEX(智能流水!$J$2:$J$1001,MATCH($B532,智能流水!$B$2:$B$1001,0)),""))</f>
        <v/>
      </c>
      <c r="K532" s="19">
        <f>IF($B532="","",IFERROR(INDEX(智能流水!$K$2:$K$1001,MATCH($B532,智能流水!$B$2:$B$1001,0)),""))</f>
        <v/>
      </c>
      <c r="L532" s="19">
        <f>IF($B532="","",IFERROR(INDEX(智能流水!$L$2:$L$1001,MATCH($B532,智能流水!$B$2:$B$1001,0)),""))</f>
        <v/>
      </c>
      <c r="M532" s="19">
        <f>IF($B532="","",IFERROR(INDEX(智能流水!$M$2:$M$1001,MATCH($B532,智能流水!$B$2:$B$1001,0)),""))</f>
        <v/>
      </c>
      <c r="N532" s="19">
        <f>IF($B532="","",IFERROR(INDEX(智能流水!$N$2:$N$1001,MATCH($B532,智能流水!$B$2:$B$1001,0)),""))</f>
        <v/>
      </c>
      <c r="O532" s="19">
        <f>IF($B532="","",IFERROR(INDEX(智能流水!$O$2:$O$1001,MATCH($B532,智能流水!$B$2:$B$1001,0)),""))</f>
        <v/>
      </c>
    </row>
    <row r="533">
      <c r="A533" s="19">
        <f>IF($B533="","",532)</f>
        <v/>
      </c>
      <c r="B533" s="19">
        <f>IFERROR(LARGE(智能流水!$B$2:$B$1001,532),"")</f>
        <v/>
      </c>
      <c r="C533" s="19">
        <f>IF($B533="","",IFERROR(INDEX(智能流水!$C$2:$C$1001,MATCH($B533,智能流水!$B$2:$B$1001,0)),""))</f>
        <v/>
      </c>
      <c r="D533" s="19">
        <f>IF($B533="","",IFERROR(INDEX(智能流水!$D$2:$D$1001,MATCH($B533,智能流水!$B$2:$B$1001,0)),""))</f>
        <v/>
      </c>
      <c r="E533" s="19">
        <f>IF($B533="","",IFERROR(INDEX(智能流水!$E$2:$E$1001,MATCH($B533,智能流水!$B$2:$B$1001,0)),""))</f>
        <v/>
      </c>
      <c r="F533" s="19">
        <f>IF($B533="","",IFERROR(INDEX(智能流水!$F$2:$F$1001,MATCH($B533,智能流水!$B$2:$B$1001,0)),""))</f>
        <v/>
      </c>
      <c r="G533" s="19">
        <f>IF($B533="","",IFERROR(INDEX(智能流水!$G$2:$G$1001,MATCH($B533,智能流水!$B$2:$B$1001,0)),""))</f>
        <v/>
      </c>
      <c r="H533" s="19">
        <f>IF($B533="","",IFERROR(INDEX(智能流水!$H$2:$H$1001,MATCH($B533,智能流水!$B$2:$B$1001,0)),""))</f>
        <v/>
      </c>
      <c r="I533" s="19">
        <f>IF($B533="","",IFERROR(INDEX(智能流水!$I$2:$I$1001,MATCH($B533,智能流水!$B$2:$B$1001,0)),""))</f>
        <v/>
      </c>
      <c r="J533" s="19">
        <f>IF($B533="","",IFERROR(INDEX(智能流水!$J$2:$J$1001,MATCH($B533,智能流水!$B$2:$B$1001,0)),""))</f>
        <v/>
      </c>
      <c r="K533" s="19">
        <f>IF($B533="","",IFERROR(INDEX(智能流水!$K$2:$K$1001,MATCH($B533,智能流水!$B$2:$B$1001,0)),""))</f>
        <v/>
      </c>
      <c r="L533" s="19">
        <f>IF($B533="","",IFERROR(INDEX(智能流水!$L$2:$L$1001,MATCH($B533,智能流水!$B$2:$B$1001,0)),""))</f>
        <v/>
      </c>
      <c r="M533" s="19">
        <f>IF($B533="","",IFERROR(INDEX(智能流水!$M$2:$M$1001,MATCH($B533,智能流水!$B$2:$B$1001,0)),""))</f>
        <v/>
      </c>
      <c r="N533" s="19">
        <f>IF($B533="","",IFERROR(INDEX(智能流水!$N$2:$N$1001,MATCH($B533,智能流水!$B$2:$B$1001,0)),""))</f>
        <v/>
      </c>
      <c r="O533" s="19">
        <f>IF($B533="","",IFERROR(INDEX(智能流水!$O$2:$O$1001,MATCH($B533,智能流水!$B$2:$B$1001,0)),""))</f>
        <v/>
      </c>
    </row>
    <row r="534">
      <c r="A534" s="19">
        <f>IF($B534="","",533)</f>
        <v/>
      </c>
      <c r="B534" s="19">
        <f>IFERROR(LARGE(智能流水!$B$2:$B$1001,533),"")</f>
        <v/>
      </c>
      <c r="C534" s="19">
        <f>IF($B534="","",IFERROR(INDEX(智能流水!$C$2:$C$1001,MATCH($B534,智能流水!$B$2:$B$1001,0)),""))</f>
        <v/>
      </c>
      <c r="D534" s="19">
        <f>IF($B534="","",IFERROR(INDEX(智能流水!$D$2:$D$1001,MATCH($B534,智能流水!$B$2:$B$1001,0)),""))</f>
        <v/>
      </c>
      <c r="E534" s="19">
        <f>IF($B534="","",IFERROR(INDEX(智能流水!$E$2:$E$1001,MATCH($B534,智能流水!$B$2:$B$1001,0)),""))</f>
        <v/>
      </c>
      <c r="F534" s="19">
        <f>IF($B534="","",IFERROR(INDEX(智能流水!$F$2:$F$1001,MATCH($B534,智能流水!$B$2:$B$1001,0)),""))</f>
        <v/>
      </c>
      <c r="G534" s="19">
        <f>IF($B534="","",IFERROR(INDEX(智能流水!$G$2:$G$1001,MATCH($B534,智能流水!$B$2:$B$1001,0)),""))</f>
        <v/>
      </c>
      <c r="H534" s="19">
        <f>IF($B534="","",IFERROR(INDEX(智能流水!$H$2:$H$1001,MATCH($B534,智能流水!$B$2:$B$1001,0)),""))</f>
        <v/>
      </c>
      <c r="I534" s="19">
        <f>IF($B534="","",IFERROR(INDEX(智能流水!$I$2:$I$1001,MATCH($B534,智能流水!$B$2:$B$1001,0)),""))</f>
        <v/>
      </c>
      <c r="J534" s="19">
        <f>IF($B534="","",IFERROR(INDEX(智能流水!$J$2:$J$1001,MATCH($B534,智能流水!$B$2:$B$1001,0)),""))</f>
        <v/>
      </c>
      <c r="K534" s="19">
        <f>IF($B534="","",IFERROR(INDEX(智能流水!$K$2:$K$1001,MATCH($B534,智能流水!$B$2:$B$1001,0)),""))</f>
        <v/>
      </c>
      <c r="L534" s="19">
        <f>IF($B534="","",IFERROR(INDEX(智能流水!$L$2:$L$1001,MATCH($B534,智能流水!$B$2:$B$1001,0)),""))</f>
        <v/>
      </c>
      <c r="M534" s="19">
        <f>IF($B534="","",IFERROR(INDEX(智能流水!$M$2:$M$1001,MATCH($B534,智能流水!$B$2:$B$1001,0)),""))</f>
        <v/>
      </c>
      <c r="N534" s="19">
        <f>IF($B534="","",IFERROR(INDEX(智能流水!$N$2:$N$1001,MATCH($B534,智能流水!$B$2:$B$1001,0)),""))</f>
        <v/>
      </c>
      <c r="O534" s="19">
        <f>IF($B534="","",IFERROR(INDEX(智能流水!$O$2:$O$1001,MATCH($B534,智能流水!$B$2:$B$1001,0)),""))</f>
        <v/>
      </c>
    </row>
    <row r="535">
      <c r="A535" s="19">
        <f>IF($B535="","",534)</f>
        <v/>
      </c>
      <c r="B535" s="19">
        <f>IFERROR(LARGE(智能流水!$B$2:$B$1001,534),"")</f>
        <v/>
      </c>
      <c r="C535" s="19">
        <f>IF($B535="","",IFERROR(INDEX(智能流水!$C$2:$C$1001,MATCH($B535,智能流水!$B$2:$B$1001,0)),""))</f>
        <v/>
      </c>
      <c r="D535" s="19">
        <f>IF($B535="","",IFERROR(INDEX(智能流水!$D$2:$D$1001,MATCH($B535,智能流水!$B$2:$B$1001,0)),""))</f>
        <v/>
      </c>
      <c r="E535" s="19">
        <f>IF($B535="","",IFERROR(INDEX(智能流水!$E$2:$E$1001,MATCH($B535,智能流水!$B$2:$B$1001,0)),""))</f>
        <v/>
      </c>
      <c r="F535" s="19">
        <f>IF($B535="","",IFERROR(INDEX(智能流水!$F$2:$F$1001,MATCH($B535,智能流水!$B$2:$B$1001,0)),""))</f>
        <v/>
      </c>
      <c r="G535" s="19">
        <f>IF($B535="","",IFERROR(INDEX(智能流水!$G$2:$G$1001,MATCH($B535,智能流水!$B$2:$B$1001,0)),""))</f>
        <v/>
      </c>
      <c r="H535" s="19">
        <f>IF($B535="","",IFERROR(INDEX(智能流水!$H$2:$H$1001,MATCH($B535,智能流水!$B$2:$B$1001,0)),""))</f>
        <v/>
      </c>
      <c r="I535" s="19">
        <f>IF($B535="","",IFERROR(INDEX(智能流水!$I$2:$I$1001,MATCH($B535,智能流水!$B$2:$B$1001,0)),""))</f>
        <v/>
      </c>
      <c r="J535" s="19">
        <f>IF($B535="","",IFERROR(INDEX(智能流水!$J$2:$J$1001,MATCH($B535,智能流水!$B$2:$B$1001,0)),""))</f>
        <v/>
      </c>
      <c r="K535" s="19">
        <f>IF($B535="","",IFERROR(INDEX(智能流水!$K$2:$K$1001,MATCH($B535,智能流水!$B$2:$B$1001,0)),""))</f>
        <v/>
      </c>
      <c r="L535" s="19">
        <f>IF($B535="","",IFERROR(INDEX(智能流水!$L$2:$L$1001,MATCH($B535,智能流水!$B$2:$B$1001,0)),""))</f>
        <v/>
      </c>
      <c r="M535" s="19">
        <f>IF($B535="","",IFERROR(INDEX(智能流水!$M$2:$M$1001,MATCH($B535,智能流水!$B$2:$B$1001,0)),""))</f>
        <v/>
      </c>
      <c r="N535" s="19">
        <f>IF($B535="","",IFERROR(INDEX(智能流水!$N$2:$N$1001,MATCH($B535,智能流水!$B$2:$B$1001,0)),""))</f>
        <v/>
      </c>
      <c r="O535" s="19">
        <f>IF($B535="","",IFERROR(INDEX(智能流水!$O$2:$O$1001,MATCH($B535,智能流水!$B$2:$B$1001,0)),""))</f>
        <v/>
      </c>
    </row>
    <row r="536">
      <c r="A536" s="19">
        <f>IF($B536="","",535)</f>
        <v/>
      </c>
      <c r="B536" s="19">
        <f>IFERROR(LARGE(智能流水!$B$2:$B$1001,535),"")</f>
        <v/>
      </c>
      <c r="C536" s="19">
        <f>IF($B536="","",IFERROR(INDEX(智能流水!$C$2:$C$1001,MATCH($B536,智能流水!$B$2:$B$1001,0)),""))</f>
        <v/>
      </c>
      <c r="D536" s="19">
        <f>IF($B536="","",IFERROR(INDEX(智能流水!$D$2:$D$1001,MATCH($B536,智能流水!$B$2:$B$1001,0)),""))</f>
        <v/>
      </c>
      <c r="E536" s="19">
        <f>IF($B536="","",IFERROR(INDEX(智能流水!$E$2:$E$1001,MATCH($B536,智能流水!$B$2:$B$1001,0)),""))</f>
        <v/>
      </c>
      <c r="F536" s="19">
        <f>IF($B536="","",IFERROR(INDEX(智能流水!$F$2:$F$1001,MATCH($B536,智能流水!$B$2:$B$1001,0)),""))</f>
        <v/>
      </c>
      <c r="G536" s="19">
        <f>IF($B536="","",IFERROR(INDEX(智能流水!$G$2:$G$1001,MATCH($B536,智能流水!$B$2:$B$1001,0)),""))</f>
        <v/>
      </c>
      <c r="H536" s="19">
        <f>IF($B536="","",IFERROR(INDEX(智能流水!$H$2:$H$1001,MATCH($B536,智能流水!$B$2:$B$1001,0)),""))</f>
        <v/>
      </c>
      <c r="I536" s="19">
        <f>IF($B536="","",IFERROR(INDEX(智能流水!$I$2:$I$1001,MATCH($B536,智能流水!$B$2:$B$1001,0)),""))</f>
        <v/>
      </c>
      <c r="J536" s="19">
        <f>IF($B536="","",IFERROR(INDEX(智能流水!$J$2:$J$1001,MATCH($B536,智能流水!$B$2:$B$1001,0)),""))</f>
        <v/>
      </c>
      <c r="K536" s="19">
        <f>IF($B536="","",IFERROR(INDEX(智能流水!$K$2:$K$1001,MATCH($B536,智能流水!$B$2:$B$1001,0)),""))</f>
        <v/>
      </c>
      <c r="L536" s="19">
        <f>IF($B536="","",IFERROR(INDEX(智能流水!$L$2:$L$1001,MATCH($B536,智能流水!$B$2:$B$1001,0)),""))</f>
        <v/>
      </c>
      <c r="M536" s="19">
        <f>IF($B536="","",IFERROR(INDEX(智能流水!$M$2:$M$1001,MATCH($B536,智能流水!$B$2:$B$1001,0)),""))</f>
        <v/>
      </c>
      <c r="N536" s="19">
        <f>IF($B536="","",IFERROR(INDEX(智能流水!$N$2:$N$1001,MATCH($B536,智能流水!$B$2:$B$1001,0)),""))</f>
        <v/>
      </c>
      <c r="O536" s="19">
        <f>IF($B536="","",IFERROR(INDEX(智能流水!$O$2:$O$1001,MATCH($B536,智能流水!$B$2:$B$1001,0)),""))</f>
        <v/>
      </c>
    </row>
    <row r="537">
      <c r="A537" s="19">
        <f>IF($B537="","",536)</f>
        <v/>
      </c>
      <c r="B537" s="19">
        <f>IFERROR(LARGE(智能流水!$B$2:$B$1001,536),"")</f>
        <v/>
      </c>
      <c r="C537" s="19">
        <f>IF($B537="","",IFERROR(INDEX(智能流水!$C$2:$C$1001,MATCH($B537,智能流水!$B$2:$B$1001,0)),""))</f>
        <v/>
      </c>
      <c r="D537" s="19">
        <f>IF($B537="","",IFERROR(INDEX(智能流水!$D$2:$D$1001,MATCH($B537,智能流水!$B$2:$B$1001,0)),""))</f>
        <v/>
      </c>
      <c r="E537" s="19">
        <f>IF($B537="","",IFERROR(INDEX(智能流水!$E$2:$E$1001,MATCH($B537,智能流水!$B$2:$B$1001,0)),""))</f>
        <v/>
      </c>
      <c r="F537" s="19">
        <f>IF($B537="","",IFERROR(INDEX(智能流水!$F$2:$F$1001,MATCH($B537,智能流水!$B$2:$B$1001,0)),""))</f>
        <v/>
      </c>
      <c r="G537" s="19">
        <f>IF($B537="","",IFERROR(INDEX(智能流水!$G$2:$G$1001,MATCH($B537,智能流水!$B$2:$B$1001,0)),""))</f>
        <v/>
      </c>
      <c r="H537" s="19">
        <f>IF($B537="","",IFERROR(INDEX(智能流水!$H$2:$H$1001,MATCH($B537,智能流水!$B$2:$B$1001,0)),""))</f>
        <v/>
      </c>
      <c r="I537" s="19">
        <f>IF($B537="","",IFERROR(INDEX(智能流水!$I$2:$I$1001,MATCH($B537,智能流水!$B$2:$B$1001,0)),""))</f>
        <v/>
      </c>
      <c r="J537" s="19">
        <f>IF($B537="","",IFERROR(INDEX(智能流水!$J$2:$J$1001,MATCH($B537,智能流水!$B$2:$B$1001,0)),""))</f>
        <v/>
      </c>
      <c r="K537" s="19">
        <f>IF($B537="","",IFERROR(INDEX(智能流水!$K$2:$K$1001,MATCH($B537,智能流水!$B$2:$B$1001,0)),""))</f>
        <v/>
      </c>
      <c r="L537" s="19">
        <f>IF($B537="","",IFERROR(INDEX(智能流水!$L$2:$L$1001,MATCH($B537,智能流水!$B$2:$B$1001,0)),""))</f>
        <v/>
      </c>
      <c r="M537" s="19">
        <f>IF($B537="","",IFERROR(INDEX(智能流水!$M$2:$M$1001,MATCH($B537,智能流水!$B$2:$B$1001,0)),""))</f>
        <v/>
      </c>
      <c r="N537" s="19">
        <f>IF($B537="","",IFERROR(INDEX(智能流水!$N$2:$N$1001,MATCH($B537,智能流水!$B$2:$B$1001,0)),""))</f>
        <v/>
      </c>
      <c r="O537" s="19">
        <f>IF($B537="","",IFERROR(INDEX(智能流水!$O$2:$O$1001,MATCH($B537,智能流水!$B$2:$B$1001,0)),""))</f>
        <v/>
      </c>
    </row>
    <row r="538">
      <c r="A538" s="19">
        <f>IF($B538="","",537)</f>
        <v/>
      </c>
      <c r="B538" s="19">
        <f>IFERROR(LARGE(智能流水!$B$2:$B$1001,537),"")</f>
        <v/>
      </c>
      <c r="C538" s="19">
        <f>IF($B538="","",IFERROR(INDEX(智能流水!$C$2:$C$1001,MATCH($B538,智能流水!$B$2:$B$1001,0)),""))</f>
        <v/>
      </c>
      <c r="D538" s="19">
        <f>IF($B538="","",IFERROR(INDEX(智能流水!$D$2:$D$1001,MATCH($B538,智能流水!$B$2:$B$1001,0)),""))</f>
        <v/>
      </c>
      <c r="E538" s="19">
        <f>IF($B538="","",IFERROR(INDEX(智能流水!$E$2:$E$1001,MATCH($B538,智能流水!$B$2:$B$1001,0)),""))</f>
        <v/>
      </c>
      <c r="F538" s="19">
        <f>IF($B538="","",IFERROR(INDEX(智能流水!$F$2:$F$1001,MATCH($B538,智能流水!$B$2:$B$1001,0)),""))</f>
        <v/>
      </c>
      <c r="G538" s="19">
        <f>IF($B538="","",IFERROR(INDEX(智能流水!$G$2:$G$1001,MATCH($B538,智能流水!$B$2:$B$1001,0)),""))</f>
        <v/>
      </c>
      <c r="H538" s="19">
        <f>IF($B538="","",IFERROR(INDEX(智能流水!$H$2:$H$1001,MATCH($B538,智能流水!$B$2:$B$1001,0)),""))</f>
        <v/>
      </c>
      <c r="I538" s="19">
        <f>IF($B538="","",IFERROR(INDEX(智能流水!$I$2:$I$1001,MATCH($B538,智能流水!$B$2:$B$1001,0)),""))</f>
        <v/>
      </c>
      <c r="J538" s="19">
        <f>IF($B538="","",IFERROR(INDEX(智能流水!$J$2:$J$1001,MATCH($B538,智能流水!$B$2:$B$1001,0)),""))</f>
        <v/>
      </c>
      <c r="K538" s="19">
        <f>IF($B538="","",IFERROR(INDEX(智能流水!$K$2:$K$1001,MATCH($B538,智能流水!$B$2:$B$1001,0)),""))</f>
        <v/>
      </c>
      <c r="L538" s="19">
        <f>IF($B538="","",IFERROR(INDEX(智能流水!$L$2:$L$1001,MATCH($B538,智能流水!$B$2:$B$1001,0)),""))</f>
        <v/>
      </c>
      <c r="M538" s="19">
        <f>IF($B538="","",IFERROR(INDEX(智能流水!$M$2:$M$1001,MATCH($B538,智能流水!$B$2:$B$1001,0)),""))</f>
        <v/>
      </c>
      <c r="N538" s="19">
        <f>IF($B538="","",IFERROR(INDEX(智能流水!$N$2:$N$1001,MATCH($B538,智能流水!$B$2:$B$1001,0)),""))</f>
        <v/>
      </c>
      <c r="O538" s="19">
        <f>IF($B538="","",IFERROR(INDEX(智能流水!$O$2:$O$1001,MATCH($B538,智能流水!$B$2:$B$1001,0)),""))</f>
        <v/>
      </c>
    </row>
    <row r="539">
      <c r="A539" s="19">
        <f>IF($B539="","",538)</f>
        <v/>
      </c>
      <c r="B539" s="19">
        <f>IFERROR(LARGE(智能流水!$B$2:$B$1001,538),"")</f>
        <v/>
      </c>
      <c r="C539" s="19">
        <f>IF($B539="","",IFERROR(INDEX(智能流水!$C$2:$C$1001,MATCH($B539,智能流水!$B$2:$B$1001,0)),""))</f>
        <v/>
      </c>
      <c r="D539" s="19">
        <f>IF($B539="","",IFERROR(INDEX(智能流水!$D$2:$D$1001,MATCH($B539,智能流水!$B$2:$B$1001,0)),""))</f>
        <v/>
      </c>
      <c r="E539" s="19">
        <f>IF($B539="","",IFERROR(INDEX(智能流水!$E$2:$E$1001,MATCH($B539,智能流水!$B$2:$B$1001,0)),""))</f>
        <v/>
      </c>
      <c r="F539" s="19">
        <f>IF($B539="","",IFERROR(INDEX(智能流水!$F$2:$F$1001,MATCH($B539,智能流水!$B$2:$B$1001,0)),""))</f>
        <v/>
      </c>
      <c r="G539" s="19">
        <f>IF($B539="","",IFERROR(INDEX(智能流水!$G$2:$G$1001,MATCH($B539,智能流水!$B$2:$B$1001,0)),""))</f>
        <v/>
      </c>
      <c r="H539" s="19">
        <f>IF($B539="","",IFERROR(INDEX(智能流水!$H$2:$H$1001,MATCH($B539,智能流水!$B$2:$B$1001,0)),""))</f>
        <v/>
      </c>
      <c r="I539" s="19">
        <f>IF($B539="","",IFERROR(INDEX(智能流水!$I$2:$I$1001,MATCH($B539,智能流水!$B$2:$B$1001,0)),""))</f>
        <v/>
      </c>
      <c r="J539" s="19">
        <f>IF($B539="","",IFERROR(INDEX(智能流水!$J$2:$J$1001,MATCH($B539,智能流水!$B$2:$B$1001,0)),""))</f>
        <v/>
      </c>
      <c r="K539" s="19">
        <f>IF($B539="","",IFERROR(INDEX(智能流水!$K$2:$K$1001,MATCH($B539,智能流水!$B$2:$B$1001,0)),""))</f>
        <v/>
      </c>
      <c r="L539" s="19">
        <f>IF($B539="","",IFERROR(INDEX(智能流水!$L$2:$L$1001,MATCH($B539,智能流水!$B$2:$B$1001,0)),""))</f>
        <v/>
      </c>
      <c r="M539" s="19">
        <f>IF($B539="","",IFERROR(INDEX(智能流水!$M$2:$M$1001,MATCH($B539,智能流水!$B$2:$B$1001,0)),""))</f>
        <v/>
      </c>
      <c r="N539" s="19">
        <f>IF($B539="","",IFERROR(INDEX(智能流水!$N$2:$N$1001,MATCH($B539,智能流水!$B$2:$B$1001,0)),""))</f>
        <v/>
      </c>
      <c r="O539" s="19">
        <f>IF($B539="","",IFERROR(INDEX(智能流水!$O$2:$O$1001,MATCH($B539,智能流水!$B$2:$B$1001,0)),""))</f>
        <v/>
      </c>
    </row>
    <row r="540">
      <c r="A540" s="19">
        <f>IF($B540="","",539)</f>
        <v/>
      </c>
      <c r="B540" s="19">
        <f>IFERROR(LARGE(智能流水!$B$2:$B$1001,539),"")</f>
        <v/>
      </c>
      <c r="C540" s="19">
        <f>IF($B540="","",IFERROR(INDEX(智能流水!$C$2:$C$1001,MATCH($B540,智能流水!$B$2:$B$1001,0)),""))</f>
        <v/>
      </c>
      <c r="D540" s="19">
        <f>IF($B540="","",IFERROR(INDEX(智能流水!$D$2:$D$1001,MATCH($B540,智能流水!$B$2:$B$1001,0)),""))</f>
        <v/>
      </c>
      <c r="E540" s="19">
        <f>IF($B540="","",IFERROR(INDEX(智能流水!$E$2:$E$1001,MATCH($B540,智能流水!$B$2:$B$1001,0)),""))</f>
        <v/>
      </c>
      <c r="F540" s="19">
        <f>IF($B540="","",IFERROR(INDEX(智能流水!$F$2:$F$1001,MATCH($B540,智能流水!$B$2:$B$1001,0)),""))</f>
        <v/>
      </c>
      <c r="G540" s="19">
        <f>IF($B540="","",IFERROR(INDEX(智能流水!$G$2:$G$1001,MATCH($B540,智能流水!$B$2:$B$1001,0)),""))</f>
        <v/>
      </c>
      <c r="H540" s="19">
        <f>IF($B540="","",IFERROR(INDEX(智能流水!$H$2:$H$1001,MATCH($B540,智能流水!$B$2:$B$1001,0)),""))</f>
        <v/>
      </c>
      <c r="I540" s="19">
        <f>IF($B540="","",IFERROR(INDEX(智能流水!$I$2:$I$1001,MATCH($B540,智能流水!$B$2:$B$1001,0)),""))</f>
        <v/>
      </c>
      <c r="J540" s="19">
        <f>IF($B540="","",IFERROR(INDEX(智能流水!$J$2:$J$1001,MATCH($B540,智能流水!$B$2:$B$1001,0)),""))</f>
        <v/>
      </c>
      <c r="K540" s="19">
        <f>IF($B540="","",IFERROR(INDEX(智能流水!$K$2:$K$1001,MATCH($B540,智能流水!$B$2:$B$1001,0)),""))</f>
        <v/>
      </c>
      <c r="L540" s="19">
        <f>IF($B540="","",IFERROR(INDEX(智能流水!$L$2:$L$1001,MATCH($B540,智能流水!$B$2:$B$1001,0)),""))</f>
        <v/>
      </c>
      <c r="M540" s="19">
        <f>IF($B540="","",IFERROR(INDEX(智能流水!$M$2:$M$1001,MATCH($B540,智能流水!$B$2:$B$1001,0)),""))</f>
        <v/>
      </c>
      <c r="N540" s="19">
        <f>IF($B540="","",IFERROR(INDEX(智能流水!$N$2:$N$1001,MATCH($B540,智能流水!$B$2:$B$1001,0)),""))</f>
        <v/>
      </c>
      <c r="O540" s="19">
        <f>IF($B540="","",IFERROR(INDEX(智能流水!$O$2:$O$1001,MATCH($B540,智能流水!$B$2:$B$1001,0)),""))</f>
        <v/>
      </c>
    </row>
    <row r="541">
      <c r="A541" s="19">
        <f>IF($B541="","",540)</f>
        <v/>
      </c>
      <c r="B541" s="19">
        <f>IFERROR(LARGE(智能流水!$B$2:$B$1001,540),"")</f>
        <v/>
      </c>
      <c r="C541" s="19">
        <f>IF($B541="","",IFERROR(INDEX(智能流水!$C$2:$C$1001,MATCH($B541,智能流水!$B$2:$B$1001,0)),""))</f>
        <v/>
      </c>
      <c r="D541" s="19">
        <f>IF($B541="","",IFERROR(INDEX(智能流水!$D$2:$D$1001,MATCH($B541,智能流水!$B$2:$B$1001,0)),""))</f>
        <v/>
      </c>
      <c r="E541" s="19">
        <f>IF($B541="","",IFERROR(INDEX(智能流水!$E$2:$E$1001,MATCH($B541,智能流水!$B$2:$B$1001,0)),""))</f>
        <v/>
      </c>
      <c r="F541" s="19">
        <f>IF($B541="","",IFERROR(INDEX(智能流水!$F$2:$F$1001,MATCH($B541,智能流水!$B$2:$B$1001,0)),""))</f>
        <v/>
      </c>
      <c r="G541" s="19">
        <f>IF($B541="","",IFERROR(INDEX(智能流水!$G$2:$G$1001,MATCH($B541,智能流水!$B$2:$B$1001,0)),""))</f>
        <v/>
      </c>
      <c r="H541" s="19">
        <f>IF($B541="","",IFERROR(INDEX(智能流水!$H$2:$H$1001,MATCH($B541,智能流水!$B$2:$B$1001,0)),""))</f>
        <v/>
      </c>
      <c r="I541" s="19">
        <f>IF($B541="","",IFERROR(INDEX(智能流水!$I$2:$I$1001,MATCH($B541,智能流水!$B$2:$B$1001,0)),""))</f>
        <v/>
      </c>
      <c r="J541" s="19">
        <f>IF($B541="","",IFERROR(INDEX(智能流水!$J$2:$J$1001,MATCH($B541,智能流水!$B$2:$B$1001,0)),""))</f>
        <v/>
      </c>
      <c r="K541" s="19">
        <f>IF($B541="","",IFERROR(INDEX(智能流水!$K$2:$K$1001,MATCH($B541,智能流水!$B$2:$B$1001,0)),""))</f>
        <v/>
      </c>
      <c r="L541" s="19">
        <f>IF($B541="","",IFERROR(INDEX(智能流水!$L$2:$L$1001,MATCH($B541,智能流水!$B$2:$B$1001,0)),""))</f>
        <v/>
      </c>
      <c r="M541" s="19">
        <f>IF($B541="","",IFERROR(INDEX(智能流水!$M$2:$M$1001,MATCH($B541,智能流水!$B$2:$B$1001,0)),""))</f>
        <v/>
      </c>
      <c r="N541" s="19">
        <f>IF($B541="","",IFERROR(INDEX(智能流水!$N$2:$N$1001,MATCH($B541,智能流水!$B$2:$B$1001,0)),""))</f>
        <v/>
      </c>
      <c r="O541" s="19">
        <f>IF($B541="","",IFERROR(INDEX(智能流水!$O$2:$O$1001,MATCH($B541,智能流水!$B$2:$B$1001,0)),""))</f>
        <v/>
      </c>
    </row>
    <row r="542">
      <c r="A542" s="19">
        <f>IF($B542="","",541)</f>
        <v/>
      </c>
      <c r="B542" s="19">
        <f>IFERROR(LARGE(智能流水!$B$2:$B$1001,541),"")</f>
        <v/>
      </c>
      <c r="C542" s="19">
        <f>IF($B542="","",IFERROR(INDEX(智能流水!$C$2:$C$1001,MATCH($B542,智能流水!$B$2:$B$1001,0)),""))</f>
        <v/>
      </c>
      <c r="D542" s="19">
        <f>IF($B542="","",IFERROR(INDEX(智能流水!$D$2:$D$1001,MATCH($B542,智能流水!$B$2:$B$1001,0)),""))</f>
        <v/>
      </c>
      <c r="E542" s="19">
        <f>IF($B542="","",IFERROR(INDEX(智能流水!$E$2:$E$1001,MATCH($B542,智能流水!$B$2:$B$1001,0)),""))</f>
        <v/>
      </c>
      <c r="F542" s="19">
        <f>IF($B542="","",IFERROR(INDEX(智能流水!$F$2:$F$1001,MATCH($B542,智能流水!$B$2:$B$1001,0)),""))</f>
        <v/>
      </c>
      <c r="G542" s="19">
        <f>IF($B542="","",IFERROR(INDEX(智能流水!$G$2:$G$1001,MATCH($B542,智能流水!$B$2:$B$1001,0)),""))</f>
        <v/>
      </c>
      <c r="H542" s="19">
        <f>IF($B542="","",IFERROR(INDEX(智能流水!$H$2:$H$1001,MATCH($B542,智能流水!$B$2:$B$1001,0)),""))</f>
        <v/>
      </c>
      <c r="I542" s="19">
        <f>IF($B542="","",IFERROR(INDEX(智能流水!$I$2:$I$1001,MATCH($B542,智能流水!$B$2:$B$1001,0)),""))</f>
        <v/>
      </c>
      <c r="J542" s="19">
        <f>IF($B542="","",IFERROR(INDEX(智能流水!$J$2:$J$1001,MATCH($B542,智能流水!$B$2:$B$1001,0)),""))</f>
        <v/>
      </c>
      <c r="K542" s="19">
        <f>IF($B542="","",IFERROR(INDEX(智能流水!$K$2:$K$1001,MATCH($B542,智能流水!$B$2:$B$1001,0)),""))</f>
        <v/>
      </c>
      <c r="L542" s="19">
        <f>IF($B542="","",IFERROR(INDEX(智能流水!$L$2:$L$1001,MATCH($B542,智能流水!$B$2:$B$1001,0)),""))</f>
        <v/>
      </c>
      <c r="M542" s="19">
        <f>IF($B542="","",IFERROR(INDEX(智能流水!$M$2:$M$1001,MATCH($B542,智能流水!$B$2:$B$1001,0)),""))</f>
        <v/>
      </c>
      <c r="N542" s="19">
        <f>IF($B542="","",IFERROR(INDEX(智能流水!$N$2:$N$1001,MATCH($B542,智能流水!$B$2:$B$1001,0)),""))</f>
        <v/>
      </c>
      <c r="O542" s="19">
        <f>IF($B542="","",IFERROR(INDEX(智能流水!$O$2:$O$1001,MATCH($B542,智能流水!$B$2:$B$1001,0)),""))</f>
        <v/>
      </c>
    </row>
    <row r="543">
      <c r="A543" s="19">
        <f>IF($B543="","",542)</f>
        <v/>
      </c>
      <c r="B543" s="19">
        <f>IFERROR(LARGE(智能流水!$B$2:$B$1001,542),"")</f>
        <v/>
      </c>
      <c r="C543" s="19">
        <f>IF($B543="","",IFERROR(INDEX(智能流水!$C$2:$C$1001,MATCH($B543,智能流水!$B$2:$B$1001,0)),""))</f>
        <v/>
      </c>
      <c r="D543" s="19">
        <f>IF($B543="","",IFERROR(INDEX(智能流水!$D$2:$D$1001,MATCH($B543,智能流水!$B$2:$B$1001,0)),""))</f>
        <v/>
      </c>
      <c r="E543" s="19">
        <f>IF($B543="","",IFERROR(INDEX(智能流水!$E$2:$E$1001,MATCH($B543,智能流水!$B$2:$B$1001,0)),""))</f>
        <v/>
      </c>
      <c r="F543" s="19">
        <f>IF($B543="","",IFERROR(INDEX(智能流水!$F$2:$F$1001,MATCH($B543,智能流水!$B$2:$B$1001,0)),""))</f>
        <v/>
      </c>
      <c r="G543" s="19">
        <f>IF($B543="","",IFERROR(INDEX(智能流水!$G$2:$G$1001,MATCH($B543,智能流水!$B$2:$B$1001,0)),""))</f>
        <v/>
      </c>
      <c r="H543" s="19">
        <f>IF($B543="","",IFERROR(INDEX(智能流水!$H$2:$H$1001,MATCH($B543,智能流水!$B$2:$B$1001,0)),""))</f>
        <v/>
      </c>
      <c r="I543" s="19">
        <f>IF($B543="","",IFERROR(INDEX(智能流水!$I$2:$I$1001,MATCH($B543,智能流水!$B$2:$B$1001,0)),""))</f>
        <v/>
      </c>
      <c r="J543" s="19">
        <f>IF($B543="","",IFERROR(INDEX(智能流水!$J$2:$J$1001,MATCH($B543,智能流水!$B$2:$B$1001,0)),""))</f>
        <v/>
      </c>
      <c r="K543" s="19">
        <f>IF($B543="","",IFERROR(INDEX(智能流水!$K$2:$K$1001,MATCH($B543,智能流水!$B$2:$B$1001,0)),""))</f>
        <v/>
      </c>
      <c r="L543" s="19">
        <f>IF($B543="","",IFERROR(INDEX(智能流水!$L$2:$L$1001,MATCH($B543,智能流水!$B$2:$B$1001,0)),""))</f>
        <v/>
      </c>
      <c r="M543" s="19">
        <f>IF($B543="","",IFERROR(INDEX(智能流水!$M$2:$M$1001,MATCH($B543,智能流水!$B$2:$B$1001,0)),""))</f>
        <v/>
      </c>
      <c r="N543" s="19">
        <f>IF($B543="","",IFERROR(INDEX(智能流水!$N$2:$N$1001,MATCH($B543,智能流水!$B$2:$B$1001,0)),""))</f>
        <v/>
      </c>
      <c r="O543" s="19">
        <f>IF($B543="","",IFERROR(INDEX(智能流水!$O$2:$O$1001,MATCH($B543,智能流水!$B$2:$B$1001,0)),""))</f>
        <v/>
      </c>
    </row>
    <row r="544">
      <c r="A544" s="19">
        <f>IF($B544="","",543)</f>
        <v/>
      </c>
      <c r="B544" s="19">
        <f>IFERROR(LARGE(智能流水!$B$2:$B$1001,543),"")</f>
        <v/>
      </c>
      <c r="C544" s="19">
        <f>IF($B544="","",IFERROR(INDEX(智能流水!$C$2:$C$1001,MATCH($B544,智能流水!$B$2:$B$1001,0)),""))</f>
        <v/>
      </c>
      <c r="D544" s="19">
        <f>IF($B544="","",IFERROR(INDEX(智能流水!$D$2:$D$1001,MATCH($B544,智能流水!$B$2:$B$1001,0)),""))</f>
        <v/>
      </c>
      <c r="E544" s="19">
        <f>IF($B544="","",IFERROR(INDEX(智能流水!$E$2:$E$1001,MATCH($B544,智能流水!$B$2:$B$1001,0)),""))</f>
        <v/>
      </c>
      <c r="F544" s="19">
        <f>IF($B544="","",IFERROR(INDEX(智能流水!$F$2:$F$1001,MATCH($B544,智能流水!$B$2:$B$1001,0)),""))</f>
        <v/>
      </c>
      <c r="G544" s="19">
        <f>IF($B544="","",IFERROR(INDEX(智能流水!$G$2:$G$1001,MATCH($B544,智能流水!$B$2:$B$1001,0)),""))</f>
        <v/>
      </c>
      <c r="H544" s="19">
        <f>IF($B544="","",IFERROR(INDEX(智能流水!$H$2:$H$1001,MATCH($B544,智能流水!$B$2:$B$1001,0)),""))</f>
        <v/>
      </c>
      <c r="I544" s="19">
        <f>IF($B544="","",IFERROR(INDEX(智能流水!$I$2:$I$1001,MATCH($B544,智能流水!$B$2:$B$1001,0)),""))</f>
        <v/>
      </c>
      <c r="J544" s="19">
        <f>IF($B544="","",IFERROR(INDEX(智能流水!$J$2:$J$1001,MATCH($B544,智能流水!$B$2:$B$1001,0)),""))</f>
        <v/>
      </c>
      <c r="K544" s="19">
        <f>IF($B544="","",IFERROR(INDEX(智能流水!$K$2:$K$1001,MATCH($B544,智能流水!$B$2:$B$1001,0)),""))</f>
        <v/>
      </c>
      <c r="L544" s="19">
        <f>IF($B544="","",IFERROR(INDEX(智能流水!$L$2:$L$1001,MATCH($B544,智能流水!$B$2:$B$1001,0)),""))</f>
        <v/>
      </c>
      <c r="M544" s="19">
        <f>IF($B544="","",IFERROR(INDEX(智能流水!$M$2:$M$1001,MATCH($B544,智能流水!$B$2:$B$1001,0)),""))</f>
        <v/>
      </c>
      <c r="N544" s="19">
        <f>IF($B544="","",IFERROR(INDEX(智能流水!$N$2:$N$1001,MATCH($B544,智能流水!$B$2:$B$1001,0)),""))</f>
        <v/>
      </c>
      <c r="O544" s="19">
        <f>IF($B544="","",IFERROR(INDEX(智能流水!$O$2:$O$1001,MATCH($B544,智能流水!$B$2:$B$1001,0)),""))</f>
        <v/>
      </c>
    </row>
    <row r="545">
      <c r="A545" s="19">
        <f>IF($B545="","",544)</f>
        <v/>
      </c>
      <c r="B545" s="19">
        <f>IFERROR(LARGE(智能流水!$B$2:$B$1001,544),"")</f>
        <v/>
      </c>
      <c r="C545" s="19">
        <f>IF($B545="","",IFERROR(INDEX(智能流水!$C$2:$C$1001,MATCH($B545,智能流水!$B$2:$B$1001,0)),""))</f>
        <v/>
      </c>
      <c r="D545" s="19">
        <f>IF($B545="","",IFERROR(INDEX(智能流水!$D$2:$D$1001,MATCH($B545,智能流水!$B$2:$B$1001,0)),""))</f>
        <v/>
      </c>
      <c r="E545" s="19">
        <f>IF($B545="","",IFERROR(INDEX(智能流水!$E$2:$E$1001,MATCH($B545,智能流水!$B$2:$B$1001,0)),""))</f>
        <v/>
      </c>
      <c r="F545" s="19">
        <f>IF($B545="","",IFERROR(INDEX(智能流水!$F$2:$F$1001,MATCH($B545,智能流水!$B$2:$B$1001,0)),""))</f>
        <v/>
      </c>
      <c r="G545" s="19">
        <f>IF($B545="","",IFERROR(INDEX(智能流水!$G$2:$G$1001,MATCH($B545,智能流水!$B$2:$B$1001,0)),""))</f>
        <v/>
      </c>
      <c r="H545" s="19">
        <f>IF($B545="","",IFERROR(INDEX(智能流水!$H$2:$H$1001,MATCH($B545,智能流水!$B$2:$B$1001,0)),""))</f>
        <v/>
      </c>
      <c r="I545" s="19">
        <f>IF($B545="","",IFERROR(INDEX(智能流水!$I$2:$I$1001,MATCH($B545,智能流水!$B$2:$B$1001,0)),""))</f>
        <v/>
      </c>
      <c r="J545" s="19">
        <f>IF($B545="","",IFERROR(INDEX(智能流水!$J$2:$J$1001,MATCH($B545,智能流水!$B$2:$B$1001,0)),""))</f>
        <v/>
      </c>
      <c r="K545" s="19">
        <f>IF($B545="","",IFERROR(INDEX(智能流水!$K$2:$K$1001,MATCH($B545,智能流水!$B$2:$B$1001,0)),""))</f>
        <v/>
      </c>
      <c r="L545" s="19">
        <f>IF($B545="","",IFERROR(INDEX(智能流水!$L$2:$L$1001,MATCH($B545,智能流水!$B$2:$B$1001,0)),""))</f>
        <v/>
      </c>
      <c r="M545" s="19">
        <f>IF($B545="","",IFERROR(INDEX(智能流水!$M$2:$M$1001,MATCH($B545,智能流水!$B$2:$B$1001,0)),""))</f>
        <v/>
      </c>
      <c r="N545" s="19">
        <f>IF($B545="","",IFERROR(INDEX(智能流水!$N$2:$N$1001,MATCH($B545,智能流水!$B$2:$B$1001,0)),""))</f>
        <v/>
      </c>
      <c r="O545" s="19">
        <f>IF($B545="","",IFERROR(INDEX(智能流水!$O$2:$O$1001,MATCH($B545,智能流水!$B$2:$B$1001,0)),""))</f>
        <v/>
      </c>
    </row>
    <row r="546">
      <c r="A546" s="19">
        <f>IF($B546="","",545)</f>
        <v/>
      </c>
      <c r="B546" s="19">
        <f>IFERROR(LARGE(智能流水!$B$2:$B$1001,545),"")</f>
        <v/>
      </c>
      <c r="C546" s="19">
        <f>IF($B546="","",IFERROR(INDEX(智能流水!$C$2:$C$1001,MATCH($B546,智能流水!$B$2:$B$1001,0)),""))</f>
        <v/>
      </c>
      <c r="D546" s="19">
        <f>IF($B546="","",IFERROR(INDEX(智能流水!$D$2:$D$1001,MATCH($B546,智能流水!$B$2:$B$1001,0)),""))</f>
        <v/>
      </c>
      <c r="E546" s="19">
        <f>IF($B546="","",IFERROR(INDEX(智能流水!$E$2:$E$1001,MATCH($B546,智能流水!$B$2:$B$1001,0)),""))</f>
        <v/>
      </c>
      <c r="F546" s="19">
        <f>IF($B546="","",IFERROR(INDEX(智能流水!$F$2:$F$1001,MATCH($B546,智能流水!$B$2:$B$1001,0)),""))</f>
        <v/>
      </c>
      <c r="G546" s="19">
        <f>IF($B546="","",IFERROR(INDEX(智能流水!$G$2:$G$1001,MATCH($B546,智能流水!$B$2:$B$1001,0)),""))</f>
        <v/>
      </c>
      <c r="H546" s="19">
        <f>IF($B546="","",IFERROR(INDEX(智能流水!$H$2:$H$1001,MATCH($B546,智能流水!$B$2:$B$1001,0)),""))</f>
        <v/>
      </c>
      <c r="I546" s="19">
        <f>IF($B546="","",IFERROR(INDEX(智能流水!$I$2:$I$1001,MATCH($B546,智能流水!$B$2:$B$1001,0)),""))</f>
        <v/>
      </c>
      <c r="J546" s="19">
        <f>IF($B546="","",IFERROR(INDEX(智能流水!$J$2:$J$1001,MATCH($B546,智能流水!$B$2:$B$1001,0)),""))</f>
        <v/>
      </c>
      <c r="K546" s="19">
        <f>IF($B546="","",IFERROR(INDEX(智能流水!$K$2:$K$1001,MATCH($B546,智能流水!$B$2:$B$1001,0)),""))</f>
        <v/>
      </c>
      <c r="L546" s="19">
        <f>IF($B546="","",IFERROR(INDEX(智能流水!$L$2:$L$1001,MATCH($B546,智能流水!$B$2:$B$1001,0)),""))</f>
        <v/>
      </c>
      <c r="M546" s="19">
        <f>IF($B546="","",IFERROR(INDEX(智能流水!$M$2:$M$1001,MATCH($B546,智能流水!$B$2:$B$1001,0)),""))</f>
        <v/>
      </c>
      <c r="N546" s="19">
        <f>IF($B546="","",IFERROR(INDEX(智能流水!$N$2:$N$1001,MATCH($B546,智能流水!$B$2:$B$1001,0)),""))</f>
        <v/>
      </c>
      <c r="O546" s="19">
        <f>IF($B546="","",IFERROR(INDEX(智能流水!$O$2:$O$1001,MATCH($B546,智能流水!$B$2:$B$1001,0)),""))</f>
        <v/>
      </c>
    </row>
    <row r="547">
      <c r="A547" s="19">
        <f>IF($B547="","",546)</f>
        <v/>
      </c>
      <c r="B547" s="19">
        <f>IFERROR(LARGE(智能流水!$B$2:$B$1001,546),"")</f>
        <v/>
      </c>
      <c r="C547" s="19">
        <f>IF($B547="","",IFERROR(INDEX(智能流水!$C$2:$C$1001,MATCH($B547,智能流水!$B$2:$B$1001,0)),""))</f>
        <v/>
      </c>
      <c r="D547" s="19">
        <f>IF($B547="","",IFERROR(INDEX(智能流水!$D$2:$D$1001,MATCH($B547,智能流水!$B$2:$B$1001,0)),""))</f>
        <v/>
      </c>
      <c r="E547" s="19">
        <f>IF($B547="","",IFERROR(INDEX(智能流水!$E$2:$E$1001,MATCH($B547,智能流水!$B$2:$B$1001,0)),""))</f>
        <v/>
      </c>
      <c r="F547" s="19">
        <f>IF($B547="","",IFERROR(INDEX(智能流水!$F$2:$F$1001,MATCH($B547,智能流水!$B$2:$B$1001,0)),""))</f>
        <v/>
      </c>
      <c r="G547" s="19">
        <f>IF($B547="","",IFERROR(INDEX(智能流水!$G$2:$G$1001,MATCH($B547,智能流水!$B$2:$B$1001,0)),""))</f>
        <v/>
      </c>
      <c r="H547" s="19">
        <f>IF($B547="","",IFERROR(INDEX(智能流水!$H$2:$H$1001,MATCH($B547,智能流水!$B$2:$B$1001,0)),""))</f>
        <v/>
      </c>
      <c r="I547" s="19">
        <f>IF($B547="","",IFERROR(INDEX(智能流水!$I$2:$I$1001,MATCH($B547,智能流水!$B$2:$B$1001,0)),""))</f>
        <v/>
      </c>
      <c r="J547" s="19">
        <f>IF($B547="","",IFERROR(INDEX(智能流水!$J$2:$J$1001,MATCH($B547,智能流水!$B$2:$B$1001,0)),""))</f>
        <v/>
      </c>
      <c r="K547" s="19">
        <f>IF($B547="","",IFERROR(INDEX(智能流水!$K$2:$K$1001,MATCH($B547,智能流水!$B$2:$B$1001,0)),""))</f>
        <v/>
      </c>
      <c r="L547" s="19">
        <f>IF($B547="","",IFERROR(INDEX(智能流水!$L$2:$L$1001,MATCH($B547,智能流水!$B$2:$B$1001,0)),""))</f>
        <v/>
      </c>
      <c r="M547" s="19">
        <f>IF($B547="","",IFERROR(INDEX(智能流水!$M$2:$M$1001,MATCH($B547,智能流水!$B$2:$B$1001,0)),""))</f>
        <v/>
      </c>
      <c r="N547" s="19">
        <f>IF($B547="","",IFERROR(INDEX(智能流水!$N$2:$N$1001,MATCH($B547,智能流水!$B$2:$B$1001,0)),""))</f>
        <v/>
      </c>
      <c r="O547" s="19">
        <f>IF($B547="","",IFERROR(INDEX(智能流水!$O$2:$O$1001,MATCH($B547,智能流水!$B$2:$B$1001,0)),""))</f>
        <v/>
      </c>
    </row>
    <row r="548">
      <c r="A548" s="19">
        <f>IF($B548="","",547)</f>
        <v/>
      </c>
      <c r="B548" s="19">
        <f>IFERROR(LARGE(智能流水!$B$2:$B$1001,547),"")</f>
        <v/>
      </c>
      <c r="C548" s="19">
        <f>IF($B548="","",IFERROR(INDEX(智能流水!$C$2:$C$1001,MATCH($B548,智能流水!$B$2:$B$1001,0)),""))</f>
        <v/>
      </c>
      <c r="D548" s="19">
        <f>IF($B548="","",IFERROR(INDEX(智能流水!$D$2:$D$1001,MATCH($B548,智能流水!$B$2:$B$1001,0)),""))</f>
        <v/>
      </c>
      <c r="E548" s="19">
        <f>IF($B548="","",IFERROR(INDEX(智能流水!$E$2:$E$1001,MATCH($B548,智能流水!$B$2:$B$1001,0)),""))</f>
        <v/>
      </c>
      <c r="F548" s="19">
        <f>IF($B548="","",IFERROR(INDEX(智能流水!$F$2:$F$1001,MATCH($B548,智能流水!$B$2:$B$1001,0)),""))</f>
        <v/>
      </c>
      <c r="G548" s="19">
        <f>IF($B548="","",IFERROR(INDEX(智能流水!$G$2:$G$1001,MATCH($B548,智能流水!$B$2:$B$1001,0)),""))</f>
        <v/>
      </c>
      <c r="H548" s="19">
        <f>IF($B548="","",IFERROR(INDEX(智能流水!$H$2:$H$1001,MATCH($B548,智能流水!$B$2:$B$1001,0)),""))</f>
        <v/>
      </c>
      <c r="I548" s="19">
        <f>IF($B548="","",IFERROR(INDEX(智能流水!$I$2:$I$1001,MATCH($B548,智能流水!$B$2:$B$1001,0)),""))</f>
        <v/>
      </c>
      <c r="J548" s="19">
        <f>IF($B548="","",IFERROR(INDEX(智能流水!$J$2:$J$1001,MATCH($B548,智能流水!$B$2:$B$1001,0)),""))</f>
        <v/>
      </c>
      <c r="K548" s="19">
        <f>IF($B548="","",IFERROR(INDEX(智能流水!$K$2:$K$1001,MATCH($B548,智能流水!$B$2:$B$1001,0)),""))</f>
        <v/>
      </c>
      <c r="L548" s="19">
        <f>IF($B548="","",IFERROR(INDEX(智能流水!$L$2:$L$1001,MATCH($B548,智能流水!$B$2:$B$1001,0)),""))</f>
        <v/>
      </c>
      <c r="M548" s="19">
        <f>IF($B548="","",IFERROR(INDEX(智能流水!$M$2:$M$1001,MATCH($B548,智能流水!$B$2:$B$1001,0)),""))</f>
        <v/>
      </c>
      <c r="N548" s="19">
        <f>IF($B548="","",IFERROR(INDEX(智能流水!$N$2:$N$1001,MATCH($B548,智能流水!$B$2:$B$1001,0)),""))</f>
        <v/>
      </c>
      <c r="O548" s="19">
        <f>IF($B548="","",IFERROR(INDEX(智能流水!$O$2:$O$1001,MATCH($B548,智能流水!$B$2:$B$1001,0)),""))</f>
        <v/>
      </c>
    </row>
    <row r="549">
      <c r="A549" s="19">
        <f>IF($B549="","",548)</f>
        <v/>
      </c>
      <c r="B549" s="19">
        <f>IFERROR(LARGE(智能流水!$B$2:$B$1001,548),"")</f>
        <v/>
      </c>
      <c r="C549" s="19">
        <f>IF($B549="","",IFERROR(INDEX(智能流水!$C$2:$C$1001,MATCH($B549,智能流水!$B$2:$B$1001,0)),""))</f>
        <v/>
      </c>
      <c r="D549" s="19">
        <f>IF($B549="","",IFERROR(INDEX(智能流水!$D$2:$D$1001,MATCH($B549,智能流水!$B$2:$B$1001,0)),""))</f>
        <v/>
      </c>
      <c r="E549" s="19">
        <f>IF($B549="","",IFERROR(INDEX(智能流水!$E$2:$E$1001,MATCH($B549,智能流水!$B$2:$B$1001,0)),""))</f>
        <v/>
      </c>
      <c r="F549" s="19">
        <f>IF($B549="","",IFERROR(INDEX(智能流水!$F$2:$F$1001,MATCH($B549,智能流水!$B$2:$B$1001,0)),""))</f>
        <v/>
      </c>
      <c r="G549" s="19">
        <f>IF($B549="","",IFERROR(INDEX(智能流水!$G$2:$G$1001,MATCH($B549,智能流水!$B$2:$B$1001,0)),""))</f>
        <v/>
      </c>
      <c r="H549" s="19">
        <f>IF($B549="","",IFERROR(INDEX(智能流水!$H$2:$H$1001,MATCH($B549,智能流水!$B$2:$B$1001,0)),""))</f>
        <v/>
      </c>
      <c r="I549" s="19">
        <f>IF($B549="","",IFERROR(INDEX(智能流水!$I$2:$I$1001,MATCH($B549,智能流水!$B$2:$B$1001,0)),""))</f>
        <v/>
      </c>
      <c r="J549" s="19">
        <f>IF($B549="","",IFERROR(INDEX(智能流水!$J$2:$J$1001,MATCH($B549,智能流水!$B$2:$B$1001,0)),""))</f>
        <v/>
      </c>
      <c r="K549" s="19">
        <f>IF($B549="","",IFERROR(INDEX(智能流水!$K$2:$K$1001,MATCH($B549,智能流水!$B$2:$B$1001,0)),""))</f>
        <v/>
      </c>
      <c r="L549" s="19">
        <f>IF($B549="","",IFERROR(INDEX(智能流水!$L$2:$L$1001,MATCH($B549,智能流水!$B$2:$B$1001,0)),""))</f>
        <v/>
      </c>
      <c r="M549" s="19">
        <f>IF($B549="","",IFERROR(INDEX(智能流水!$M$2:$M$1001,MATCH($B549,智能流水!$B$2:$B$1001,0)),""))</f>
        <v/>
      </c>
      <c r="N549" s="19">
        <f>IF($B549="","",IFERROR(INDEX(智能流水!$N$2:$N$1001,MATCH($B549,智能流水!$B$2:$B$1001,0)),""))</f>
        <v/>
      </c>
      <c r="O549" s="19">
        <f>IF($B549="","",IFERROR(INDEX(智能流水!$O$2:$O$1001,MATCH($B549,智能流水!$B$2:$B$1001,0)),""))</f>
        <v/>
      </c>
    </row>
    <row r="550">
      <c r="A550" s="19">
        <f>IF($B550="","",549)</f>
        <v/>
      </c>
      <c r="B550" s="19">
        <f>IFERROR(LARGE(智能流水!$B$2:$B$1001,549),"")</f>
        <v/>
      </c>
      <c r="C550" s="19">
        <f>IF($B550="","",IFERROR(INDEX(智能流水!$C$2:$C$1001,MATCH($B550,智能流水!$B$2:$B$1001,0)),""))</f>
        <v/>
      </c>
      <c r="D550" s="19">
        <f>IF($B550="","",IFERROR(INDEX(智能流水!$D$2:$D$1001,MATCH($B550,智能流水!$B$2:$B$1001,0)),""))</f>
        <v/>
      </c>
      <c r="E550" s="19">
        <f>IF($B550="","",IFERROR(INDEX(智能流水!$E$2:$E$1001,MATCH($B550,智能流水!$B$2:$B$1001,0)),""))</f>
        <v/>
      </c>
      <c r="F550" s="19">
        <f>IF($B550="","",IFERROR(INDEX(智能流水!$F$2:$F$1001,MATCH($B550,智能流水!$B$2:$B$1001,0)),""))</f>
        <v/>
      </c>
      <c r="G550" s="19">
        <f>IF($B550="","",IFERROR(INDEX(智能流水!$G$2:$G$1001,MATCH($B550,智能流水!$B$2:$B$1001,0)),""))</f>
        <v/>
      </c>
      <c r="H550" s="19">
        <f>IF($B550="","",IFERROR(INDEX(智能流水!$H$2:$H$1001,MATCH($B550,智能流水!$B$2:$B$1001,0)),""))</f>
        <v/>
      </c>
      <c r="I550" s="19">
        <f>IF($B550="","",IFERROR(INDEX(智能流水!$I$2:$I$1001,MATCH($B550,智能流水!$B$2:$B$1001,0)),""))</f>
        <v/>
      </c>
      <c r="J550" s="19">
        <f>IF($B550="","",IFERROR(INDEX(智能流水!$J$2:$J$1001,MATCH($B550,智能流水!$B$2:$B$1001,0)),""))</f>
        <v/>
      </c>
      <c r="K550" s="19">
        <f>IF($B550="","",IFERROR(INDEX(智能流水!$K$2:$K$1001,MATCH($B550,智能流水!$B$2:$B$1001,0)),""))</f>
        <v/>
      </c>
      <c r="L550" s="19">
        <f>IF($B550="","",IFERROR(INDEX(智能流水!$L$2:$L$1001,MATCH($B550,智能流水!$B$2:$B$1001,0)),""))</f>
        <v/>
      </c>
      <c r="M550" s="19">
        <f>IF($B550="","",IFERROR(INDEX(智能流水!$M$2:$M$1001,MATCH($B550,智能流水!$B$2:$B$1001,0)),""))</f>
        <v/>
      </c>
      <c r="N550" s="19">
        <f>IF($B550="","",IFERROR(INDEX(智能流水!$N$2:$N$1001,MATCH($B550,智能流水!$B$2:$B$1001,0)),""))</f>
        <v/>
      </c>
      <c r="O550" s="19">
        <f>IF($B550="","",IFERROR(INDEX(智能流水!$O$2:$O$1001,MATCH($B550,智能流水!$B$2:$B$1001,0)),""))</f>
        <v/>
      </c>
    </row>
    <row r="551">
      <c r="A551" s="19">
        <f>IF($B551="","",550)</f>
        <v/>
      </c>
      <c r="B551" s="19">
        <f>IFERROR(LARGE(智能流水!$B$2:$B$1001,550),"")</f>
        <v/>
      </c>
      <c r="C551" s="19">
        <f>IF($B551="","",IFERROR(INDEX(智能流水!$C$2:$C$1001,MATCH($B551,智能流水!$B$2:$B$1001,0)),""))</f>
        <v/>
      </c>
      <c r="D551" s="19">
        <f>IF($B551="","",IFERROR(INDEX(智能流水!$D$2:$D$1001,MATCH($B551,智能流水!$B$2:$B$1001,0)),""))</f>
        <v/>
      </c>
      <c r="E551" s="19">
        <f>IF($B551="","",IFERROR(INDEX(智能流水!$E$2:$E$1001,MATCH($B551,智能流水!$B$2:$B$1001,0)),""))</f>
        <v/>
      </c>
      <c r="F551" s="19">
        <f>IF($B551="","",IFERROR(INDEX(智能流水!$F$2:$F$1001,MATCH($B551,智能流水!$B$2:$B$1001,0)),""))</f>
        <v/>
      </c>
      <c r="G551" s="19">
        <f>IF($B551="","",IFERROR(INDEX(智能流水!$G$2:$G$1001,MATCH($B551,智能流水!$B$2:$B$1001,0)),""))</f>
        <v/>
      </c>
      <c r="H551" s="19">
        <f>IF($B551="","",IFERROR(INDEX(智能流水!$H$2:$H$1001,MATCH($B551,智能流水!$B$2:$B$1001,0)),""))</f>
        <v/>
      </c>
      <c r="I551" s="19">
        <f>IF($B551="","",IFERROR(INDEX(智能流水!$I$2:$I$1001,MATCH($B551,智能流水!$B$2:$B$1001,0)),""))</f>
        <v/>
      </c>
      <c r="J551" s="19">
        <f>IF($B551="","",IFERROR(INDEX(智能流水!$J$2:$J$1001,MATCH($B551,智能流水!$B$2:$B$1001,0)),""))</f>
        <v/>
      </c>
      <c r="K551" s="19">
        <f>IF($B551="","",IFERROR(INDEX(智能流水!$K$2:$K$1001,MATCH($B551,智能流水!$B$2:$B$1001,0)),""))</f>
        <v/>
      </c>
      <c r="L551" s="19">
        <f>IF($B551="","",IFERROR(INDEX(智能流水!$L$2:$L$1001,MATCH($B551,智能流水!$B$2:$B$1001,0)),""))</f>
        <v/>
      </c>
      <c r="M551" s="19">
        <f>IF($B551="","",IFERROR(INDEX(智能流水!$M$2:$M$1001,MATCH($B551,智能流水!$B$2:$B$1001,0)),""))</f>
        <v/>
      </c>
      <c r="N551" s="19">
        <f>IF($B551="","",IFERROR(INDEX(智能流水!$N$2:$N$1001,MATCH($B551,智能流水!$B$2:$B$1001,0)),""))</f>
        <v/>
      </c>
      <c r="O551" s="19">
        <f>IF($B551="","",IFERROR(INDEX(智能流水!$O$2:$O$1001,MATCH($B551,智能流水!$B$2:$B$1001,0)),""))</f>
        <v/>
      </c>
    </row>
    <row r="552">
      <c r="A552" s="19">
        <f>IF($B552="","",551)</f>
        <v/>
      </c>
      <c r="B552" s="19">
        <f>IFERROR(LARGE(智能流水!$B$2:$B$1001,551),"")</f>
        <v/>
      </c>
      <c r="C552" s="19">
        <f>IF($B552="","",IFERROR(INDEX(智能流水!$C$2:$C$1001,MATCH($B552,智能流水!$B$2:$B$1001,0)),""))</f>
        <v/>
      </c>
      <c r="D552" s="19">
        <f>IF($B552="","",IFERROR(INDEX(智能流水!$D$2:$D$1001,MATCH($B552,智能流水!$B$2:$B$1001,0)),""))</f>
        <v/>
      </c>
      <c r="E552" s="19">
        <f>IF($B552="","",IFERROR(INDEX(智能流水!$E$2:$E$1001,MATCH($B552,智能流水!$B$2:$B$1001,0)),""))</f>
        <v/>
      </c>
      <c r="F552" s="19">
        <f>IF($B552="","",IFERROR(INDEX(智能流水!$F$2:$F$1001,MATCH($B552,智能流水!$B$2:$B$1001,0)),""))</f>
        <v/>
      </c>
      <c r="G552" s="19">
        <f>IF($B552="","",IFERROR(INDEX(智能流水!$G$2:$G$1001,MATCH($B552,智能流水!$B$2:$B$1001,0)),""))</f>
        <v/>
      </c>
      <c r="H552" s="19">
        <f>IF($B552="","",IFERROR(INDEX(智能流水!$H$2:$H$1001,MATCH($B552,智能流水!$B$2:$B$1001,0)),""))</f>
        <v/>
      </c>
      <c r="I552" s="19">
        <f>IF($B552="","",IFERROR(INDEX(智能流水!$I$2:$I$1001,MATCH($B552,智能流水!$B$2:$B$1001,0)),""))</f>
        <v/>
      </c>
      <c r="J552" s="19">
        <f>IF($B552="","",IFERROR(INDEX(智能流水!$J$2:$J$1001,MATCH($B552,智能流水!$B$2:$B$1001,0)),""))</f>
        <v/>
      </c>
      <c r="K552" s="19">
        <f>IF($B552="","",IFERROR(INDEX(智能流水!$K$2:$K$1001,MATCH($B552,智能流水!$B$2:$B$1001,0)),""))</f>
        <v/>
      </c>
      <c r="L552" s="19">
        <f>IF($B552="","",IFERROR(INDEX(智能流水!$L$2:$L$1001,MATCH($B552,智能流水!$B$2:$B$1001,0)),""))</f>
        <v/>
      </c>
      <c r="M552" s="19">
        <f>IF($B552="","",IFERROR(INDEX(智能流水!$M$2:$M$1001,MATCH($B552,智能流水!$B$2:$B$1001,0)),""))</f>
        <v/>
      </c>
      <c r="N552" s="19">
        <f>IF($B552="","",IFERROR(INDEX(智能流水!$N$2:$N$1001,MATCH($B552,智能流水!$B$2:$B$1001,0)),""))</f>
        <v/>
      </c>
      <c r="O552" s="19">
        <f>IF($B552="","",IFERROR(INDEX(智能流水!$O$2:$O$1001,MATCH($B552,智能流水!$B$2:$B$1001,0)),""))</f>
        <v/>
      </c>
    </row>
    <row r="553">
      <c r="A553" s="19">
        <f>IF($B553="","",552)</f>
        <v/>
      </c>
      <c r="B553" s="19">
        <f>IFERROR(LARGE(智能流水!$B$2:$B$1001,552),"")</f>
        <v/>
      </c>
      <c r="C553" s="19">
        <f>IF($B553="","",IFERROR(INDEX(智能流水!$C$2:$C$1001,MATCH($B553,智能流水!$B$2:$B$1001,0)),""))</f>
        <v/>
      </c>
      <c r="D553" s="19">
        <f>IF($B553="","",IFERROR(INDEX(智能流水!$D$2:$D$1001,MATCH($B553,智能流水!$B$2:$B$1001,0)),""))</f>
        <v/>
      </c>
      <c r="E553" s="19">
        <f>IF($B553="","",IFERROR(INDEX(智能流水!$E$2:$E$1001,MATCH($B553,智能流水!$B$2:$B$1001,0)),""))</f>
        <v/>
      </c>
      <c r="F553" s="19">
        <f>IF($B553="","",IFERROR(INDEX(智能流水!$F$2:$F$1001,MATCH($B553,智能流水!$B$2:$B$1001,0)),""))</f>
        <v/>
      </c>
      <c r="G553" s="19">
        <f>IF($B553="","",IFERROR(INDEX(智能流水!$G$2:$G$1001,MATCH($B553,智能流水!$B$2:$B$1001,0)),""))</f>
        <v/>
      </c>
      <c r="H553" s="19">
        <f>IF($B553="","",IFERROR(INDEX(智能流水!$H$2:$H$1001,MATCH($B553,智能流水!$B$2:$B$1001,0)),""))</f>
        <v/>
      </c>
      <c r="I553" s="19">
        <f>IF($B553="","",IFERROR(INDEX(智能流水!$I$2:$I$1001,MATCH($B553,智能流水!$B$2:$B$1001,0)),""))</f>
        <v/>
      </c>
      <c r="J553" s="19">
        <f>IF($B553="","",IFERROR(INDEX(智能流水!$J$2:$J$1001,MATCH($B553,智能流水!$B$2:$B$1001,0)),""))</f>
        <v/>
      </c>
      <c r="K553" s="19">
        <f>IF($B553="","",IFERROR(INDEX(智能流水!$K$2:$K$1001,MATCH($B553,智能流水!$B$2:$B$1001,0)),""))</f>
        <v/>
      </c>
      <c r="L553" s="19">
        <f>IF($B553="","",IFERROR(INDEX(智能流水!$L$2:$L$1001,MATCH($B553,智能流水!$B$2:$B$1001,0)),""))</f>
        <v/>
      </c>
      <c r="M553" s="19">
        <f>IF($B553="","",IFERROR(INDEX(智能流水!$M$2:$M$1001,MATCH($B553,智能流水!$B$2:$B$1001,0)),""))</f>
        <v/>
      </c>
      <c r="N553" s="19">
        <f>IF($B553="","",IFERROR(INDEX(智能流水!$N$2:$N$1001,MATCH($B553,智能流水!$B$2:$B$1001,0)),""))</f>
        <v/>
      </c>
      <c r="O553" s="19">
        <f>IF($B553="","",IFERROR(INDEX(智能流水!$O$2:$O$1001,MATCH($B553,智能流水!$B$2:$B$1001,0)),""))</f>
        <v/>
      </c>
    </row>
    <row r="554">
      <c r="A554" s="19">
        <f>IF($B554="","",553)</f>
        <v/>
      </c>
      <c r="B554" s="19">
        <f>IFERROR(LARGE(智能流水!$B$2:$B$1001,553),"")</f>
        <v/>
      </c>
      <c r="C554" s="19">
        <f>IF($B554="","",IFERROR(INDEX(智能流水!$C$2:$C$1001,MATCH($B554,智能流水!$B$2:$B$1001,0)),""))</f>
        <v/>
      </c>
      <c r="D554" s="19">
        <f>IF($B554="","",IFERROR(INDEX(智能流水!$D$2:$D$1001,MATCH($B554,智能流水!$B$2:$B$1001,0)),""))</f>
        <v/>
      </c>
      <c r="E554" s="19">
        <f>IF($B554="","",IFERROR(INDEX(智能流水!$E$2:$E$1001,MATCH($B554,智能流水!$B$2:$B$1001,0)),""))</f>
        <v/>
      </c>
      <c r="F554" s="19">
        <f>IF($B554="","",IFERROR(INDEX(智能流水!$F$2:$F$1001,MATCH($B554,智能流水!$B$2:$B$1001,0)),""))</f>
        <v/>
      </c>
      <c r="G554" s="19">
        <f>IF($B554="","",IFERROR(INDEX(智能流水!$G$2:$G$1001,MATCH($B554,智能流水!$B$2:$B$1001,0)),""))</f>
        <v/>
      </c>
      <c r="H554" s="19">
        <f>IF($B554="","",IFERROR(INDEX(智能流水!$H$2:$H$1001,MATCH($B554,智能流水!$B$2:$B$1001,0)),""))</f>
        <v/>
      </c>
      <c r="I554" s="19">
        <f>IF($B554="","",IFERROR(INDEX(智能流水!$I$2:$I$1001,MATCH($B554,智能流水!$B$2:$B$1001,0)),""))</f>
        <v/>
      </c>
      <c r="J554" s="19">
        <f>IF($B554="","",IFERROR(INDEX(智能流水!$J$2:$J$1001,MATCH($B554,智能流水!$B$2:$B$1001,0)),""))</f>
        <v/>
      </c>
      <c r="K554" s="19">
        <f>IF($B554="","",IFERROR(INDEX(智能流水!$K$2:$K$1001,MATCH($B554,智能流水!$B$2:$B$1001,0)),""))</f>
        <v/>
      </c>
      <c r="L554" s="19">
        <f>IF($B554="","",IFERROR(INDEX(智能流水!$L$2:$L$1001,MATCH($B554,智能流水!$B$2:$B$1001,0)),""))</f>
        <v/>
      </c>
      <c r="M554" s="19">
        <f>IF($B554="","",IFERROR(INDEX(智能流水!$M$2:$M$1001,MATCH($B554,智能流水!$B$2:$B$1001,0)),""))</f>
        <v/>
      </c>
      <c r="N554" s="19">
        <f>IF($B554="","",IFERROR(INDEX(智能流水!$N$2:$N$1001,MATCH($B554,智能流水!$B$2:$B$1001,0)),""))</f>
        <v/>
      </c>
      <c r="O554" s="19">
        <f>IF($B554="","",IFERROR(INDEX(智能流水!$O$2:$O$1001,MATCH($B554,智能流水!$B$2:$B$1001,0)),""))</f>
        <v/>
      </c>
    </row>
    <row r="555">
      <c r="A555" s="19">
        <f>IF($B555="","",554)</f>
        <v/>
      </c>
      <c r="B555" s="19">
        <f>IFERROR(LARGE(智能流水!$B$2:$B$1001,554),"")</f>
        <v/>
      </c>
      <c r="C555" s="19">
        <f>IF($B555="","",IFERROR(INDEX(智能流水!$C$2:$C$1001,MATCH($B555,智能流水!$B$2:$B$1001,0)),""))</f>
        <v/>
      </c>
      <c r="D555" s="19">
        <f>IF($B555="","",IFERROR(INDEX(智能流水!$D$2:$D$1001,MATCH($B555,智能流水!$B$2:$B$1001,0)),""))</f>
        <v/>
      </c>
      <c r="E555" s="19">
        <f>IF($B555="","",IFERROR(INDEX(智能流水!$E$2:$E$1001,MATCH($B555,智能流水!$B$2:$B$1001,0)),""))</f>
        <v/>
      </c>
      <c r="F555" s="19">
        <f>IF($B555="","",IFERROR(INDEX(智能流水!$F$2:$F$1001,MATCH($B555,智能流水!$B$2:$B$1001,0)),""))</f>
        <v/>
      </c>
      <c r="G555" s="19">
        <f>IF($B555="","",IFERROR(INDEX(智能流水!$G$2:$G$1001,MATCH($B555,智能流水!$B$2:$B$1001,0)),""))</f>
        <v/>
      </c>
      <c r="H555" s="19">
        <f>IF($B555="","",IFERROR(INDEX(智能流水!$H$2:$H$1001,MATCH($B555,智能流水!$B$2:$B$1001,0)),""))</f>
        <v/>
      </c>
      <c r="I555" s="19">
        <f>IF($B555="","",IFERROR(INDEX(智能流水!$I$2:$I$1001,MATCH($B555,智能流水!$B$2:$B$1001,0)),""))</f>
        <v/>
      </c>
      <c r="J555" s="19">
        <f>IF($B555="","",IFERROR(INDEX(智能流水!$J$2:$J$1001,MATCH($B555,智能流水!$B$2:$B$1001,0)),""))</f>
        <v/>
      </c>
      <c r="K555" s="19">
        <f>IF($B555="","",IFERROR(INDEX(智能流水!$K$2:$K$1001,MATCH($B555,智能流水!$B$2:$B$1001,0)),""))</f>
        <v/>
      </c>
      <c r="L555" s="19">
        <f>IF($B555="","",IFERROR(INDEX(智能流水!$L$2:$L$1001,MATCH($B555,智能流水!$B$2:$B$1001,0)),""))</f>
        <v/>
      </c>
      <c r="M555" s="19">
        <f>IF($B555="","",IFERROR(INDEX(智能流水!$M$2:$M$1001,MATCH($B555,智能流水!$B$2:$B$1001,0)),""))</f>
        <v/>
      </c>
      <c r="N555" s="19">
        <f>IF($B555="","",IFERROR(INDEX(智能流水!$N$2:$N$1001,MATCH($B555,智能流水!$B$2:$B$1001,0)),""))</f>
        <v/>
      </c>
      <c r="O555" s="19">
        <f>IF($B555="","",IFERROR(INDEX(智能流水!$O$2:$O$1001,MATCH($B555,智能流水!$B$2:$B$1001,0)),""))</f>
        <v/>
      </c>
    </row>
    <row r="556">
      <c r="A556" s="19">
        <f>IF($B556="","",555)</f>
        <v/>
      </c>
      <c r="B556" s="19">
        <f>IFERROR(LARGE(智能流水!$B$2:$B$1001,555),"")</f>
        <v/>
      </c>
      <c r="C556" s="19">
        <f>IF($B556="","",IFERROR(INDEX(智能流水!$C$2:$C$1001,MATCH($B556,智能流水!$B$2:$B$1001,0)),""))</f>
        <v/>
      </c>
      <c r="D556" s="19">
        <f>IF($B556="","",IFERROR(INDEX(智能流水!$D$2:$D$1001,MATCH($B556,智能流水!$B$2:$B$1001,0)),""))</f>
        <v/>
      </c>
      <c r="E556" s="19">
        <f>IF($B556="","",IFERROR(INDEX(智能流水!$E$2:$E$1001,MATCH($B556,智能流水!$B$2:$B$1001,0)),""))</f>
        <v/>
      </c>
      <c r="F556" s="19">
        <f>IF($B556="","",IFERROR(INDEX(智能流水!$F$2:$F$1001,MATCH($B556,智能流水!$B$2:$B$1001,0)),""))</f>
        <v/>
      </c>
      <c r="G556" s="19">
        <f>IF($B556="","",IFERROR(INDEX(智能流水!$G$2:$G$1001,MATCH($B556,智能流水!$B$2:$B$1001,0)),""))</f>
        <v/>
      </c>
      <c r="H556" s="19">
        <f>IF($B556="","",IFERROR(INDEX(智能流水!$H$2:$H$1001,MATCH($B556,智能流水!$B$2:$B$1001,0)),""))</f>
        <v/>
      </c>
      <c r="I556" s="19">
        <f>IF($B556="","",IFERROR(INDEX(智能流水!$I$2:$I$1001,MATCH($B556,智能流水!$B$2:$B$1001,0)),""))</f>
        <v/>
      </c>
      <c r="J556" s="19">
        <f>IF($B556="","",IFERROR(INDEX(智能流水!$J$2:$J$1001,MATCH($B556,智能流水!$B$2:$B$1001,0)),""))</f>
        <v/>
      </c>
      <c r="K556" s="19">
        <f>IF($B556="","",IFERROR(INDEX(智能流水!$K$2:$K$1001,MATCH($B556,智能流水!$B$2:$B$1001,0)),""))</f>
        <v/>
      </c>
      <c r="L556" s="19">
        <f>IF($B556="","",IFERROR(INDEX(智能流水!$L$2:$L$1001,MATCH($B556,智能流水!$B$2:$B$1001,0)),""))</f>
        <v/>
      </c>
      <c r="M556" s="19">
        <f>IF($B556="","",IFERROR(INDEX(智能流水!$M$2:$M$1001,MATCH($B556,智能流水!$B$2:$B$1001,0)),""))</f>
        <v/>
      </c>
      <c r="N556" s="19">
        <f>IF($B556="","",IFERROR(INDEX(智能流水!$N$2:$N$1001,MATCH($B556,智能流水!$B$2:$B$1001,0)),""))</f>
        <v/>
      </c>
      <c r="O556" s="19">
        <f>IF($B556="","",IFERROR(INDEX(智能流水!$O$2:$O$1001,MATCH($B556,智能流水!$B$2:$B$1001,0)),""))</f>
        <v/>
      </c>
    </row>
    <row r="557">
      <c r="A557" s="19">
        <f>IF($B557="","",556)</f>
        <v/>
      </c>
      <c r="B557" s="19">
        <f>IFERROR(LARGE(智能流水!$B$2:$B$1001,556),"")</f>
        <v/>
      </c>
      <c r="C557" s="19">
        <f>IF($B557="","",IFERROR(INDEX(智能流水!$C$2:$C$1001,MATCH($B557,智能流水!$B$2:$B$1001,0)),""))</f>
        <v/>
      </c>
      <c r="D557" s="19">
        <f>IF($B557="","",IFERROR(INDEX(智能流水!$D$2:$D$1001,MATCH($B557,智能流水!$B$2:$B$1001,0)),""))</f>
        <v/>
      </c>
      <c r="E557" s="19">
        <f>IF($B557="","",IFERROR(INDEX(智能流水!$E$2:$E$1001,MATCH($B557,智能流水!$B$2:$B$1001,0)),""))</f>
        <v/>
      </c>
      <c r="F557" s="19">
        <f>IF($B557="","",IFERROR(INDEX(智能流水!$F$2:$F$1001,MATCH($B557,智能流水!$B$2:$B$1001,0)),""))</f>
        <v/>
      </c>
      <c r="G557" s="19">
        <f>IF($B557="","",IFERROR(INDEX(智能流水!$G$2:$G$1001,MATCH($B557,智能流水!$B$2:$B$1001,0)),""))</f>
        <v/>
      </c>
      <c r="H557" s="19">
        <f>IF($B557="","",IFERROR(INDEX(智能流水!$H$2:$H$1001,MATCH($B557,智能流水!$B$2:$B$1001,0)),""))</f>
        <v/>
      </c>
      <c r="I557" s="19">
        <f>IF($B557="","",IFERROR(INDEX(智能流水!$I$2:$I$1001,MATCH($B557,智能流水!$B$2:$B$1001,0)),""))</f>
        <v/>
      </c>
      <c r="J557" s="19">
        <f>IF($B557="","",IFERROR(INDEX(智能流水!$J$2:$J$1001,MATCH($B557,智能流水!$B$2:$B$1001,0)),""))</f>
        <v/>
      </c>
      <c r="K557" s="19">
        <f>IF($B557="","",IFERROR(INDEX(智能流水!$K$2:$K$1001,MATCH($B557,智能流水!$B$2:$B$1001,0)),""))</f>
        <v/>
      </c>
      <c r="L557" s="19">
        <f>IF($B557="","",IFERROR(INDEX(智能流水!$L$2:$L$1001,MATCH($B557,智能流水!$B$2:$B$1001,0)),""))</f>
        <v/>
      </c>
      <c r="M557" s="19">
        <f>IF($B557="","",IFERROR(INDEX(智能流水!$M$2:$M$1001,MATCH($B557,智能流水!$B$2:$B$1001,0)),""))</f>
        <v/>
      </c>
      <c r="N557" s="19">
        <f>IF($B557="","",IFERROR(INDEX(智能流水!$N$2:$N$1001,MATCH($B557,智能流水!$B$2:$B$1001,0)),""))</f>
        <v/>
      </c>
      <c r="O557" s="19">
        <f>IF($B557="","",IFERROR(INDEX(智能流水!$O$2:$O$1001,MATCH($B557,智能流水!$B$2:$B$1001,0)),""))</f>
        <v/>
      </c>
    </row>
    <row r="558">
      <c r="A558" s="19">
        <f>IF($B558="","",557)</f>
        <v/>
      </c>
      <c r="B558" s="19">
        <f>IFERROR(LARGE(智能流水!$B$2:$B$1001,557),"")</f>
        <v/>
      </c>
      <c r="C558" s="19">
        <f>IF($B558="","",IFERROR(INDEX(智能流水!$C$2:$C$1001,MATCH($B558,智能流水!$B$2:$B$1001,0)),""))</f>
        <v/>
      </c>
      <c r="D558" s="19">
        <f>IF($B558="","",IFERROR(INDEX(智能流水!$D$2:$D$1001,MATCH($B558,智能流水!$B$2:$B$1001,0)),""))</f>
        <v/>
      </c>
      <c r="E558" s="19">
        <f>IF($B558="","",IFERROR(INDEX(智能流水!$E$2:$E$1001,MATCH($B558,智能流水!$B$2:$B$1001,0)),""))</f>
        <v/>
      </c>
      <c r="F558" s="19">
        <f>IF($B558="","",IFERROR(INDEX(智能流水!$F$2:$F$1001,MATCH($B558,智能流水!$B$2:$B$1001,0)),""))</f>
        <v/>
      </c>
      <c r="G558" s="19">
        <f>IF($B558="","",IFERROR(INDEX(智能流水!$G$2:$G$1001,MATCH($B558,智能流水!$B$2:$B$1001,0)),""))</f>
        <v/>
      </c>
      <c r="H558" s="19">
        <f>IF($B558="","",IFERROR(INDEX(智能流水!$H$2:$H$1001,MATCH($B558,智能流水!$B$2:$B$1001,0)),""))</f>
        <v/>
      </c>
      <c r="I558" s="19">
        <f>IF($B558="","",IFERROR(INDEX(智能流水!$I$2:$I$1001,MATCH($B558,智能流水!$B$2:$B$1001,0)),""))</f>
        <v/>
      </c>
      <c r="J558" s="19">
        <f>IF($B558="","",IFERROR(INDEX(智能流水!$J$2:$J$1001,MATCH($B558,智能流水!$B$2:$B$1001,0)),""))</f>
        <v/>
      </c>
      <c r="K558" s="19">
        <f>IF($B558="","",IFERROR(INDEX(智能流水!$K$2:$K$1001,MATCH($B558,智能流水!$B$2:$B$1001,0)),""))</f>
        <v/>
      </c>
      <c r="L558" s="19">
        <f>IF($B558="","",IFERROR(INDEX(智能流水!$L$2:$L$1001,MATCH($B558,智能流水!$B$2:$B$1001,0)),""))</f>
        <v/>
      </c>
      <c r="M558" s="19">
        <f>IF($B558="","",IFERROR(INDEX(智能流水!$M$2:$M$1001,MATCH($B558,智能流水!$B$2:$B$1001,0)),""))</f>
        <v/>
      </c>
      <c r="N558" s="19">
        <f>IF($B558="","",IFERROR(INDEX(智能流水!$N$2:$N$1001,MATCH($B558,智能流水!$B$2:$B$1001,0)),""))</f>
        <v/>
      </c>
      <c r="O558" s="19">
        <f>IF($B558="","",IFERROR(INDEX(智能流水!$O$2:$O$1001,MATCH($B558,智能流水!$B$2:$B$1001,0)),""))</f>
        <v/>
      </c>
    </row>
    <row r="559">
      <c r="A559" s="19">
        <f>IF($B559="","",558)</f>
        <v/>
      </c>
      <c r="B559" s="19">
        <f>IFERROR(LARGE(智能流水!$B$2:$B$1001,558),"")</f>
        <v/>
      </c>
      <c r="C559" s="19">
        <f>IF($B559="","",IFERROR(INDEX(智能流水!$C$2:$C$1001,MATCH($B559,智能流水!$B$2:$B$1001,0)),""))</f>
        <v/>
      </c>
      <c r="D559" s="19">
        <f>IF($B559="","",IFERROR(INDEX(智能流水!$D$2:$D$1001,MATCH($B559,智能流水!$B$2:$B$1001,0)),""))</f>
        <v/>
      </c>
      <c r="E559" s="19">
        <f>IF($B559="","",IFERROR(INDEX(智能流水!$E$2:$E$1001,MATCH($B559,智能流水!$B$2:$B$1001,0)),""))</f>
        <v/>
      </c>
      <c r="F559" s="19">
        <f>IF($B559="","",IFERROR(INDEX(智能流水!$F$2:$F$1001,MATCH($B559,智能流水!$B$2:$B$1001,0)),""))</f>
        <v/>
      </c>
      <c r="G559" s="19">
        <f>IF($B559="","",IFERROR(INDEX(智能流水!$G$2:$G$1001,MATCH($B559,智能流水!$B$2:$B$1001,0)),""))</f>
        <v/>
      </c>
      <c r="H559" s="19">
        <f>IF($B559="","",IFERROR(INDEX(智能流水!$H$2:$H$1001,MATCH($B559,智能流水!$B$2:$B$1001,0)),""))</f>
        <v/>
      </c>
      <c r="I559" s="19">
        <f>IF($B559="","",IFERROR(INDEX(智能流水!$I$2:$I$1001,MATCH($B559,智能流水!$B$2:$B$1001,0)),""))</f>
        <v/>
      </c>
      <c r="J559" s="19">
        <f>IF($B559="","",IFERROR(INDEX(智能流水!$J$2:$J$1001,MATCH($B559,智能流水!$B$2:$B$1001,0)),""))</f>
        <v/>
      </c>
      <c r="K559" s="19">
        <f>IF($B559="","",IFERROR(INDEX(智能流水!$K$2:$K$1001,MATCH($B559,智能流水!$B$2:$B$1001,0)),""))</f>
        <v/>
      </c>
      <c r="L559" s="19">
        <f>IF($B559="","",IFERROR(INDEX(智能流水!$L$2:$L$1001,MATCH($B559,智能流水!$B$2:$B$1001,0)),""))</f>
        <v/>
      </c>
      <c r="M559" s="19">
        <f>IF($B559="","",IFERROR(INDEX(智能流水!$M$2:$M$1001,MATCH($B559,智能流水!$B$2:$B$1001,0)),""))</f>
        <v/>
      </c>
      <c r="N559" s="19">
        <f>IF($B559="","",IFERROR(INDEX(智能流水!$N$2:$N$1001,MATCH($B559,智能流水!$B$2:$B$1001,0)),""))</f>
        <v/>
      </c>
      <c r="O559" s="19">
        <f>IF($B559="","",IFERROR(INDEX(智能流水!$O$2:$O$1001,MATCH($B559,智能流水!$B$2:$B$1001,0)),""))</f>
        <v/>
      </c>
    </row>
    <row r="560">
      <c r="A560" s="19">
        <f>IF($B560="","",559)</f>
        <v/>
      </c>
      <c r="B560" s="19">
        <f>IFERROR(LARGE(智能流水!$B$2:$B$1001,559),"")</f>
        <v/>
      </c>
      <c r="C560" s="19">
        <f>IF($B560="","",IFERROR(INDEX(智能流水!$C$2:$C$1001,MATCH($B560,智能流水!$B$2:$B$1001,0)),""))</f>
        <v/>
      </c>
      <c r="D560" s="19">
        <f>IF($B560="","",IFERROR(INDEX(智能流水!$D$2:$D$1001,MATCH($B560,智能流水!$B$2:$B$1001,0)),""))</f>
        <v/>
      </c>
      <c r="E560" s="19">
        <f>IF($B560="","",IFERROR(INDEX(智能流水!$E$2:$E$1001,MATCH($B560,智能流水!$B$2:$B$1001,0)),""))</f>
        <v/>
      </c>
      <c r="F560" s="19">
        <f>IF($B560="","",IFERROR(INDEX(智能流水!$F$2:$F$1001,MATCH($B560,智能流水!$B$2:$B$1001,0)),""))</f>
        <v/>
      </c>
      <c r="G560" s="19">
        <f>IF($B560="","",IFERROR(INDEX(智能流水!$G$2:$G$1001,MATCH($B560,智能流水!$B$2:$B$1001,0)),""))</f>
        <v/>
      </c>
      <c r="H560" s="19">
        <f>IF($B560="","",IFERROR(INDEX(智能流水!$H$2:$H$1001,MATCH($B560,智能流水!$B$2:$B$1001,0)),""))</f>
        <v/>
      </c>
      <c r="I560" s="19">
        <f>IF($B560="","",IFERROR(INDEX(智能流水!$I$2:$I$1001,MATCH($B560,智能流水!$B$2:$B$1001,0)),""))</f>
        <v/>
      </c>
      <c r="J560" s="19">
        <f>IF($B560="","",IFERROR(INDEX(智能流水!$J$2:$J$1001,MATCH($B560,智能流水!$B$2:$B$1001,0)),""))</f>
        <v/>
      </c>
      <c r="K560" s="19">
        <f>IF($B560="","",IFERROR(INDEX(智能流水!$K$2:$K$1001,MATCH($B560,智能流水!$B$2:$B$1001,0)),""))</f>
        <v/>
      </c>
      <c r="L560" s="19">
        <f>IF($B560="","",IFERROR(INDEX(智能流水!$L$2:$L$1001,MATCH($B560,智能流水!$B$2:$B$1001,0)),""))</f>
        <v/>
      </c>
      <c r="M560" s="19">
        <f>IF($B560="","",IFERROR(INDEX(智能流水!$M$2:$M$1001,MATCH($B560,智能流水!$B$2:$B$1001,0)),""))</f>
        <v/>
      </c>
      <c r="N560" s="19">
        <f>IF($B560="","",IFERROR(INDEX(智能流水!$N$2:$N$1001,MATCH($B560,智能流水!$B$2:$B$1001,0)),""))</f>
        <v/>
      </c>
      <c r="O560" s="19">
        <f>IF($B560="","",IFERROR(INDEX(智能流水!$O$2:$O$1001,MATCH($B560,智能流水!$B$2:$B$1001,0)),""))</f>
        <v/>
      </c>
    </row>
    <row r="561">
      <c r="A561" s="19">
        <f>IF($B561="","",560)</f>
        <v/>
      </c>
      <c r="B561" s="19">
        <f>IFERROR(LARGE(智能流水!$B$2:$B$1001,560),"")</f>
        <v/>
      </c>
      <c r="C561" s="19">
        <f>IF($B561="","",IFERROR(INDEX(智能流水!$C$2:$C$1001,MATCH($B561,智能流水!$B$2:$B$1001,0)),""))</f>
        <v/>
      </c>
      <c r="D561" s="19">
        <f>IF($B561="","",IFERROR(INDEX(智能流水!$D$2:$D$1001,MATCH($B561,智能流水!$B$2:$B$1001,0)),""))</f>
        <v/>
      </c>
      <c r="E561" s="19">
        <f>IF($B561="","",IFERROR(INDEX(智能流水!$E$2:$E$1001,MATCH($B561,智能流水!$B$2:$B$1001,0)),""))</f>
        <v/>
      </c>
      <c r="F561" s="19">
        <f>IF($B561="","",IFERROR(INDEX(智能流水!$F$2:$F$1001,MATCH($B561,智能流水!$B$2:$B$1001,0)),""))</f>
        <v/>
      </c>
      <c r="G561" s="19">
        <f>IF($B561="","",IFERROR(INDEX(智能流水!$G$2:$G$1001,MATCH($B561,智能流水!$B$2:$B$1001,0)),""))</f>
        <v/>
      </c>
      <c r="H561" s="19">
        <f>IF($B561="","",IFERROR(INDEX(智能流水!$H$2:$H$1001,MATCH($B561,智能流水!$B$2:$B$1001,0)),""))</f>
        <v/>
      </c>
      <c r="I561" s="19">
        <f>IF($B561="","",IFERROR(INDEX(智能流水!$I$2:$I$1001,MATCH($B561,智能流水!$B$2:$B$1001,0)),""))</f>
        <v/>
      </c>
      <c r="J561" s="19">
        <f>IF($B561="","",IFERROR(INDEX(智能流水!$J$2:$J$1001,MATCH($B561,智能流水!$B$2:$B$1001,0)),""))</f>
        <v/>
      </c>
      <c r="K561" s="19">
        <f>IF($B561="","",IFERROR(INDEX(智能流水!$K$2:$K$1001,MATCH($B561,智能流水!$B$2:$B$1001,0)),""))</f>
        <v/>
      </c>
      <c r="L561" s="19">
        <f>IF($B561="","",IFERROR(INDEX(智能流水!$L$2:$L$1001,MATCH($B561,智能流水!$B$2:$B$1001,0)),""))</f>
        <v/>
      </c>
      <c r="M561" s="19">
        <f>IF($B561="","",IFERROR(INDEX(智能流水!$M$2:$M$1001,MATCH($B561,智能流水!$B$2:$B$1001,0)),""))</f>
        <v/>
      </c>
      <c r="N561" s="19">
        <f>IF($B561="","",IFERROR(INDEX(智能流水!$N$2:$N$1001,MATCH($B561,智能流水!$B$2:$B$1001,0)),""))</f>
        <v/>
      </c>
      <c r="O561" s="19">
        <f>IF($B561="","",IFERROR(INDEX(智能流水!$O$2:$O$1001,MATCH($B561,智能流水!$B$2:$B$1001,0)),""))</f>
        <v/>
      </c>
    </row>
    <row r="562">
      <c r="A562" s="19">
        <f>IF($B562="","",561)</f>
        <v/>
      </c>
      <c r="B562" s="19">
        <f>IFERROR(LARGE(智能流水!$B$2:$B$1001,561),"")</f>
        <v/>
      </c>
      <c r="C562" s="19">
        <f>IF($B562="","",IFERROR(INDEX(智能流水!$C$2:$C$1001,MATCH($B562,智能流水!$B$2:$B$1001,0)),""))</f>
        <v/>
      </c>
      <c r="D562" s="19">
        <f>IF($B562="","",IFERROR(INDEX(智能流水!$D$2:$D$1001,MATCH($B562,智能流水!$B$2:$B$1001,0)),""))</f>
        <v/>
      </c>
      <c r="E562" s="19">
        <f>IF($B562="","",IFERROR(INDEX(智能流水!$E$2:$E$1001,MATCH($B562,智能流水!$B$2:$B$1001,0)),""))</f>
        <v/>
      </c>
      <c r="F562" s="19">
        <f>IF($B562="","",IFERROR(INDEX(智能流水!$F$2:$F$1001,MATCH($B562,智能流水!$B$2:$B$1001,0)),""))</f>
        <v/>
      </c>
      <c r="G562" s="19">
        <f>IF($B562="","",IFERROR(INDEX(智能流水!$G$2:$G$1001,MATCH($B562,智能流水!$B$2:$B$1001,0)),""))</f>
        <v/>
      </c>
      <c r="H562" s="19">
        <f>IF($B562="","",IFERROR(INDEX(智能流水!$H$2:$H$1001,MATCH($B562,智能流水!$B$2:$B$1001,0)),""))</f>
        <v/>
      </c>
      <c r="I562" s="19">
        <f>IF($B562="","",IFERROR(INDEX(智能流水!$I$2:$I$1001,MATCH($B562,智能流水!$B$2:$B$1001,0)),""))</f>
        <v/>
      </c>
      <c r="J562" s="19">
        <f>IF($B562="","",IFERROR(INDEX(智能流水!$J$2:$J$1001,MATCH($B562,智能流水!$B$2:$B$1001,0)),""))</f>
        <v/>
      </c>
      <c r="K562" s="19">
        <f>IF($B562="","",IFERROR(INDEX(智能流水!$K$2:$K$1001,MATCH($B562,智能流水!$B$2:$B$1001,0)),""))</f>
        <v/>
      </c>
      <c r="L562" s="19">
        <f>IF($B562="","",IFERROR(INDEX(智能流水!$L$2:$L$1001,MATCH($B562,智能流水!$B$2:$B$1001,0)),""))</f>
        <v/>
      </c>
      <c r="M562" s="19">
        <f>IF($B562="","",IFERROR(INDEX(智能流水!$M$2:$M$1001,MATCH($B562,智能流水!$B$2:$B$1001,0)),""))</f>
        <v/>
      </c>
      <c r="N562" s="19">
        <f>IF($B562="","",IFERROR(INDEX(智能流水!$N$2:$N$1001,MATCH($B562,智能流水!$B$2:$B$1001,0)),""))</f>
        <v/>
      </c>
      <c r="O562" s="19">
        <f>IF($B562="","",IFERROR(INDEX(智能流水!$O$2:$O$1001,MATCH($B562,智能流水!$B$2:$B$1001,0)),""))</f>
        <v/>
      </c>
    </row>
    <row r="563">
      <c r="A563" s="19">
        <f>IF($B563="","",562)</f>
        <v/>
      </c>
      <c r="B563" s="19">
        <f>IFERROR(LARGE(智能流水!$B$2:$B$1001,562),"")</f>
        <v/>
      </c>
      <c r="C563" s="19">
        <f>IF($B563="","",IFERROR(INDEX(智能流水!$C$2:$C$1001,MATCH($B563,智能流水!$B$2:$B$1001,0)),""))</f>
        <v/>
      </c>
      <c r="D563" s="19">
        <f>IF($B563="","",IFERROR(INDEX(智能流水!$D$2:$D$1001,MATCH($B563,智能流水!$B$2:$B$1001,0)),""))</f>
        <v/>
      </c>
      <c r="E563" s="19">
        <f>IF($B563="","",IFERROR(INDEX(智能流水!$E$2:$E$1001,MATCH($B563,智能流水!$B$2:$B$1001,0)),""))</f>
        <v/>
      </c>
      <c r="F563" s="19">
        <f>IF($B563="","",IFERROR(INDEX(智能流水!$F$2:$F$1001,MATCH($B563,智能流水!$B$2:$B$1001,0)),""))</f>
        <v/>
      </c>
      <c r="G563" s="19">
        <f>IF($B563="","",IFERROR(INDEX(智能流水!$G$2:$G$1001,MATCH($B563,智能流水!$B$2:$B$1001,0)),""))</f>
        <v/>
      </c>
      <c r="H563" s="19">
        <f>IF($B563="","",IFERROR(INDEX(智能流水!$H$2:$H$1001,MATCH($B563,智能流水!$B$2:$B$1001,0)),""))</f>
        <v/>
      </c>
      <c r="I563" s="19">
        <f>IF($B563="","",IFERROR(INDEX(智能流水!$I$2:$I$1001,MATCH($B563,智能流水!$B$2:$B$1001,0)),""))</f>
        <v/>
      </c>
      <c r="J563" s="19">
        <f>IF($B563="","",IFERROR(INDEX(智能流水!$J$2:$J$1001,MATCH($B563,智能流水!$B$2:$B$1001,0)),""))</f>
        <v/>
      </c>
      <c r="K563" s="19">
        <f>IF($B563="","",IFERROR(INDEX(智能流水!$K$2:$K$1001,MATCH($B563,智能流水!$B$2:$B$1001,0)),""))</f>
        <v/>
      </c>
      <c r="L563" s="19">
        <f>IF($B563="","",IFERROR(INDEX(智能流水!$L$2:$L$1001,MATCH($B563,智能流水!$B$2:$B$1001,0)),""))</f>
        <v/>
      </c>
      <c r="M563" s="19">
        <f>IF($B563="","",IFERROR(INDEX(智能流水!$M$2:$M$1001,MATCH($B563,智能流水!$B$2:$B$1001,0)),""))</f>
        <v/>
      </c>
      <c r="N563" s="19">
        <f>IF($B563="","",IFERROR(INDEX(智能流水!$N$2:$N$1001,MATCH($B563,智能流水!$B$2:$B$1001,0)),""))</f>
        <v/>
      </c>
      <c r="O563" s="19">
        <f>IF($B563="","",IFERROR(INDEX(智能流水!$O$2:$O$1001,MATCH($B563,智能流水!$B$2:$B$1001,0)),""))</f>
        <v/>
      </c>
    </row>
    <row r="564">
      <c r="A564" s="19">
        <f>IF($B564="","",563)</f>
        <v/>
      </c>
      <c r="B564" s="19">
        <f>IFERROR(LARGE(智能流水!$B$2:$B$1001,563),"")</f>
        <v/>
      </c>
      <c r="C564" s="19">
        <f>IF($B564="","",IFERROR(INDEX(智能流水!$C$2:$C$1001,MATCH($B564,智能流水!$B$2:$B$1001,0)),""))</f>
        <v/>
      </c>
      <c r="D564" s="19">
        <f>IF($B564="","",IFERROR(INDEX(智能流水!$D$2:$D$1001,MATCH($B564,智能流水!$B$2:$B$1001,0)),""))</f>
        <v/>
      </c>
      <c r="E564" s="19">
        <f>IF($B564="","",IFERROR(INDEX(智能流水!$E$2:$E$1001,MATCH($B564,智能流水!$B$2:$B$1001,0)),""))</f>
        <v/>
      </c>
      <c r="F564" s="19">
        <f>IF($B564="","",IFERROR(INDEX(智能流水!$F$2:$F$1001,MATCH($B564,智能流水!$B$2:$B$1001,0)),""))</f>
        <v/>
      </c>
      <c r="G564" s="19">
        <f>IF($B564="","",IFERROR(INDEX(智能流水!$G$2:$G$1001,MATCH($B564,智能流水!$B$2:$B$1001,0)),""))</f>
        <v/>
      </c>
      <c r="H564" s="19">
        <f>IF($B564="","",IFERROR(INDEX(智能流水!$H$2:$H$1001,MATCH($B564,智能流水!$B$2:$B$1001,0)),""))</f>
        <v/>
      </c>
      <c r="I564" s="19">
        <f>IF($B564="","",IFERROR(INDEX(智能流水!$I$2:$I$1001,MATCH($B564,智能流水!$B$2:$B$1001,0)),""))</f>
        <v/>
      </c>
      <c r="J564" s="19">
        <f>IF($B564="","",IFERROR(INDEX(智能流水!$J$2:$J$1001,MATCH($B564,智能流水!$B$2:$B$1001,0)),""))</f>
        <v/>
      </c>
      <c r="K564" s="19">
        <f>IF($B564="","",IFERROR(INDEX(智能流水!$K$2:$K$1001,MATCH($B564,智能流水!$B$2:$B$1001,0)),""))</f>
        <v/>
      </c>
      <c r="L564" s="19">
        <f>IF($B564="","",IFERROR(INDEX(智能流水!$L$2:$L$1001,MATCH($B564,智能流水!$B$2:$B$1001,0)),""))</f>
        <v/>
      </c>
      <c r="M564" s="19">
        <f>IF($B564="","",IFERROR(INDEX(智能流水!$M$2:$M$1001,MATCH($B564,智能流水!$B$2:$B$1001,0)),""))</f>
        <v/>
      </c>
      <c r="N564" s="19">
        <f>IF($B564="","",IFERROR(INDEX(智能流水!$N$2:$N$1001,MATCH($B564,智能流水!$B$2:$B$1001,0)),""))</f>
        <v/>
      </c>
      <c r="O564" s="19">
        <f>IF($B564="","",IFERROR(INDEX(智能流水!$O$2:$O$1001,MATCH($B564,智能流水!$B$2:$B$1001,0)),""))</f>
        <v/>
      </c>
    </row>
    <row r="565">
      <c r="A565" s="19">
        <f>IF($B565="","",564)</f>
        <v/>
      </c>
      <c r="B565" s="19">
        <f>IFERROR(LARGE(智能流水!$B$2:$B$1001,564),"")</f>
        <v/>
      </c>
      <c r="C565" s="19">
        <f>IF($B565="","",IFERROR(INDEX(智能流水!$C$2:$C$1001,MATCH($B565,智能流水!$B$2:$B$1001,0)),""))</f>
        <v/>
      </c>
      <c r="D565" s="19">
        <f>IF($B565="","",IFERROR(INDEX(智能流水!$D$2:$D$1001,MATCH($B565,智能流水!$B$2:$B$1001,0)),""))</f>
        <v/>
      </c>
      <c r="E565" s="19">
        <f>IF($B565="","",IFERROR(INDEX(智能流水!$E$2:$E$1001,MATCH($B565,智能流水!$B$2:$B$1001,0)),""))</f>
        <v/>
      </c>
      <c r="F565" s="19">
        <f>IF($B565="","",IFERROR(INDEX(智能流水!$F$2:$F$1001,MATCH($B565,智能流水!$B$2:$B$1001,0)),""))</f>
        <v/>
      </c>
      <c r="G565" s="19">
        <f>IF($B565="","",IFERROR(INDEX(智能流水!$G$2:$G$1001,MATCH($B565,智能流水!$B$2:$B$1001,0)),""))</f>
        <v/>
      </c>
      <c r="H565" s="19">
        <f>IF($B565="","",IFERROR(INDEX(智能流水!$H$2:$H$1001,MATCH($B565,智能流水!$B$2:$B$1001,0)),""))</f>
        <v/>
      </c>
      <c r="I565" s="19">
        <f>IF($B565="","",IFERROR(INDEX(智能流水!$I$2:$I$1001,MATCH($B565,智能流水!$B$2:$B$1001,0)),""))</f>
        <v/>
      </c>
      <c r="J565" s="19">
        <f>IF($B565="","",IFERROR(INDEX(智能流水!$J$2:$J$1001,MATCH($B565,智能流水!$B$2:$B$1001,0)),""))</f>
        <v/>
      </c>
      <c r="K565" s="19">
        <f>IF($B565="","",IFERROR(INDEX(智能流水!$K$2:$K$1001,MATCH($B565,智能流水!$B$2:$B$1001,0)),""))</f>
        <v/>
      </c>
      <c r="L565" s="19">
        <f>IF($B565="","",IFERROR(INDEX(智能流水!$L$2:$L$1001,MATCH($B565,智能流水!$B$2:$B$1001,0)),""))</f>
        <v/>
      </c>
      <c r="M565" s="19">
        <f>IF($B565="","",IFERROR(INDEX(智能流水!$M$2:$M$1001,MATCH($B565,智能流水!$B$2:$B$1001,0)),""))</f>
        <v/>
      </c>
      <c r="N565" s="19">
        <f>IF($B565="","",IFERROR(INDEX(智能流水!$N$2:$N$1001,MATCH($B565,智能流水!$B$2:$B$1001,0)),""))</f>
        <v/>
      </c>
      <c r="O565" s="19">
        <f>IF($B565="","",IFERROR(INDEX(智能流水!$O$2:$O$1001,MATCH($B565,智能流水!$B$2:$B$1001,0)),""))</f>
        <v/>
      </c>
    </row>
    <row r="566">
      <c r="A566" s="19">
        <f>IF($B566="","",565)</f>
        <v/>
      </c>
      <c r="B566" s="19">
        <f>IFERROR(LARGE(智能流水!$B$2:$B$1001,565),"")</f>
        <v/>
      </c>
      <c r="C566" s="19">
        <f>IF($B566="","",IFERROR(INDEX(智能流水!$C$2:$C$1001,MATCH($B566,智能流水!$B$2:$B$1001,0)),""))</f>
        <v/>
      </c>
      <c r="D566" s="19">
        <f>IF($B566="","",IFERROR(INDEX(智能流水!$D$2:$D$1001,MATCH($B566,智能流水!$B$2:$B$1001,0)),""))</f>
        <v/>
      </c>
      <c r="E566" s="19">
        <f>IF($B566="","",IFERROR(INDEX(智能流水!$E$2:$E$1001,MATCH($B566,智能流水!$B$2:$B$1001,0)),""))</f>
        <v/>
      </c>
      <c r="F566" s="19">
        <f>IF($B566="","",IFERROR(INDEX(智能流水!$F$2:$F$1001,MATCH($B566,智能流水!$B$2:$B$1001,0)),""))</f>
        <v/>
      </c>
      <c r="G566" s="19">
        <f>IF($B566="","",IFERROR(INDEX(智能流水!$G$2:$G$1001,MATCH($B566,智能流水!$B$2:$B$1001,0)),""))</f>
        <v/>
      </c>
      <c r="H566" s="19">
        <f>IF($B566="","",IFERROR(INDEX(智能流水!$H$2:$H$1001,MATCH($B566,智能流水!$B$2:$B$1001,0)),""))</f>
        <v/>
      </c>
      <c r="I566" s="19">
        <f>IF($B566="","",IFERROR(INDEX(智能流水!$I$2:$I$1001,MATCH($B566,智能流水!$B$2:$B$1001,0)),""))</f>
        <v/>
      </c>
      <c r="J566" s="19">
        <f>IF($B566="","",IFERROR(INDEX(智能流水!$J$2:$J$1001,MATCH($B566,智能流水!$B$2:$B$1001,0)),""))</f>
        <v/>
      </c>
      <c r="K566" s="19">
        <f>IF($B566="","",IFERROR(INDEX(智能流水!$K$2:$K$1001,MATCH($B566,智能流水!$B$2:$B$1001,0)),""))</f>
        <v/>
      </c>
      <c r="L566" s="19">
        <f>IF($B566="","",IFERROR(INDEX(智能流水!$L$2:$L$1001,MATCH($B566,智能流水!$B$2:$B$1001,0)),""))</f>
        <v/>
      </c>
      <c r="M566" s="19">
        <f>IF($B566="","",IFERROR(INDEX(智能流水!$M$2:$M$1001,MATCH($B566,智能流水!$B$2:$B$1001,0)),""))</f>
        <v/>
      </c>
      <c r="N566" s="19">
        <f>IF($B566="","",IFERROR(INDEX(智能流水!$N$2:$N$1001,MATCH($B566,智能流水!$B$2:$B$1001,0)),""))</f>
        <v/>
      </c>
      <c r="O566" s="19">
        <f>IF($B566="","",IFERROR(INDEX(智能流水!$O$2:$O$1001,MATCH($B566,智能流水!$B$2:$B$1001,0)),""))</f>
        <v/>
      </c>
    </row>
    <row r="567">
      <c r="A567" s="19">
        <f>IF($B567="","",566)</f>
        <v/>
      </c>
      <c r="B567" s="19">
        <f>IFERROR(LARGE(智能流水!$B$2:$B$1001,566),"")</f>
        <v/>
      </c>
      <c r="C567" s="19">
        <f>IF($B567="","",IFERROR(INDEX(智能流水!$C$2:$C$1001,MATCH($B567,智能流水!$B$2:$B$1001,0)),""))</f>
        <v/>
      </c>
      <c r="D567" s="19">
        <f>IF($B567="","",IFERROR(INDEX(智能流水!$D$2:$D$1001,MATCH($B567,智能流水!$B$2:$B$1001,0)),""))</f>
        <v/>
      </c>
      <c r="E567" s="19">
        <f>IF($B567="","",IFERROR(INDEX(智能流水!$E$2:$E$1001,MATCH($B567,智能流水!$B$2:$B$1001,0)),""))</f>
        <v/>
      </c>
      <c r="F567" s="19">
        <f>IF($B567="","",IFERROR(INDEX(智能流水!$F$2:$F$1001,MATCH($B567,智能流水!$B$2:$B$1001,0)),""))</f>
        <v/>
      </c>
      <c r="G567" s="19">
        <f>IF($B567="","",IFERROR(INDEX(智能流水!$G$2:$G$1001,MATCH($B567,智能流水!$B$2:$B$1001,0)),""))</f>
        <v/>
      </c>
      <c r="H567" s="19">
        <f>IF($B567="","",IFERROR(INDEX(智能流水!$H$2:$H$1001,MATCH($B567,智能流水!$B$2:$B$1001,0)),""))</f>
        <v/>
      </c>
      <c r="I567" s="19">
        <f>IF($B567="","",IFERROR(INDEX(智能流水!$I$2:$I$1001,MATCH($B567,智能流水!$B$2:$B$1001,0)),""))</f>
        <v/>
      </c>
      <c r="J567" s="19">
        <f>IF($B567="","",IFERROR(INDEX(智能流水!$J$2:$J$1001,MATCH($B567,智能流水!$B$2:$B$1001,0)),""))</f>
        <v/>
      </c>
      <c r="K567" s="19">
        <f>IF($B567="","",IFERROR(INDEX(智能流水!$K$2:$K$1001,MATCH($B567,智能流水!$B$2:$B$1001,0)),""))</f>
        <v/>
      </c>
      <c r="L567" s="19">
        <f>IF($B567="","",IFERROR(INDEX(智能流水!$L$2:$L$1001,MATCH($B567,智能流水!$B$2:$B$1001,0)),""))</f>
        <v/>
      </c>
      <c r="M567" s="19">
        <f>IF($B567="","",IFERROR(INDEX(智能流水!$M$2:$M$1001,MATCH($B567,智能流水!$B$2:$B$1001,0)),""))</f>
        <v/>
      </c>
      <c r="N567" s="19">
        <f>IF($B567="","",IFERROR(INDEX(智能流水!$N$2:$N$1001,MATCH($B567,智能流水!$B$2:$B$1001,0)),""))</f>
        <v/>
      </c>
      <c r="O567" s="19">
        <f>IF($B567="","",IFERROR(INDEX(智能流水!$O$2:$O$1001,MATCH($B567,智能流水!$B$2:$B$1001,0)),""))</f>
        <v/>
      </c>
    </row>
    <row r="568">
      <c r="A568" s="19">
        <f>IF($B568="","",567)</f>
        <v/>
      </c>
      <c r="B568" s="19">
        <f>IFERROR(LARGE(智能流水!$B$2:$B$1001,567),"")</f>
        <v/>
      </c>
      <c r="C568" s="19">
        <f>IF($B568="","",IFERROR(INDEX(智能流水!$C$2:$C$1001,MATCH($B568,智能流水!$B$2:$B$1001,0)),""))</f>
        <v/>
      </c>
      <c r="D568" s="19">
        <f>IF($B568="","",IFERROR(INDEX(智能流水!$D$2:$D$1001,MATCH($B568,智能流水!$B$2:$B$1001,0)),""))</f>
        <v/>
      </c>
      <c r="E568" s="19">
        <f>IF($B568="","",IFERROR(INDEX(智能流水!$E$2:$E$1001,MATCH($B568,智能流水!$B$2:$B$1001,0)),""))</f>
        <v/>
      </c>
      <c r="F568" s="19">
        <f>IF($B568="","",IFERROR(INDEX(智能流水!$F$2:$F$1001,MATCH($B568,智能流水!$B$2:$B$1001,0)),""))</f>
        <v/>
      </c>
      <c r="G568" s="19">
        <f>IF($B568="","",IFERROR(INDEX(智能流水!$G$2:$G$1001,MATCH($B568,智能流水!$B$2:$B$1001,0)),""))</f>
        <v/>
      </c>
      <c r="H568" s="19">
        <f>IF($B568="","",IFERROR(INDEX(智能流水!$H$2:$H$1001,MATCH($B568,智能流水!$B$2:$B$1001,0)),""))</f>
        <v/>
      </c>
      <c r="I568" s="19">
        <f>IF($B568="","",IFERROR(INDEX(智能流水!$I$2:$I$1001,MATCH($B568,智能流水!$B$2:$B$1001,0)),""))</f>
        <v/>
      </c>
      <c r="J568" s="19">
        <f>IF($B568="","",IFERROR(INDEX(智能流水!$J$2:$J$1001,MATCH($B568,智能流水!$B$2:$B$1001,0)),""))</f>
        <v/>
      </c>
      <c r="K568" s="19">
        <f>IF($B568="","",IFERROR(INDEX(智能流水!$K$2:$K$1001,MATCH($B568,智能流水!$B$2:$B$1001,0)),""))</f>
        <v/>
      </c>
      <c r="L568" s="19">
        <f>IF($B568="","",IFERROR(INDEX(智能流水!$L$2:$L$1001,MATCH($B568,智能流水!$B$2:$B$1001,0)),""))</f>
        <v/>
      </c>
      <c r="M568" s="19">
        <f>IF($B568="","",IFERROR(INDEX(智能流水!$M$2:$M$1001,MATCH($B568,智能流水!$B$2:$B$1001,0)),""))</f>
        <v/>
      </c>
      <c r="N568" s="19">
        <f>IF($B568="","",IFERROR(INDEX(智能流水!$N$2:$N$1001,MATCH($B568,智能流水!$B$2:$B$1001,0)),""))</f>
        <v/>
      </c>
      <c r="O568" s="19">
        <f>IF($B568="","",IFERROR(INDEX(智能流水!$O$2:$O$1001,MATCH($B568,智能流水!$B$2:$B$1001,0)),""))</f>
        <v/>
      </c>
    </row>
    <row r="569">
      <c r="A569" s="19">
        <f>IF($B569="","",568)</f>
        <v/>
      </c>
      <c r="B569" s="19">
        <f>IFERROR(LARGE(智能流水!$B$2:$B$1001,568),"")</f>
        <v/>
      </c>
      <c r="C569" s="19">
        <f>IF($B569="","",IFERROR(INDEX(智能流水!$C$2:$C$1001,MATCH($B569,智能流水!$B$2:$B$1001,0)),""))</f>
        <v/>
      </c>
      <c r="D569" s="19">
        <f>IF($B569="","",IFERROR(INDEX(智能流水!$D$2:$D$1001,MATCH($B569,智能流水!$B$2:$B$1001,0)),""))</f>
        <v/>
      </c>
      <c r="E569" s="19">
        <f>IF($B569="","",IFERROR(INDEX(智能流水!$E$2:$E$1001,MATCH($B569,智能流水!$B$2:$B$1001,0)),""))</f>
        <v/>
      </c>
      <c r="F569" s="19">
        <f>IF($B569="","",IFERROR(INDEX(智能流水!$F$2:$F$1001,MATCH($B569,智能流水!$B$2:$B$1001,0)),""))</f>
        <v/>
      </c>
      <c r="G569" s="19">
        <f>IF($B569="","",IFERROR(INDEX(智能流水!$G$2:$G$1001,MATCH($B569,智能流水!$B$2:$B$1001,0)),""))</f>
        <v/>
      </c>
      <c r="H569" s="19">
        <f>IF($B569="","",IFERROR(INDEX(智能流水!$H$2:$H$1001,MATCH($B569,智能流水!$B$2:$B$1001,0)),""))</f>
        <v/>
      </c>
      <c r="I569" s="19">
        <f>IF($B569="","",IFERROR(INDEX(智能流水!$I$2:$I$1001,MATCH($B569,智能流水!$B$2:$B$1001,0)),""))</f>
        <v/>
      </c>
      <c r="J569" s="19">
        <f>IF($B569="","",IFERROR(INDEX(智能流水!$J$2:$J$1001,MATCH($B569,智能流水!$B$2:$B$1001,0)),""))</f>
        <v/>
      </c>
      <c r="K569" s="19">
        <f>IF($B569="","",IFERROR(INDEX(智能流水!$K$2:$K$1001,MATCH($B569,智能流水!$B$2:$B$1001,0)),""))</f>
        <v/>
      </c>
      <c r="L569" s="19">
        <f>IF($B569="","",IFERROR(INDEX(智能流水!$L$2:$L$1001,MATCH($B569,智能流水!$B$2:$B$1001,0)),""))</f>
        <v/>
      </c>
      <c r="M569" s="19">
        <f>IF($B569="","",IFERROR(INDEX(智能流水!$M$2:$M$1001,MATCH($B569,智能流水!$B$2:$B$1001,0)),""))</f>
        <v/>
      </c>
      <c r="N569" s="19">
        <f>IF($B569="","",IFERROR(INDEX(智能流水!$N$2:$N$1001,MATCH($B569,智能流水!$B$2:$B$1001,0)),""))</f>
        <v/>
      </c>
      <c r="O569" s="19">
        <f>IF($B569="","",IFERROR(INDEX(智能流水!$O$2:$O$1001,MATCH($B569,智能流水!$B$2:$B$1001,0)),""))</f>
        <v/>
      </c>
    </row>
    <row r="570">
      <c r="A570" s="19">
        <f>IF($B570="","",569)</f>
        <v/>
      </c>
      <c r="B570" s="19">
        <f>IFERROR(LARGE(智能流水!$B$2:$B$1001,569),"")</f>
        <v/>
      </c>
      <c r="C570" s="19">
        <f>IF($B570="","",IFERROR(INDEX(智能流水!$C$2:$C$1001,MATCH($B570,智能流水!$B$2:$B$1001,0)),""))</f>
        <v/>
      </c>
      <c r="D570" s="19">
        <f>IF($B570="","",IFERROR(INDEX(智能流水!$D$2:$D$1001,MATCH($B570,智能流水!$B$2:$B$1001,0)),""))</f>
        <v/>
      </c>
      <c r="E570" s="19">
        <f>IF($B570="","",IFERROR(INDEX(智能流水!$E$2:$E$1001,MATCH($B570,智能流水!$B$2:$B$1001,0)),""))</f>
        <v/>
      </c>
      <c r="F570" s="19">
        <f>IF($B570="","",IFERROR(INDEX(智能流水!$F$2:$F$1001,MATCH($B570,智能流水!$B$2:$B$1001,0)),""))</f>
        <v/>
      </c>
      <c r="G570" s="19">
        <f>IF($B570="","",IFERROR(INDEX(智能流水!$G$2:$G$1001,MATCH($B570,智能流水!$B$2:$B$1001,0)),""))</f>
        <v/>
      </c>
      <c r="H570" s="19">
        <f>IF($B570="","",IFERROR(INDEX(智能流水!$H$2:$H$1001,MATCH($B570,智能流水!$B$2:$B$1001,0)),""))</f>
        <v/>
      </c>
      <c r="I570" s="19">
        <f>IF($B570="","",IFERROR(INDEX(智能流水!$I$2:$I$1001,MATCH($B570,智能流水!$B$2:$B$1001,0)),""))</f>
        <v/>
      </c>
      <c r="J570" s="19">
        <f>IF($B570="","",IFERROR(INDEX(智能流水!$J$2:$J$1001,MATCH($B570,智能流水!$B$2:$B$1001,0)),""))</f>
        <v/>
      </c>
      <c r="K570" s="19">
        <f>IF($B570="","",IFERROR(INDEX(智能流水!$K$2:$K$1001,MATCH($B570,智能流水!$B$2:$B$1001,0)),""))</f>
        <v/>
      </c>
      <c r="L570" s="19">
        <f>IF($B570="","",IFERROR(INDEX(智能流水!$L$2:$L$1001,MATCH($B570,智能流水!$B$2:$B$1001,0)),""))</f>
        <v/>
      </c>
      <c r="M570" s="19">
        <f>IF($B570="","",IFERROR(INDEX(智能流水!$M$2:$M$1001,MATCH($B570,智能流水!$B$2:$B$1001,0)),""))</f>
        <v/>
      </c>
      <c r="N570" s="19">
        <f>IF($B570="","",IFERROR(INDEX(智能流水!$N$2:$N$1001,MATCH($B570,智能流水!$B$2:$B$1001,0)),""))</f>
        <v/>
      </c>
      <c r="O570" s="19">
        <f>IF($B570="","",IFERROR(INDEX(智能流水!$O$2:$O$1001,MATCH($B570,智能流水!$B$2:$B$1001,0)),""))</f>
        <v/>
      </c>
    </row>
    <row r="571">
      <c r="A571" s="19">
        <f>IF($B571="","",570)</f>
        <v/>
      </c>
      <c r="B571" s="19">
        <f>IFERROR(LARGE(智能流水!$B$2:$B$1001,570),"")</f>
        <v/>
      </c>
      <c r="C571" s="19">
        <f>IF($B571="","",IFERROR(INDEX(智能流水!$C$2:$C$1001,MATCH($B571,智能流水!$B$2:$B$1001,0)),""))</f>
        <v/>
      </c>
      <c r="D571" s="19">
        <f>IF($B571="","",IFERROR(INDEX(智能流水!$D$2:$D$1001,MATCH($B571,智能流水!$B$2:$B$1001,0)),""))</f>
        <v/>
      </c>
      <c r="E571" s="19">
        <f>IF($B571="","",IFERROR(INDEX(智能流水!$E$2:$E$1001,MATCH($B571,智能流水!$B$2:$B$1001,0)),""))</f>
        <v/>
      </c>
      <c r="F571" s="19">
        <f>IF($B571="","",IFERROR(INDEX(智能流水!$F$2:$F$1001,MATCH($B571,智能流水!$B$2:$B$1001,0)),""))</f>
        <v/>
      </c>
      <c r="G571" s="19">
        <f>IF($B571="","",IFERROR(INDEX(智能流水!$G$2:$G$1001,MATCH($B571,智能流水!$B$2:$B$1001,0)),""))</f>
        <v/>
      </c>
      <c r="H571" s="19">
        <f>IF($B571="","",IFERROR(INDEX(智能流水!$H$2:$H$1001,MATCH($B571,智能流水!$B$2:$B$1001,0)),""))</f>
        <v/>
      </c>
      <c r="I571" s="19">
        <f>IF($B571="","",IFERROR(INDEX(智能流水!$I$2:$I$1001,MATCH($B571,智能流水!$B$2:$B$1001,0)),""))</f>
        <v/>
      </c>
      <c r="J571" s="19">
        <f>IF($B571="","",IFERROR(INDEX(智能流水!$J$2:$J$1001,MATCH($B571,智能流水!$B$2:$B$1001,0)),""))</f>
        <v/>
      </c>
      <c r="K571" s="19">
        <f>IF($B571="","",IFERROR(INDEX(智能流水!$K$2:$K$1001,MATCH($B571,智能流水!$B$2:$B$1001,0)),""))</f>
        <v/>
      </c>
      <c r="L571" s="19">
        <f>IF($B571="","",IFERROR(INDEX(智能流水!$L$2:$L$1001,MATCH($B571,智能流水!$B$2:$B$1001,0)),""))</f>
        <v/>
      </c>
      <c r="M571" s="19">
        <f>IF($B571="","",IFERROR(INDEX(智能流水!$M$2:$M$1001,MATCH($B571,智能流水!$B$2:$B$1001,0)),""))</f>
        <v/>
      </c>
      <c r="N571" s="19">
        <f>IF($B571="","",IFERROR(INDEX(智能流水!$N$2:$N$1001,MATCH($B571,智能流水!$B$2:$B$1001,0)),""))</f>
        <v/>
      </c>
      <c r="O571" s="19">
        <f>IF($B571="","",IFERROR(INDEX(智能流水!$O$2:$O$1001,MATCH($B571,智能流水!$B$2:$B$1001,0)),""))</f>
        <v/>
      </c>
    </row>
    <row r="572">
      <c r="A572" s="19">
        <f>IF($B572="","",571)</f>
        <v/>
      </c>
      <c r="B572" s="19">
        <f>IFERROR(LARGE(智能流水!$B$2:$B$1001,571),"")</f>
        <v/>
      </c>
      <c r="C572" s="19">
        <f>IF($B572="","",IFERROR(INDEX(智能流水!$C$2:$C$1001,MATCH($B572,智能流水!$B$2:$B$1001,0)),""))</f>
        <v/>
      </c>
      <c r="D572" s="19">
        <f>IF($B572="","",IFERROR(INDEX(智能流水!$D$2:$D$1001,MATCH($B572,智能流水!$B$2:$B$1001,0)),""))</f>
        <v/>
      </c>
      <c r="E572" s="19">
        <f>IF($B572="","",IFERROR(INDEX(智能流水!$E$2:$E$1001,MATCH($B572,智能流水!$B$2:$B$1001,0)),""))</f>
        <v/>
      </c>
      <c r="F572" s="19">
        <f>IF($B572="","",IFERROR(INDEX(智能流水!$F$2:$F$1001,MATCH($B572,智能流水!$B$2:$B$1001,0)),""))</f>
        <v/>
      </c>
      <c r="G572" s="19">
        <f>IF($B572="","",IFERROR(INDEX(智能流水!$G$2:$G$1001,MATCH($B572,智能流水!$B$2:$B$1001,0)),""))</f>
        <v/>
      </c>
      <c r="H572" s="19">
        <f>IF($B572="","",IFERROR(INDEX(智能流水!$H$2:$H$1001,MATCH($B572,智能流水!$B$2:$B$1001,0)),""))</f>
        <v/>
      </c>
      <c r="I572" s="19">
        <f>IF($B572="","",IFERROR(INDEX(智能流水!$I$2:$I$1001,MATCH($B572,智能流水!$B$2:$B$1001,0)),""))</f>
        <v/>
      </c>
      <c r="J572" s="19">
        <f>IF($B572="","",IFERROR(INDEX(智能流水!$J$2:$J$1001,MATCH($B572,智能流水!$B$2:$B$1001,0)),""))</f>
        <v/>
      </c>
      <c r="K572" s="19">
        <f>IF($B572="","",IFERROR(INDEX(智能流水!$K$2:$K$1001,MATCH($B572,智能流水!$B$2:$B$1001,0)),""))</f>
        <v/>
      </c>
      <c r="L572" s="19">
        <f>IF($B572="","",IFERROR(INDEX(智能流水!$L$2:$L$1001,MATCH($B572,智能流水!$B$2:$B$1001,0)),""))</f>
        <v/>
      </c>
      <c r="M572" s="19">
        <f>IF($B572="","",IFERROR(INDEX(智能流水!$M$2:$M$1001,MATCH($B572,智能流水!$B$2:$B$1001,0)),""))</f>
        <v/>
      </c>
      <c r="N572" s="19">
        <f>IF($B572="","",IFERROR(INDEX(智能流水!$N$2:$N$1001,MATCH($B572,智能流水!$B$2:$B$1001,0)),""))</f>
        <v/>
      </c>
      <c r="O572" s="19">
        <f>IF($B572="","",IFERROR(INDEX(智能流水!$O$2:$O$1001,MATCH($B572,智能流水!$B$2:$B$1001,0)),""))</f>
        <v/>
      </c>
    </row>
    <row r="573">
      <c r="A573" s="19">
        <f>IF($B573="","",572)</f>
        <v/>
      </c>
      <c r="B573" s="19">
        <f>IFERROR(LARGE(智能流水!$B$2:$B$1001,572),"")</f>
        <v/>
      </c>
      <c r="C573" s="19">
        <f>IF($B573="","",IFERROR(INDEX(智能流水!$C$2:$C$1001,MATCH($B573,智能流水!$B$2:$B$1001,0)),""))</f>
        <v/>
      </c>
      <c r="D573" s="19">
        <f>IF($B573="","",IFERROR(INDEX(智能流水!$D$2:$D$1001,MATCH($B573,智能流水!$B$2:$B$1001,0)),""))</f>
        <v/>
      </c>
      <c r="E573" s="19">
        <f>IF($B573="","",IFERROR(INDEX(智能流水!$E$2:$E$1001,MATCH($B573,智能流水!$B$2:$B$1001,0)),""))</f>
        <v/>
      </c>
      <c r="F573" s="19">
        <f>IF($B573="","",IFERROR(INDEX(智能流水!$F$2:$F$1001,MATCH($B573,智能流水!$B$2:$B$1001,0)),""))</f>
        <v/>
      </c>
      <c r="G573" s="19">
        <f>IF($B573="","",IFERROR(INDEX(智能流水!$G$2:$G$1001,MATCH($B573,智能流水!$B$2:$B$1001,0)),""))</f>
        <v/>
      </c>
      <c r="H573" s="19">
        <f>IF($B573="","",IFERROR(INDEX(智能流水!$H$2:$H$1001,MATCH($B573,智能流水!$B$2:$B$1001,0)),""))</f>
        <v/>
      </c>
      <c r="I573" s="19">
        <f>IF($B573="","",IFERROR(INDEX(智能流水!$I$2:$I$1001,MATCH($B573,智能流水!$B$2:$B$1001,0)),""))</f>
        <v/>
      </c>
      <c r="J573" s="19">
        <f>IF($B573="","",IFERROR(INDEX(智能流水!$J$2:$J$1001,MATCH($B573,智能流水!$B$2:$B$1001,0)),""))</f>
        <v/>
      </c>
      <c r="K573" s="19">
        <f>IF($B573="","",IFERROR(INDEX(智能流水!$K$2:$K$1001,MATCH($B573,智能流水!$B$2:$B$1001,0)),""))</f>
        <v/>
      </c>
      <c r="L573" s="19">
        <f>IF($B573="","",IFERROR(INDEX(智能流水!$L$2:$L$1001,MATCH($B573,智能流水!$B$2:$B$1001,0)),""))</f>
        <v/>
      </c>
      <c r="M573" s="19">
        <f>IF($B573="","",IFERROR(INDEX(智能流水!$M$2:$M$1001,MATCH($B573,智能流水!$B$2:$B$1001,0)),""))</f>
        <v/>
      </c>
      <c r="N573" s="19">
        <f>IF($B573="","",IFERROR(INDEX(智能流水!$N$2:$N$1001,MATCH($B573,智能流水!$B$2:$B$1001,0)),""))</f>
        <v/>
      </c>
      <c r="O573" s="19">
        <f>IF($B573="","",IFERROR(INDEX(智能流水!$O$2:$O$1001,MATCH($B573,智能流水!$B$2:$B$1001,0)),""))</f>
        <v/>
      </c>
    </row>
    <row r="574">
      <c r="A574" s="19">
        <f>IF($B574="","",573)</f>
        <v/>
      </c>
      <c r="B574" s="19">
        <f>IFERROR(LARGE(智能流水!$B$2:$B$1001,573),"")</f>
        <v/>
      </c>
      <c r="C574" s="19">
        <f>IF($B574="","",IFERROR(INDEX(智能流水!$C$2:$C$1001,MATCH($B574,智能流水!$B$2:$B$1001,0)),""))</f>
        <v/>
      </c>
      <c r="D574" s="19">
        <f>IF($B574="","",IFERROR(INDEX(智能流水!$D$2:$D$1001,MATCH($B574,智能流水!$B$2:$B$1001,0)),""))</f>
        <v/>
      </c>
      <c r="E574" s="19">
        <f>IF($B574="","",IFERROR(INDEX(智能流水!$E$2:$E$1001,MATCH($B574,智能流水!$B$2:$B$1001,0)),""))</f>
        <v/>
      </c>
      <c r="F574" s="19">
        <f>IF($B574="","",IFERROR(INDEX(智能流水!$F$2:$F$1001,MATCH($B574,智能流水!$B$2:$B$1001,0)),""))</f>
        <v/>
      </c>
      <c r="G574" s="19">
        <f>IF($B574="","",IFERROR(INDEX(智能流水!$G$2:$G$1001,MATCH($B574,智能流水!$B$2:$B$1001,0)),""))</f>
        <v/>
      </c>
      <c r="H574" s="19">
        <f>IF($B574="","",IFERROR(INDEX(智能流水!$H$2:$H$1001,MATCH($B574,智能流水!$B$2:$B$1001,0)),""))</f>
        <v/>
      </c>
      <c r="I574" s="19">
        <f>IF($B574="","",IFERROR(INDEX(智能流水!$I$2:$I$1001,MATCH($B574,智能流水!$B$2:$B$1001,0)),""))</f>
        <v/>
      </c>
      <c r="J574" s="19">
        <f>IF($B574="","",IFERROR(INDEX(智能流水!$J$2:$J$1001,MATCH($B574,智能流水!$B$2:$B$1001,0)),""))</f>
        <v/>
      </c>
      <c r="K574" s="19">
        <f>IF($B574="","",IFERROR(INDEX(智能流水!$K$2:$K$1001,MATCH($B574,智能流水!$B$2:$B$1001,0)),""))</f>
        <v/>
      </c>
      <c r="L574" s="19">
        <f>IF($B574="","",IFERROR(INDEX(智能流水!$L$2:$L$1001,MATCH($B574,智能流水!$B$2:$B$1001,0)),""))</f>
        <v/>
      </c>
      <c r="M574" s="19">
        <f>IF($B574="","",IFERROR(INDEX(智能流水!$M$2:$M$1001,MATCH($B574,智能流水!$B$2:$B$1001,0)),""))</f>
        <v/>
      </c>
      <c r="N574" s="19">
        <f>IF($B574="","",IFERROR(INDEX(智能流水!$N$2:$N$1001,MATCH($B574,智能流水!$B$2:$B$1001,0)),""))</f>
        <v/>
      </c>
      <c r="O574" s="19">
        <f>IF($B574="","",IFERROR(INDEX(智能流水!$O$2:$O$1001,MATCH($B574,智能流水!$B$2:$B$1001,0)),""))</f>
        <v/>
      </c>
    </row>
    <row r="575">
      <c r="A575" s="19">
        <f>IF($B575="","",574)</f>
        <v/>
      </c>
      <c r="B575" s="19">
        <f>IFERROR(LARGE(智能流水!$B$2:$B$1001,574),"")</f>
        <v/>
      </c>
      <c r="C575" s="19">
        <f>IF($B575="","",IFERROR(INDEX(智能流水!$C$2:$C$1001,MATCH($B575,智能流水!$B$2:$B$1001,0)),""))</f>
        <v/>
      </c>
      <c r="D575" s="19">
        <f>IF($B575="","",IFERROR(INDEX(智能流水!$D$2:$D$1001,MATCH($B575,智能流水!$B$2:$B$1001,0)),""))</f>
        <v/>
      </c>
      <c r="E575" s="19">
        <f>IF($B575="","",IFERROR(INDEX(智能流水!$E$2:$E$1001,MATCH($B575,智能流水!$B$2:$B$1001,0)),""))</f>
        <v/>
      </c>
      <c r="F575" s="19">
        <f>IF($B575="","",IFERROR(INDEX(智能流水!$F$2:$F$1001,MATCH($B575,智能流水!$B$2:$B$1001,0)),""))</f>
        <v/>
      </c>
      <c r="G575" s="19">
        <f>IF($B575="","",IFERROR(INDEX(智能流水!$G$2:$G$1001,MATCH($B575,智能流水!$B$2:$B$1001,0)),""))</f>
        <v/>
      </c>
      <c r="H575" s="19">
        <f>IF($B575="","",IFERROR(INDEX(智能流水!$H$2:$H$1001,MATCH($B575,智能流水!$B$2:$B$1001,0)),""))</f>
        <v/>
      </c>
      <c r="I575" s="19">
        <f>IF($B575="","",IFERROR(INDEX(智能流水!$I$2:$I$1001,MATCH($B575,智能流水!$B$2:$B$1001,0)),""))</f>
        <v/>
      </c>
      <c r="J575" s="19">
        <f>IF($B575="","",IFERROR(INDEX(智能流水!$J$2:$J$1001,MATCH($B575,智能流水!$B$2:$B$1001,0)),""))</f>
        <v/>
      </c>
      <c r="K575" s="19">
        <f>IF($B575="","",IFERROR(INDEX(智能流水!$K$2:$K$1001,MATCH($B575,智能流水!$B$2:$B$1001,0)),""))</f>
        <v/>
      </c>
      <c r="L575" s="19">
        <f>IF($B575="","",IFERROR(INDEX(智能流水!$L$2:$L$1001,MATCH($B575,智能流水!$B$2:$B$1001,0)),""))</f>
        <v/>
      </c>
      <c r="M575" s="19">
        <f>IF($B575="","",IFERROR(INDEX(智能流水!$M$2:$M$1001,MATCH($B575,智能流水!$B$2:$B$1001,0)),""))</f>
        <v/>
      </c>
      <c r="N575" s="19">
        <f>IF($B575="","",IFERROR(INDEX(智能流水!$N$2:$N$1001,MATCH($B575,智能流水!$B$2:$B$1001,0)),""))</f>
        <v/>
      </c>
      <c r="O575" s="19">
        <f>IF($B575="","",IFERROR(INDEX(智能流水!$O$2:$O$1001,MATCH($B575,智能流水!$B$2:$B$1001,0)),""))</f>
        <v/>
      </c>
    </row>
    <row r="576">
      <c r="A576" s="19">
        <f>IF($B576="","",575)</f>
        <v/>
      </c>
      <c r="B576" s="19">
        <f>IFERROR(LARGE(智能流水!$B$2:$B$1001,575),"")</f>
        <v/>
      </c>
      <c r="C576" s="19">
        <f>IF($B576="","",IFERROR(INDEX(智能流水!$C$2:$C$1001,MATCH($B576,智能流水!$B$2:$B$1001,0)),""))</f>
        <v/>
      </c>
      <c r="D576" s="19">
        <f>IF($B576="","",IFERROR(INDEX(智能流水!$D$2:$D$1001,MATCH($B576,智能流水!$B$2:$B$1001,0)),""))</f>
        <v/>
      </c>
      <c r="E576" s="19">
        <f>IF($B576="","",IFERROR(INDEX(智能流水!$E$2:$E$1001,MATCH($B576,智能流水!$B$2:$B$1001,0)),""))</f>
        <v/>
      </c>
      <c r="F576" s="19">
        <f>IF($B576="","",IFERROR(INDEX(智能流水!$F$2:$F$1001,MATCH($B576,智能流水!$B$2:$B$1001,0)),""))</f>
        <v/>
      </c>
      <c r="G576" s="19">
        <f>IF($B576="","",IFERROR(INDEX(智能流水!$G$2:$G$1001,MATCH($B576,智能流水!$B$2:$B$1001,0)),""))</f>
        <v/>
      </c>
      <c r="H576" s="19">
        <f>IF($B576="","",IFERROR(INDEX(智能流水!$H$2:$H$1001,MATCH($B576,智能流水!$B$2:$B$1001,0)),""))</f>
        <v/>
      </c>
      <c r="I576" s="19">
        <f>IF($B576="","",IFERROR(INDEX(智能流水!$I$2:$I$1001,MATCH($B576,智能流水!$B$2:$B$1001,0)),""))</f>
        <v/>
      </c>
      <c r="J576" s="19">
        <f>IF($B576="","",IFERROR(INDEX(智能流水!$J$2:$J$1001,MATCH($B576,智能流水!$B$2:$B$1001,0)),""))</f>
        <v/>
      </c>
      <c r="K576" s="19">
        <f>IF($B576="","",IFERROR(INDEX(智能流水!$K$2:$K$1001,MATCH($B576,智能流水!$B$2:$B$1001,0)),""))</f>
        <v/>
      </c>
      <c r="L576" s="19">
        <f>IF($B576="","",IFERROR(INDEX(智能流水!$L$2:$L$1001,MATCH($B576,智能流水!$B$2:$B$1001,0)),""))</f>
        <v/>
      </c>
      <c r="M576" s="19">
        <f>IF($B576="","",IFERROR(INDEX(智能流水!$M$2:$M$1001,MATCH($B576,智能流水!$B$2:$B$1001,0)),""))</f>
        <v/>
      </c>
      <c r="N576" s="19">
        <f>IF($B576="","",IFERROR(INDEX(智能流水!$N$2:$N$1001,MATCH($B576,智能流水!$B$2:$B$1001,0)),""))</f>
        <v/>
      </c>
      <c r="O576" s="19">
        <f>IF($B576="","",IFERROR(INDEX(智能流水!$O$2:$O$1001,MATCH($B576,智能流水!$B$2:$B$1001,0)),""))</f>
        <v/>
      </c>
    </row>
    <row r="577">
      <c r="A577" s="19">
        <f>IF($B577="","",576)</f>
        <v/>
      </c>
      <c r="B577" s="19">
        <f>IFERROR(LARGE(智能流水!$B$2:$B$1001,576),"")</f>
        <v/>
      </c>
      <c r="C577" s="19">
        <f>IF($B577="","",IFERROR(INDEX(智能流水!$C$2:$C$1001,MATCH($B577,智能流水!$B$2:$B$1001,0)),""))</f>
        <v/>
      </c>
      <c r="D577" s="19">
        <f>IF($B577="","",IFERROR(INDEX(智能流水!$D$2:$D$1001,MATCH($B577,智能流水!$B$2:$B$1001,0)),""))</f>
        <v/>
      </c>
      <c r="E577" s="19">
        <f>IF($B577="","",IFERROR(INDEX(智能流水!$E$2:$E$1001,MATCH($B577,智能流水!$B$2:$B$1001,0)),""))</f>
        <v/>
      </c>
      <c r="F577" s="19">
        <f>IF($B577="","",IFERROR(INDEX(智能流水!$F$2:$F$1001,MATCH($B577,智能流水!$B$2:$B$1001,0)),""))</f>
        <v/>
      </c>
      <c r="G577" s="19">
        <f>IF($B577="","",IFERROR(INDEX(智能流水!$G$2:$G$1001,MATCH($B577,智能流水!$B$2:$B$1001,0)),""))</f>
        <v/>
      </c>
      <c r="H577" s="19">
        <f>IF($B577="","",IFERROR(INDEX(智能流水!$H$2:$H$1001,MATCH($B577,智能流水!$B$2:$B$1001,0)),""))</f>
        <v/>
      </c>
      <c r="I577" s="19">
        <f>IF($B577="","",IFERROR(INDEX(智能流水!$I$2:$I$1001,MATCH($B577,智能流水!$B$2:$B$1001,0)),""))</f>
        <v/>
      </c>
      <c r="J577" s="19">
        <f>IF($B577="","",IFERROR(INDEX(智能流水!$J$2:$J$1001,MATCH($B577,智能流水!$B$2:$B$1001,0)),""))</f>
        <v/>
      </c>
      <c r="K577" s="19">
        <f>IF($B577="","",IFERROR(INDEX(智能流水!$K$2:$K$1001,MATCH($B577,智能流水!$B$2:$B$1001,0)),""))</f>
        <v/>
      </c>
      <c r="L577" s="19">
        <f>IF($B577="","",IFERROR(INDEX(智能流水!$L$2:$L$1001,MATCH($B577,智能流水!$B$2:$B$1001,0)),""))</f>
        <v/>
      </c>
      <c r="M577" s="19">
        <f>IF($B577="","",IFERROR(INDEX(智能流水!$M$2:$M$1001,MATCH($B577,智能流水!$B$2:$B$1001,0)),""))</f>
        <v/>
      </c>
      <c r="N577" s="19">
        <f>IF($B577="","",IFERROR(INDEX(智能流水!$N$2:$N$1001,MATCH($B577,智能流水!$B$2:$B$1001,0)),""))</f>
        <v/>
      </c>
      <c r="O577" s="19">
        <f>IF($B577="","",IFERROR(INDEX(智能流水!$O$2:$O$1001,MATCH($B577,智能流水!$B$2:$B$1001,0)),""))</f>
        <v/>
      </c>
    </row>
    <row r="578">
      <c r="A578" s="19">
        <f>IF($B578="","",577)</f>
        <v/>
      </c>
      <c r="B578" s="19">
        <f>IFERROR(LARGE(智能流水!$B$2:$B$1001,577),"")</f>
        <v/>
      </c>
      <c r="C578" s="19">
        <f>IF($B578="","",IFERROR(INDEX(智能流水!$C$2:$C$1001,MATCH($B578,智能流水!$B$2:$B$1001,0)),""))</f>
        <v/>
      </c>
      <c r="D578" s="19">
        <f>IF($B578="","",IFERROR(INDEX(智能流水!$D$2:$D$1001,MATCH($B578,智能流水!$B$2:$B$1001,0)),""))</f>
        <v/>
      </c>
      <c r="E578" s="19">
        <f>IF($B578="","",IFERROR(INDEX(智能流水!$E$2:$E$1001,MATCH($B578,智能流水!$B$2:$B$1001,0)),""))</f>
        <v/>
      </c>
      <c r="F578" s="19">
        <f>IF($B578="","",IFERROR(INDEX(智能流水!$F$2:$F$1001,MATCH($B578,智能流水!$B$2:$B$1001,0)),""))</f>
        <v/>
      </c>
      <c r="G578" s="19">
        <f>IF($B578="","",IFERROR(INDEX(智能流水!$G$2:$G$1001,MATCH($B578,智能流水!$B$2:$B$1001,0)),""))</f>
        <v/>
      </c>
      <c r="H578" s="19">
        <f>IF($B578="","",IFERROR(INDEX(智能流水!$H$2:$H$1001,MATCH($B578,智能流水!$B$2:$B$1001,0)),""))</f>
        <v/>
      </c>
      <c r="I578" s="19">
        <f>IF($B578="","",IFERROR(INDEX(智能流水!$I$2:$I$1001,MATCH($B578,智能流水!$B$2:$B$1001,0)),""))</f>
        <v/>
      </c>
      <c r="J578" s="19">
        <f>IF($B578="","",IFERROR(INDEX(智能流水!$J$2:$J$1001,MATCH($B578,智能流水!$B$2:$B$1001,0)),""))</f>
        <v/>
      </c>
      <c r="K578" s="19">
        <f>IF($B578="","",IFERROR(INDEX(智能流水!$K$2:$K$1001,MATCH($B578,智能流水!$B$2:$B$1001,0)),""))</f>
        <v/>
      </c>
      <c r="L578" s="19">
        <f>IF($B578="","",IFERROR(INDEX(智能流水!$L$2:$L$1001,MATCH($B578,智能流水!$B$2:$B$1001,0)),""))</f>
        <v/>
      </c>
      <c r="M578" s="19">
        <f>IF($B578="","",IFERROR(INDEX(智能流水!$M$2:$M$1001,MATCH($B578,智能流水!$B$2:$B$1001,0)),""))</f>
        <v/>
      </c>
      <c r="N578" s="19">
        <f>IF($B578="","",IFERROR(INDEX(智能流水!$N$2:$N$1001,MATCH($B578,智能流水!$B$2:$B$1001,0)),""))</f>
        <v/>
      </c>
      <c r="O578" s="19">
        <f>IF($B578="","",IFERROR(INDEX(智能流水!$O$2:$O$1001,MATCH($B578,智能流水!$B$2:$B$1001,0)),""))</f>
        <v/>
      </c>
    </row>
    <row r="579">
      <c r="A579" s="19">
        <f>IF($B579="","",578)</f>
        <v/>
      </c>
      <c r="B579" s="19">
        <f>IFERROR(LARGE(智能流水!$B$2:$B$1001,578),"")</f>
        <v/>
      </c>
      <c r="C579" s="19">
        <f>IF($B579="","",IFERROR(INDEX(智能流水!$C$2:$C$1001,MATCH($B579,智能流水!$B$2:$B$1001,0)),""))</f>
        <v/>
      </c>
      <c r="D579" s="19">
        <f>IF($B579="","",IFERROR(INDEX(智能流水!$D$2:$D$1001,MATCH($B579,智能流水!$B$2:$B$1001,0)),""))</f>
        <v/>
      </c>
      <c r="E579" s="19">
        <f>IF($B579="","",IFERROR(INDEX(智能流水!$E$2:$E$1001,MATCH($B579,智能流水!$B$2:$B$1001,0)),""))</f>
        <v/>
      </c>
      <c r="F579" s="19">
        <f>IF($B579="","",IFERROR(INDEX(智能流水!$F$2:$F$1001,MATCH($B579,智能流水!$B$2:$B$1001,0)),""))</f>
        <v/>
      </c>
      <c r="G579" s="19">
        <f>IF($B579="","",IFERROR(INDEX(智能流水!$G$2:$G$1001,MATCH($B579,智能流水!$B$2:$B$1001,0)),""))</f>
        <v/>
      </c>
      <c r="H579" s="19">
        <f>IF($B579="","",IFERROR(INDEX(智能流水!$H$2:$H$1001,MATCH($B579,智能流水!$B$2:$B$1001,0)),""))</f>
        <v/>
      </c>
      <c r="I579" s="19">
        <f>IF($B579="","",IFERROR(INDEX(智能流水!$I$2:$I$1001,MATCH($B579,智能流水!$B$2:$B$1001,0)),""))</f>
        <v/>
      </c>
      <c r="J579" s="19">
        <f>IF($B579="","",IFERROR(INDEX(智能流水!$J$2:$J$1001,MATCH($B579,智能流水!$B$2:$B$1001,0)),""))</f>
        <v/>
      </c>
      <c r="K579" s="19">
        <f>IF($B579="","",IFERROR(INDEX(智能流水!$K$2:$K$1001,MATCH($B579,智能流水!$B$2:$B$1001,0)),""))</f>
        <v/>
      </c>
      <c r="L579" s="19">
        <f>IF($B579="","",IFERROR(INDEX(智能流水!$L$2:$L$1001,MATCH($B579,智能流水!$B$2:$B$1001,0)),""))</f>
        <v/>
      </c>
      <c r="M579" s="19">
        <f>IF($B579="","",IFERROR(INDEX(智能流水!$M$2:$M$1001,MATCH($B579,智能流水!$B$2:$B$1001,0)),""))</f>
        <v/>
      </c>
      <c r="N579" s="19">
        <f>IF($B579="","",IFERROR(INDEX(智能流水!$N$2:$N$1001,MATCH($B579,智能流水!$B$2:$B$1001,0)),""))</f>
        <v/>
      </c>
      <c r="O579" s="19">
        <f>IF($B579="","",IFERROR(INDEX(智能流水!$O$2:$O$1001,MATCH($B579,智能流水!$B$2:$B$1001,0)),""))</f>
        <v/>
      </c>
    </row>
    <row r="580">
      <c r="A580" s="19">
        <f>IF($B580="","",579)</f>
        <v/>
      </c>
      <c r="B580" s="19">
        <f>IFERROR(LARGE(智能流水!$B$2:$B$1001,579),"")</f>
        <v/>
      </c>
      <c r="C580" s="19">
        <f>IF($B580="","",IFERROR(INDEX(智能流水!$C$2:$C$1001,MATCH($B580,智能流水!$B$2:$B$1001,0)),""))</f>
        <v/>
      </c>
      <c r="D580" s="19">
        <f>IF($B580="","",IFERROR(INDEX(智能流水!$D$2:$D$1001,MATCH($B580,智能流水!$B$2:$B$1001,0)),""))</f>
        <v/>
      </c>
      <c r="E580" s="19">
        <f>IF($B580="","",IFERROR(INDEX(智能流水!$E$2:$E$1001,MATCH($B580,智能流水!$B$2:$B$1001,0)),""))</f>
        <v/>
      </c>
      <c r="F580" s="19">
        <f>IF($B580="","",IFERROR(INDEX(智能流水!$F$2:$F$1001,MATCH($B580,智能流水!$B$2:$B$1001,0)),""))</f>
        <v/>
      </c>
      <c r="G580" s="19">
        <f>IF($B580="","",IFERROR(INDEX(智能流水!$G$2:$G$1001,MATCH($B580,智能流水!$B$2:$B$1001,0)),""))</f>
        <v/>
      </c>
      <c r="H580" s="19">
        <f>IF($B580="","",IFERROR(INDEX(智能流水!$H$2:$H$1001,MATCH($B580,智能流水!$B$2:$B$1001,0)),""))</f>
        <v/>
      </c>
      <c r="I580" s="19">
        <f>IF($B580="","",IFERROR(INDEX(智能流水!$I$2:$I$1001,MATCH($B580,智能流水!$B$2:$B$1001,0)),""))</f>
        <v/>
      </c>
      <c r="J580" s="19">
        <f>IF($B580="","",IFERROR(INDEX(智能流水!$J$2:$J$1001,MATCH($B580,智能流水!$B$2:$B$1001,0)),""))</f>
        <v/>
      </c>
      <c r="K580" s="19">
        <f>IF($B580="","",IFERROR(INDEX(智能流水!$K$2:$K$1001,MATCH($B580,智能流水!$B$2:$B$1001,0)),""))</f>
        <v/>
      </c>
      <c r="L580" s="19">
        <f>IF($B580="","",IFERROR(INDEX(智能流水!$L$2:$L$1001,MATCH($B580,智能流水!$B$2:$B$1001,0)),""))</f>
        <v/>
      </c>
      <c r="M580" s="19">
        <f>IF($B580="","",IFERROR(INDEX(智能流水!$M$2:$M$1001,MATCH($B580,智能流水!$B$2:$B$1001,0)),""))</f>
        <v/>
      </c>
      <c r="N580" s="19">
        <f>IF($B580="","",IFERROR(INDEX(智能流水!$N$2:$N$1001,MATCH($B580,智能流水!$B$2:$B$1001,0)),""))</f>
        <v/>
      </c>
      <c r="O580" s="19">
        <f>IF($B580="","",IFERROR(INDEX(智能流水!$O$2:$O$1001,MATCH($B580,智能流水!$B$2:$B$1001,0)),""))</f>
        <v/>
      </c>
    </row>
    <row r="581">
      <c r="A581" s="19">
        <f>IF($B581="","",580)</f>
        <v/>
      </c>
      <c r="B581" s="19">
        <f>IFERROR(LARGE(智能流水!$B$2:$B$1001,580),"")</f>
        <v/>
      </c>
      <c r="C581" s="19">
        <f>IF($B581="","",IFERROR(INDEX(智能流水!$C$2:$C$1001,MATCH($B581,智能流水!$B$2:$B$1001,0)),""))</f>
        <v/>
      </c>
      <c r="D581" s="19">
        <f>IF($B581="","",IFERROR(INDEX(智能流水!$D$2:$D$1001,MATCH($B581,智能流水!$B$2:$B$1001,0)),""))</f>
        <v/>
      </c>
      <c r="E581" s="19">
        <f>IF($B581="","",IFERROR(INDEX(智能流水!$E$2:$E$1001,MATCH($B581,智能流水!$B$2:$B$1001,0)),""))</f>
        <v/>
      </c>
      <c r="F581" s="19">
        <f>IF($B581="","",IFERROR(INDEX(智能流水!$F$2:$F$1001,MATCH($B581,智能流水!$B$2:$B$1001,0)),""))</f>
        <v/>
      </c>
      <c r="G581" s="19">
        <f>IF($B581="","",IFERROR(INDEX(智能流水!$G$2:$G$1001,MATCH($B581,智能流水!$B$2:$B$1001,0)),""))</f>
        <v/>
      </c>
      <c r="H581" s="19">
        <f>IF($B581="","",IFERROR(INDEX(智能流水!$H$2:$H$1001,MATCH($B581,智能流水!$B$2:$B$1001,0)),""))</f>
        <v/>
      </c>
      <c r="I581" s="19">
        <f>IF($B581="","",IFERROR(INDEX(智能流水!$I$2:$I$1001,MATCH($B581,智能流水!$B$2:$B$1001,0)),""))</f>
        <v/>
      </c>
      <c r="J581" s="19">
        <f>IF($B581="","",IFERROR(INDEX(智能流水!$J$2:$J$1001,MATCH($B581,智能流水!$B$2:$B$1001,0)),""))</f>
        <v/>
      </c>
      <c r="K581" s="19">
        <f>IF($B581="","",IFERROR(INDEX(智能流水!$K$2:$K$1001,MATCH($B581,智能流水!$B$2:$B$1001,0)),""))</f>
        <v/>
      </c>
      <c r="L581" s="19">
        <f>IF($B581="","",IFERROR(INDEX(智能流水!$L$2:$L$1001,MATCH($B581,智能流水!$B$2:$B$1001,0)),""))</f>
        <v/>
      </c>
      <c r="M581" s="19">
        <f>IF($B581="","",IFERROR(INDEX(智能流水!$M$2:$M$1001,MATCH($B581,智能流水!$B$2:$B$1001,0)),""))</f>
        <v/>
      </c>
      <c r="N581" s="19">
        <f>IF($B581="","",IFERROR(INDEX(智能流水!$N$2:$N$1001,MATCH($B581,智能流水!$B$2:$B$1001,0)),""))</f>
        <v/>
      </c>
      <c r="O581" s="19">
        <f>IF($B581="","",IFERROR(INDEX(智能流水!$O$2:$O$1001,MATCH($B581,智能流水!$B$2:$B$1001,0)),""))</f>
        <v/>
      </c>
    </row>
    <row r="582">
      <c r="A582" s="19">
        <f>IF($B582="","",581)</f>
        <v/>
      </c>
      <c r="B582" s="19">
        <f>IFERROR(LARGE(智能流水!$B$2:$B$1001,581),"")</f>
        <v/>
      </c>
      <c r="C582" s="19">
        <f>IF($B582="","",IFERROR(INDEX(智能流水!$C$2:$C$1001,MATCH($B582,智能流水!$B$2:$B$1001,0)),""))</f>
        <v/>
      </c>
      <c r="D582" s="19">
        <f>IF($B582="","",IFERROR(INDEX(智能流水!$D$2:$D$1001,MATCH($B582,智能流水!$B$2:$B$1001,0)),""))</f>
        <v/>
      </c>
      <c r="E582" s="19">
        <f>IF($B582="","",IFERROR(INDEX(智能流水!$E$2:$E$1001,MATCH($B582,智能流水!$B$2:$B$1001,0)),""))</f>
        <v/>
      </c>
      <c r="F582" s="19">
        <f>IF($B582="","",IFERROR(INDEX(智能流水!$F$2:$F$1001,MATCH($B582,智能流水!$B$2:$B$1001,0)),""))</f>
        <v/>
      </c>
      <c r="G582" s="19">
        <f>IF($B582="","",IFERROR(INDEX(智能流水!$G$2:$G$1001,MATCH($B582,智能流水!$B$2:$B$1001,0)),""))</f>
        <v/>
      </c>
      <c r="H582" s="19">
        <f>IF($B582="","",IFERROR(INDEX(智能流水!$H$2:$H$1001,MATCH($B582,智能流水!$B$2:$B$1001,0)),""))</f>
        <v/>
      </c>
      <c r="I582" s="19">
        <f>IF($B582="","",IFERROR(INDEX(智能流水!$I$2:$I$1001,MATCH($B582,智能流水!$B$2:$B$1001,0)),""))</f>
        <v/>
      </c>
      <c r="J582" s="19">
        <f>IF($B582="","",IFERROR(INDEX(智能流水!$J$2:$J$1001,MATCH($B582,智能流水!$B$2:$B$1001,0)),""))</f>
        <v/>
      </c>
      <c r="K582" s="19">
        <f>IF($B582="","",IFERROR(INDEX(智能流水!$K$2:$K$1001,MATCH($B582,智能流水!$B$2:$B$1001,0)),""))</f>
        <v/>
      </c>
      <c r="L582" s="19">
        <f>IF($B582="","",IFERROR(INDEX(智能流水!$L$2:$L$1001,MATCH($B582,智能流水!$B$2:$B$1001,0)),""))</f>
        <v/>
      </c>
      <c r="M582" s="19">
        <f>IF($B582="","",IFERROR(INDEX(智能流水!$M$2:$M$1001,MATCH($B582,智能流水!$B$2:$B$1001,0)),""))</f>
        <v/>
      </c>
      <c r="N582" s="19">
        <f>IF($B582="","",IFERROR(INDEX(智能流水!$N$2:$N$1001,MATCH($B582,智能流水!$B$2:$B$1001,0)),""))</f>
        <v/>
      </c>
      <c r="O582" s="19">
        <f>IF($B582="","",IFERROR(INDEX(智能流水!$O$2:$O$1001,MATCH($B582,智能流水!$B$2:$B$1001,0)),""))</f>
        <v/>
      </c>
    </row>
    <row r="583">
      <c r="A583" s="19">
        <f>IF($B583="","",582)</f>
        <v/>
      </c>
      <c r="B583" s="19">
        <f>IFERROR(LARGE(智能流水!$B$2:$B$1001,582),"")</f>
        <v/>
      </c>
      <c r="C583" s="19">
        <f>IF($B583="","",IFERROR(INDEX(智能流水!$C$2:$C$1001,MATCH($B583,智能流水!$B$2:$B$1001,0)),""))</f>
        <v/>
      </c>
      <c r="D583" s="19">
        <f>IF($B583="","",IFERROR(INDEX(智能流水!$D$2:$D$1001,MATCH($B583,智能流水!$B$2:$B$1001,0)),""))</f>
        <v/>
      </c>
      <c r="E583" s="19">
        <f>IF($B583="","",IFERROR(INDEX(智能流水!$E$2:$E$1001,MATCH($B583,智能流水!$B$2:$B$1001,0)),""))</f>
        <v/>
      </c>
      <c r="F583" s="19">
        <f>IF($B583="","",IFERROR(INDEX(智能流水!$F$2:$F$1001,MATCH($B583,智能流水!$B$2:$B$1001,0)),""))</f>
        <v/>
      </c>
      <c r="G583" s="19">
        <f>IF($B583="","",IFERROR(INDEX(智能流水!$G$2:$G$1001,MATCH($B583,智能流水!$B$2:$B$1001,0)),""))</f>
        <v/>
      </c>
      <c r="H583" s="19">
        <f>IF($B583="","",IFERROR(INDEX(智能流水!$H$2:$H$1001,MATCH($B583,智能流水!$B$2:$B$1001,0)),""))</f>
        <v/>
      </c>
      <c r="I583" s="19">
        <f>IF($B583="","",IFERROR(INDEX(智能流水!$I$2:$I$1001,MATCH($B583,智能流水!$B$2:$B$1001,0)),""))</f>
        <v/>
      </c>
      <c r="J583" s="19">
        <f>IF($B583="","",IFERROR(INDEX(智能流水!$J$2:$J$1001,MATCH($B583,智能流水!$B$2:$B$1001,0)),""))</f>
        <v/>
      </c>
      <c r="K583" s="19">
        <f>IF($B583="","",IFERROR(INDEX(智能流水!$K$2:$K$1001,MATCH($B583,智能流水!$B$2:$B$1001,0)),""))</f>
        <v/>
      </c>
      <c r="L583" s="19">
        <f>IF($B583="","",IFERROR(INDEX(智能流水!$L$2:$L$1001,MATCH($B583,智能流水!$B$2:$B$1001,0)),""))</f>
        <v/>
      </c>
      <c r="M583" s="19">
        <f>IF($B583="","",IFERROR(INDEX(智能流水!$M$2:$M$1001,MATCH($B583,智能流水!$B$2:$B$1001,0)),""))</f>
        <v/>
      </c>
      <c r="N583" s="19">
        <f>IF($B583="","",IFERROR(INDEX(智能流水!$N$2:$N$1001,MATCH($B583,智能流水!$B$2:$B$1001,0)),""))</f>
        <v/>
      </c>
      <c r="O583" s="19">
        <f>IF($B583="","",IFERROR(INDEX(智能流水!$O$2:$O$1001,MATCH($B583,智能流水!$B$2:$B$1001,0)),""))</f>
        <v/>
      </c>
    </row>
    <row r="584">
      <c r="A584" s="19">
        <f>IF($B584="","",583)</f>
        <v/>
      </c>
      <c r="B584" s="19">
        <f>IFERROR(LARGE(智能流水!$B$2:$B$1001,583),"")</f>
        <v/>
      </c>
      <c r="C584" s="19">
        <f>IF($B584="","",IFERROR(INDEX(智能流水!$C$2:$C$1001,MATCH($B584,智能流水!$B$2:$B$1001,0)),""))</f>
        <v/>
      </c>
      <c r="D584" s="19">
        <f>IF($B584="","",IFERROR(INDEX(智能流水!$D$2:$D$1001,MATCH($B584,智能流水!$B$2:$B$1001,0)),""))</f>
        <v/>
      </c>
      <c r="E584" s="19">
        <f>IF($B584="","",IFERROR(INDEX(智能流水!$E$2:$E$1001,MATCH($B584,智能流水!$B$2:$B$1001,0)),""))</f>
        <v/>
      </c>
      <c r="F584" s="19">
        <f>IF($B584="","",IFERROR(INDEX(智能流水!$F$2:$F$1001,MATCH($B584,智能流水!$B$2:$B$1001,0)),""))</f>
        <v/>
      </c>
      <c r="G584" s="19">
        <f>IF($B584="","",IFERROR(INDEX(智能流水!$G$2:$G$1001,MATCH($B584,智能流水!$B$2:$B$1001,0)),""))</f>
        <v/>
      </c>
      <c r="H584" s="19">
        <f>IF($B584="","",IFERROR(INDEX(智能流水!$H$2:$H$1001,MATCH($B584,智能流水!$B$2:$B$1001,0)),""))</f>
        <v/>
      </c>
      <c r="I584" s="19">
        <f>IF($B584="","",IFERROR(INDEX(智能流水!$I$2:$I$1001,MATCH($B584,智能流水!$B$2:$B$1001,0)),""))</f>
        <v/>
      </c>
      <c r="J584" s="19">
        <f>IF($B584="","",IFERROR(INDEX(智能流水!$J$2:$J$1001,MATCH($B584,智能流水!$B$2:$B$1001,0)),""))</f>
        <v/>
      </c>
      <c r="K584" s="19">
        <f>IF($B584="","",IFERROR(INDEX(智能流水!$K$2:$K$1001,MATCH($B584,智能流水!$B$2:$B$1001,0)),""))</f>
        <v/>
      </c>
      <c r="L584" s="19">
        <f>IF($B584="","",IFERROR(INDEX(智能流水!$L$2:$L$1001,MATCH($B584,智能流水!$B$2:$B$1001,0)),""))</f>
        <v/>
      </c>
      <c r="M584" s="19">
        <f>IF($B584="","",IFERROR(INDEX(智能流水!$M$2:$M$1001,MATCH($B584,智能流水!$B$2:$B$1001,0)),""))</f>
        <v/>
      </c>
      <c r="N584" s="19">
        <f>IF($B584="","",IFERROR(INDEX(智能流水!$N$2:$N$1001,MATCH($B584,智能流水!$B$2:$B$1001,0)),""))</f>
        <v/>
      </c>
      <c r="O584" s="19">
        <f>IF($B584="","",IFERROR(INDEX(智能流水!$O$2:$O$1001,MATCH($B584,智能流水!$B$2:$B$1001,0)),""))</f>
        <v/>
      </c>
    </row>
    <row r="585">
      <c r="A585" s="19">
        <f>IF($B585="","",584)</f>
        <v/>
      </c>
      <c r="B585" s="19">
        <f>IFERROR(LARGE(智能流水!$B$2:$B$1001,584),"")</f>
        <v/>
      </c>
      <c r="C585" s="19">
        <f>IF($B585="","",IFERROR(INDEX(智能流水!$C$2:$C$1001,MATCH($B585,智能流水!$B$2:$B$1001,0)),""))</f>
        <v/>
      </c>
      <c r="D585" s="19">
        <f>IF($B585="","",IFERROR(INDEX(智能流水!$D$2:$D$1001,MATCH($B585,智能流水!$B$2:$B$1001,0)),""))</f>
        <v/>
      </c>
      <c r="E585" s="19">
        <f>IF($B585="","",IFERROR(INDEX(智能流水!$E$2:$E$1001,MATCH($B585,智能流水!$B$2:$B$1001,0)),""))</f>
        <v/>
      </c>
      <c r="F585" s="19">
        <f>IF($B585="","",IFERROR(INDEX(智能流水!$F$2:$F$1001,MATCH($B585,智能流水!$B$2:$B$1001,0)),""))</f>
        <v/>
      </c>
      <c r="G585" s="19">
        <f>IF($B585="","",IFERROR(INDEX(智能流水!$G$2:$G$1001,MATCH($B585,智能流水!$B$2:$B$1001,0)),""))</f>
        <v/>
      </c>
      <c r="H585" s="19">
        <f>IF($B585="","",IFERROR(INDEX(智能流水!$H$2:$H$1001,MATCH($B585,智能流水!$B$2:$B$1001,0)),""))</f>
        <v/>
      </c>
      <c r="I585" s="19">
        <f>IF($B585="","",IFERROR(INDEX(智能流水!$I$2:$I$1001,MATCH($B585,智能流水!$B$2:$B$1001,0)),""))</f>
        <v/>
      </c>
      <c r="J585" s="19">
        <f>IF($B585="","",IFERROR(INDEX(智能流水!$J$2:$J$1001,MATCH($B585,智能流水!$B$2:$B$1001,0)),""))</f>
        <v/>
      </c>
      <c r="K585" s="19">
        <f>IF($B585="","",IFERROR(INDEX(智能流水!$K$2:$K$1001,MATCH($B585,智能流水!$B$2:$B$1001,0)),""))</f>
        <v/>
      </c>
      <c r="L585" s="19">
        <f>IF($B585="","",IFERROR(INDEX(智能流水!$L$2:$L$1001,MATCH($B585,智能流水!$B$2:$B$1001,0)),""))</f>
        <v/>
      </c>
      <c r="M585" s="19">
        <f>IF($B585="","",IFERROR(INDEX(智能流水!$M$2:$M$1001,MATCH($B585,智能流水!$B$2:$B$1001,0)),""))</f>
        <v/>
      </c>
      <c r="N585" s="19">
        <f>IF($B585="","",IFERROR(INDEX(智能流水!$N$2:$N$1001,MATCH($B585,智能流水!$B$2:$B$1001,0)),""))</f>
        <v/>
      </c>
      <c r="O585" s="19">
        <f>IF($B585="","",IFERROR(INDEX(智能流水!$O$2:$O$1001,MATCH($B585,智能流水!$B$2:$B$1001,0)),""))</f>
        <v/>
      </c>
    </row>
    <row r="586">
      <c r="A586" s="19">
        <f>IF($B586="","",585)</f>
        <v/>
      </c>
      <c r="B586" s="19">
        <f>IFERROR(LARGE(智能流水!$B$2:$B$1001,585),"")</f>
        <v/>
      </c>
      <c r="C586" s="19">
        <f>IF($B586="","",IFERROR(INDEX(智能流水!$C$2:$C$1001,MATCH($B586,智能流水!$B$2:$B$1001,0)),""))</f>
        <v/>
      </c>
      <c r="D586" s="19">
        <f>IF($B586="","",IFERROR(INDEX(智能流水!$D$2:$D$1001,MATCH($B586,智能流水!$B$2:$B$1001,0)),""))</f>
        <v/>
      </c>
      <c r="E586" s="19">
        <f>IF($B586="","",IFERROR(INDEX(智能流水!$E$2:$E$1001,MATCH($B586,智能流水!$B$2:$B$1001,0)),""))</f>
        <v/>
      </c>
      <c r="F586" s="19">
        <f>IF($B586="","",IFERROR(INDEX(智能流水!$F$2:$F$1001,MATCH($B586,智能流水!$B$2:$B$1001,0)),""))</f>
        <v/>
      </c>
      <c r="G586" s="19">
        <f>IF($B586="","",IFERROR(INDEX(智能流水!$G$2:$G$1001,MATCH($B586,智能流水!$B$2:$B$1001,0)),""))</f>
        <v/>
      </c>
      <c r="H586" s="19">
        <f>IF($B586="","",IFERROR(INDEX(智能流水!$H$2:$H$1001,MATCH($B586,智能流水!$B$2:$B$1001,0)),""))</f>
        <v/>
      </c>
      <c r="I586" s="19">
        <f>IF($B586="","",IFERROR(INDEX(智能流水!$I$2:$I$1001,MATCH($B586,智能流水!$B$2:$B$1001,0)),""))</f>
        <v/>
      </c>
      <c r="J586" s="19">
        <f>IF($B586="","",IFERROR(INDEX(智能流水!$J$2:$J$1001,MATCH($B586,智能流水!$B$2:$B$1001,0)),""))</f>
        <v/>
      </c>
      <c r="K586" s="19">
        <f>IF($B586="","",IFERROR(INDEX(智能流水!$K$2:$K$1001,MATCH($B586,智能流水!$B$2:$B$1001,0)),""))</f>
        <v/>
      </c>
      <c r="L586" s="19">
        <f>IF($B586="","",IFERROR(INDEX(智能流水!$L$2:$L$1001,MATCH($B586,智能流水!$B$2:$B$1001,0)),""))</f>
        <v/>
      </c>
      <c r="M586" s="19">
        <f>IF($B586="","",IFERROR(INDEX(智能流水!$M$2:$M$1001,MATCH($B586,智能流水!$B$2:$B$1001,0)),""))</f>
        <v/>
      </c>
      <c r="N586" s="19">
        <f>IF($B586="","",IFERROR(INDEX(智能流水!$N$2:$N$1001,MATCH($B586,智能流水!$B$2:$B$1001,0)),""))</f>
        <v/>
      </c>
      <c r="O586" s="19">
        <f>IF($B586="","",IFERROR(INDEX(智能流水!$O$2:$O$1001,MATCH($B586,智能流水!$B$2:$B$1001,0)),""))</f>
        <v/>
      </c>
    </row>
    <row r="587">
      <c r="A587" s="19">
        <f>IF($B587="","",586)</f>
        <v/>
      </c>
      <c r="B587" s="19">
        <f>IFERROR(LARGE(智能流水!$B$2:$B$1001,586),"")</f>
        <v/>
      </c>
      <c r="C587" s="19">
        <f>IF($B587="","",IFERROR(INDEX(智能流水!$C$2:$C$1001,MATCH($B587,智能流水!$B$2:$B$1001,0)),""))</f>
        <v/>
      </c>
      <c r="D587" s="19">
        <f>IF($B587="","",IFERROR(INDEX(智能流水!$D$2:$D$1001,MATCH($B587,智能流水!$B$2:$B$1001,0)),""))</f>
        <v/>
      </c>
      <c r="E587" s="19">
        <f>IF($B587="","",IFERROR(INDEX(智能流水!$E$2:$E$1001,MATCH($B587,智能流水!$B$2:$B$1001,0)),""))</f>
        <v/>
      </c>
      <c r="F587" s="19">
        <f>IF($B587="","",IFERROR(INDEX(智能流水!$F$2:$F$1001,MATCH($B587,智能流水!$B$2:$B$1001,0)),""))</f>
        <v/>
      </c>
      <c r="G587" s="19">
        <f>IF($B587="","",IFERROR(INDEX(智能流水!$G$2:$G$1001,MATCH($B587,智能流水!$B$2:$B$1001,0)),""))</f>
        <v/>
      </c>
      <c r="H587" s="19">
        <f>IF($B587="","",IFERROR(INDEX(智能流水!$H$2:$H$1001,MATCH($B587,智能流水!$B$2:$B$1001,0)),""))</f>
        <v/>
      </c>
      <c r="I587" s="19">
        <f>IF($B587="","",IFERROR(INDEX(智能流水!$I$2:$I$1001,MATCH($B587,智能流水!$B$2:$B$1001,0)),""))</f>
        <v/>
      </c>
      <c r="J587" s="19">
        <f>IF($B587="","",IFERROR(INDEX(智能流水!$J$2:$J$1001,MATCH($B587,智能流水!$B$2:$B$1001,0)),""))</f>
        <v/>
      </c>
      <c r="K587" s="19">
        <f>IF($B587="","",IFERROR(INDEX(智能流水!$K$2:$K$1001,MATCH($B587,智能流水!$B$2:$B$1001,0)),""))</f>
        <v/>
      </c>
      <c r="L587" s="19">
        <f>IF($B587="","",IFERROR(INDEX(智能流水!$L$2:$L$1001,MATCH($B587,智能流水!$B$2:$B$1001,0)),""))</f>
        <v/>
      </c>
      <c r="M587" s="19">
        <f>IF($B587="","",IFERROR(INDEX(智能流水!$M$2:$M$1001,MATCH($B587,智能流水!$B$2:$B$1001,0)),""))</f>
        <v/>
      </c>
      <c r="N587" s="19">
        <f>IF($B587="","",IFERROR(INDEX(智能流水!$N$2:$N$1001,MATCH($B587,智能流水!$B$2:$B$1001,0)),""))</f>
        <v/>
      </c>
      <c r="O587" s="19">
        <f>IF($B587="","",IFERROR(INDEX(智能流水!$O$2:$O$1001,MATCH($B587,智能流水!$B$2:$B$1001,0)),""))</f>
        <v/>
      </c>
    </row>
    <row r="588">
      <c r="A588" s="19">
        <f>IF($B588="","",587)</f>
        <v/>
      </c>
      <c r="B588" s="19">
        <f>IFERROR(LARGE(智能流水!$B$2:$B$1001,587),"")</f>
        <v/>
      </c>
      <c r="C588" s="19">
        <f>IF($B588="","",IFERROR(INDEX(智能流水!$C$2:$C$1001,MATCH($B588,智能流水!$B$2:$B$1001,0)),""))</f>
        <v/>
      </c>
      <c r="D588" s="19">
        <f>IF($B588="","",IFERROR(INDEX(智能流水!$D$2:$D$1001,MATCH($B588,智能流水!$B$2:$B$1001,0)),""))</f>
        <v/>
      </c>
      <c r="E588" s="19">
        <f>IF($B588="","",IFERROR(INDEX(智能流水!$E$2:$E$1001,MATCH($B588,智能流水!$B$2:$B$1001,0)),""))</f>
        <v/>
      </c>
      <c r="F588" s="19">
        <f>IF($B588="","",IFERROR(INDEX(智能流水!$F$2:$F$1001,MATCH($B588,智能流水!$B$2:$B$1001,0)),""))</f>
        <v/>
      </c>
      <c r="G588" s="19">
        <f>IF($B588="","",IFERROR(INDEX(智能流水!$G$2:$G$1001,MATCH($B588,智能流水!$B$2:$B$1001,0)),""))</f>
        <v/>
      </c>
      <c r="H588" s="19">
        <f>IF($B588="","",IFERROR(INDEX(智能流水!$H$2:$H$1001,MATCH($B588,智能流水!$B$2:$B$1001,0)),""))</f>
        <v/>
      </c>
      <c r="I588" s="19">
        <f>IF($B588="","",IFERROR(INDEX(智能流水!$I$2:$I$1001,MATCH($B588,智能流水!$B$2:$B$1001,0)),""))</f>
        <v/>
      </c>
      <c r="J588" s="19">
        <f>IF($B588="","",IFERROR(INDEX(智能流水!$J$2:$J$1001,MATCH($B588,智能流水!$B$2:$B$1001,0)),""))</f>
        <v/>
      </c>
      <c r="K588" s="19">
        <f>IF($B588="","",IFERROR(INDEX(智能流水!$K$2:$K$1001,MATCH($B588,智能流水!$B$2:$B$1001,0)),""))</f>
        <v/>
      </c>
      <c r="L588" s="19">
        <f>IF($B588="","",IFERROR(INDEX(智能流水!$L$2:$L$1001,MATCH($B588,智能流水!$B$2:$B$1001,0)),""))</f>
        <v/>
      </c>
      <c r="M588" s="19">
        <f>IF($B588="","",IFERROR(INDEX(智能流水!$M$2:$M$1001,MATCH($B588,智能流水!$B$2:$B$1001,0)),""))</f>
        <v/>
      </c>
      <c r="N588" s="19">
        <f>IF($B588="","",IFERROR(INDEX(智能流水!$N$2:$N$1001,MATCH($B588,智能流水!$B$2:$B$1001,0)),""))</f>
        <v/>
      </c>
      <c r="O588" s="19">
        <f>IF($B588="","",IFERROR(INDEX(智能流水!$O$2:$O$1001,MATCH($B588,智能流水!$B$2:$B$1001,0)),""))</f>
        <v/>
      </c>
    </row>
    <row r="589">
      <c r="A589" s="19">
        <f>IF($B589="","",588)</f>
        <v/>
      </c>
      <c r="B589" s="19">
        <f>IFERROR(LARGE(智能流水!$B$2:$B$1001,588),"")</f>
        <v/>
      </c>
      <c r="C589" s="19">
        <f>IF($B589="","",IFERROR(INDEX(智能流水!$C$2:$C$1001,MATCH($B589,智能流水!$B$2:$B$1001,0)),""))</f>
        <v/>
      </c>
      <c r="D589" s="19">
        <f>IF($B589="","",IFERROR(INDEX(智能流水!$D$2:$D$1001,MATCH($B589,智能流水!$B$2:$B$1001,0)),""))</f>
        <v/>
      </c>
      <c r="E589" s="19">
        <f>IF($B589="","",IFERROR(INDEX(智能流水!$E$2:$E$1001,MATCH($B589,智能流水!$B$2:$B$1001,0)),""))</f>
        <v/>
      </c>
      <c r="F589" s="19">
        <f>IF($B589="","",IFERROR(INDEX(智能流水!$F$2:$F$1001,MATCH($B589,智能流水!$B$2:$B$1001,0)),""))</f>
        <v/>
      </c>
      <c r="G589" s="19">
        <f>IF($B589="","",IFERROR(INDEX(智能流水!$G$2:$G$1001,MATCH($B589,智能流水!$B$2:$B$1001,0)),""))</f>
        <v/>
      </c>
      <c r="H589" s="19">
        <f>IF($B589="","",IFERROR(INDEX(智能流水!$H$2:$H$1001,MATCH($B589,智能流水!$B$2:$B$1001,0)),""))</f>
        <v/>
      </c>
      <c r="I589" s="19">
        <f>IF($B589="","",IFERROR(INDEX(智能流水!$I$2:$I$1001,MATCH($B589,智能流水!$B$2:$B$1001,0)),""))</f>
        <v/>
      </c>
      <c r="J589" s="19">
        <f>IF($B589="","",IFERROR(INDEX(智能流水!$J$2:$J$1001,MATCH($B589,智能流水!$B$2:$B$1001,0)),""))</f>
        <v/>
      </c>
      <c r="K589" s="19">
        <f>IF($B589="","",IFERROR(INDEX(智能流水!$K$2:$K$1001,MATCH($B589,智能流水!$B$2:$B$1001,0)),""))</f>
        <v/>
      </c>
      <c r="L589" s="19">
        <f>IF($B589="","",IFERROR(INDEX(智能流水!$L$2:$L$1001,MATCH($B589,智能流水!$B$2:$B$1001,0)),""))</f>
        <v/>
      </c>
      <c r="M589" s="19">
        <f>IF($B589="","",IFERROR(INDEX(智能流水!$M$2:$M$1001,MATCH($B589,智能流水!$B$2:$B$1001,0)),""))</f>
        <v/>
      </c>
      <c r="N589" s="19">
        <f>IF($B589="","",IFERROR(INDEX(智能流水!$N$2:$N$1001,MATCH($B589,智能流水!$B$2:$B$1001,0)),""))</f>
        <v/>
      </c>
      <c r="O589" s="19">
        <f>IF($B589="","",IFERROR(INDEX(智能流水!$O$2:$O$1001,MATCH($B589,智能流水!$B$2:$B$1001,0)),""))</f>
        <v/>
      </c>
    </row>
    <row r="590">
      <c r="A590" s="19">
        <f>IF($B590="","",589)</f>
        <v/>
      </c>
      <c r="B590" s="19">
        <f>IFERROR(LARGE(智能流水!$B$2:$B$1001,589),"")</f>
        <v/>
      </c>
      <c r="C590" s="19">
        <f>IF($B590="","",IFERROR(INDEX(智能流水!$C$2:$C$1001,MATCH($B590,智能流水!$B$2:$B$1001,0)),""))</f>
        <v/>
      </c>
      <c r="D590" s="19">
        <f>IF($B590="","",IFERROR(INDEX(智能流水!$D$2:$D$1001,MATCH($B590,智能流水!$B$2:$B$1001,0)),""))</f>
        <v/>
      </c>
      <c r="E590" s="19">
        <f>IF($B590="","",IFERROR(INDEX(智能流水!$E$2:$E$1001,MATCH($B590,智能流水!$B$2:$B$1001,0)),""))</f>
        <v/>
      </c>
      <c r="F590" s="19">
        <f>IF($B590="","",IFERROR(INDEX(智能流水!$F$2:$F$1001,MATCH($B590,智能流水!$B$2:$B$1001,0)),""))</f>
        <v/>
      </c>
      <c r="G590" s="19">
        <f>IF($B590="","",IFERROR(INDEX(智能流水!$G$2:$G$1001,MATCH($B590,智能流水!$B$2:$B$1001,0)),""))</f>
        <v/>
      </c>
      <c r="H590" s="19">
        <f>IF($B590="","",IFERROR(INDEX(智能流水!$H$2:$H$1001,MATCH($B590,智能流水!$B$2:$B$1001,0)),""))</f>
        <v/>
      </c>
      <c r="I590" s="19">
        <f>IF($B590="","",IFERROR(INDEX(智能流水!$I$2:$I$1001,MATCH($B590,智能流水!$B$2:$B$1001,0)),""))</f>
        <v/>
      </c>
      <c r="J590" s="19">
        <f>IF($B590="","",IFERROR(INDEX(智能流水!$J$2:$J$1001,MATCH($B590,智能流水!$B$2:$B$1001,0)),""))</f>
        <v/>
      </c>
      <c r="K590" s="19">
        <f>IF($B590="","",IFERROR(INDEX(智能流水!$K$2:$K$1001,MATCH($B590,智能流水!$B$2:$B$1001,0)),""))</f>
        <v/>
      </c>
      <c r="L590" s="19">
        <f>IF($B590="","",IFERROR(INDEX(智能流水!$L$2:$L$1001,MATCH($B590,智能流水!$B$2:$B$1001,0)),""))</f>
        <v/>
      </c>
      <c r="M590" s="19">
        <f>IF($B590="","",IFERROR(INDEX(智能流水!$M$2:$M$1001,MATCH($B590,智能流水!$B$2:$B$1001,0)),""))</f>
        <v/>
      </c>
      <c r="N590" s="19">
        <f>IF($B590="","",IFERROR(INDEX(智能流水!$N$2:$N$1001,MATCH($B590,智能流水!$B$2:$B$1001,0)),""))</f>
        <v/>
      </c>
      <c r="O590" s="19">
        <f>IF($B590="","",IFERROR(INDEX(智能流水!$O$2:$O$1001,MATCH($B590,智能流水!$B$2:$B$1001,0)),""))</f>
        <v/>
      </c>
    </row>
    <row r="591">
      <c r="A591" s="19">
        <f>IF($B591="","",590)</f>
        <v/>
      </c>
      <c r="B591" s="19">
        <f>IFERROR(LARGE(智能流水!$B$2:$B$1001,590),"")</f>
        <v/>
      </c>
      <c r="C591" s="19">
        <f>IF($B591="","",IFERROR(INDEX(智能流水!$C$2:$C$1001,MATCH($B591,智能流水!$B$2:$B$1001,0)),""))</f>
        <v/>
      </c>
      <c r="D591" s="19">
        <f>IF($B591="","",IFERROR(INDEX(智能流水!$D$2:$D$1001,MATCH($B591,智能流水!$B$2:$B$1001,0)),""))</f>
        <v/>
      </c>
      <c r="E591" s="19">
        <f>IF($B591="","",IFERROR(INDEX(智能流水!$E$2:$E$1001,MATCH($B591,智能流水!$B$2:$B$1001,0)),""))</f>
        <v/>
      </c>
      <c r="F591" s="19">
        <f>IF($B591="","",IFERROR(INDEX(智能流水!$F$2:$F$1001,MATCH($B591,智能流水!$B$2:$B$1001,0)),""))</f>
        <v/>
      </c>
      <c r="G591" s="19">
        <f>IF($B591="","",IFERROR(INDEX(智能流水!$G$2:$G$1001,MATCH($B591,智能流水!$B$2:$B$1001,0)),""))</f>
        <v/>
      </c>
      <c r="H591" s="19">
        <f>IF($B591="","",IFERROR(INDEX(智能流水!$H$2:$H$1001,MATCH($B591,智能流水!$B$2:$B$1001,0)),""))</f>
        <v/>
      </c>
      <c r="I591" s="19">
        <f>IF($B591="","",IFERROR(INDEX(智能流水!$I$2:$I$1001,MATCH($B591,智能流水!$B$2:$B$1001,0)),""))</f>
        <v/>
      </c>
      <c r="J591" s="19">
        <f>IF($B591="","",IFERROR(INDEX(智能流水!$J$2:$J$1001,MATCH($B591,智能流水!$B$2:$B$1001,0)),""))</f>
        <v/>
      </c>
      <c r="K591" s="19">
        <f>IF($B591="","",IFERROR(INDEX(智能流水!$K$2:$K$1001,MATCH($B591,智能流水!$B$2:$B$1001,0)),""))</f>
        <v/>
      </c>
      <c r="L591" s="19">
        <f>IF($B591="","",IFERROR(INDEX(智能流水!$L$2:$L$1001,MATCH($B591,智能流水!$B$2:$B$1001,0)),""))</f>
        <v/>
      </c>
      <c r="M591" s="19">
        <f>IF($B591="","",IFERROR(INDEX(智能流水!$M$2:$M$1001,MATCH($B591,智能流水!$B$2:$B$1001,0)),""))</f>
        <v/>
      </c>
      <c r="N591" s="19">
        <f>IF($B591="","",IFERROR(INDEX(智能流水!$N$2:$N$1001,MATCH($B591,智能流水!$B$2:$B$1001,0)),""))</f>
        <v/>
      </c>
      <c r="O591" s="19">
        <f>IF($B591="","",IFERROR(INDEX(智能流水!$O$2:$O$1001,MATCH($B591,智能流水!$B$2:$B$1001,0)),""))</f>
        <v/>
      </c>
    </row>
    <row r="592">
      <c r="A592" s="19">
        <f>IF($B592="","",591)</f>
        <v/>
      </c>
      <c r="B592" s="19">
        <f>IFERROR(LARGE(智能流水!$B$2:$B$1001,591),"")</f>
        <v/>
      </c>
      <c r="C592" s="19">
        <f>IF($B592="","",IFERROR(INDEX(智能流水!$C$2:$C$1001,MATCH($B592,智能流水!$B$2:$B$1001,0)),""))</f>
        <v/>
      </c>
      <c r="D592" s="19">
        <f>IF($B592="","",IFERROR(INDEX(智能流水!$D$2:$D$1001,MATCH($B592,智能流水!$B$2:$B$1001,0)),""))</f>
        <v/>
      </c>
      <c r="E592" s="19">
        <f>IF($B592="","",IFERROR(INDEX(智能流水!$E$2:$E$1001,MATCH($B592,智能流水!$B$2:$B$1001,0)),""))</f>
        <v/>
      </c>
      <c r="F592" s="19">
        <f>IF($B592="","",IFERROR(INDEX(智能流水!$F$2:$F$1001,MATCH($B592,智能流水!$B$2:$B$1001,0)),""))</f>
        <v/>
      </c>
      <c r="G592" s="19">
        <f>IF($B592="","",IFERROR(INDEX(智能流水!$G$2:$G$1001,MATCH($B592,智能流水!$B$2:$B$1001,0)),""))</f>
        <v/>
      </c>
      <c r="H592" s="19">
        <f>IF($B592="","",IFERROR(INDEX(智能流水!$H$2:$H$1001,MATCH($B592,智能流水!$B$2:$B$1001,0)),""))</f>
        <v/>
      </c>
      <c r="I592" s="19">
        <f>IF($B592="","",IFERROR(INDEX(智能流水!$I$2:$I$1001,MATCH($B592,智能流水!$B$2:$B$1001,0)),""))</f>
        <v/>
      </c>
      <c r="J592" s="19">
        <f>IF($B592="","",IFERROR(INDEX(智能流水!$J$2:$J$1001,MATCH($B592,智能流水!$B$2:$B$1001,0)),""))</f>
        <v/>
      </c>
      <c r="K592" s="19">
        <f>IF($B592="","",IFERROR(INDEX(智能流水!$K$2:$K$1001,MATCH($B592,智能流水!$B$2:$B$1001,0)),""))</f>
        <v/>
      </c>
      <c r="L592" s="19">
        <f>IF($B592="","",IFERROR(INDEX(智能流水!$L$2:$L$1001,MATCH($B592,智能流水!$B$2:$B$1001,0)),""))</f>
        <v/>
      </c>
      <c r="M592" s="19">
        <f>IF($B592="","",IFERROR(INDEX(智能流水!$M$2:$M$1001,MATCH($B592,智能流水!$B$2:$B$1001,0)),""))</f>
        <v/>
      </c>
      <c r="N592" s="19">
        <f>IF($B592="","",IFERROR(INDEX(智能流水!$N$2:$N$1001,MATCH($B592,智能流水!$B$2:$B$1001,0)),""))</f>
        <v/>
      </c>
      <c r="O592" s="19">
        <f>IF($B592="","",IFERROR(INDEX(智能流水!$O$2:$O$1001,MATCH($B592,智能流水!$B$2:$B$1001,0)),""))</f>
        <v/>
      </c>
    </row>
    <row r="593">
      <c r="A593" s="19">
        <f>IF($B593="","",592)</f>
        <v/>
      </c>
      <c r="B593" s="19">
        <f>IFERROR(LARGE(智能流水!$B$2:$B$1001,592),"")</f>
        <v/>
      </c>
      <c r="C593" s="19">
        <f>IF($B593="","",IFERROR(INDEX(智能流水!$C$2:$C$1001,MATCH($B593,智能流水!$B$2:$B$1001,0)),""))</f>
        <v/>
      </c>
      <c r="D593" s="19">
        <f>IF($B593="","",IFERROR(INDEX(智能流水!$D$2:$D$1001,MATCH($B593,智能流水!$B$2:$B$1001,0)),""))</f>
        <v/>
      </c>
      <c r="E593" s="19">
        <f>IF($B593="","",IFERROR(INDEX(智能流水!$E$2:$E$1001,MATCH($B593,智能流水!$B$2:$B$1001,0)),""))</f>
        <v/>
      </c>
      <c r="F593" s="19">
        <f>IF($B593="","",IFERROR(INDEX(智能流水!$F$2:$F$1001,MATCH($B593,智能流水!$B$2:$B$1001,0)),""))</f>
        <v/>
      </c>
      <c r="G593" s="19">
        <f>IF($B593="","",IFERROR(INDEX(智能流水!$G$2:$G$1001,MATCH($B593,智能流水!$B$2:$B$1001,0)),""))</f>
        <v/>
      </c>
      <c r="H593" s="19">
        <f>IF($B593="","",IFERROR(INDEX(智能流水!$H$2:$H$1001,MATCH($B593,智能流水!$B$2:$B$1001,0)),""))</f>
        <v/>
      </c>
      <c r="I593" s="19">
        <f>IF($B593="","",IFERROR(INDEX(智能流水!$I$2:$I$1001,MATCH($B593,智能流水!$B$2:$B$1001,0)),""))</f>
        <v/>
      </c>
      <c r="J593" s="19">
        <f>IF($B593="","",IFERROR(INDEX(智能流水!$J$2:$J$1001,MATCH($B593,智能流水!$B$2:$B$1001,0)),""))</f>
        <v/>
      </c>
      <c r="K593" s="19">
        <f>IF($B593="","",IFERROR(INDEX(智能流水!$K$2:$K$1001,MATCH($B593,智能流水!$B$2:$B$1001,0)),""))</f>
        <v/>
      </c>
      <c r="L593" s="19">
        <f>IF($B593="","",IFERROR(INDEX(智能流水!$L$2:$L$1001,MATCH($B593,智能流水!$B$2:$B$1001,0)),""))</f>
        <v/>
      </c>
      <c r="M593" s="19">
        <f>IF($B593="","",IFERROR(INDEX(智能流水!$M$2:$M$1001,MATCH($B593,智能流水!$B$2:$B$1001,0)),""))</f>
        <v/>
      </c>
      <c r="N593" s="19">
        <f>IF($B593="","",IFERROR(INDEX(智能流水!$N$2:$N$1001,MATCH($B593,智能流水!$B$2:$B$1001,0)),""))</f>
        <v/>
      </c>
      <c r="O593" s="19">
        <f>IF($B593="","",IFERROR(INDEX(智能流水!$O$2:$O$1001,MATCH($B593,智能流水!$B$2:$B$1001,0)),""))</f>
        <v/>
      </c>
    </row>
    <row r="594">
      <c r="A594" s="19">
        <f>IF($B594="","",593)</f>
        <v/>
      </c>
      <c r="B594" s="19">
        <f>IFERROR(LARGE(智能流水!$B$2:$B$1001,593),"")</f>
        <v/>
      </c>
      <c r="C594" s="19">
        <f>IF($B594="","",IFERROR(INDEX(智能流水!$C$2:$C$1001,MATCH($B594,智能流水!$B$2:$B$1001,0)),""))</f>
        <v/>
      </c>
      <c r="D594" s="19">
        <f>IF($B594="","",IFERROR(INDEX(智能流水!$D$2:$D$1001,MATCH($B594,智能流水!$B$2:$B$1001,0)),""))</f>
        <v/>
      </c>
      <c r="E594" s="19">
        <f>IF($B594="","",IFERROR(INDEX(智能流水!$E$2:$E$1001,MATCH($B594,智能流水!$B$2:$B$1001,0)),""))</f>
        <v/>
      </c>
      <c r="F594" s="19">
        <f>IF($B594="","",IFERROR(INDEX(智能流水!$F$2:$F$1001,MATCH($B594,智能流水!$B$2:$B$1001,0)),""))</f>
        <v/>
      </c>
      <c r="G594" s="19">
        <f>IF($B594="","",IFERROR(INDEX(智能流水!$G$2:$G$1001,MATCH($B594,智能流水!$B$2:$B$1001,0)),""))</f>
        <v/>
      </c>
      <c r="H594" s="19">
        <f>IF($B594="","",IFERROR(INDEX(智能流水!$H$2:$H$1001,MATCH($B594,智能流水!$B$2:$B$1001,0)),""))</f>
        <v/>
      </c>
      <c r="I594" s="19">
        <f>IF($B594="","",IFERROR(INDEX(智能流水!$I$2:$I$1001,MATCH($B594,智能流水!$B$2:$B$1001,0)),""))</f>
        <v/>
      </c>
      <c r="J594" s="19">
        <f>IF($B594="","",IFERROR(INDEX(智能流水!$J$2:$J$1001,MATCH($B594,智能流水!$B$2:$B$1001,0)),""))</f>
        <v/>
      </c>
      <c r="K594" s="19">
        <f>IF($B594="","",IFERROR(INDEX(智能流水!$K$2:$K$1001,MATCH($B594,智能流水!$B$2:$B$1001,0)),""))</f>
        <v/>
      </c>
      <c r="L594" s="19">
        <f>IF($B594="","",IFERROR(INDEX(智能流水!$L$2:$L$1001,MATCH($B594,智能流水!$B$2:$B$1001,0)),""))</f>
        <v/>
      </c>
      <c r="M594" s="19">
        <f>IF($B594="","",IFERROR(INDEX(智能流水!$M$2:$M$1001,MATCH($B594,智能流水!$B$2:$B$1001,0)),""))</f>
        <v/>
      </c>
      <c r="N594" s="19">
        <f>IF($B594="","",IFERROR(INDEX(智能流水!$N$2:$N$1001,MATCH($B594,智能流水!$B$2:$B$1001,0)),""))</f>
        <v/>
      </c>
      <c r="O594" s="19">
        <f>IF($B594="","",IFERROR(INDEX(智能流水!$O$2:$O$1001,MATCH($B594,智能流水!$B$2:$B$1001,0)),""))</f>
        <v/>
      </c>
    </row>
    <row r="595">
      <c r="A595" s="19">
        <f>IF($B595="","",594)</f>
        <v/>
      </c>
      <c r="B595" s="19">
        <f>IFERROR(LARGE(智能流水!$B$2:$B$1001,594),"")</f>
        <v/>
      </c>
      <c r="C595" s="19">
        <f>IF($B595="","",IFERROR(INDEX(智能流水!$C$2:$C$1001,MATCH($B595,智能流水!$B$2:$B$1001,0)),""))</f>
        <v/>
      </c>
      <c r="D595" s="19">
        <f>IF($B595="","",IFERROR(INDEX(智能流水!$D$2:$D$1001,MATCH($B595,智能流水!$B$2:$B$1001,0)),""))</f>
        <v/>
      </c>
      <c r="E595" s="19">
        <f>IF($B595="","",IFERROR(INDEX(智能流水!$E$2:$E$1001,MATCH($B595,智能流水!$B$2:$B$1001,0)),""))</f>
        <v/>
      </c>
      <c r="F595" s="19">
        <f>IF($B595="","",IFERROR(INDEX(智能流水!$F$2:$F$1001,MATCH($B595,智能流水!$B$2:$B$1001,0)),""))</f>
        <v/>
      </c>
      <c r="G595" s="19">
        <f>IF($B595="","",IFERROR(INDEX(智能流水!$G$2:$G$1001,MATCH($B595,智能流水!$B$2:$B$1001,0)),""))</f>
        <v/>
      </c>
      <c r="H595" s="19">
        <f>IF($B595="","",IFERROR(INDEX(智能流水!$H$2:$H$1001,MATCH($B595,智能流水!$B$2:$B$1001,0)),""))</f>
        <v/>
      </c>
      <c r="I595" s="19">
        <f>IF($B595="","",IFERROR(INDEX(智能流水!$I$2:$I$1001,MATCH($B595,智能流水!$B$2:$B$1001,0)),""))</f>
        <v/>
      </c>
      <c r="J595" s="19">
        <f>IF($B595="","",IFERROR(INDEX(智能流水!$J$2:$J$1001,MATCH($B595,智能流水!$B$2:$B$1001,0)),""))</f>
        <v/>
      </c>
      <c r="K595" s="19">
        <f>IF($B595="","",IFERROR(INDEX(智能流水!$K$2:$K$1001,MATCH($B595,智能流水!$B$2:$B$1001,0)),""))</f>
        <v/>
      </c>
      <c r="L595" s="19">
        <f>IF($B595="","",IFERROR(INDEX(智能流水!$L$2:$L$1001,MATCH($B595,智能流水!$B$2:$B$1001,0)),""))</f>
        <v/>
      </c>
      <c r="M595" s="19">
        <f>IF($B595="","",IFERROR(INDEX(智能流水!$M$2:$M$1001,MATCH($B595,智能流水!$B$2:$B$1001,0)),""))</f>
        <v/>
      </c>
      <c r="N595" s="19">
        <f>IF($B595="","",IFERROR(INDEX(智能流水!$N$2:$N$1001,MATCH($B595,智能流水!$B$2:$B$1001,0)),""))</f>
        <v/>
      </c>
      <c r="O595" s="19">
        <f>IF($B595="","",IFERROR(INDEX(智能流水!$O$2:$O$1001,MATCH($B595,智能流水!$B$2:$B$1001,0)),""))</f>
        <v/>
      </c>
    </row>
    <row r="596">
      <c r="A596" s="19">
        <f>IF($B596="","",595)</f>
        <v/>
      </c>
      <c r="B596" s="19">
        <f>IFERROR(LARGE(智能流水!$B$2:$B$1001,595),"")</f>
        <v/>
      </c>
      <c r="C596" s="19">
        <f>IF($B596="","",IFERROR(INDEX(智能流水!$C$2:$C$1001,MATCH($B596,智能流水!$B$2:$B$1001,0)),""))</f>
        <v/>
      </c>
      <c r="D596" s="19">
        <f>IF($B596="","",IFERROR(INDEX(智能流水!$D$2:$D$1001,MATCH($B596,智能流水!$B$2:$B$1001,0)),""))</f>
        <v/>
      </c>
      <c r="E596" s="19">
        <f>IF($B596="","",IFERROR(INDEX(智能流水!$E$2:$E$1001,MATCH($B596,智能流水!$B$2:$B$1001,0)),""))</f>
        <v/>
      </c>
      <c r="F596" s="19">
        <f>IF($B596="","",IFERROR(INDEX(智能流水!$F$2:$F$1001,MATCH($B596,智能流水!$B$2:$B$1001,0)),""))</f>
        <v/>
      </c>
      <c r="G596" s="19">
        <f>IF($B596="","",IFERROR(INDEX(智能流水!$G$2:$G$1001,MATCH($B596,智能流水!$B$2:$B$1001,0)),""))</f>
        <v/>
      </c>
      <c r="H596" s="19">
        <f>IF($B596="","",IFERROR(INDEX(智能流水!$H$2:$H$1001,MATCH($B596,智能流水!$B$2:$B$1001,0)),""))</f>
        <v/>
      </c>
      <c r="I596" s="19">
        <f>IF($B596="","",IFERROR(INDEX(智能流水!$I$2:$I$1001,MATCH($B596,智能流水!$B$2:$B$1001,0)),""))</f>
        <v/>
      </c>
      <c r="J596" s="19">
        <f>IF($B596="","",IFERROR(INDEX(智能流水!$J$2:$J$1001,MATCH($B596,智能流水!$B$2:$B$1001,0)),""))</f>
        <v/>
      </c>
      <c r="K596" s="19">
        <f>IF($B596="","",IFERROR(INDEX(智能流水!$K$2:$K$1001,MATCH($B596,智能流水!$B$2:$B$1001,0)),""))</f>
        <v/>
      </c>
      <c r="L596" s="19">
        <f>IF($B596="","",IFERROR(INDEX(智能流水!$L$2:$L$1001,MATCH($B596,智能流水!$B$2:$B$1001,0)),""))</f>
        <v/>
      </c>
      <c r="M596" s="19">
        <f>IF($B596="","",IFERROR(INDEX(智能流水!$M$2:$M$1001,MATCH($B596,智能流水!$B$2:$B$1001,0)),""))</f>
        <v/>
      </c>
      <c r="N596" s="19">
        <f>IF($B596="","",IFERROR(INDEX(智能流水!$N$2:$N$1001,MATCH($B596,智能流水!$B$2:$B$1001,0)),""))</f>
        <v/>
      </c>
      <c r="O596" s="19">
        <f>IF($B596="","",IFERROR(INDEX(智能流水!$O$2:$O$1001,MATCH($B596,智能流水!$B$2:$B$1001,0)),""))</f>
        <v/>
      </c>
    </row>
    <row r="597">
      <c r="A597" s="19">
        <f>IF($B597="","",596)</f>
        <v/>
      </c>
      <c r="B597" s="19">
        <f>IFERROR(LARGE(智能流水!$B$2:$B$1001,596),"")</f>
        <v/>
      </c>
      <c r="C597" s="19">
        <f>IF($B597="","",IFERROR(INDEX(智能流水!$C$2:$C$1001,MATCH($B597,智能流水!$B$2:$B$1001,0)),""))</f>
        <v/>
      </c>
      <c r="D597" s="19">
        <f>IF($B597="","",IFERROR(INDEX(智能流水!$D$2:$D$1001,MATCH($B597,智能流水!$B$2:$B$1001,0)),""))</f>
        <v/>
      </c>
      <c r="E597" s="19">
        <f>IF($B597="","",IFERROR(INDEX(智能流水!$E$2:$E$1001,MATCH($B597,智能流水!$B$2:$B$1001,0)),""))</f>
        <v/>
      </c>
      <c r="F597" s="19">
        <f>IF($B597="","",IFERROR(INDEX(智能流水!$F$2:$F$1001,MATCH($B597,智能流水!$B$2:$B$1001,0)),""))</f>
        <v/>
      </c>
      <c r="G597" s="19">
        <f>IF($B597="","",IFERROR(INDEX(智能流水!$G$2:$G$1001,MATCH($B597,智能流水!$B$2:$B$1001,0)),""))</f>
        <v/>
      </c>
      <c r="H597" s="19">
        <f>IF($B597="","",IFERROR(INDEX(智能流水!$H$2:$H$1001,MATCH($B597,智能流水!$B$2:$B$1001,0)),""))</f>
        <v/>
      </c>
      <c r="I597" s="19">
        <f>IF($B597="","",IFERROR(INDEX(智能流水!$I$2:$I$1001,MATCH($B597,智能流水!$B$2:$B$1001,0)),""))</f>
        <v/>
      </c>
      <c r="J597" s="19">
        <f>IF($B597="","",IFERROR(INDEX(智能流水!$J$2:$J$1001,MATCH($B597,智能流水!$B$2:$B$1001,0)),""))</f>
        <v/>
      </c>
      <c r="K597" s="19">
        <f>IF($B597="","",IFERROR(INDEX(智能流水!$K$2:$K$1001,MATCH($B597,智能流水!$B$2:$B$1001,0)),""))</f>
        <v/>
      </c>
      <c r="L597" s="19">
        <f>IF($B597="","",IFERROR(INDEX(智能流水!$L$2:$L$1001,MATCH($B597,智能流水!$B$2:$B$1001,0)),""))</f>
        <v/>
      </c>
      <c r="M597" s="19">
        <f>IF($B597="","",IFERROR(INDEX(智能流水!$M$2:$M$1001,MATCH($B597,智能流水!$B$2:$B$1001,0)),""))</f>
        <v/>
      </c>
      <c r="N597" s="19">
        <f>IF($B597="","",IFERROR(INDEX(智能流水!$N$2:$N$1001,MATCH($B597,智能流水!$B$2:$B$1001,0)),""))</f>
        <v/>
      </c>
      <c r="O597" s="19">
        <f>IF($B597="","",IFERROR(INDEX(智能流水!$O$2:$O$1001,MATCH($B597,智能流水!$B$2:$B$1001,0)),""))</f>
        <v/>
      </c>
    </row>
    <row r="598">
      <c r="A598" s="19">
        <f>IF($B598="","",597)</f>
        <v/>
      </c>
      <c r="B598" s="19">
        <f>IFERROR(LARGE(智能流水!$B$2:$B$1001,597),"")</f>
        <v/>
      </c>
      <c r="C598" s="19">
        <f>IF($B598="","",IFERROR(INDEX(智能流水!$C$2:$C$1001,MATCH($B598,智能流水!$B$2:$B$1001,0)),""))</f>
        <v/>
      </c>
      <c r="D598" s="19">
        <f>IF($B598="","",IFERROR(INDEX(智能流水!$D$2:$D$1001,MATCH($B598,智能流水!$B$2:$B$1001,0)),""))</f>
        <v/>
      </c>
      <c r="E598" s="19">
        <f>IF($B598="","",IFERROR(INDEX(智能流水!$E$2:$E$1001,MATCH($B598,智能流水!$B$2:$B$1001,0)),""))</f>
        <v/>
      </c>
      <c r="F598" s="19">
        <f>IF($B598="","",IFERROR(INDEX(智能流水!$F$2:$F$1001,MATCH($B598,智能流水!$B$2:$B$1001,0)),""))</f>
        <v/>
      </c>
      <c r="G598" s="19">
        <f>IF($B598="","",IFERROR(INDEX(智能流水!$G$2:$G$1001,MATCH($B598,智能流水!$B$2:$B$1001,0)),""))</f>
        <v/>
      </c>
      <c r="H598" s="19">
        <f>IF($B598="","",IFERROR(INDEX(智能流水!$H$2:$H$1001,MATCH($B598,智能流水!$B$2:$B$1001,0)),""))</f>
        <v/>
      </c>
      <c r="I598" s="19">
        <f>IF($B598="","",IFERROR(INDEX(智能流水!$I$2:$I$1001,MATCH($B598,智能流水!$B$2:$B$1001,0)),""))</f>
        <v/>
      </c>
      <c r="J598" s="19">
        <f>IF($B598="","",IFERROR(INDEX(智能流水!$J$2:$J$1001,MATCH($B598,智能流水!$B$2:$B$1001,0)),""))</f>
        <v/>
      </c>
      <c r="K598" s="19">
        <f>IF($B598="","",IFERROR(INDEX(智能流水!$K$2:$K$1001,MATCH($B598,智能流水!$B$2:$B$1001,0)),""))</f>
        <v/>
      </c>
      <c r="L598" s="19">
        <f>IF($B598="","",IFERROR(INDEX(智能流水!$L$2:$L$1001,MATCH($B598,智能流水!$B$2:$B$1001,0)),""))</f>
        <v/>
      </c>
      <c r="M598" s="19">
        <f>IF($B598="","",IFERROR(INDEX(智能流水!$M$2:$M$1001,MATCH($B598,智能流水!$B$2:$B$1001,0)),""))</f>
        <v/>
      </c>
      <c r="N598" s="19">
        <f>IF($B598="","",IFERROR(INDEX(智能流水!$N$2:$N$1001,MATCH($B598,智能流水!$B$2:$B$1001,0)),""))</f>
        <v/>
      </c>
      <c r="O598" s="19">
        <f>IF($B598="","",IFERROR(INDEX(智能流水!$O$2:$O$1001,MATCH($B598,智能流水!$B$2:$B$1001,0)),""))</f>
        <v/>
      </c>
    </row>
    <row r="599">
      <c r="A599" s="19">
        <f>IF($B599="","",598)</f>
        <v/>
      </c>
      <c r="B599" s="19">
        <f>IFERROR(LARGE(智能流水!$B$2:$B$1001,598),"")</f>
        <v/>
      </c>
      <c r="C599" s="19">
        <f>IF($B599="","",IFERROR(INDEX(智能流水!$C$2:$C$1001,MATCH($B599,智能流水!$B$2:$B$1001,0)),""))</f>
        <v/>
      </c>
      <c r="D599" s="19">
        <f>IF($B599="","",IFERROR(INDEX(智能流水!$D$2:$D$1001,MATCH($B599,智能流水!$B$2:$B$1001,0)),""))</f>
        <v/>
      </c>
      <c r="E599" s="19">
        <f>IF($B599="","",IFERROR(INDEX(智能流水!$E$2:$E$1001,MATCH($B599,智能流水!$B$2:$B$1001,0)),""))</f>
        <v/>
      </c>
      <c r="F599" s="19">
        <f>IF($B599="","",IFERROR(INDEX(智能流水!$F$2:$F$1001,MATCH($B599,智能流水!$B$2:$B$1001,0)),""))</f>
        <v/>
      </c>
      <c r="G599" s="19">
        <f>IF($B599="","",IFERROR(INDEX(智能流水!$G$2:$G$1001,MATCH($B599,智能流水!$B$2:$B$1001,0)),""))</f>
        <v/>
      </c>
      <c r="H599" s="19">
        <f>IF($B599="","",IFERROR(INDEX(智能流水!$H$2:$H$1001,MATCH($B599,智能流水!$B$2:$B$1001,0)),""))</f>
        <v/>
      </c>
      <c r="I599" s="19">
        <f>IF($B599="","",IFERROR(INDEX(智能流水!$I$2:$I$1001,MATCH($B599,智能流水!$B$2:$B$1001,0)),""))</f>
        <v/>
      </c>
      <c r="J599" s="19">
        <f>IF($B599="","",IFERROR(INDEX(智能流水!$J$2:$J$1001,MATCH($B599,智能流水!$B$2:$B$1001,0)),""))</f>
        <v/>
      </c>
      <c r="K599" s="19">
        <f>IF($B599="","",IFERROR(INDEX(智能流水!$K$2:$K$1001,MATCH($B599,智能流水!$B$2:$B$1001,0)),""))</f>
        <v/>
      </c>
      <c r="L599" s="19">
        <f>IF($B599="","",IFERROR(INDEX(智能流水!$L$2:$L$1001,MATCH($B599,智能流水!$B$2:$B$1001,0)),""))</f>
        <v/>
      </c>
      <c r="M599" s="19">
        <f>IF($B599="","",IFERROR(INDEX(智能流水!$M$2:$M$1001,MATCH($B599,智能流水!$B$2:$B$1001,0)),""))</f>
        <v/>
      </c>
      <c r="N599" s="19">
        <f>IF($B599="","",IFERROR(INDEX(智能流水!$N$2:$N$1001,MATCH($B599,智能流水!$B$2:$B$1001,0)),""))</f>
        <v/>
      </c>
      <c r="O599" s="19">
        <f>IF($B599="","",IFERROR(INDEX(智能流水!$O$2:$O$1001,MATCH($B599,智能流水!$B$2:$B$1001,0)),""))</f>
        <v/>
      </c>
    </row>
    <row r="600">
      <c r="A600" s="19">
        <f>IF($B600="","",599)</f>
        <v/>
      </c>
      <c r="B600" s="19">
        <f>IFERROR(LARGE(智能流水!$B$2:$B$1001,599),"")</f>
        <v/>
      </c>
      <c r="C600" s="19">
        <f>IF($B600="","",IFERROR(INDEX(智能流水!$C$2:$C$1001,MATCH($B600,智能流水!$B$2:$B$1001,0)),""))</f>
        <v/>
      </c>
      <c r="D600" s="19">
        <f>IF($B600="","",IFERROR(INDEX(智能流水!$D$2:$D$1001,MATCH($B600,智能流水!$B$2:$B$1001,0)),""))</f>
        <v/>
      </c>
      <c r="E600" s="19">
        <f>IF($B600="","",IFERROR(INDEX(智能流水!$E$2:$E$1001,MATCH($B600,智能流水!$B$2:$B$1001,0)),""))</f>
        <v/>
      </c>
      <c r="F600" s="19">
        <f>IF($B600="","",IFERROR(INDEX(智能流水!$F$2:$F$1001,MATCH($B600,智能流水!$B$2:$B$1001,0)),""))</f>
        <v/>
      </c>
      <c r="G600" s="19">
        <f>IF($B600="","",IFERROR(INDEX(智能流水!$G$2:$G$1001,MATCH($B600,智能流水!$B$2:$B$1001,0)),""))</f>
        <v/>
      </c>
      <c r="H600" s="19">
        <f>IF($B600="","",IFERROR(INDEX(智能流水!$H$2:$H$1001,MATCH($B600,智能流水!$B$2:$B$1001,0)),""))</f>
        <v/>
      </c>
      <c r="I600" s="19">
        <f>IF($B600="","",IFERROR(INDEX(智能流水!$I$2:$I$1001,MATCH($B600,智能流水!$B$2:$B$1001,0)),""))</f>
        <v/>
      </c>
      <c r="J600" s="19">
        <f>IF($B600="","",IFERROR(INDEX(智能流水!$J$2:$J$1001,MATCH($B600,智能流水!$B$2:$B$1001,0)),""))</f>
        <v/>
      </c>
      <c r="K600" s="19">
        <f>IF($B600="","",IFERROR(INDEX(智能流水!$K$2:$K$1001,MATCH($B600,智能流水!$B$2:$B$1001,0)),""))</f>
        <v/>
      </c>
      <c r="L600" s="19">
        <f>IF($B600="","",IFERROR(INDEX(智能流水!$L$2:$L$1001,MATCH($B600,智能流水!$B$2:$B$1001,0)),""))</f>
        <v/>
      </c>
      <c r="M600" s="19">
        <f>IF($B600="","",IFERROR(INDEX(智能流水!$M$2:$M$1001,MATCH($B600,智能流水!$B$2:$B$1001,0)),""))</f>
        <v/>
      </c>
      <c r="N600" s="19">
        <f>IF($B600="","",IFERROR(INDEX(智能流水!$N$2:$N$1001,MATCH($B600,智能流水!$B$2:$B$1001,0)),""))</f>
        <v/>
      </c>
      <c r="O600" s="19">
        <f>IF($B600="","",IFERROR(INDEX(智能流水!$O$2:$O$1001,MATCH($B600,智能流水!$B$2:$B$1001,0)),""))</f>
        <v/>
      </c>
    </row>
    <row r="601">
      <c r="A601" s="19">
        <f>IF($B601="","",600)</f>
        <v/>
      </c>
      <c r="B601" s="19">
        <f>IFERROR(LARGE(智能流水!$B$2:$B$1001,600),"")</f>
        <v/>
      </c>
      <c r="C601" s="19">
        <f>IF($B601="","",IFERROR(INDEX(智能流水!$C$2:$C$1001,MATCH($B601,智能流水!$B$2:$B$1001,0)),""))</f>
        <v/>
      </c>
      <c r="D601" s="19">
        <f>IF($B601="","",IFERROR(INDEX(智能流水!$D$2:$D$1001,MATCH($B601,智能流水!$B$2:$B$1001,0)),""))</f>
        <v/>
      </c>
      <c r="E601" s="19">
        <f>IF($B601="","",IFERROR(INDEX(智能流水!$E$2:$E$1001,MATCH($B601,智能流水!$B$2:$B$1001,0)),""))</f>
        <v/>
      </c>
      <c r="F601" s="19">
        <f>IF($B601="","",IFERROR(INDEX(智能流水!$F$2:$F$1001,MATCH($B601,智能流水!$B$2:$B$1001,0)),""))</f>
        <v/>
      </c>
      <c r="G601" s="19">
        <f>IF($B601="","",IFERROR(INDEX(智能流水!$G$2:$G$1001,MATCH($B601,智能流水!$B$2:$B$1001,0)),""))</f>
        <v/>
      </c>
      <c r="H601" s="19">
        <f>IF($B601="","",IFERROR(INDEX(智能流水!$H$2:$H$1001,MATCH($B601,智能流水!$B$2:$B$1001,0)),""))</f>
        <v/>
      </c>
      <c r="I601" s="19">
        <f>IF($B601="","",IFERROR(INDEX(智能流水!$I$2:$I$1001,MATCH($B601,智能流水!$B$2:$B$1001,0)),""))</f>
        <v/>
      </c>
      <c r="J601" s="19">
        <f>IF($B601="","",IFERROR(INDEX(智能流水!$J$2:$J$1001,MATCH($B601,智能流水!$B$2:$B$1001,0)),""))</f>
        <v/>
      </c>
      <c r="K601" s="19">
        <f>IF($B601="","",IFERROR(INDEX(智能流水!$K$2:$K$1001,MATCH($B601,智能流水!$B$2:$B$1001,0)),""))</f>
        <v/>
      </c>
      <c r="L601" s="19">
        <f>IF($B601="","",IFERROR(INDEX(智能流水!$L$2:$L$1001,MATCH($B601,智能流水!$B$2:$B$1001,0)),""))</f>
        <v/>
      </c>
      <c r="M601" s="19">
        <f>IF($B601="","",IFERROR(INDEX(智能流水!$M$2:$M$1001,MATCH($B601,智能流水!$B$2:$B$1001,0)),""))</f>
        <v/>
      </c>
      <c r="N601" s="19">
        <f>IF($B601="","",IFERROR(INDEX(智能流水!$N$2:$N$1001,MATCH($B601,智能流水!$B$2:$B$1001,0)),""))</f>
        <v/>
      </c>
      <c r="O601" s="19">
        <f>IF($B601="","",IFERROR(INDEX(智能流水!$O$2:$O$1001,MATCH($B601,智能流水!$B$2:$B$1001,0)),""))</f>
        <v/>
      </c>
    </row>
    <row r="602">
      <c r="A602" s="19">
        <f>IF($B602="","",601)</f>
        <v/>
      </c>
      <c r="B602" s="19">
        <f>IFERROR(LARGE(智能流水!$B$2:$B$1001,601),"")</f>
        <v/>
      </c>
      <c r="C602" s="19">
        <f>IF($B602="","",IFERROR(INDEX(智能流水!$C$2:$C$1001,MATCH($B602,智能流水!$B$2:$B$1001,0)),""))</f>
        <v/>
      </c>
      <c r="D602" s="19">
        <f>IF($B602="","",IFERROR(INDEX(智能流水!$D$2:$D$1001,MATCH($B602,智能流水!$B$2:$B$1001,0)),""))</f>
        <v/>
      </c>
      <c r="E602" s="19">
        <f>IF($B602="","",IFERROR(INDEX(智能流水!$E$2:$E$1001,MATCH($B602,智能流水!$B$2:$B$1001,0)),""))</f>
        <v/>
      </c>
      <c r="F602" s="19">
        <f>IF($B602="","",IFERROR(INDEX(智能流水!$F$2:$F$1001,MATCH($B602,智能流水!$B$2:$B$1001,0)),""))</f>
        <v/>
      </c>
      <c r="G602" s="19">
        <f>IF($B602="","",IFERROR(INDEX(智能流水!$G$2:$G$1001,MATCH($B602,智能流水!$B$2:$B$1001,0)),""))</f>
        <v/>
      </c>
      <c r="H602" s="19">
        <f>IF($B602="","",IFERROR(INDEX(智能流水!$H$2:$H$1001,MATCH($B602,智能流水!$B$2:$B$1001,0)),""))</f>
        <v/>
      </c>
      <c r="I602" s="19">
        <f>IF($B602="","",IFERROR(INDEX(智能流水!$I$2:$I$1001,MATCH($B602,智能流水!$B$2:$B$1001,0)),""))</f>
        <v/>
      </c>
      <c r="J602" s="19">
        <f>IF($B602="","",IFERROR(INDEX(智能流水!$J$2:$J$1001,MATCH($B602,智能流水!$B$2:$B$1001,0)),""))</f>
        <v/>
      </c>
      <c r="K602" s="19">
        <f>IF($B602="","",IFERROR(INDEX(智能流水!$K$2:$K$1001,MATCH($B602,智能流水!$B$2:$B$1001,0)),""))</f>
        <v/>
      </c>
      <c r="L602" s="19">
        <f>IF($B602="","",IFERROR(INDEX(智能流水!$L$2:$L$1001,MATCH($B602,智能流水!$B$2:$B$1001,0)),""))</f>
        <v/>
      </c>
      <c r="M602" s="19">
        <f>IF($B602="","",IFERROR(INDEX(智能流水!$M$2:$M$1001,MATCH($B602,智能流水!$B$2:$B$1001,0)),""))</f>
        <v/>
      </c>
      <c r="N602" s="19">
        <f>IF($B602="","",IFERROR(INDEX(智能流水!$N$2:$N$1001,MATCH($B602,智能流水!$B$2:$B$1001,0)),""))</f>
        <v/>
      </c>
      <c r="O602" s="19">
        <f>IF($B602="","",IFERROR(INDEX(智能流水!$O$2:$O$1001,MATCH($B602,智能流水!$B$2:$B$1001,0)),""))</f>
        <v/>
      </c>
    </row>
    <row r="603">
      <c r="A603" s="19">
        <f>IF($B603="","",602)</f>
        <v/>
      </c>
      <c r="B603" s="19">
        <f>IFERROR(LARGE(智能流水!$B$2:$B$1001,602),"")</f>
        <v/>
      </c>
      <c r="C603" s="19">
        <f>IF($B603="","",IFERROR(INDEX(智能流水!$C$2:$C$1001,MATCH($B603,智能流水!$B$2:$B$1001,0)),""))</f>
        <v/>
      </c>
      <c r="D603" s="19">
        <f>IF($B603="","",IFERROR(INDEX(智能流水!$D$2:$D$1001,MATCH($B603,智能流水!$B$2:$B$1001,0)),""))</f>
        <v/>
      </c>
      <c r="E603" s="19">
        <f>IF($B603="","",IFERROR(INDEX(智能流水!$E$2:$E$1001,MATCH($B603,智能流水!$B$2:$B$1001,0)),""))</f>
        <v/>
      </c>
      <c r="F603" s="19">
        <f>IF($B603="","",IFERROR(INDEX(智能流水!$F$2:$F$1001,MATCH($B603,智能流水!$B$2:$B$1001,0)),""))</f>
        <v/>
      </c>
      <c r="G603" s="19">
        <f>IF($B603="","",IFERROR(INDEX(智能流水!$G$2:$G$1001,MATCH($B603,智能流水!$B$2:$B$1001,0)),""))</f>
        <v/>
      </c>
      <c r="H603" s="19">
        <f>IF($B603="","",IFERROR(INDEX(智能流水!$H$2:$H$1001,MATCH($B603,智能流水!$B$2:$B$1001,0)),""))</f>
        <v/>
      </c>
      <c r="I603" s="19">
        <f>IF($B603="","",IFERROR(INDEX(智能流水!$I$2:$I$1001,MATCH($B603,智能流水!$B$2:$B$1001,0)),""))</f>
        <v/>
      </c>
      <c r="J603" s="19">
        <f>IF($B603="","",IFERROR(INDEX(智能流水!$J$2:$J$1001,MATCH($B603,智能流水!$B$2:$B$1001,0)),""))</f>
        <v/>
      </c>
      <c r="K603" s="19">
        <f>IF($B603="","",IFERROR(INDEX(智能流水!$K$2:$K$1001,MATCH($B603,智能流水!$B$2:$B$1001,0)),""))</f>
        <v/>
      </c>
      <c r="L603" s="19">
        <f>IF($B603="","",IFERROR(INDEX(智能流水!$L$2:$L$1001,MATCH($B603,智能流水!$B$2:$B$1001,0)),""))</f>
        <v/>
      </c>
      <c r="M603" s="19">
        <f>IF($B603="","",IFERROR(INDEX(智能流水!$M$2:$M$1001,MATCH($B603,智能流水!$B$2:$B$1001,0)),""))</f>
        <v/>
      </c>
      <c r="N603" s="19">
        <f>IF($B603="","",IFERROR(INDEX(智能流水!$N$2:$N$1001,MATCH($B603,智能流水!$B$2:$B$1001,0)),""))</f>
        <v/>
      </c>
      <c r="O603" s="19">
        <f>IF($B603="","",IFERROR(INDEX(智能流水!$O$2:$O$1001,MATCH($B603,智能流水!$B$2:$B$1001,0)),""))</f>
        <v/>
      </c>
    </row>
    <row r="604">
      <c r="A604" s="19">
        <f>IF($B604="","",603)</f>
        <v/>
      </c>
      <c r="B604" s="19">
        <f>IFERROR(LARGE(智能流水!$B$2:$B$1001,603),"")</f>
        <v/>
      </c>
      <c r="C604" s="19">
        <f>IF($B604="","",IFERROR(INDEX(智能流水!$C$2:$C$1001,MATCH($B604,智能流水!$B$2:$B$1001,0)),""))</f>
        <v/>
      </c>
      <c r="D604" s="19">
        <f>IF($B604="","",IFERROR(INDEX(智能流水!$D$2:$D$1001,MATCH($B604,智能流水!$B$2:$B$1001,0)),""))</f>
        <v/>
      </c>
      <c r="E604" s="19">
        <f>IF($B604="","",IFERROR(INDEX(智能流水!$E$2:$E$1001,MATCH($B604,智能流水!$B$2:$B$1001,0)),""))</f>
        <v/>
      </c>
      <c r="F604" s="19">
        <f>IF($B604="","",IFERROR(INDEX(智能流水!$F$2:$F$1001,MATCH($B604,智能流水!$B$2:$B$1001,0)),""))</f>
        <v/>
      </c>
      <c r="G604" s="19">
        <f>IF($B604="","",IFERROR(INDEX(智能流水!$G$2:$G$1001,MATCH($B604,智能流水!$B$2:$B$1001,0)),""))</f>
        <v/>
      </c>
      <c r="H604" s="19">
        <f>IF($B604="","",IFERROR(INDEX(智能流水!$H$2:$H$1001,MATCH($B604,智能流水!$B$2:$B$1001,0)),""))</f>
        <v/>
      </c>
      <c r="I604" s="19">
        <f>IF($B604="","",IFERROR(INDEX(智能流水!$I$2:$I$1001,MATCH($B604,智能流水!$B$2:$B$1001,0)),""))</f>
        <v/>
      </c>
      <c r="J604" s="19">
        <f>IF($B604="","",IFERROR(INDEX(智能流水!$J$2:$J$1001,MATCH($B604,智能流水!$B$2:$B$1001,0)),""))</f>
        <v/>
      </c>
      <c r="K604" s="19">
        <f>IF($B604="","",IFERROR(INDEX(智能流水!$K$2:$K$1001,MATCH($B604,智能流水!$B$2:$B$1001,0)),""))</f>
        <v/>
      </c>
      <c r="L604" s="19">
        <f>IF($B604="","",IFERROR(INDEX(智能流水!$L$2:$L$1001,MATCH($B604,智能流水!$B$2:$B$1001,0)),""))</f>
        <v/>
      </c>
      <c r="M604" s="19">
        <f>IF($B604="","",IFERROR(INDEX(智能流水!$M$2:$M$1001,MATCH($B604,智能流水!$B$2:$B$1001,0)),""))</f>
        <v/>
      </c>
      <c r="N604" s="19">
        <f>IF($B604="","",IFERROR(INDEX(智能流水!$N$2:$N$1001,MATCH($B604,智能流水!$B$2:$B$1001,0)),""))</f>
        <v/>
      </c>
      <c r="O604" s="19">
        <f>IF($B604="","",IFERROR(INDEX(智能流水!$O$2:$O$1001,MATCH($B604,智能流水!$B$2:$B$1001,0)),""))</f>
        <v/>
      </c>
    </row>
    <row r="605">
      <c r="A605" s="19">
        <f>IF($B605="","",604)</f>
        <v/>
      </c>
      <c r="B605" s="19">
        <f>IFERROR(LARGE(智能流水!$B$2:$B$1001,604),"")</f>
        <v/>
      </c>
      <c r="C605" s="19">
        <f>IF($B605="","",IFERROR(INDEX(智能流水!$C$2:$C$1001,MATCH($B605,智能流水!$B$2:$B$1001,0)),""))</f>
        <v/>
      </c>
      <c r="D605" s="19">
        <f>IF($B605="","",IFERROR(INDEX(智能流水!$D$2:$D$1001,MATCH($B605,智能流水!$B$2:$B$1001,0)),""))</f>
        <v/>
      </c>
      <c r="E605" s="19">
        <f>IF($B605="","",IFERROR(INDEX(智能流水!$E$2:$E$1001,MATCH($B605,智能流水!$B$2:$B$1001,0)),""))</f>
        <v/>
      </c>
      <c r="F605" s="19">
        <f>IF($B605="","",IFERROR(INDEX(智能流水!$F$2:$F$1001,MATCH($B605,智能流水!$B$2:$B$1001,0)),""))</f>
        <v/>
      </c>
      <c r="G605" s="19">
        <f>IF($B605="","",IFERROR(INDEX(智能流水!$G$2:$G$1001,MATCH($B605,智能流水!$B$2:$B$1001,0)),""))</f>
        <v/>
      </c>
      <c r="H605" s="19">
        <f>IF($B605="","",IFERROR(INDEX(智能流水!$H$2:$H$1001,MATCH($B605,智能流水!$B$2:$B$1001,0)),""))</f>
        <v/>
      </c>
      <c r="I605" s="19">
        <f>IF($B605="","",IFERROR(INDEX(智能流水!$I$2:$I$1001,MATCH($B605,智能流水!$B$2:$B$1001,0)),""))</f>
        <v/>
      </c>
      <c r="J605" s="19">
        <f>IF($B605="","",IFERROR(INDEX(智能流水!$J$2:$J$1001,MATCH($B605,智能流水!$B$2:$B$1001,0)),""))</f>
        <v/>
      </c>
      <c r="K605" s="19">
        <f>IF($B605="","",IFERROR(INDEX(智能流水!$K$2:$K$1001,MATCH($B605,智能流水!$B$2:$B$1001,0)),""))</f>
        <v/>
      </c>
      <c r="L605" s="19">
        <f>IF($B605="","",IFERROR(INDEX(智能流水!$L$2:$L$1001,MATCH($B605,智能流水!$B$2:$B$1001,0)),""))</f>
        <v/>
      </c>
      <c r="M605" s="19">
        <f>IF($B605="","",IFERROR(INDEX(智能流水!$M$2:$M$1001,MATCH($B605,智能流水!$B$2:$B$1001,0)),""))</f>
        <v/>
      </c>
      <c r="N605" s="19">
        <f>IF($B605="","",IFERROR(INDEX(智能流水!$N$2:$N$1001,MATCH($B605,智能流水!$B$2:$B$1001,0)),""))</f>
        <v/>
      </c>
      <c r="O605" s="19">
        <f>IF($B605="","",IFERROR(INDEX(智能流水!$O$2:$O$1001,MATCH($B605,智能流水!$B$2:$B$1001,0)),""))</f>
        <v/>
      </c>
    </row>
    <row r="606">
      <c r="A606" s="19">
        <f>IF($B606="","",605)</f>
        <v/>
      </c>
      <c r="B606" s="19">
        <f>IFERROR(LARGE(智能流水!$B$2:$B$1001,605),"")</f>
        <v/>
      </c>
      <c r="C606" s="19">
        <f>IF($B606="","",IFERROR(INDEX(智能流水!$C$2:$C$1001,MATCH($B606,智能流水!$B$2:$B$1001,0)),""))</f>
        <v/>
      </c>
      <c r="D606" s="19">
        <f>IF($B606="","",IFERROR(INDEX(智能流水!$D$2:$D$1001,MATCH($B606,智能流水!$B$2:$B$1001,0)),""))</f>
        <v/>
      </c>
      <c r="E606" s="19">
        <f>IF($B606="","",IFERROR(INDEX(智能流水!$E$2:$E$1001,MATCH($B606,智能流水!$B$2:$B$1001,0)),""))</f>
        <v/>
      </c>
      <c r="F606" s="19">
        <f>IF($B606="","",IFERROR(INDEX(智能流水!$F$2:$F$1001,MATCH($B606,智能流水!$B$2:$B$1001,0)),""))</f>
        <v/>
      </c>
      <c r="G606" s="19">
        <f>IF($B606="","",IFERROR(INDEX(智能流水!$G$2:$G$1001,MATCH($B606,智能流水!$B$2:$B$1001,0)),""))</f>
        <v/>
      </c>
      <c r="H606" s="19">
        <f>IF($B606="","",IFERROR(INDEX(智能流水!$H$2:$H$1001,MATCH($B606,智能流水!$B$2:$B$1001,0)),""))</f>
        <v/>
      </c>
      <c r="I606" s="19">
        <f>IF($B606="","",IFERROR(INDEX(智能流水!$I$2:$I$1001,MATCH($B606,智能流水!$B$2:$B$1001,0)),""))</f>
        <v/>
      </c>
      <c r="J606" s="19">
        <f>IF($B606="","",IFERROR(INDEX(智能流水!$J$2:$J$1001,MATCH($B606,智能流水!$B$2:$B$1001,0)),""))</f>
        <v/>
      </c>
      <c r="K606" s="19">
        <f>IF($B606="","",IFERROR(INDEX(智能流水!$K$2:$K$1001,MATCH($B606,智能流水!$B$2:$B$1001,0)),""))</f>
        <v/>
      </c>
      <c r="L606" s="19">
        <f>IF($B606="","",IFERROR(INDEX(智能流水!$L$2:$L$1001,MATCH($B606,智能流水!$B$2:$B$1001,0)),""))</f>
        <v/>
      </c>
      <c r="M606" s="19">
        <f>IF($B606="","",IFERROR(INDEX(智能流水!$M$2:$M$1001,MATCH($B606,智能流水!$B$2:$B$1001,0)),""))</f>
        <v/>
      </c>
      <c r="N606" s="19">
        <f>IF($B606="","",IFERROR(INDEX(智能流水!$N$2:$N$1001,MATCH($B606,智能流水!$B$2:$B$1001,0)),""))</f>
        <v/>
      </c>
      <c r="O606" s="19">
        <f>IF($B606="","",IFERROR(INDEX(智能流水!$O$2:$O$1001,MATCH($B606,智能流水!$B$2:$B$1001,0)),""))</f>
        <v/>
      </c>
    </row>
    <row r="607">
      <c r="A607" s="19">
        <f>IF($B607="","",606)</f>
        <v/>
      </c>
      <c r="B607" s="19">
        <f>IFERROR(LARGE(智能流水!$B$2:$B$1001,606),"")</f>
        <v/>
      </c>
      <c r="C607" s="19">
        <f>IF($B607="","",IFERROR(INDEX(智能流水!$C$2:$C$1001,MATCH($B607,智能流水!$B$2:$B$1001,0)),""))</f>
        <v/>
      </c>
      <c r="D607" s="19">
        <f>IF($B607="","",IFERROR(INDEX(智能流水!$D$2:$D$1001,MATCH($B607,智能流水!$B$2:$B$1001,0)),""))</f>
        <v/>
      </c>
      <c r="E607" s="19">
        <f>IF($B607="","",IFERROR(INDEX(智能流水!$E$2:$E$1001,MATCH($B607,智能流水!$B$2:$B$1001,0)),""))</f>
        <v/>
      </c>
      <c r="F607" s="19">
        <f>IF($B607="","",IFERROR(INDEX(智能流水!$F$2:$F$1001,MATCH($B607,智能流水!$B$2:$B$1001,0)),""))</f>
        <v/>
      </c>
      <c r="G607" s="19">
        <f>IF($B607="","",IFERROR(INDEX(智能流水!$G$2:$G$1001,MATCH($B607,智能流水!$B$2:$B$1001,0)),""))</f>
        <v/>
      </c>
      <c r="H607" s="19">
        <f>IF($B607="","",IFERROR(INDEX(智能流水!$H$2:$H$1001,MATCH($B607,智能流水!$B$2:$B$1001,0)),""))</f>
        <v/>
      </c>
      <c r="I607" s="19">
        <f>IF($B607="","",IFERROR(INDEX(智能流水!$I$2:$I$1001,MATCH($B607,智能流水!$B$2:$B$1001,0)),""))</f>
        <v/>
      </c>
      <c r="J607" s="19">
        <f>IF($B607="","",IFERROR(INDEX(智能流水!$J$2:$J$1001,MATCH($B607,智能流水!$B$2:$B$1001,0)),""))</f>
        <v/>
      </c>
      <c r="K607" s="19">
        <f>IF($B607="","",IFERROR(INDEX(智能流水!$K$2:$K$1001,MATCH($B607,智能流水!$B$2:$B$1001,0)),""))</f>
        <v/>
      </c>
      <c r="L607" s="19">
        <f>IF($B607="","",IFERROR(INDEX(智能流水!$L$2:$L$1001,MATCH($B607,智能流水!$B$2:$B$1001,0)),""))</f>
        <v/>
      </c>
      <c r="M607" s="19">
        <f>IF($B607="","",IFERROR(INDEX(智能流水!$M$2:$M$1001,MATCH($B607,智能流水!$B$2:$B$1001,0)),""))</f>
        <v/>
      </c>
      <c r="N607" s="19">
        <f>IF($B607="","",IFERROR(INDEX(智能流水!$N$2:$N$1001,MATCH($B607,智能流水!$B$2:$B$1001,0)),""))</f>
        <v/>
      </c>
      <c r="O607" s="19">
        <f>IF($B607="","",IFERROR(INDEX(智能流水!$O$2:$O$1001,MATCH($B607,智能流水!$B$2:$B$1001,0)),""))</f>
        <v/>
      </c>
    </row>
    <row r="608">
      <c r="A608" s="19">
        <f>IF($B608="","",607)</f>
        <v/>
      </c>
      <c r="B608" s="19">
        <f>IFERROR(LARGE(智能流水!$B$2:$B$1001,607),"")</f>
        <v/>
      </c>
      <c r="C608" s="19">
        <f>IF($B608="","",IFERROR(INDEX(智能流水!$C$2:$C$1001,MATCH($B608,智能流水!$B$2:$B$1001,0)),""))</f>
        <v/>
      </c>
      <c r="D608" s="19">
        <f>IF($B608="","",IFERROR(INDEX(智能流水!$D$2:$D$1001,MATCH($B608,智能流水!$B$2:$B$1001,0)),""))</f>
        <v/>
      </c>
      <c r="E608" s="19">
        <f>IF($B608="","",IFERROR(INDEX(智能流水!$E$2:$E$1001,MATCH($B608,智能流水!$B$2:$B$1001,0)),""))</f>
        <v/>
      </c>
      <c r="F608" s="19">
        <f>IF($B608="","",IFERROR(INDEX(智能流水!$F$2:$F$1001,MATCH($B608,智能流水!$B$2:$B$1001,0)),""))</f>
        <v/>
      </c>
      <c r="G608" s="19">
        <f>IF($B608="","",IFERROR(INDEX(智能流水!$G$2:$G$1001,MATCH($B608,智能流水!$B$2:$B$1001,0)),""))</f>
        <v/>
      </c>
      <c r="H608" s="19">
        <f>IF($B608="","",IFERROR(INDEX(智能流水!$H$2:$H$1001,MATCH($B608,智能流水!$B$2:$B$1001,0)),""))</f>
        <v/>
      </c>
      <c r="I608" s="19">
        <f>IF($B608="","",IFERROR(INDEX(智能流水!$I$2:$I$1001,MATCH($B608,智能流水!$B$2:$B$1001,0)),""))</f>
        <v/>
      </c>
      <c r="J608" s="19">
        <f>IF($B608="","",IFERROR(INDEX(智能流水!$J$2:$J$1001,MATCH($B608,智能流水!$B$2:$B$1001,0)),""))</f>
        <v/>
      </c>
      <c r="K608" s="19">
        <f>IF($B608="","",IFERROR(INDEX(智能流水!$K$2:$K$1001,MATCH($B608,智能流水!$B$2:$B$1001,0)),""))</f>
        <v/>
      </c>
      <c r="L608" s="19">
        <f>IF($B608="","",IFERROR(INDEX(智能流水!$L$2:$L$1001,MATCH($B608,智能流水!$B$2:$B$1001,0)),""))</f>
        <v/>
      </c>
      <c r="M608" s="19">
        <f>IF($B608="","",IFERROR(INDEX(智能流水!$M$2:$M$1001,MATCH($B608,智能流水!$B$2:$B$1001,0)),""))</f>
        <v/>
      </c>
      <c r="N608" s="19">
        <f>IF($B608="","",IFERROR(INDEX(智能流水!$N$2:$N$1001,MATCH($B608,智能流水!$B$2:$B$1001,0)),""))</f>
        <v/>
      </c>
      <c r="O608" s="19">
        <f>IF($B608="","",IFERROR(INDEX(智能流水!$O$2:$O$1001,MATCH($B608,智能流水!$B$2:$B$1001,0)),""))</f>
        <v/>
      </c>
    </row>
    <row r="609">
      <c r="A609" s="19">
        <f>IF($B609="","",608)</f>
        <v/>
      </c>
      <c r="B609" s="19">
        <f>IFERROR(LARGE(智能流水!$B$2:$B$1001,608),"")</f>
        <v/>
      </c>
      <c r="C609" s="19">
        <f>IF($B609="","",IFERROR(INDEX(智能流水!$C$2:$C$1001,MATCH($B609,智能流水!$B$2:$B$1001,0)),""))</f>
        <v/>
      </c>
      <c r="D609" s="19">
        <f>IF($B609="","",IFERROR(INDEX(智能流水!$D$2:$D$1001,MATCH($B609,智能流水!$B$2:$B$1001,0)),""))</f>
        <v/>
      </c>
      <c r="E609" s="19">
        <f>IF($B609="","",IFERROR(INDEX(智能流水!$E$2:$E$1001,MATCH($B609,智能流水!$B$2:$B$1001,0)),""))</f>
        <v/>
      </c>
      <c r="F609" s="19">
        <f>IF($B609="","",IFERROR(INDEX(智能流水!$F$2:$F$1001,MATCH($B609,智能流水!$B$2:$B$1001,0)),""))</f>
        <v/>
      </c>
      <c r="G609" s="19">
        <f>IF($B609="","",IFERROR(INDEX(智能流水!$G$2:$G$1001,MATCH($B609,智能流水!$B$2:$B$1001,0)),""))</f>
        <v/>
      </c>
      <c r="H609" s="19">
        <f>IF($B609="","",IFERROR(INDEX(智能流水!$H$2:$H$1001,MATCH($B609,智能流水!$B$2:$B$1001,0)),""))</f>
        <v/>
      </c>
      <c r="I609" s="19">
        <f>IF($B609="","",IFERROR(INDEX(智能流水!$I$2:$I$1001,MATCH($B609,智能流水!$B$2:$B$1001,0)),""))</f>
        <v/>
      </c>
      <c r="J609" s="19">
        <f>IF($B609="","",IFERROR(INDEX(智能流水!$J$2:$J$1001,MATCH($B609,智能流水!$B$2:$B$1001,0)),""))</f>
        <v/>
      </c>
      <c r="K609" s="19">
        <f>IF($B609="","",IFERROR(INDEX(智能流水!$K$2:$K$1001,MATCH($B609,智能流水!$B$2:$B$1001,0)),""))</f>
        <v/>
      </c>
      <c r="L609" s="19">
        <f>IF($B609="","",IFERROR(INDEX(智能流水!$L$2:$L$1001,MATCH($B609,智能流水!$B$2:$B$1001,0)),""))</f>
        <v/>
      </c>
      <c r="M609" s="19">
        <f>IF($B609="","",IFERROR(INDEX(智能流水!$M$2:$M$1001,MATCH($B609,智能流水!$B$2:$B$1001,0)),""))</f>
        <v/>
      </c>
      <c r="N609" s="19">
        <f>IF($B609="","",IFERROR(INDEX(智能流水!$N$2:$N$1001,MATCH($B609,智能流水!$B$2:$B$1001,0)),""))</f>
        <v/>
      </c>
      <c r="O609" s="19">
        <f>IF($B609="","",IFERROR(INDEX(智能流水!$O$2:$O$1001,MATCH($B609,智能流水!$B$2:$B$1001,0)),""))</f>
        <v/>
      </c>
    </row>
    <row r="610">
      <c r="A610" s="19">
        <f>IF($B610="","",609)</f>
        <v/>
      </c>
      <c r="B610" s="19">
        <f>IFERROR(LARGE(智能流水!$B$2:$B$1001,609),"")</f>
        <v/>
      </c>
      <c r="C610" s="19">
        <f>IF($B610="","",IFERROR(INDEX(智能流水!$C$2:$C$1001,MATCH($B610,智能流水!$B$2:$B$1001,0)),""))</f>
        <v/>
      </c>
      <c r="D610" s="19">
        <f>IF($B610="","",IFERROR(INDEX(智能流水!$D$2:$D$1001,MATCH($B610,智能流水!$B$2:$B$1001,0)),""))</f>
        <v/>
      </c>
      <c r="E610" s="19">
        <f>IF($B610="","",IFERROR(INDEX(智能流水!$E$2:$E$1001,MATCH($B610,智能流水!$B$2:$B$1001,0)),""))</f>
        <v/>
      </c>
      <c r="F610" s="19">
        <f>IF($B610="","",IFERROR(INDEX(智能流水!$F$2:$F$1001,MATCH($B610,智能流水!$B$2:$B$1001,0)),""))</f>
        <v/>
      </c>
      <c r="G610" s="19">
        <f>IF($B610="","",IFERROR(INDEX(智能流水!$G$2:$G$1001,MATCH($B610,智能流水!$B$2:$B$1001,0)),""))</f>
        <v/>
      </c>
      <c r="H610" s="19">
        <f>IF($B610="","",IFERROR(INDEX(智能流水!$H$2:$H$1001,MATCH($B610,智能流水!$B$2:$B$1001,0)),""))</f>
        <v/>
      </c>
      <c r="I610" s="19">
        <f>IF($B610="","",IFERROR(INDEX(智能流水!$I$2:$I$1001,MATCH($B610,智能流水!$B$2:$B$1001,0)),""))</f>
        <v/>
      </c>
      <c r="J610" s="19">
        <f>IF($B610="","",IFERROR(INDEX(智能流水!$J$2:$J$1001,MATCH($B610,智能流水!$B$2:$B$1001,0)),""))</f>
        <v/>
      </c>
      <c r="K610" s="19">
        <f>IF($B610="","",IFERROR(INDEX(智能流水!$K$2:$K$1001,MATCH($B610,智能流水!$B$2:$B$1001,0)),""))</f>
        <v/>
      </c>
      <c r="L610" s="19">
        <f>IF($B610="","",IFERROR(INDEX(智能流水!$L$2:$L$1001,MATCH($B610,智能流水!$B$2:$B$1001,0)),""))</f>
        <v/>
      </c>
      <c r="M610" s="19">
        <f>IF($B610="","",IFERROR(INDEX(智能流水!$M$2:$M$1001,MATCH($B610,智能流水!$B$2:$B$1001,0)),""))</f>
        <v/>
      </c>
      <c r="N610" s="19">
        <f>IF($B610="","",IFERROR(INDEX(智能流水!$N$2:$N$1001,MATCH($B610,智能流水!$B$2:$B$1001,0)),""))</f>
        <v/>
      </c>
      <c r="O610" s="19">
        <f>IF($B610="","",IFERROR(INDEX(智能流水!$O$2:$O$1001,MATCH($B610,智能流水!$B$2:$B$1001,0)),""))</f>
        <v/>
      </c>
    </row>
    <row r="611">
      <c r="A611" s="19">
        <f>IF($B611="","",610)</f>
        <v/>
      </c>
      <c r="B611" s="19">
        <f>IFERROR(LARGE(智能流水!$B$2:$B$1001,610),"")</f>
        <v/>
      </c>
      <c r="C611" s="19">
        <f>IF($B611="","",IFERROR(INDEX(智能流水!$C$2:$C$1001,MATCH($B611,智能流水!$B$2:$B$1001,0)),""))</f>
        <v/>
      </c>
      <c r="D611" s="19">
        <f>IF($B611="","",IFERROR(INDEX(智能流水!$D$2:$D$1001,MATCH($B611,智能流水!$B$2:$B$1001,0)),""))</f>
        <v/>
      </c>
      <c r="E611" s="19">
        <f>IF($B611="","",IFERROR(INDEX(智能流水!$E$2:$E$1001,MATCH($B611,智能流水!$B$2:$B$1001,0)),""))</f>
        <v/>
      </c>
      <c r="F611" s="19">
        <f>IF($B611="","",IFERROR(INDEX(智能流水!$F$2:$F$1001,MATCH($B611,智能流水!$B$2:$B$1001,0)),""))</f>
        <v/>
      </c>
      <c r="G611" s="19">
        <f>IF($B611="","",IFERROR(INDEX(智能流水!$G$2:$G$1001,MATCH($B611,智能流水!$B$2:$B$1001,0)),""))</f>
        <v/>
      </c>
      <c r="H611" s="19">
        <f>IF($B611="","",IFERROR(INDEX(智能流水!$H$2:$H$1001,MATCH($B611,智能流水!$B$2:$B$1001,0)),""))</f>
        <v/>
      </c>
      <c r="I611" s="19">
        <f>IF($B611="","",IFERROR(INDEX(智能流水!$I$2:$I$1001,MATCH($B611,智能流水!$B$2:$B$1001,0)),""))</f>
        <v/>
      </c>
      <c r="J611" s="19">
        <f>IF($B611="","",IFERROR(INDEX(智能流水!$J$2:$J$1001,MATCH($B611,智能流水!$B$2:$B$1001,0)),""))</f>
        <v/>
      </c>
      <c r="K611" s="19">
        <f>IF($B611="","",IFERROR(INDEX(智能流水!$K$2:$K$1001,MATCH($B611,智能流水!$B$2:$B$1001,0)),""))</f>
        <v/>
      </c>
      <c r="L611" s="19">
        <f>IF($B611="","",IFERROR(INDEX(智能流水!$L$2:$L$1001,MATCH($B611,智能流水!$B$2:$B$1001,0)),""))</f>
        <v/>
      </c>
      <c r="M611" s="19">
        <f>IF($B611="","",IFERROR(INDEX(智能流水!$M$2:$M$1001,MATCH($B611,智能流水!$B$2:$B$1001,0)),""))</f>
        <v/>
      </c>
      <c r="N611" s="19">
        <f>IF($B611="","",IFERROR(INDEX(智能流水!$N$2:$N$1001,MATCH($B611,智能流水!$B$2:$B$1001,0)),""))</f>
        <v/>
      </c>
      <c r="O611" s="19">
        <f>IF($B611="","",IFERROR(INDEX(智能流水!$O$2:$O$1001,MATCH($B611,智能流水!$B$2:$B$1001,0)),""))</f>
        <v/>
      </c>
    </row>
    <row r="612">
      <c r="A612" s="19">
        <f>IF($B612="","",611)</f>
        <v/>
      </c>
      <c r="B612" s="19">
        <f>IFERROR(LARGE(智能流水!$B$2:$B$1001,611),"")</f>
        <v/>
      </c>
      <c r="C612" s="19">
        <f>IF($B612="","",IFERROR(INDEX(智能流水!$C$2:$C$1001,MATCH($B612,智能流水!$B$2:$B$1001,0)),""))</f>
        <v/>
      </c>
      <c r="D612" s="19">
        <f>IF($B612="","",IFERROR(INDEX(智能流水!$D$2:$D$1001,MATCH($B612,智能流水!$B$2:$B$1001,0)),""))</f>
        <v/>
      </c>
      <c r="E612" s="19">
        <f>IF($B612="","",IFERROR(INDEX(智能流水!$E$2:$E$1001,MATCH($B612,智能流水!$B$2:$B$1001,0)),""))</f>
        <v/>
      </c>
      <c r="F612" s="19">
        <f>IF($B612="","",IFERROR(INDEX(智能流水!$F$2:$F$1001,MATCH($B612,智能流水!$B$2:$B$1001,0)),""))</f>
        <v/>
      </c>
      <c r="G612" s="19">
        <f>IF($B612="","",IFERROR(INDEX(智能流水!$G$2:$G$1001,MATCH($B612,智能流水!$B$2:$B$1001,0)),""))</f>
        <v/>
      </c>
      <c r="H612" s="19">
        <f>IF($B612="","",IFERROR(INDEX(智能流水!$H$2:$H$1001,MATCH($B612,智能流水!$B$2:$B$1001,0)),""))</f>
        <v/>
      </c>
      <c r="I612" s="19">
        <f>IF($B612="","",IFERROR(INDEX(智能流水!$I$2:$I$1001,MATCH($B612,智能流水!$B$2:$B$1001,0)),""))</f>
        <v/>
      </c>
      <c r="J612" s="19">
        <f>IF($B612="","",IFERROR(INDEX(智能流水!$J$2:$J$1001,MATCH($B612,智能流水!$B$2:$B$1001,0)),""))</f>
        <v/>
      </c>
      <c r="K612" s="19">
        <f>IF($B612="","",IFERROR(INDEX(智能流水!$K$2:$K$1001,MATCH($B612,智能流水!$B$2:$B$1001,0)),""))</f>
        <v/>
      </c>
      <c r="L612" s="19">
        <f>IF($B612="","",IFERROR(INDEX(智能流水!$L$2:$L$1001,MATCH($B612,智能流水!$B$2:$B$1001,0)),""))</f>
        <v/>
      </c>
      <c r="M612" s="19">
        <f>IF($B612="","",IFERROR(INDEX(智能流水!$M$2:$M$1001,MATCH($B612,智能流水!$B$2:$B$1001,0)),""))</f>
        <v/>
      </c>
      <c r="N612" s="19">
        <f>IF($B612="","",IFERROR(INDEX(智能流水!$N$2:$N$1001,MATCH($B612,智能流水!$B$2:$B$1001,0)),""))</f>
        <v/>
      </c>
      <c r="O612" s="19">
        <f>IF($B612="","",IFERROR(INDEX(智能流水!$O$2:$O$1001,MATCH($B612,智能流水!$B$2:$B$1001,0)),""))</f>
        <v/>
      </c>
    </row>
    <row r="613">
      <c r="A613" s="19">
        <f>IF($B613="","",612)</f>
        <v/>
      </c>
      <c r="B613" s="19">
        <f>IFERROR(LARGE(智能流水!$B$2:$B$1001,612),"")</f>
        <v/>
      </c>
      <c r="C613" s="19">
        <f>IF($B613="","",IFERROR(INDEX(智能流水!$C$2:$C$1001,MATCH($B613,智能流水!$B$2:$B$1001,0)),""))</f>
        <v/>
      </c>
      <c r="D613" s="19">
        <f>IF($B613="","",IFERROR(INDEX(智能流水!$D$2:$D$1001,MATCH($B613,智能流水!$B$2:$B$1001,0)),""))</f>
        <v/>
      </c>
      <c r="E613" s="19">
        <f>IF($B613="","",IFERROR(INDEX(智能流水!$E$2:$E$1001,MATCH($B613,智能流水!$B$2:$B$1001,0)),""))</f>
        <v/>
      </c>
      <c r="F613" s="19">
        <f>IF($B613="","",IFERROR(INDEX(智能流水!$F$2:$F$1001,MATCH($B613,智能流水!$B$2:$B$1001,0)),""))</f>
        <v/>
      </c>
      <c r="G613" s="19">
        <f>IF($B613="","",IFERROR(INDEX(智能流水!$G$2:$G$1001,MATCH($B613,智能流水!$B$2:$B$1001,0)),""))</f>
        <v/>
      </c>
      <c r="H613" s="19">
        <f>IF($B613="","",IFERROR(INDEX(智能流水!$H$2:$H$1001,MATCH($B613,智能流水!$B$2:$B$1001,0)),""))</f>
        <v/>
      </c>
      <c r="I613" s="19">
        <f>IF($B613="","",IFERROR(INDEX(智能流水!$I$2:$I$1001,MATCH($B613,智能流水!$B$2:$B$1001,0)),""))</f>
        <v/>
      </c>
      <c r="J613" s="19">
        <f>IF($B613="","",IFERROR(INDEX(智能流水!$J$2:$J$1001,MATCH($B613,智能流水!$B$2:$B$1001,0)),""))</f>
        <v/>
      </c>
      <c r="K613" s="19">
        <f>IF($B613="","",IFERROR(INDEX(智能流水!$K$2:$K$1001,MATCH($B613,智能流水!$B$2:$B$1001,0)),""))</f>
        <v/>
      </c>
      <c r="L613" s="19">
        <f>IF($B613="","",IFERROR(INDEX(智能流水!$L$2:$L$1001,MATCH($B613,智能流水!$B$2:$B$1001,0)),""))</f>
        <v/>
      </c>
      <c r="M613" s="19">
        <f>IF($B613="","",IFERROR(INDEX(智能流水!$M$2:$M$1001,MATCH($B613,智能流水!$B$2:$B$1001,0)),""))</f>
        <v/>
      </c>
      <c r="N613" s="19">
        <f>IF($B613="","",IFERROR(INDEX(智能流水!$N$2:$N$1001,MATCH($B613,智能流水!$B$2:$B$1001,0)),""))</f>
        <v/>
      </c>
      <c r="O613" s="19">
        <f>IF($B613="","",IFERROR(INDEX(智能流水!$O$2:$O$1001,MATCH($B613,智能流水!$B$2:$B$1001,0)),""))</f>
        <v/>
      </c>
    </row>
    <row r="614">
      <c r="A614" s="19">
        <f>IF($B614="","",613)</f>
        <v/>
      </c>
      <c r="B614" s="19">
        <f>IFERROR(LARGE(智能流水!$B$2:$B$1001,613),"")</f>
        <v/>
      </c>
      <c r="C614" s="19">
        <f>IF($B614="","",IFERROR(INDEX(智能流水!$C$2:$C$1001,MATCH($B614,智能流水!$B$2:$B$1001,0)),""))</f>
        <v/>
      </c>
      <c r="D614" s="19">
        <f>IF($B614="","",IFERROR(INDEX(智能流水!$D$2:$D$1001,MATCH($B614,智能流水!$B$2:$B$1001,0)),""))</f>
        <v/>
      </c>
      <c r="E614" s="19">
        <f>IF($B614="","",IFERROR(INDEX(智能流水!$E$2:$E$1001,MATCH($B614,智能流水!$B$2:$B$1001,0)),""))</f>
        <v/>
      </c>
      <c r="F614" s="19">
        <f>IF($B614="","",IFERROR(INDEX(智能流水!$F$2:$F$1001,MATCH($B614,智能流水!$B$2:$B$1001,0)),""))</f>
        <v/>
      </c>
      <c r="G614" s="19">
        <f>IF($B614="","",IFERROR(INDEX(智能流水!$G$2:$G$1001,MATCH($B614,智能流水!$B$2:$B$1001,0)),""))</f>
        <v/>
      </c>
      <c r="H614" s="19">
        <f>IF($B614="","",IFERROR(INDEX(智能流水!$H$2:$H$1001,MATCH($B614,智能流水!$B$2:$B$1001,0)),""))</f>
        <v/>
      </c>
      <c r="I614" s="19">
        <f>IF($B614="","",IFERROR(INDEX(智能流水!$I$2:$I$1001,MATCH($B614,智能流水!$B$2:$B$1001,0)),""))</f>
        <v/>
      </c>
      <c r="J614" s="19">
        <f>IF($B614="","",IFERROR(INDEX(智能流水!$J$2:$J$1001,MATCH($B614,智能流水!$B$2:$B$1001,0)),""))</f>
        <v/>
      </c>
      <c r="K614" s="19">
        <f>IF($B614="","",IFERROR(INDEX(智能流水!$K$2:$K$1001,MATCH($B614,智能流水!$B$2:$B$1001,0)),""))</f>
        <v/>
      </c>
      <c r="L614" s="19">
        <f>IF($B614="","",IFERROR(INDEX(智能流水!$L$2:$L$1001,MATCH($B614,智能流水!$B$2:$B$1001,0)),""))</f>
        <v/>
      </c>
      <c r="M614" s="19">
        <f>IF($B614="","",IFERROR(INDEX(智能流水!$M$2:$M$1001,MATCH($B614,智能流水!$B$2:$B$1001,0)),""))</f>
        <v/>
      </c>
      <c r="N614" s="19">
        <f>IF($B614="","",IFERROR(INDEX(智能流水!$N$2:$N$1001,MATCH($B614,智能流水!$B$2:$B$1001,0)),""))</f>
        <v/>
      </c>
      <c r="O614" s="19">
        <f>IF($B614="","",IFERROR(INDEX(智能流水!$O$2:$O$1001,MATCH($B614,智能流水!$B$2:$B$1001,0)),""))</f>
        <v/>
      </c>
    </row>
    <row r="615">
      <c r="A615" s="19">
        <f>IF($B615="","",614)</f>
        <v/>
      </c>
      <c r="B615" s="19">
        <f>IFERROR(LARGE(智能流水!$B$2:$B$1001,614),"")</f>
        <v/>
      </c>
      <c r="C615" s="19">
        <f>IF($B615="","",IFERROR(INDEX(智能流水!$C$2:$C$1001,MATCH($B615,智能流水!$B$2:$B$1001,0)),""))</f>
        <v/>
      </c>
      <c r="D615" s="19">
        <f>IF($B615="","",IFERROR(INDEX(智能流水!$D$2:$D$1001,MATCH($B615,智能流水!$B$2:$B$1001,0)),""))</f>
        <v/>
      </c>
      <c r="E615" s="19">
        <f>IF($B615="","",IFERROR(INDEX(智能流水!$E$2:$E$1001,MATCH($B615,智能流水!$B$2:$B$1001,0)),""))</f>
        <v/>
      </c>
      <c r="F615" s="19">
        <f>IF($B615="","",IFERROR(INDEX(智能流水!$F$2:$F$1001,MATCH($B615,智能流水!$B$2:$B$1001,0)),""))</f>
        <v/>
      </c>
      <c r="G615" s="19">
        <f>IF($B615="","",IFERROR(INDEX(智能流水!$G$2:$G$1001,MATCH($B615,智能流水!$B$2:$B$1001,0)),""))</f>
        <v/>
      </c>
      <c r="H615" s="19">
        <f>IF($B615="","",IFERROR(INDEX(智能流水!$H$2:$H$1001,MATCH($B615,智能流水!$B$2:$B$1001,0)),""))</f>
        <v/>
      </c>
      <c r="I615" s="19">
        <f>IF($B615="","",IFERROR(INDEX(智能流水!$I$2:$I$1001,MATCH($B615,智能流水!$B$2:$B$1001,0)),""))</f>
        <v/>
      </c>
      <c r="J615" s="19">
        <f>IF($B615="","",IFERROR(INDEX(智能流水!$J$2:$J$1001,MATCH($B615,智能流水!$B$2:$B$1001,0)),""))</f>
        <v/>
      </c>
      <c r="K615" s="19">
        <f>IF($B615="","",IFERROR(INDEX(智能流水!$K$2:$K$1001,MATCH($B615,智能流水!$B$2:$B$1001,0)),""))</f>
        <v/>
      </c>
      <c r="L615" s="19">
        <f>IF($B615="","",IFERROR(INDEX(智能流水!$L$2:$L$1001,MATCH($B615,智能流水!$B$2:$B$1001,0)),""))</f>
        <v/>
      </c>
      <c r="M615" s="19">
        <f>IF($B615="","",IFERROR(INDEX(智能流水!$M$2:$M$1001,MATCH($B615,智能流水!$B$2:$B$1001,0)),""))</f>
        <v/>
      </c>
      <c r="N615" s="19">
        <f>IF($B615="","",IFERROR(INDEX(智能流水!$N$2:$N$1001,MATCH($B615,智能流水!$B$2:$B$1001,0)),""))</f>
        <v/>
      </c>
      <c r="O615" s="19">
        <f>IF($B615="","",IFERROR(INDEX(智能流水!$O$2:$O$1001,MATCH($B615,智能流水!$B$2:$B$1001,0)),""))</f>
        <v/>
      </c>
    </row>
    <row r="616">
      <c r="A616" s="19">
        <f>IF($B616="","",615)</f>
        <v/>
      </c>
      <c r="B616" s="19">
        <f>IFERROR(LARGE(智能流水!$B$2:$B$1001,615),"")</f>
        <v/>
      </c>
      <c r="C616" s="19">
        <f>IF($B616="","",IFERROR(INDEX(智能流水!$C$2:$C$1001,MATCH($B616,智能流水!$B$2:$B$1001,0)),""))</f>
        <v/>
      </c>
      <c r="D616" s="19">
        <f>IF($B616="","",IFERROR(INDEX(智能流水!$D$2:$D$1001,MATCH($B616,智能流水!$B$2:$B$1001,0)),""))</f>
        <v/>
      </c>
      <c r="E616" s="19">
        <f>IF($B616="","",IFERROR(INDEX(智能流水!$E$2:$E$1001,MATCH($B616,智能流水!$B$2:$B$1001,0)),""))</f>
        <v/>
      </c>
      <c r="F616" s="19">
        <f>IF($B616="","",IFERROR(INDEX(智能流水!$F$2:$F$1001,MATCH($B616,智能流水!$B$2:$B$1001,0)),""))</f>
        <v/>
      </c>
      <c r="G616" s="19">
        <f>IF($B616="","",IFERROR(INDEX(智能流水!$G$2:$G$1001,MATCH($B616,智能流水!$B$2:$B$1001,0)),""))</f>
        <v/>
      </c>
      <c r="H616" s="19">
        <f>IF($B616="","",IFERROR(INDEX(智能流水!$H$2:$H$1001,MATCH($B616,智能流水!$B$2:$B$1001,0)),""))</f>
        <v/>
      </c>
      <c r="I616" s="19">
        <f>IF($B616="","",IFERROR(INDEX(智能流水!$I$2:$I$1001,MATCH($B616,智能流水!$B$2:$B$1001,0)),""))</f>
        <v/>
      </c>
      <c r="J616" s="19">
        <f>IF($B616="","",IFERROR(INDEX(智能流水!$J$2:$J$1001,MATCH($B616,智能流水!$B$2:$B$1001,0)),""))</f>
        <v/>
      </c>
      <c r="K616" s="19">
        <f>IF($B616="","",IFERROR(INDEX(智能流水!$K$2:$K$1001,MATCH($B616,智能流水!$B$2:$B$1001,0)),""))</f>
        <v/>
      </c>
      <c r="L616" s="19">
        <f>IF($B616="","",IFERROR(INDEX(智能流水!$L$2:$L$1001,MATCH($B616,智能流水!$B$2:$B$1001,0)),""))</f>
        <v/>
      </c>
      <c r="M616" s="19">
        <f>IF($B616="","",IFERROR(INDEX(智能流水!$M$2:$M$1001,MATCH($B616,智能流水!$B$2:$B$1001,0)),""))</f>
        <v/>
      </c>
      <c r="N616" s="19">
        <f>IF($B616="","",IFERROR(INDEX(智能流水!$N$2:$N$1001,MATCH($B616,智能流水!$B$2:$B$1001,0)),""))</f>
        <v/>
      </c>
      <c r="O616" s="19">
        <f>IF($B616="","",IFERROR(INDEX(智能流水!$O$2:$O$1001,MATCH($B616,智能流水!$B$2:$B$1001,0)),""))</f>
        <v/>
      </c>
    </row>
    <row r="617">
      <c r="A617" s="19">
        <f>IF($B617="","",616)</f>
        <v/>
      </c>
      <c r="B617" s="19">
        <f>IFERROR(LARGE(智能流水!$B$2:$B$1001,616),"")</f>
        <v/>
      </c>
      <c r="C617" s="19">
        <f>IF($B617="","",IFERROR(INDEX(智能流水!$C$2:$C$1001,MATCH($B617,智能流水!$B$2:$B$1001,0)),""))</f>
        <v/>
      </c>
      <c r="D617" s="19">
        <f>IF($B617="","",IFERROR(INDEX(智能流水!$D$2:$D$1001,MATCH($B617,智能流水!$B$2:$B$1001,0)),""))</f>
        <v/>
      </c>
      <c r="E617" s="19">
        <f>IF($B617="","",IFERROR(INDEX(智能流水!$E$2:$E$1001,MATCH($B617,智能流水!$B$2:$B$1001,0)),""))</f>
        <v/>
      </c>
      <c r="F617" s="19">
        <f>IF($B617="","",IFERROR(INDEX(智能流水!$F$2:$F$1001,MATCH($B617,智能流水!$B$2:$B$1001,0)),""))</f>
        <v/>
      </c>
      <c r="G617" s="19">
        <f>IF($B617="","",IFERROR(INDEX(智能流水!$G$2:$G$1001,MATCH($B617,智能流水!$B$2:$B$1001,0)),""))</f>
        <v/>
      </c>
      <c r="H617" s="19">
        <f>IF($B617="","",IFERROR(INDEX(智能流水!$H$2:$H$1001,MATCH($B617,智能流水!$B$2:$B$1001,0)),""))</f>
        <v/>
      </c>
      <c r="I617" s="19">
        <f>IF($B617="","",IFERROR(INDEX(智能流水!$I$2:$I$1001,MATCH($B617,智能流水!$B$2:$B$1001,0)),""))</f>
        <v/>
      </c>
      <c r="J617" s="19">
        <f>IF($B617="","",IFERROR(INDEX(智能流水!$J$2:$J$1001,MATCH($B617,智能流水!$B$2:$B$1001,0)),""))</f>
        <v/>
      </c>
      <c r="K617" s="19">
        <f>IF($B617="","",IFERROR(INDEX(智能流水!$K$2:$K$1001,MATCH($B617,智能流水!$B$2:$B$1001,0)),""))</f>
        <v/>
      </c>
      <c r="L617" s="19">
        <f>IF($B617="","",IFERROR(INDEX(智能流水!$L$2:$L$1001,MATCH($B617,智能流水!$B$2:$B$1001,0)),""))</f>
        <v/>
      </c>
      <c r="M617" s="19">
        <f>IF($B617="","",IFERROR(INDEX(智能流水!$M$2:$M$1001,MATCH($B617,智能流水!$B$2:$B$1001,0)),""))</f>
        <v/>
      </c>
      <c r="N617" s="19">
        <f>IF($B617="","",IFERROR(INDEX(智能流水!$N$2:$N$1001,MATCH($B617,智能流水!$B$2:$B$1001,0)),""))</f>
        <v/>
      </c>
      <c r="O617" s="19">
        <f>IF($B617="","",IFERROR(INDEX(智能流水!$O$2:$O$1001,MATCH($B617,智能流水!$B$2:$B$1001,0)),""))</f>
        <v/>
      </c>
    </row>
    <row r="618">
      <c r="A618" s="19">
        <f>IF($B618="","",617)</f>
        <v/>
      </c>
      <c r="B618" s="19">
        <f>IFERROR(LARGE(智能流水!$B$2:$B$1001,617),"")</f>
        <v/>
      </c>
      <c r="C618" s="19">
        <f>IF($B618="","",IFERROR(INDEX(智能流水!$C$2:$C$1001,MATCH($B618,智能流水!$B$2:$B$1001,0)),""))</f>
        <v/>
      </c>
      <c r="D618" s="19">
        <f>IF($B618="","",IFERROR(INDEX(智能流水!$D$2:$D$1001,MATCH($B618,智能流水!$B$2:$B$1001,0)),""))</f>
        <v/>
      </c>
      <c r="E618" s="19">
        <f>IF($B618="","",IFERROR(INDEX(智能流水!$E$2:$E$1001,MATCH($B618,智能流水!$B$2:$B$1001,0)),""))</f>
        <v/>
      </c>
      <c r="F618" s="19">
        <f>IF($B618="","",IFERROR(INDEX(智能流水!$F$2:$F$1001,MATCH($B618,智能流水!$B$2:$B$1001,0)),""))</f>
        <v/>
      </c>
      <c r="G618" s="19">
        <f>IF($B618="","",IFERROR(INDEX(智能流水!$G$2:$G$1001,MATCH($B618,智能流水!$B$2:$B$1001,0)),""))</f>
        <v/>
      </c>
      <c r="H618" s="19">
        <f>IF($B618="","",IFERROR(INDEX(智能流水!$H$2:$H$1001,MATCH($B618,智能流水!$B$2:$B$1001,0)),""))</f>
        <v/>
      </c>
      <c r="I618" s="19">
        <f>IF($B618="","",IFERROR(INDEX(智能流水!$I$2:$I$1001,MATCH($B618,智能流水!$B$2:$B$1001,0)),""))</f>
        <v/>
      </c>
      <c r="J618" s="19">
        <f>IF($B618="","",IFERROR(INDEX(智能流水!$J$2:$J$1001,MATCH($B618,智能流水!$B$2:$B$1001,0)),""))</f>
        <v/>
      </c>
      <c r="K618" s="19">
        <f>IF($B618="","",IFERROR(INDEX(智能流水!$K$2:$K$1001,MATCH($B618,智能流水!$B$2:$B$1001,0)),""))</f>
        <v/>
      </c>
      <c r="L618" s="19">
        <f>IF($B618="","",IFERROR(INDEX(智能流水!$L$2:$L$1001,MATCH($B618,智能流水!$B$2:$B$1001,0)),""))</f>
        <v/>
      </c>
      <c r="M618" s="19">
        <f>IF($B618="","",IFERROR(INDEX(智能流水!$M$2:$M$1001,MATCH($B618,智能流水!$B$2:$B$1001,0)),""))</f>
        <v/>
      </c>
      <c r="N618" s="19">
        <f>IF($B618="","",IFERROR(INDEX(智能流水!$N$2:$N$1001,MATCH($B618,智能流水!$B$2:$B$1001,0)),""))</f>
        <v/>
      </c>
      <c r="O618" s="19">
        <f>IF($B618="","",IFERROR(INDEX(智能流水!$O$2:$O$1001,MATCH($B618,智能流水!$B$2:$B$1001,0)),""))</f>
        <v/>
      </c>
    </row>
    <row r="619">
      <c r="A619" s="19">
        <f>IF($B619="","",618)</f>
        <v/>
      </c>
      <c r="B619" s="19">
        <f>IFERROR(LARGE(智能流水!$B$2:$B$1001,618),"")</f>
        <v/>
      </c>
      <c r="C619" s="19">
        <f>IF($B619="","",IFERROR(INDEX(智能流水!$C$2:$C$1001,MATCH($B619,智能流水!$B$2:$B$1001,0)),""))</f>
        <v/>
      </c>
      <c r="D619" s="19">
        <f>IF($B619="","",IFERROR(INDEX(智能流水!$D$2:$D$1001,MATCH($B619,智能流水!$B$2:$B$1001,0)),""))</f>
        <v/>
      </c>
      <c r="E619" s="19">
        <f>IF($B619="","",IFERROR(INDEX(智能流水!$E$2:$E$1001,MATCH($B619,智能流水!$B$2:$B$1001,0)),""))</f>
        <v/>
      </c>
      <c r="F619" s="19">
        <f>IF($B619="","",IFERROR(INDEX(智能流水!$F$2:$F$1001,MATCH($B619,智能流水!$B$2:$B$1001,0)),""))</f>
        <v/>
      </c>
      <c r="G619" s="19">
        <f>IF($B619="","",IFERROR(INDEX(智能流水!$G$2:$G$1001,MATCH($B619,智能流水!$B$2:$B$1001,0)),""))</f>
        <v/>
      </c>
      <c r="H619" s="19">
        <f>IF($B619="","",IFERROR(INDEX(智能流水!$H$2:$H$1001,MATCH($B619,智能流水!$B$2:$B$1001,0)),""))</f>
        <v/>
      </c>
      <c r="I619" s="19">
        <f>IF($B619="","",IFERROR(INDEX(智能流水!$I$2:$I$1001,MATCH($B619,智能流水!$B$2:$B$1001,0)),""))</f>
        <v/>
      </c>
      <c r="J619" s="19">
        <f>IF($B619="","",IFERROR(INDEX(智能流水!$J$2:$J$1001,MATCH($B619,智能流水!$B$2:$B$1001,0)),""))</f>
        <v/>
      </c>
      <c r="K619" s="19">
        <f>IF($B619="","",IFERROR(INDEX(智能流水!$K$2:$K$1001,MATCH($B619,智能流水!$B$2:$B$1001,0)),""))</f>
        <v/>
      </c>
      <c r="L619" s="19">
        <f>IF($B619="","",IFERROR(INDEX(智能流水!$L$2:$L$1001,MATCH($B619,智能流水!$B$2:$B$1001,0)),""))</f>
        <v/>
      </c>
      <c r="M619" s="19">
        <f>IF($B619="","",IFERROR(INDEX(智能流水!$M$2:$M$1001,MATCH($B619,智能流水!$B$2:$B$1001,0)),""))</f>
        <v/>
      </c>
      <c r="N619" s="19">
        <f>IF($B619="","",IFERROR(INDEX(智能流水!$N$2:$N$1001,MATCH($B619,智能流水!$B$2:$B$1001,0)),""))</f>
        <v/>
      </c>
      <c r="O619" s="19">
        <f>IF($B619="","",IFERROR(INDEX(智能流水!$O$2:$O$1001,MATCH($B619,智能流水!$B$2:$B$1001,0)),""))</f>
        <v/>
      </c>
    </row>
    <row r="620">
      <c r="A620" s="19">
        <f>IF($B620="","",619)</f>
        <v/>
      </c>
      <c r="B620" s="19">
        <f>IFERROR(LARGE(智能流水!$B$2:$B$1001,619),"")</f>
        <v/>
      </c>
      <c r="C620" s="19">
        <f>IF($B620="","",IFERROR(INDEX(智能流水!$C$2:$C$1001,MATCH($B620,智能流水!$B$2:$B$1001,0)),""))</f>
        <v/>
      </c>
      <c r="D620" s="19">
        <f>IF($B620="","",IFERROR(INDEX(智能流水!$D$2:$D$1001,MATCH($B620,智能流水!$B$2:$B$1001,0)),""))</f>
        <v/>
      </c>
      <c r="E620" s="19">
        <f>IF($B620="","",IFERROR(INDEX(智能流水!$E$2:$E$1001,MATCH($B620,智能流水!$B$2:$B$1001,0)),""))</f>
        <v/>
      </c>
      <c r="F620" s="19">
        <f>IF($B620="","",IFERROR(INDEX(智能流水!$F$2:$F$1001,MATCH($B620,智能流水!$B$2:$B$1001,0)),""))</f>
        <v/>
      </c>
      <c r="G620" s="19">
        <f>IF($B620="","",IFERROR(INDEX(智能流水!$G$2:$G$1001,MATCH($B620,智能流水!$B$2:$B$1001,0)),""))</f>
        <v/>
      </c>
      <c r="H620" s="19">
        <f>IF($B620="","",IFERROR(INDEX(智能流水!$H$2:$H$1001,MATCH($B620,智能流水!$B$2:$B$1001,0)),""))</f>
        <v/>
      </c>
      <c r="I620" s="19">
        <f>IF($B620="","",IFERROR(INDEX(智能流水!$I$2:$I$1001,MATCH($B620,智能流水!$B$2:$B$1001,0)),""))</f>
        <v/>
      </c>
      <c r="J620" s="19">
        <f>IF($B620="","",IFERROR(INDEX(智能流水!$J$2:$J$1001,MATCH($B620,智能流水!$B$2:$B$1001,0)),""))</f>
        <v/>
      </c>
      <c r="K620" s="19">
        <f>IF($B620="","",IFERROR(INDEX(智能流水!$K$2:$K$1001,MATCH($B620,智能流水!$B$2:$B$1001,0)),""))</f>
        <v/>
      </c>
      <c r="L620" s="19">
        <f>IF($B620="","",IFERROR(INDEX(智能流水!$L$2:$L$1001,MATCH($B620,智能流水!$B$2:$B$1001,0)),""))</f>
        <v/>
      </c>
      <c r="M620" s="19">
        <f>IF($B620="","",IFERROR(INDEX(智能流水!$M$2:$M$1001,MATCH($B620,智能流水!$B$2:$B$1001,0)),""))</f>
        <v/>
      </c>
      <c r="N620" s="19">
        <f>IF($B620="","",IFERROR(INDEX(智能流水!$N$2:$N$1001,MATCH($B620,智能流水!$B$2:$B$1001,0)),""))</f>
        <v/>
      </c>
      <c r="O620" s="19">
        <f>IF($B620="","",IFERROR(INDEX(智能流水!$O$2:$O$1001,MATCH($B620,智能流水!$B$2:$B$1001,0)),""))</f>
        <v/>
      </c>
    </row>
    <row r="621">
      <c r="A621" s="19">
        <f>IF($B621="","",620)</f>
        <v/>
      </c>
      <c r="B621" s="19">
        <f>IFERROR(LARGE(智能流水!$B$2:$B$1001,620),"")</f>
        <v/>
      </c>
      <c r="C621" s="19">
        <f>IF($B621="","",IFERROR(INDEX(智能流水!$C$2:$C$1001,MATCH($B621,智能流水!$B$2:$B$1001,0)),""))</f>
        <v/>
      </c>
      <c r="D621" s="19">
        <f>IF($B621="","",IFERROR(INDEX(智能流水!$D$2:$D$1001,MATCH($B621,智能流水!$B$2:$B$1001,0)),""))</f>
        <v/>
      </c>
      <c r="E621" s="19">
        <f>IF($B621="","",IFERROR(INDEX(智能流水!$E$2:$E$1001,MATCH($B621,智能流水!$B$2:$B$1001,0)),""))</f>
        <v/>
      </c>
      <c r="F621" s="19">
        <f>IF($B621="","",IFERROR(INDEX(智能流水!$F$2:$F$1001,MATCH($B621,智能流水!$B$2:$B$1001,0)),""))</f>
        <v/>
      </c>
      <c r="G621" s="19">
        <f>IF($B621="","",IFERROR(INDEX(智能流水!$G$2:$G$1001,MATCH($B621,智能流水!$B$2:$B$1001,0)),""))</f>
        <v/>
      </c>
      <c r="H621" s="19">
        <f>IF($B621="","",IFERROR(INDEX(智能流水!$H$2:$H$1001,MATCH($B621,智能流水!$B$2:$B$1001,0)),""))</f>
        <v/>
      </c>
      <c r="I621" s="19">
        <f>IF($B621="","",IFERROR(INDEX(智能流水!$I$2:$I$1001,MATCH($B621,智能流水!$B$2:$B$1001,0)),""))</f>
        <v/>
      </c>
      <c r="J621" s="19">
        <f>IF($B621="","",IFERROR(INDEX(智能流水!$J$2:$J$1001,MATCH($B621,智能流水!$B$2:$B$1001,0)),""))</f>
        <v/>
      </c>
      <c r="K621" s="19">
        <f>IF($B621="","",IFERROR(INDEX(智能流水!$K$2:$K$1001,MATCH($B621,智能流水!$B$2:$B$1001,0)),""))</f>
        <v/>
      </c>
      <c r="L621" s="19">
        <f>IF($B621="","",IFERROR(INDEX(智能流水!$L$2:$L$1001,MATCH($B621,智能流水!$B$2:$B$1001,0)),""))</f>
        <v/>
      </c>
      <c r="M621" s="19">
        <f>IF($B621="","",IFERROR(INDEX(智能流水!$M$2:$M$1001,MATCH($B621,智能流水!$B$2:$B$1001,0)),""))</f>
        <v/>
      </c>
      <c r="N621" s="19">
        <f>IF($B621="","",IFERROR(INDEX(智能流水!$N$2:$N$1001,MATCH($B621,智能流水!$B$2:$B$1001,0)),""))</f>
        <v/>
      </c>
      <c r="O621" s="19">
        <f>IF($B621="","",IFERROR(INDEX(智能流水!$O$2:$O$1001,MATCH($B621,智能流水!$B$2:$B$1001,0)),""))</f>
        <v/>
      </c>
    </row>
    <row r="622">
      <c r="A622" s="19">
        <f>IF($B622="","",621)</f>
        <v/>
      </c>
      <c r="B622" s="19">
        <f>IFERROR(LARGE(智能流水!$B$2:$B$1001,621),"")</f>
        <v/>
      </c>
      <c r="C622" s="19">
        <f>IF($B622="","",IFERROR(INDEX(智能流水!$C$2:$C$1001,MATCH($B622,智能流水!$B$2:$B$1001,0)),""))</f>
        <v/>
      </c>
      <c r="D622" s="19">
        <f>IF($B622="","",IFERROR(INDEX(智能流水!$D$2:$D$1001,MATCH($B622,智能流水!$B$2:$B$1001,0)),""))</f>
        <v/>
      </c>
      <c r="E622" s="19">
        <f>IF($B622="","",IFERROR(INDEX(智能流水!$E$2:$E$1001,MATCH($B622,智能流水!$B$2:$B$1001,0)),""))</f>
        <v/>
      </c>
      <c r="F622" s="19">
        <f>IF($B622="","",IFERROR(INDEX(智能流水!$F$2:$F$1001,MATCH($B622,智能流水!$B$2:$B$1001,0)),""))</f>
        <v/>
      </c>
      <c r="G622" s="19">
        <f>IF($B622="","",IFERROR(INDEX(智能流水!$G$2:$G$1001,MATCH($B622,智能流水!$B$2:$B$1001,0)),""))</f>
        <v/>
      </c>
      <c r="H622" s="19">
        <f>IF($B622="","",IFERROR(INDEX(智能流水!$H$2:$H$1001,MATCH($B622,智能流水!$B$2:$B$1001,0)),""))</f>
        <v/>
      </c>
      <c r="I622" s="19">
        <f>IF($B622="","",IFERROR(INDEX(智能流水!$I$2:$I$1001,MATCH($B622,智能流水!$B$2:$B$1001,0)),""))</f>
        <v/>
      </c>
      <c r="J622" s="19">
        <f>IF($B622="","",IFERROR(INDEX(智能流水!$J$2:$J$1001,MATCH($B622,智能流水!$B$2:$B$1001,0)),""))</f>
        <v/>
      </c>
      <c r="K622" s="19">
        <f>IF($B622="","",IFERROR(INDEX(智能流水!$K$2:$K$1001,MATCH($B622,智能流水!$B$2:$B$1001,0)),""))</f>
        <v/>
      </c>
      <c r="L622" s="19">
        <f>IF($B622="","",IFERROR(INDEX(智能流水!$L$2:$L$1001,MATCH($B622,智能流水!$B$2:$B$1001,0)),""))</f>
        <v/>
      </c>
      <c r="M622" s="19">
        <f>IF($B622="","",IFERROR(INDEX(智能流水!$M$2:$M$1001,MATCH($B622,智能流水!$B$2:$B$1001,0)),""))</f>
        <v/>
      </c>
      <c r="N622" s="19">
        <f>IF($B622="","",IFERROR(INDEX(智能流水!$N$2:$N$1001,MATCH($B622,智能流水!$B$2:$B$1001,0)),""))</f>
        <v/>
      </c>
      <c r="O622" s="19">
        <f>IF($B622="","",IFERROR(INDEX(智能流水!$O$2:$O$1001,MATCH($B622,智能流水!$B$2:$B$1001,0)),""))</f>
        <v/>
      </c>
    </row>
    <row r="623">
      <c r="A623" s="19">
        <f>IF($B623="","",622)</f>
        <v/>
      </c>
      <c r="B623" s="19">
        <f>IFERROR(LARGE(智能流水!$B$2:$B$1001,622),"")</f>
        <v/>
      </c>
      <c r="C623" s="19">
        <f>IF($B623="","",IFERROR(INDEX(智能流水!$C$2:$C$1001,MATCH($B623,智能流水!$B$2:$B$1001,0)),""))</f>
        <v/>
      </c>
      <c r="D623" s="19">
        <f>IF($B623="","",IFERROR(INDEX(智能流水!$D$2:$D$1001,MATCH($B623,智能流水!$B$2:$B$1001,0)),""))</f>
        <v/>
      </c>
      <c r="E623" s="19">
        <f>IF($B623="","",IFERROR(INDEX(智能流水!$E$2:$E$1001,MATCH($B623,智能流水!$B$2:$B$1001,0)),""))</f>
        <v/>
      </c>
      <c r="F623" s="19">
        <f>IF($B623="","",IFERROR(INDEX(智能流水!$F$2:$F$1001,MATCH($B623,智能流水!$B$2:$B$1001,0)),""))</f>
        <v/>
      </c>
      <c r="G623" s="19">
        <f>IF($B623="","",IFERROR(INDEX(智能流水!$G$2:$G$1001,MATCH($B623,智能流水!$B$2:$B$1001,0)),""))</f>
        <v/>
      </c>
      <c r="H623" s="19">
        <f>IF($B623="","",IFERROR(INDEX(智能流水!$H$2:$H$1001,MATCH($B623,智能流水!$B$2:$B$1001,0)),""))</f>
        <v/>
      </c>
      <c r="I623" s="19">
        <f>IF($B623="","",IFERROR(INDEX(智能流水!$I$2:$I$1001,MATCH($B623,智能流水!$B$2:$B$1001,0)),""))</f>
        <v/>
      </c>
      <c r="J623" s="19">
        <f>IF($B623="","",IFERROR(INDEX(智能流水!$J$2:$J$1001,MATCH($B623,智能流水!$B$2:$B$1001,0)),""))</f>
        <v/>
      </c>
      <c r="K623" s="19">
        <f>IF($B623="","",IFERROR(INDEX(智能流水!$K$2:$K$1001,MATCH($B623,智能流水!$B$2:$B$1001,0)),""))</f>
        <v/>
      </c>
      <c r="L623" s="19">
        <f>IF($B623="","",IFERROR(INDEX(智能流水!$L$2:$L$1001,MATCH($B623,智能流水!$B$2:$B$1001,0)),""))</f>
        <v/>
      </c>
      <c r="M623" s="19">
        <f>IF($B623="","",IFERROR(INDEX(智能流水!$M$2:$M$1001,MATCH($B623,智能流水!$B$2:$B$1001,0)),""))</f>
        <v/>
      </c>
      <c r="N623" s="19">
        <f>IF($B623="","",IFERROR(INDEX(智能流水!$N$2:$N$1001,MATCH($B623,智能流水!$B$2:$B$1001,0)),""))</f>
        <v/>
      </c>
      <c r="O623" s="19">
        <f>IF($B623="","",IFERROR(INDEX(智能流水!$O$2:$O$1001,MATCH($B623,智能流水!$B$2:$B$1001,0)),""))</f>
        <v/>
      </c>
    </row>
    <row r="624">
      <c r="A624" s="19">
        <f>IF($B624="","",623)</f>
        <v/>
      </c>
      <c r="B624" s="19">
        <f>IFERROR(LARGE(智能流水!$B$2:$B$1001,623),"")</f>
        <v/>
      </c>
      <c r="C624" s="19">
        <f>IF($B624="","",IFERROR(INDEX(智能流水!$C$2:$C$1001,MATCH($B624,智能流水!$B$2:$B$1001,0)),""))</f>
        <v/>
      </c>
      <c r="D624" s="19">
        <f>IF($B624="","",IFERROR(INDEX(智能流水!$D$2:$D$1001,MATCH($B624,智能流水!$B$2:$B$1001,0)),""))</f>
        <v/>
      </c>
      <c r="E624" s="19">
        <f>IF($B624="","",IFERROR(INDEX(智能流水!$E$2:$E$1001,MATCH($B624,智能流水!$B$2:$B$1001,0)),""))</f>
        <v/>
      </c>
      <c r="F624" s="19">
        <f>IF($B624="","",IFERROR(INDEX(智能流水!$F$2:$F$1001,MATCH($B624,智能流水!$B$2:$B$1001,0)),""))</f>
        <v/>
      </c>
      <c r="G624" s="19">
        <f>IF($B624="","",IFERROR(INDEX(智能流水!$G$2:$G$1001,MATCH($B624,智能流水!$B$2:$B$1001,0)),""))</f>
        <v/>
      </c>
      <c r="H624" s="19">
        <f>IF($B624="","",IFERROR(INDEX(智能流水!$H$2:$H$1001,MATCH($B624,智能流水!$B$2:$B$1001,0)),""))</f>
        <v/>
      </c>
      <c r="I624" s="19">
        <f>IF($B624="","",IFERROR(INDEX(智能流水!$I$2:$I$1001,MATCH($B624,智能流水!$B$2:$B$1001,0)),""))</f>
        <v/>
      </c>
      <c r="J624" s="19">
        <f>IF($B624="","",IFERROR(INDEX(智能流水!$J$2:$J$1001,MATCH($B624,智能流水!$B$2:$B$1001,0)),""))</f>
        <v/>
      </c>
      <c r="K624" s="19">
        <f>IF($B624="","",IFERROR(INDEX(智能流水!$K$2:$K$1001,MATCH($B624,智能流水!$B$2:$B$1001,0)),""))</f>
        <v/>
      </c>
      <c r="L624" s="19">
        <f>IF($B624="","",IFERROR(INDEX(智能流水!$L$2:$L$1001,MATCH($B624,智能流水!$B$2:$B$1001,0)),""))</f>
        <v/>
      </c>
      <c r="M624" s="19">
        <f>IF($B624="","",IFERROR(INDEX(智能流水!$M$2:$M$1001,MATCH($B624,智能流水!$B$2:$B$1001,0)),""))</f>
        <v/>
      </c>
      <c r="N624" s="19">
        <f>IF($B624="","",IFERROR(INDEX(智能流水!$N$2:$N$1001,MATCH($B624,智能流水!$B$2:$B$1001,0)),""))</f>
        <v/>
      </c>
      <c r="O624" s="19">
        <f>IF($B624="","",IFERROR(INDEX(智能流水!$O$2:$O$1001,MATCH($B624,智能流水!$B$2:$B$1001,0)),""))</f>
        <v/>
      </c>
    </row>
    <row r="625">
      <c r="A625" s="19">
        <f>IF($B625="","",624)</f>
        <v/>
      </c>
      <c r="B625" s="19">
        <f>IFERROR(LARGE(智能流水!$B$2:$B$1001,624),"")</f>
        <v/>
      </c>
      <c r="C625" s="19">
        <f>IF($B625="","",IFERROR(INDEX(智能流水!$C$2:$C$1001,MATCH($B625,智能流水!$B$2:$B$1001,0)),""))</f>
        <v/>
      </c>
      <c r="D625" s="19">
        <f>IF($B625="","",IFERROR(INDEX(智能流水!$D$2:$D$1001,MATCH($B625,智能流水!$B$2:$B$1001,0)),""))</f>
        <v/>
      </c>
      <c r="E625" s="19">
        <f>IF($B625="","",IFERROR(INDEX(智能流水!$E$2:$E$1001,MATCH($B625,智能流水!$B$2:$B$1001,0)),""))</f>
        <v/>
      </c>
      <c r="F625" s="19">
        <f>IF($B625="","",IFERROR(INDEX(智能流水!$F$2:$F$1001,MATCH($B625,智能流水!$B$2:$B$1001,0)),""))</f>
        <v/>
      </c>
      <c r="G625" s="19">
        <f>IF($B625="","",IFERROR(INDEX(智能流水!$G$2:$G$1001,MATCH($B625,智能流水!$B$2:$B$1001,0)),""))</f>
        <v/>
      </c>
      <c r="H625" s="19">
        <f>IF($B625="","",IFERROR(INDEX(智能流水!$H$2:$H$1001,MATCH($B625,智能流水!$B$2:$B$1001,0)),""))</f>
        <v/>
      </c>
      <c r="I625" s="19">
        <f>IF($B625="","",IFERROR(INDEX(智能流水!$I$2:$I$1001,MATCH($B625,智能流水!$B$2:$B$1001,0)),""))</f>
        <v/>
      </c>
      <c r="J625" s="19">
        <f>IF($B625="","",IFERROR(INDEX(智能流水!$J$2:$J$1001,MATCH($B625,智能流水!$B$2:$B$1001,0)),""))</f>
        <v/>
      </c>
      <c r="K625" s="19">
        <f>IF($B625="","",IFERROR(INDEX(智能流水!$K$2:$K$1001,MATCH($B625,智能流水!$B$2:$B$1001,0)),""))</f>
        <v/>
      </c>
      <c r="L625" s="19">
        <f>IF($B625="","",IFERROR(INDEX(智能流水!$L$2:$L$1001,MATCH($B625,智能流水!$B$2:$B$1001,0)),""))</f>
        <v/>
      </c>
      <c r="M625" s="19">
        <f>IF($B625="","",IFERROR(INDEX(智能流水!$M$2:$M$1001,MATCH($B625,智能流水!$B$2:$B$1001,0)),""))</f>
        <v/>
      </c>
      <c r="N625" s="19">
        <f>IF($B625="","",IFERROR(INDEX(智能流水!$N$2:$N$1001,MATCH($B625,智能流水!$B$2:$B$1001,0)),""))</f>
        <v/>
      </c>
      <c r="O625" s="19">
        <f>IF($B625="","",IFERROR(INDEX(智能流水!$O$2:$O$1001,MATCH($B625,智能流水!$B$2:$B$1001,0)),""))</f>
        <v/>
      </c>
    </row>
    <row r="626">
      <c r="A626" s="19">
        <f>IF($B626="","",625)</f>
        <v/>
      </c>
      <c r="B626" s="19">
        <f>IFERROR(LARGE(智能流水!$B$2:$B$1001,625),"")</f>
        <v/>
      </c>
      <c r="C626" s="19">
        <f>IF($B626="","",IFERROR(INDEX(智能流水!$C$2:$C$1001,MATCH($B626,智能流水!$B$2:$B$1001,0)),""))</f>
        <v/>
      </c>
      <c r="D626" s="19">
        <f>IF($B626="","",IFERROR(INDEX(智能流水!$D$2:$D$1001,MATCH($B626,智能流水!$B$2:$B$1001,0)),""))</f>
        <v/>
      </c>
      <c r="E626" s="19">
        <f>IF($B626="","",IFERROR(INDEX(智能流水!$E$2:$E$1001,MATCH($B626,智能流水!$B$2:$B$1001,0)),""))</f>
        <v/>
      </c>
      <c r="F626" s="19">
        <f>IF($B626="","",IFERROR(INDEX(智能流水!$F$2:$F$1001,MATCH($B626,智能流水!$B$2:$B$1001,0)),""))</f>
        <v/>
      </c>
      <c r="G626" s="19">
        <f>IF($B626="","",IFERROR(INDEX(智能流水!$G$2:$G$1001,MATCH($B626,智能流水!$B$2:$B$1001,0)),""))</f>
        <v/>
      </c>
      <c r="H626" s="19">
        <f>IF($B626="","",IFERROR(INDEX(智能流水!$H$2:$H$1001,MATCH($B626,智能流水!$B$2:$B$1001,0)),""))</f>
        <v/>
      </c>
      <c r="I626" s="19">
        <f>IF($B626="","",IFERROR(INDEX(智能流水!$I$2:$I$1001,MATCH($B626,智能流水!$B$2:$B$1001,0)),""))</f>
        <v/>
      </c>
      <c r="J626" s="19">
        <f>IF($B626="","",IFERROR(INDEX(智能流水!$J$2:$J$1001,MATCH($B626,智能流水!$B$2:$B$1001,0)),""))</f>
        <v/>
      </c>
      <c r="K626" s="19">
        <f>IF($B626="","",IFERROR(INDEX(智能流水!$K$2:$K$1001,MATCH($B626,智能流水!$B$2:$B$1001,0)),""))</f>
        <v/>
      </c>
      <c r="L626" s="19">
        <f>IF($B626="","",IFERROR(INDEX(智能流水!$L$2:$L$1001,MATCH($B626,智能流水!$B$2:$B$1001,0)),""))</f>
        <v/>
      </c>
      <c r="M626" s="19">
        <f>IF($B626="","",IFERROR(INDEX(智能流水!$M$2:$M$1001,MATCH($B626,智能流水!$B$2:$B$1001,0)),""))</f>
        <v/>
      </c>
      <c r="N626" s="19">
        <f>IF($B626="","",IFERROR(INDEX(智能流水!$N$2:$N$1001,MATCH($B626,智能流水!$B$2:$B$1001,0)),""))</f>
        <v/>
      </c>
      <c r="O626" s="19">
        <f>IF($B626="","",IFERROR(INDEX(智能流水!$O$2:$O$1001,MATCH($B626,智能流水!$B$2:$B$1001,0)),""))</f>
        <v/>
      </c>
    </row>
    <row r="627">
      <c r="A627" s="19">
        <f>IF($B627="","",626)</f>
        <v/>
      </c>
      <c r="B627" s="19">
        <f>IFERROR(LARGE(智能流水!$B$2:$B$1001,626),"")</f>
        <v/>
      </c>
      <c r="C627" s="19">
        <f>IF($B627="","",IFERROR(INDEX(智能流水!$C$2:$C$1001,MATCH($B627,智能流水!$B$2:$B$1001,0)),""))</f>
        <v/>
      </c>
      <c r="D627" s="19">
        <f>IF($B627="","",IFERROR(INDEX(智能流水!$D$2:$D$1001,MATCH($B627,智能流水!$B$2:$B$1001,0)),""))</f>
        <v/>
      </c>
      <c r="E627" s="19">
        <f>IF($B627="","",IFERROR(INDEX(智能流水!$E$2:$E$1001,MATCH($B627,智能流水!$B$2:$B$1001,0)),""))</f>
        <v/>
      </c>
      <c r="F627" s="19">
        <f>IF($B627="","",IFERROR(INDEX(智能流水!$F$2:$F$1001,MATCH($B627,智能流水!$B$2:$B$1001,0)),""))</f>
        <v/>
      </c>
      <c r="G627" s="19">
        <f>IF($B627="","",IFERROR(INDEX(智能流水!$G$2:$G$1001,MATCH($B627,智能流水!$B$2:$B$1001,0)),""))</f>
        <v/>
      </c>
      <c r="H627" s="19">
        <f>IF($B627="","",IFERROR(INDEX(智能流水!$H$2:$H$1001,MATCH($B627,智能流水!$B$2:$B$1001,0)),""))</f>
        <v/>
      </c>
      <c r="I627" s="19">
        <f>IF($B627="","",IFERROR(INDEX(智能流水!$I$2:$I$1001,MATCH($B627,智能流水!$B$2:$B$1001,0)),""))</f>
        <v/>
      </c>
      <c r="J627" s="19">
        <f>IF($B627="","",IFERROR(INDEX(智能流水!$J$2:$J$1001,MATCH($B627,智能流水!$B$2:$B$1001,0)),""))</f>
        <v/>
      </c>
      <c r="K627" s="19">
        <f>IF($B627="","",IFERROR(INDEX(智能流水!$K$2:$K$1001,MATCH($B627,智能流水!$B$2:$B$1001,0)),""))</f>
        <v/>
      </c>
      <c r="L627" s="19">
        <f>IF($B627="","",IFERROR(INDEX(智能流水!$L$2:$L$1001,MATCH($B627,智能流水!$B$2:$B$1001,0)),""))</f>
        <v/>
      </c>
      <c r="M627" s="19">
        <f>IF($B627="","",IFERROR(INDEX(智能流水!$M$2:$M$1001,MATCH($B627,智能流水!$B$2:$B$1001,0)),""))</f>
        <v/>
      </c>
      <c r="N627" s="19">
        <f>IF($B627="","",IFERROR(INDEX(智能流水!$N$2:$N$1001,MATCH($B627,智能流水!$B$2:$B$1001,0)),""))</f>
        <v/>
      </c>
      <c r="O627" s="19">
        <f>IF($B627="","",IFERROR(INDEX(智能流水!$O$2:$O$1001,MATCH($B627,智能流水!$B$2:$B$1001,0)),""))</f>
        <v/>
      </c>
    </row>
    <row r="628">
      <c r="A628" s="19">
        <f>IF($B628="","",627)</f>
        <v/>
      </c>
      <c r="B628" s="19">
        <f>IFERROR(LARGE(智能流水!$B$2:$B$1001,627),"")</f>
        <v/>
      </c>
      <c r="C628" s="19">
        <f>IF($B628="","",IFERROR(INDEX(智能流水!$C$2:$C$1001,MATCH($B628,智能流水!$B$2:$B$1001,0)),""))</f>
        <v/>
      </c>
      <c r="D628" s="19">
        <f>IF($B628="","",IFERROR(INDEX(智能流水!$D$2:$D$1001,MATCH($B628,智能流水!$B$2:$B$1001,0)),""))</f>
        <v/>
      </c>
      <c r="E628" s="19">
        <f>IF($B628="","",IFERROR(INDEX(智能流水!$E$2:$E$1001,MATCH($B628,智能流水!$B$2:$B$1001,0)),""))</f>
        <v/>
      </c>
      <c r="F628" s="19">
        <f>IF($B628="","",IFERROR(INDEX(智能流水!$F$2:$F$1001,MATCH($B628,智能流水!$B$2:$B$1001,0)),""))</f>
        <v/>
      </c>
      <c r="G628" s="19">
        <f>IF($B628="","",IFERROR(INDEX(智能流水!$G$2:$G$1001,MATCH($B628,智能流水!$B$2:$B$1001,0)),""))</f>
        <v/>
      </c>
      <c r="H628" s="19">
        <f>IF($B628="","",IFERROR(INDEX(智能流水!$H$2:$H$1001,MATCH($B628,智能流水!$B$2:$B$1001,0)),""))</f>
        <v/>
      </c>
      <c r="I628" s="19">
        <f>IF($B628="","",IFERROR(INDEX(智能流水!$I$2:$I$1001,MATCH($B628,智能流水!$B$2:$B$1001,0)),""))</f>
        <v/>
      </c>
      <c r="J628" s="19">
        <f>IF($B628="","",IFERROR(INDEX(智能流水!$J$2:$J$1001,MATCH($B628,智能流水!$B$2:$B$1001,0)),""))</f>
        <v/>
      </c>
      <c r="K628" s="19">
        <f>IF($B628="","",IFERROR(INDEX(智能流水!$K$2:$K$1001,MATCH($B628,智能流水!$B$2:$B$1001,0)),""))</f>
        <v/>
      </c>
      <c r="L628" s="19">
        <f>IF($B628="","",IFERROR(INDEX(智能流水!$L$2:$L$1001,MATCH($B628,智能流水!$B$2:$B$1001,0)),""))</f>
        <v/>
      </c>
      <c r="M628" s="19">
        <f>IF($B628="","",IFERROR(INDEX(智能流水!$M$2:$M$1001,MATCH($B628,智能流水!$B$2:$B$1001,0)),""))</f>
        <v/>
      </c>
      <c r="N628" s="19">
        <f>IF($B628="","",IFERROR(INDEX(智能流水!$N$2:$N$1001,MATCH($B628,智能流水!$B$2:$B$1001,0)),""))</f>
        <v/>
      </c>
      <c r="O628" s="19">
        <f>IF($B628="","",IFERROR(INDEX(智能流水!$O$2:$O$1001,MATCH($B628,智能流水!$B$2:$B$1001,0)),""))</f>
        <v/>
      </c>
    </row>
    <row r="629">
      <c r="A629" s="19">
        <f>IF($B629="","",628)</f>
        <v/>
      </c>
      <c r="B629" s="19">
        <f>IFERROR(LARGE(智能流水!$B$2:$B$1001,628),"")</f>
        <v/>
      </c>
      <c r="C629" s="19">
        <f>IF($B629="","",IFERROR(INDEX(智能流水!$C$2:$C$1001,MATCH($B629,智能流水!$B$2:$B$1001,0)),""))</f>
        <v/>
      </c>
      <c r="D629" s="19">
        <f>IF($B629="","",IFERROR(INDEX(智能流水!$D$2:$D$1001,MATCH($B629,智能流水!$B$2:$B$1001,0)),""))</f>
        <v/>
      </c>
      <c r="E629" s="19">
        <f>IF($B629="","",IFERROR(INDEX(智能流水!$E$2:$E$1001,MATCH($B629,智能流水!$B$2:$B$1001,0)),""))</f>
        <v/>
      </c>
      <c r="F629" s="19">
        <f>IF($B629="","",IFERROR(INDEX(智能流水!$F$2:$F$1001,MATCH($B629,智能流水!$B$2:$B$1001,0)),""))</f>
        <v/>
      </c>
      <c r="G629" s="19">
        <f>IF($B629="","",IFERROR(INDEX(智能流水!$G$2:$G$1001,MATCH($B629,智能流水!$B$2:$B$1001,0)),""))</f>
        <v/>
      </c>
      <c r="H629" s="19">
        <f>IF($B629="","",IFERROR(INDEX(智能流水!$H$2:$H$1001,MATCH($B629,智能流水!$B$2:$B$1001,0)),""))</f>
        <v/>
      </c>
      <c r="I629" s="19">
        <f>IF($B629="","",IFERROR(INDEX(智能流水!$I$2:$I$1001,MATCH($B629,智能流水!$B$2:$B$1001,0)),""))</f>
        <v/>
      </c>
      <c r="J629" s="19">
        <f>IF($B629="","",IFERROR(INDEX(智能流水!$J$2:$J$1001,MATCH($B629,智能流水!$B$2:$B$1001,0)),""))</f>
        <v/>
      </c>
      <c r="K629" s="19">
        <f>IF($B629="","",IFERROR(INDEX(智能流水!$K$2:$K$1001,MATCH($B629,智能流水!$B$2:$B$1001,0)),""))</f>
        <v/>
      </c>
      <c r="L629" s="19">
        <f>IF($B629="","",IFERROR(INDEX(智能流水!$L$2:$L$1001,MATCH($B629,智能流水!$B$2:$B$1001,0)),""))</f>
        <v/>
      </c>
      <c r="M629" s="19">
        <f>IF($B629="","",IFERROR(INDEX(智能流水!$M$2:$M$1001,MATCH($B629,智能流水!$B$2:$B$1001,0)),""))</f>
        <v/>
      </c>
      <c r="N629" s="19">
        <f>IF($B629="","",IFERROR(INDEX(智能流水!$N$2:$N$1001,MATCH($B629,智能流水!$B$2:$B$1001,0)),""))</f>
        <v/>
      </c>
      <c r="O629" s="19">
        <f>IF($B629="","",IFERROR(INDEX(智能流水!$O$2:$O$1001,MATCH($B629,智能流水!$B$2:$B$1001,0)),""))</f>
        <v/>
      </c>
    </row>
    <row r="630">
      <c r="A630" s="19">
        <f>IF($B630="","",629)</f>
        <v/>
      </c>
      <c r="B630" s="19">
        <f>IFERROR(LARGE(智能流水!$B$2:$B$1001,629),"")</f>
        <v/>
      </c>
      <c r="C630" s="19">
        <f>IF($B630="","",IFERROR(INDEX(智能流水!$C$2:$C$1001,MATCH($B630,智能流水!$B$2:$B$1001,0)),""))</f>
        <v/>
      </c>
      <c r="D630" s="19">
        <f>IF($B630="","",IFERROR(INDEX(智能流水!$D$2:$D$1001,MATCH($B630,智能流水!$B$2:$B$1001,0)),""))</f>
        <v/>
      </c>
      <c r="E630" s="19">
        <f>IF($B630="","",IFERROR(INDEX(智能流水!$E$2:$E$1001,MATCH($B630,智能流水!$B$2:$B$1001,0)),""))</f>
        <v/>
      </c>
      <c r="F630" s="19">
        <f>IF($B630="","",IFERROR(INDEX(智能流水!$F$2:$F$1001,MATCH($B630,智能流水!$B$2:$B$1001,0)),""))</f>
        <v/>
      </c>
      <c r="G630" s="19">
        <f>IF($B630="","",IFERROR(INDEX(智能流水!$G$2:$G$1001,MATCH($B630,智能流水!$B$2:$B$1001,0)),""))</f>
        <v/>
      </c>
      <c r="H630" s="19">
        <f>IF($B630="","",IFERROR(INDEX(智能流水!$H$2:$H$1001,MATCH($B630,智能流水!$B$2:$B$1001,0)),""))</f>
        <v/>
      </c>
      <c r="I630" s="19">
        <f>IF($B630="","",IFERROR(INDEX(智能流水!$I$2:$I$1001,MATCH($B630,智能流水!$B$2:$B$1001,0)),""))</f>
        <v/>
      </c>
      <c r="J630" s="19">
        <f>IF($B630="","",IFERROR(INDEX(智能流水!$J$2:$J$1001,MATCH($B630,智能流水!$B$2:$B$1001,0)),""))</f>
        <v/>
      </c>
      <c r="K630" s="19">
        <f>IF($B630="","",IFERROR(INDEX(智能流水!$K$2:$K$1001,MATCH($B630,智能流水!$B$2:$B$1001,0)),""))</f>
        <v/>
      </c>
      <c r="L630" s="19">
        <f>IF($B630="","",IFERROR(INDEX(智能流水!$L$2:$L$1001,MATCH($B630,智能流水!$B$2:$B$1001,0)),""))</f>
        <v/>
      </c>
      <c r="M630" s="19">
        <f>IF($B630="","",IFERROR(INDEX(智能流水!$M$2:$M$1001,MATCH($B630,智能流水!$B$2:$B$1001,0)),""))</f>
        <v/>
      </c>
      <c r="N630" s="19">
        <f>IF($B630="","",IFERROR(INDEX(智能流水!$N$2:$N$1001,MATCH($B630,智能流水!$B$2:$B$1001,0)),""))</f>
        <v/>
      </c>
      <c r="O630" s="19">
        <f>IF($B630="","",IFERROR(INDEX(智能流水!$O$2:$O$1001,MATCH($B630,智能流水!$B$2:$B$1001,0)),""))</f>
        <v/>
      </c>
    </row>
    <row r="631">
      <c r="A631" s="19">
        <f>IF($B631="","",630)</f>
        <v/>
      </c>
      <c r="B631" s="19">
        <f>IFERROR(LARGE(智能流水!$B$2:$B$1001,630),"")</f>
        <v/>
      </c>
      <c r="C631" s="19">
        <f>IF($B631="","",IFERROR(INDEX(智能流水!$C$2:$C$1001,MATCH($B631,智能流水!$B$2:$B$1001,0)),""))</f>
        <v/>
      </c>
      <c r="D631" s="19">
        <f>IF($B631="","",IFERROR(INDEX(智能流水!$D$2:$D$1001,MATCH($B631,智能流水!$B$2:$B$1001,0)),""))</f>
        <v/>
      </c>
      <c r="E631" s="19">
        <f>IF($B631="","",IFERROR(INDEX(智能流水!$E$2:$E$1001,MATCH($B631,智能流水!$B$2:$B$1001,0)),""))</f>
        <v/>
      </c>
      <c r="F631" s="19">
        <f>IF($B631="","",IFERROR(INDEX(智能流水!$F$2:$F$1001,MATCH($B631,智能流水!$B$2:$B$1001,0)),""))</f>
        <v/>
      </c>
      <c r="G631" s="19">
        <f>IF($B631="","",IFERROR(INDEX(智能流水!$G$2:$G$1001,MATCH($B631,智能流水!$B$2:$B$1001,0)),""))</f>
        <v/>
      </c>
      <c r="H631" s="19">
        <f>IF($B631="","",IFERROR(INDEX(智能流水!$H$2:$H$1001,MATCH($B631,智能流水!$B$2:$B$1001,0)),""))</f>
        <v/>
      </c>
      <c r="I631" s="19">
        <f>IF($B631="","",IFERROR(INDEX(智能流水!$I$2:$I$1001,MATCH($B631,智能流水!$B$2:$B$1001,0)),""))</f>
        <v/>
      </c>
      <c r="J631" s="19">
        <f>IF($B631="","",IFERROR(INDEX(智能流水!$J$2:$J$1001,MATCH($B631,智能流水!$B$2:$B$1001,0)),""))</f>
        <v/>
      </c>
      <c r="K631" s="19">
        <f>IF($B631="","",IFERROR(INDEX(智能流水!$K$2:$K$1001,MATCH($B631,智能流水!$B$2:$B$1001,0)),""))</f>
        <v/>
      </c>
      <c r="L631" s="19">
        <f>IF($B631="","",IFERROR(INDEX(智能流水!$L$2:$L$1001,MATCH($B631,智能流水!$B$2:$B$1001,0)),""))</f>
        <v/>
      </c>
      <c r="M631" s="19">
        <f>IF($B631="","",IFERROR(INDEX(智能流水!$M$2:$M$1001,MATCH($B631,智能流水!$B$2:$B$1001,0)),""))</f>
        <v/>
      </c>
      <c r="N631" s="19">
        <f>IF($B631="","",IFERROR(INDEX(智能流水!$N$2:$N$1001,MATCH($B631,智能流水!$B$2:$B$1001,0)),""))</f>
        <v/>
      </c>
      <c r="O631" s="19">
        <f>IF($B631="","",IFERROR(INDEX(智能流水!$O$2:$O$1001,MATCH($B631,智能流水!$B$2:$B$1001,0)),""))</f>
        <v/>
      </c>
    </row>
    <row r="632">
      <c r="A632" s="19">
        <f>IF($B632="","",631)</f>
        <v/>
      </c>
      <c r="B632" s="19">
        <f>IFERROR(LARGE(智能流水!$B$2:$B$1001,631),"")</f>
        <v/>
      </c>
      <c r="C632" s="19">
        <f>IF($B632="","",IFERROR(INDEX(智能流水!$C$2:$C$1001,MATCH($B632,智能流水!$B$2:$B$1001,0)),""))</f>
        <v/>
      </c>
      <c r="D632" s="19">
        <f>IF($B632="","",IFERROR(INDEX(智能流水!$D$2:$D$1001,MATCH($B632,智能流水!$B$2:$B$1001,0)),""))</f>
        <v/>
      </c>
      <c r="E632" s="19">
        <f>IF($B632="","",IFERROR(INDEX(智能流水!$E$2:$E$1001,MATCH($B632,智能流水!$B$2:$B$1001,0)),""))</f>
        <v/>
      </c>
      <c r="F632" s="19">
        <f>IF($B632="","",IFERROR(INDEX(智能流水!$F$2:$F$1001,MATCH($B632,智能流水!$B$2:$B$1001,0)),""))</f>
        <v/>
      </c>
      <c r="G632" s="19">
        <f>IF($B632="","",IFERROR(INDEX(智能流水!$G$2:$G$1001,MATCH($B632,智能流水!$B$2:$B$1001,0)),""))</f>
        <v/>
      </c>
      <c r="H632" s="19">
        <f>IF($B632="","",IFERROR(INDEX(智能流水!$H$2:$H$1001,MATCH($B632,智能流水!$B$2:$B$1001,0)),""))</f>
        <v/>
      </c>
      <c r="I632" s="19">
        <f>IF($B632="","",IFERROR(INDEX(智能流水!$I$2:$I$1001,MATCH($B632,智能流水!$B$2:$B$1001,0)),""))</f>
        <v/>
      </c>
      <c r="J632" s="19">
        <f>IF($B632="","",IFERROR(INDEX(智能流水!$J$2:$J$1001,MATCH($B632,智能流水!$B$2:$B$1001,0)),""))</f>
        <v/>
      </c>
      <c r="K632" s="19">
        <f>IF($B632="","",IFERROR(INDEX(智能流水!$K$2:$K$1001,MATCH($B632,智能流水!$B$2:$B$1001,0)),""))</f>
        <v/>
      </c>
      <c r="L632" s="19">
        <f>IF($B632="","",IFERROR(INDEX(智能流水!$L$2:$L$1001,MATCH($B632,智能流水!$B$2:$B$1001,0)),""))</f>
        <v/>
      </c>
      <c r="M632" s="19">
        <f>IF($B632="","",IFERROR(INDEX(智能流水!$M$2:$M$1001,MATCH($B632,智能流水!$B$2:$B$1001,0)),""))</f>
        <v/>
      </c>
      <c r="N632" s="19">
        <f>IF($B632="","",IFERROR(INDEX(智能流水!$N$2:$N$1001,MATCH($B632,智能流水!$B$2:$B$1001,0)),""))</f>
        <v/>
      </c>
      <c r="O632" s="19">
        <f>IF($B632="","",IFERROR(INDEX(智能流水!$O$2:$O$1001,MATCH($B632,智能流水!$B$2:$B$1001,0)),""))</f>
        <v/>
      </c>
    </row>
    <row r="633">
      <c r="A633" s="19">
        <f>IF($B633="","",632)</f>
        <v/>
      </c>
      <c r="B633" s="19">
        <f>IFERROR(LARGE(智能流水!$B$2:$B$1001,632),"")</f>
        <v/>
      </c>
      <c r="C633" s="19">
        <f>IF($B633="","",IFERROR(INDEX(智能流水!$C$2:$C$1001,MATCH($B633,智能流水!$B$2:$B$1001,0)),""))</f>
        <v/>
      </c>
      <c r="D633" s="19">
        <f>IF($B633="","",IFERROR(INDEX(智能流水!$D$2:$D$1001,MATCH($B633,智能流水!$B$2:$B$1001,0)),""))</f>
        <v/>
      </c>
      <c r="E633" s="19">
        <f>IF($B633="","",IFERROR(INDEX(智能流水!$E$2:$E$1001,MATCH($B633,智能流水!$B$2:$B$1001,0)),""))</f>
        <v/>
      </c>
      <c r="F633" s="19">
        <f>IF($B633="","",IFERROR(INDEX(智能流水!$F$2:$F$1001,MATCH($B633,智能流水!$B$2:$B$1001,0)),""))</f>
        <v/>
      </c>
      <c r="G633" s="19">
        <f>IF($B633="","",IFERROR(INDEX(智能流水!$G$2:$G$1001,MATCH($B633,智能流水!$B$2:$B$1001,0)),""))</f>
        <v/>
      </c>
      <c r="H633" s="19">
        <f>IF($B633="","",IFERROR(INDEX(智能流水!$H$2:$H$1001,MATCH($B633,智能流水!$B$2:$B$1001,0)),""))</f>
        <v/>
      </c>
      <c r="I633" s="19">
        <f>IF($B633="","",IFERROR(INDEX(智能流水!$I$2:$I$1001,MATCH($B633,智能流水!$B$2:$B$1001,0)),""))</f>
        <v/>
      </c>
      <c r="J633" s="19">
        <f>IF($B633="","",IFERROR(INDEX(智能流水!$J$2:$J$1001,MATCH($B633,智能流水!$B$2:$B$1001,0)),""))</f>
        <v/>
      </c>
      <c r="K633" s="19">
        <f>IF($B633="","",IFERROR(INDEX(智能流水!$K$2:$K$1001,MATCH($B633,智能流水!$B$2:$B$1001,0)),""))</f>
        <v/>
      </c>
      <c r="L633" s="19">
        <f>IF($B633="","",IFERROR(INDEX(智能流水!$L$2:$L$1001,MATCH($B633,智能流水!$B$2:$B$1001,0)),""))</f>
        <v/>
      </c>
      <c r="M633" s="19">
        <f>IF($B633="","",IFERROR(INDEX(智能流水!$M$2:$M$1001,MATCH($B633,智能流水!$B$2:$B$1001,0)),""))</f>
        <v/>
      </c>
      <c r="N633" s="19">
        <f>IF($B633="","",IFERROR(INDEX(智能流水!$N$2:$N$1001,MATCH($B633,智能流水!$B$2:$B$1001,0)),""))</f>
        <v/>
      </c>
      <c r="O633" s="19">
        <f>IF($B633="","",IFERROR(INDEX(智能流水!$O$2:$O$1001,MATCH($B633,智能流水!$B$2:$B$1001,0)),""))</f>
        <v/>
      </c>
    </row>
    <row r="634">
      <c r="A634" s="19">
        <f>IF($B634="","",633)</f>
        <v/>
      </c>
      <c r="B634" s="19">
        <f>IFERROR(LARGE(智能流水!$B$2:$B$1001,633),"")</f>
        <v/>
      </c>
      <c r="C634" s="19">
        <f>IF($B634="","",IFERROR(INDEX(智能流水!$C$2:$C$1001,MATCH($B634,智能流水!$B$2:$B$1001,0)),""))</f>
        <v/>
      </c>
      <c r="D634" s="19">
        <f>IF($B634="","",IFERROR(INDEX(智能流水!$D$2:$D$1001,MATCH($B634,智能流水!$B$2:$B$1001,0)),""))</f>
        <v/>
      </c>
      <c r="E634" s="19">
        <f>IF($B634="","",IFERROR(INDEX(智能流水!$E$2:$E$1001,MATCH($B634,智能流水!$B$2:$B$1001,0)),""))</f>
        <v/>
      </c>
      <c r="F634" s="19">
        <f>IF($B634="","",IFERROR(INDEX(智能流水!$F$2:$F$1001,MATCH($B634,智能流水!$B$2:$B$1001,0)),""))</f>
        <v/>
      </c>
      <c r="G634" s="19">
        <f>IF($B634="","",IFERROR(INDEX(智能流水!$G$2:$G$1001,MATCH($B634,智能流水!$B$2:$B$1001,0)),""))</f>
        <v/>
      </c>
      <c r="H634" s="19">
        <f>IF($B634="","",IFERROR(INDEX(智能流水!$H$2:$H$1001,MATCH($B634,智能流水!$B$2:$B$1001,0)),""))</f>
        <v/>
      </c>
      <c r="I634" s="19">
        <f>IF($B634="","",IFERROR(INDEX(智能流水!$I$2:$I$1001,MATCH($B634,智能流水!$B$2:$B$1001,0)),""))</f>
        <v/>
      </c>
      <c r="J634" s="19">
        <f>IF($B634="","",IFERROR(INDEX(智能流水!$J$2:$J$1001,MATCH($B634,智能流水!$B$2:$B$1001,0)),""))</f>
        <v/>
      </c>
      <c r="K634" s="19">
        <f>IF($B634="","",IFERROR(INDEX(智能流水!$K$2:$K$1001,MATCH($B634,智能流水!$B$2:$B$1001,0)),""))</f>
        <v/>
      </c>
      <c r="L634" s="19">
        <f>IF($B634="","",IFERROR(INDEX(智能流水!$L$2:$L$1001,MATCH($B634,智能流水!$B$2:$B$1001,0)),""))</f>
        <v/>
      </c>
      <c r="M634" s="19">
        <f>IF($B634="","",IFERROR(INDEX(智能流水!$M$2:$M$1001,MATCH($B634,智能流水!$B$2:$B$1001,0)),""))</f>
        <v/>
      </c>
      <c r="N634" s="19">
        <f>IF($B634="","",IFERROR(INDEX(智能流水!$N$2:$N$1001,MATCH($B634,智能流水!$B$2:$B$1001,0)),""))</f>
        <v/>
      </c>
      <c r="O634" s="19">
        <f>IF($B634="","",IFERROR(INDEX(智能流水!$O$2:$O$1001,MATCH($B634,智能流水!$B$2:$B$1001,0)),""))</f>
        <v/>
      </c>
    </row>
    <row r="635">
      <c r="A635" s="19">
        <f>IF($B635="","",634)</f>
        <v/>
      </c>
      <c r="B635" s="19">
        <f>IFERROR(LARGE(智能流水!$B$2:$B$1001,634),"")</f>
        <v/>
      </c>
      <c r="C635" s="19">
        <f>IF($B635="","",IFERROR(INDEX(智能流水!$C$2:$C$1001,MATCH($B635,智能流水!$B$2:$B$1001,0)),""))</f>
        <v/>
      </c>
      <c r="D635" s="19">
        <f>IF($B635="","",IFERROR(INDEX(智能流水!$D$2:$D$1001,MATCH($B635,智能流水!$B$2:$B$1001,0)),""))</f>
        <v/>
      </c>
      <c r="E635" s="19">
        <f>IF($B635="","",IFERROR(INDEX(智能流水!$E$2:$E$1001,MATCH($B635,智能流水!$B$2:$B$1001,0)),""))</f>
        <v/>
      </c>
      <c r="F635" s="19">
        <f>IF($B635="","",IFERROR(INDEX(智能流水!$F$2:$F$1001,MATCH($B635,智能流水!$B$2:$B$1001,0)),""))</f>
        <v/>
      </c>
      <c r="G635" s="19">
        <f>IF($B635="","",IFERROR(INDEX(智能流水!$G$2:$G$1001,MATCH($B635,智能流水!$B$2:$B$1001,0)),""))</f>
        <v/>
      </c>
      <c r="H635" s="19">
        <f>IF($B635="","",IFERROR(INDEX(智能流水!$H$2:$H$1001,MATCH($B635,智能流水!$B$2:$B$1001,0)),""))</f>
        <v/>
      </c>
      <c r="I635" s="19">
        <f>IF($B635="","",IFERROR(INDEX(智能流水!$I$2:$I$1001,MATCH($B635,智能流水!$B$2:$B$1001,0)),""))</f>
        <v/>
      </c>
      <c r="J635" s="19">
        <f>IF($B635="","",IFERROR(INDEX(智能流水!$J$2:$J$1001,MATCH($B635,智能流水!$B$2:$B$1001,0)),""))</f>
        <v/>
      </c>
      <c r="K635" s="19">
        <f>IF($B635="","",IFERROR(INDEX(智能流水!$K$2:$K$1001,MATCH($B635,智能流水!$B$2:$B$1001,0)),""))</f>
        <v/>
      </c>
      <c r="L635" s="19">
        <f>IF($B635="","",IFERROR(INDEX(智能流水!$L$2:$L$1001,MATCH($B635,智能流水!$B$2:$B$1001,0)),""))</f>
        <v/>
      </c>
      <c r="M635" s="19">
        <f>IF($B635="","",IFERROR(INDEX(智能流水!$M$2:$M$1001,MATCH($B635,智能流水!$B$2:$B$1001,0)),""))</f>
        <v/>
      </c>
      <c r="N635" s="19">
        <f>IF($B635="","",IFERROR(INDEX(智能流水!$N$2:$N$1001,MATCH($B635,智能流水!$B$2:$B$1001,0)),""))</f>
        <v/>
      </c>
      <c r="O635" s="19">
        <f>IF($B635="","",IFERROR(INDEX(智能流水!$O$2:$O$1001,MATCH($B635,智能流水!$B$2:$B$1001,0)),""))</f>
        <v/>
      </c>
    </row>
    <row r="636">
      <c r="A636" s="19">
        <f>IF($B636="","",635)</f>
        <v/>
      </c>
      <c r="B636" s="19">
        <f>IFERROR(LARGE(智能流水!$B$2:$B$1001,635),"")</f>
        <v/>
      </c>
      <c r="C636" s="19">
        <f>IF($B636="","",IFERROR(INDEX(智能流水!$C$2:$C$1001,MATCH($B636,智能流水!$B$2:$B$1001,0)),""))</f>
        <v/>
      </c>
      <c r="D636" s="19">
        <f>IF($B636="","",IFERROR(INDEX(智能流水!$D$2:$D$1001,MATCH($B636,智能流水!$B$2:$B$1001,0)),""))</f>
        <v/>
      </c>
      <c r="E636" s="19">
        <f>IF($B636="","",IFERROR(INDEX(智能流水!$E$2:$E$1001,MATCH($B636,智能流水!$B$2:$B$1001,0)),""))</f>
        <v/>
      </c>
      <c r="F636" s="19">
        <f>IF($B636="","",IFERROR(INDEX(智能流水!$F$2:$F$1001,MATCH($B636,智能流水!$B$2:$B$1001,0)),""))</f>
        <v/>
      </c>
      <c r="G636" s="19">
        <f>IF($B636="","",IFERROR(INDEX(智能流水!$G$2:$G$1001,MATCH($B636,智能流水!$B$2:$B$1001,0)),""))</f>
        <v/>
      </c>
      <c r="H636" s="19">
        <f>IF($B636="","",IFERROR(INDEX(智能流水!$H$2:$H$1001,MATCH($B636,智能流水!$B$2:$B$1001,0)),""))</f>
        <v/>
      </c>
      <c r="I636" s="19">
        <f>IF($B636="","",IFERROR(INDEX(智能流水!$I$2:$I$1001,MATCH($B636,智能流水!$B$2:$B$1001,0)),""))</f>
        <v/>
      </c>
      <c r="J636" s="19">
        <f>IF($B636="","",IFERROR(INDEX(智能流水!$J$2:$J$1001,MATCH($B636,智能流水!$B$2:$B$1001,0)),""))</f>
        <v/>
      </c>
      <c r="K636" s="19">
        <f>IF($B636="","",IFERROR(INDEX(智能流水!$K$2:$K$1001,MATCH($B636,智能流水!$B$2:$B$1001,0)),""))</f>
        <v/>
      </c>
      <c r="L636" s="19">
        <f>IF($B636="","",IFERROR(INDEX(智能流水!$L$2:$L$1001,MATCH($B636,智能流水!$B$2:$B$1001,0)),""))</f>
        <v/>
      </c>
      <c r="M636" s="19">
        <f>IF($B636="","",IFERROR(INDEX(智能流水!$M$2:$M$1001,MATCH($B636,智能流水!$B$2:$B$1001,0)),""))</f>
        <v/>
      </c>
      <c r="N636" s="19">
        <f>IF($B636="","",IFERROR(INDEX(智能流水!$N$2:$N$1001,MATCH($B636,智能流水!$B$2:$B$1001,0)),""))</f>
        <v/>
      </c>
      <c r="O636" s="19">
        <f>IF($B636="","",IFERROR(INDEX(智能流水!$O$2:$O$1001,MATCH($B636,智能流水!$B$2:$B$1001,0)),""))</f>
        <v/>
      </c>
    </row>
    <row r="637">
      <c r="A637" s="19">
        <f>IF($B637="","",636)</f>
        <v/>
      </c>
      <c r="B637" s="19">
        <f>IFERROR(LARGE(智能流水!$B$2:$B$1001,636),"")</f>
        <v/>
      </c>
      <c r="C637" s="19">
        <f>IF($B637="","",IFERROR(INDEX(智能流水!$C$2:$C$1001,MATCH($B637,智能流水!$B$2:$B$1001,0)),""))</f>
        <v/>
      </c>
      <c r="D637" s="19">
        <f>IF($B637="","",IFERROR(INDEX(智能流水!$D$2:$D$1001,MATCH($B637,智能流水!$B$2:$B$1001,0)),""))</f>
        <v/>
      </c>
      <c r="E637" s="19">
        <f>IF($B637="","",IFERROR(INDEX(智能流水!$E$2:$E$1001,MATCH($B637,智能流水!$B$2:$B$1001,0)),""))</f>
        <v/>
      </c>
      <c r="F637" s="19">
        <f>IF($B637="","",IFERROR(INDEX(智能流水!$F$2:$F$1001,MATCH($B637,智能流水!$B$2:$B$1001,0)),""))</f>
        <v/>
      </c>
      <c r="G637" s="19">
        <f>IF($B637="","",IFERROR(INDEX(智能流水!$G$2:$G$1001,MATCH($B637,智能流水!$B$2:$B$1001,0)),""))</f>
        <v/>
      </c>
      <c r="H637" s="19">
        <f>IF($B637="","",IFERROR(INDEX(智能流水!$H$2:$H$1001,MATCH($B637,智能流水!$B$2:$B$1001,0)),""))</f>
        <v/>
      </c>
      <c r="I637" s="19">
        <f>IF($B637="","",IFERROR(INDEX(智能流水!$I$2:$I$1001,MATCH($B637,智能流水!$B$2:$B$1001,0)),""))</f>
        <v/>
      </c>
      <c r="J637" s="19">
        <f>IF($B637="","",IFERROR(INDEX(智能流水!$J$2:$J$1001,MATCH($B637,智能流水!$B$2:$B$1001,0)),""))</f>
        <v/>
      </c>
      <c r="K637" s="19">
        <f>IF($B637="","",IFERROR(INDEX(智能流水!$K$2:$K$1001,MATCH($B637,智能流水!$B$2:$B$1001,0)),""))</f>
        <v/>
      </c>
      <c r="L637" s="19">
        <f>IF($B637="","",IFERROR(INDEX(智能流水!$L$2:$L$1001,MATCH($B637,智能流水!$B$2:$B$1001,0)),""))</f>
        <v/>
      </c>
      <c r="M637" s="19">
        <f>IF($B637="","",IFERROR(INDEX(智能流水!$M$2:$M$1001,MATCH($B637,智能流水!$B$2:$B$1001,0)),""))</f>
        <v/>
      </c>
      <c r="N637" s="19">
        <f>IF($B637="","",IFERROR(INDEX(智能流水!$N$2:$N$1001,MATCH($B637,智能流水!$B$2:$B$1001,0)),""))</f>
        <v/>
      </c>
      <c r="O637" s="19">
        <f>IF($B637="","",IFERROR(INDEX(智能流水!$O$2:$O$1001,MATCH($B637,智能流水!$B$2:$B$1001,0)),""))</f>
        <v/>
      </c>
    </row>
    <row r="638">
      <c r="A638" s="19">
        <f>IF($B638="","",637)</f>
        <v/>
      </c>
      <c r="B638" s="19">
        <f>IFERROR(LARGE(智能流水!$B$2:$B$1001,637),"")</f>
        <v/>
      </c>
      <c r="C638" s="19">
        <f>IF($B638="","",IFERROR(INDEX(智能流水!$C$2:$C$1001,MATCH($B638,智能流水!$B$2:$B$1001,0)),""))</f>
        <v/>
      </c>
      <c r="D638" s="19">
        <f>IF($B638="","",IFERROR(INDEX(智能流水!$D$2:$D$1001,MATCH($B638,智能流水!$B$2:$B$1001,0)),""))</f>
        <v/>
      </c>
      <c r="E638" s="19">
        <f>IF($B638="","",IFERROR(INDEX(智能流水!$E$2:$E$1001,MATCH($B638,智能流水!$B$2:$B$1001,0)),""))</f>
        <v/>
      </c>
      <c r="F638" s="19">
        <f>IF($B638="","",IFERROR(INDEX(智能流水!$F$2:$F$1001,MATCH($B638,智能流水!$B$2:$B$1001,0)),""))</f>
        <v/>
      </c>
      <c r="G638" s="19">
        <f>IF($B638="","",IFERROR(INDEX(智能流水!$G$2:$G$1001,MATCH($B638,智能流水!$B$2:$B$1001,0)),""))</f>
        <v/>
      </c>
      <c r="H638" s="19">
        <f>IF($B638="","",IFERROR(INDEX(智能流水!$H$2:$H$1001,MATCH($B638,智能流水!$B$2:$B$1001,0)),""))</f>
        <v/>
      </c>
      <c r="I638" s="19">
        <f>IF($B638="","",IFERROR(INDEX(智能流水!$I$2:$I$1001,MATCH($B638,智能流水!$B$2:$B$1001,0)),""))</f>
        <v/>
      </c>
      <c r="J638" s="19">
        <f>IF($B638="","",IFERROR(INDEX(智能流水!$J$2:$J$1001,MATCH($B638,智能流水!$B$2:$B$1001,0)),""))</f>
        <v/>
      </c>
      <c r="K638" s="19">
        <f>IF($B638="","",IFERROR(INDEX(智能流水!$K$2:$K$1001,MATCH($B638,智能流水!$B$2:$B$1001,0)),""))</f>
        <v/>
      </c>
      <c r="L638" s="19">
        <f>IF($B638="","",IFERROR(INDEX(智能流水!$L$2:$L$1001,MATCH($B638,智能流水!$B$2:$B$1001,0)),""))</f>
        <v/>
      </c>
      <c r="M638" s="19">
        <f>IF($B638="","",IFERROR(INDEX(智能流水!$M$2:$M$1001,MATCH($B638,智能流水!$B$2:$B$1001,0)),""))</f>
        <v/>
      </c>
      <c r="N638" s="19">
        <f>IF($B638="","",IFERROR(INDEX(智能流水!$N$2:$N$1001,MATCH($B638,智能流水!$B$2:$B$1001,0)),""))</f>
        <v/>
      </c>
      <c r="O638" s="19">
        <f>IF($B638="","",IFERROR(INDEX(智能流水!$O$2:$O$1001,MATCH($B638,智能流水!$B$2:$B$1001,0)),""))</f>
        <v/>
      </c>
    </row>
    <row r="639">
      <c r="A639" s="19">
        <f>IF($B639="","",638)</f>
        <v/>
      </c>
      <c r="B639" s="19">
        <f>IFERROR(LARGE(智能流水!$B$2:$B$1001,638),"")</f>
        <v/>
      </c>
      <c r="C639" s="19">
        <f>IF($B639="","",IFERROR(INDEX(智能流水!$C$2:$C$1001,MATCH($B639,智能流水!$B$2:$B$1001,0)),""))</f>
        <v/>
      </c>
      <c r="D639" s="19">
        <f>IF($B639="","",IFERROR(INDEX(智能流水!$D$2:$D$1001,MATCH($B639,智能流水!$B$2:$B$1001,0)),""))</f>
        <v/>
      </c>
      <c r="E639" s="19">
        <f>IF($B639="","",IFERROR(INDEX(智能流水!$E$2:$E$1001,MATCH($B639,智能流水!$B$2:$B$1001,0)),""))</f>
        <v/>
      </c>
      <c r="F639" s="19">
        <f>IF($B639="","",IFERROR(INDEX(智能流水!$F$2:$F$1001,MATCH($B639,智能流水!$B$2:$B$1001,0)),""))</f>
        <v/>
      </c>
      <c r="G639" s="19">
        <f>IF($B639="","",IFERROR(INDEX(智能流水!$G$2:$G$1001,MATCH($B639,智能流水!$B$2:$B$1001,0)),""))</f>
        <v/>
      </c>
      <c r="H639" s="19">
        <f>IF($B639="","",IFERROR(INDEX(智能流水!$H$2:$H$1001,MATCH($B639,智能流水!$B$2:$B$1001,0)),""))</f>
        <v/>
      </c>
      <c r="I639" s="19">
        <f>IF($B639="","",IFERROR(INDEX(智能流水!$I$2:$I$1001,MATCH($B639,智能流水!$B$2:$B$1001,0)),""))</f>
        <v/>
      </c>
      <c r="J639" s="19">
        <f>IF($B639="","",IFERROR(INDEX(智能流水!$J$2:$J$1001,MATCH($B639,智能流水!$B$2:$B$1001,0)),""))</f>
        <v/>
      </c>
      <c r="K639" s="19">
        <f>IF($B639="","",IFERROR(INDEX(智能流水!$K$2:$K$1001,MATCH($B639,智能流水!$B$2:$B$1001,0)),""))</f>
        <v/>
      </c>
      <c r="L639" s="19">
        <f>IF($B639="","",IFERROR(INDEX(智能流水!$L$2:$L$1001,MATCH($B639,智能流水!$B$2:$B$1001,0)),""))</f>
        <v/>
      </c>
      <c r="M639" s="19">
        <f>IF($B639="","",IFERROR(INDEX(智能流水!$M$2:$M$1001,MATCH($B639,智能流水!$B$2:$B$1001,0)),""))</f>
        <v/>
      </c>
      <c r="N639" s="19">
        <f>IF($B639="","",IFERROR(INDEX(智能流水!$N$2:$N$1001,MATCH($B639,智能流水!$B$2:$B$1001,0)),""))</f>
        <v/>
      </c>
      <c r="O639" s="19">
        <f>IF($B639="","",IFERROR(INDEX(智能流水!$O$2:$O$1001,MATCH($B639,智能流水!$B$2:$B$1001,0)),""))</f>
        <v/>
      </c>
    </row>
    <row r="640">
      <c r="A640" s="19">
        <f>IF($B640="","",639)</f>
        <v/>
      </c>
      <c r="B640" s="19">
        <f>IFERROR(LARGE(智能流水!$B$2:$B$1001,639),"")</f>
        <v/>
      </c>
      <c r="C640" s="19">
        <f>IF($B640="","",IFERROR(INDEX(智能流水!$C$2:$C$1001,MATCH($B640,智能流水!$B$2:$B$1001,0)),""))</f>
        <v/>
      </c>
      <c r="D640" s="19">
        <f>IF($B640="","",IFERROR(INDEX(智能流水!$D$2:$D$1001,MATCH($B640,智能流水!$B$2:$B$1001,0)),""))</f>
        <v/>
      </c>
      <c r="E640" s="19">
        <f>IF($B640="","",IFERROR(INDEX(智能流水!$E$2:$E$1001,MATCH($B640,智能流水!$B$2:$B$1001,0)),""))</f>
        <v/>
      </c>
      <c r="F640" s="19">
        <f>IF($B640="","",IFERROR(INDEX(智能流水!$F$2:$F$1001,MATCH($B640,智能流水!$B$2:$B$1001,0)),""))</f>
        <v/>
      </c>
      <c r="G640" s="19">
        <f>IF($B640="","",IFERROR(INDEX(智能流水!$G$2:$G$1001,MATCH($B640,智能流水!$B$2:$B$1001,0)),""))</f>
        <v/>
      </c>
      <c r="H640" s="19">
        <f>IF($B640="","",IFERROR(INDEX(智能流水!$H$2:$H$1001,MATCH($B640,智能流水!$B$2:$B$1001,0)),""))</f>
        <v/>
      </c>
      <c r="I640" s="19">
        <f>IF($B640="","",IFERROR(INDEX(智能流水!$I$2:$I$1001,MATCH($B640,智能流水!$B$2:$B$1001,0)),""))</f>
        <v/>
      </c>
      <c r="J640" s="19">
        <f>IF($B640="","",IFERROR(INDEX(智能流水!$J$2:$J$1001,MATCH($B640,智能流水!$B$2:$B$1001,0)),""))</f>
        <v/>
      </c>
      <c r="K640" s="19">
        <f>IF($B640="","",IFERROR(INDEX(智能流水!$K$2:$K$1001,MATCH($B640,智能流水!$B$2:$B$1001,0)),""))</f>
        <v/>
      </c>
      <c r="L640" s="19">
        <f>IF($B640="","",IFERROR(INDEX(智能流水!$L$2:$L$1001,MATCH($B640,智能流水!$B$2:$B$1001,0)),""))</f>
        <v/>
      </c>
      <c r="M640" s="19">
        <f>IF($B640="","",IFERROR(INDEX(智能流水!$M$2:$M$1001,MATCH($B640,智能流水!$B$2:$B$1001,0)),""))</f>
        <v/>
      </c>
      <c r="N640" s="19">
        <f>IF($B640="","",IFERROR(INDEX(智能流水!$N$2:$N$1001,MATCH($B640,智能流水!$B$2:$B$1001,0)),""))</f>
        <v/>
      </c>
      <c r="O640" s="19">
        <f>IF($B640="","",IFERROR(INDEX(智能流水!$O$2:$O$1001,MATCH($B640,智能流水!$B$2:$B$1001,0)),""))</f>
        <v/>
      </c>
    </row>
    <row r="641">
      <c r="A641" s="19">
        <f>IF($B641="","",640)</f>
        <v/>
      </c>
      <c r="B641" s="19">
        <f>IFERROR(LARGE(智能流水!$B$2:$B$1001,640),"")</f>
        <v/>
      </c>
      <c r="C641" s="19">
        <f>IF($B641="","",IFERROR(INDEX(智能流水!$C$2:$C$1001,MATCH($B641,智能流水!$B$2:$B$1001,0)),""))</f>
        <v/>
      </c>
      <c r="D641" s="19">
        <f>IF($B641="","",IFERROR(INDEX(智能流水!$D$2:$D$1001,MATCH($B641,智能流水!$B$2:$B$1001,0)),""))</f>
        <v/>
      </c>
      <c r="E641" s="19">
        <f>IF($B641="","",IFERROR(INDEX(智能流水!$E$2:$E$1001,MATCH($B641,智能流水!$B$2:$B$1001,0)),""))</f>
        <v/>
      </c>
      <c r="F641" s="19">
        <f>IF($B641="","",IFERROR(INDEX(智能流水!$F$2:$F$1001,MATCH($B641,智能流水!$B$2:$B$1001,0)),""))</f>
        <v/>
      </c>
      <c r="G641" s="19">
        <f>IF($B641="","",IFERROR(INDEX(智能流水!$G$2:$G$1001,MATCH($B641,智能流水!$B$2:$B$1001,0)),""))</f>
        <v/>
      </c>
      <c r="H641" s="19">
        <f>IF($B641="","",IFERROR(INDEX(智能流水!$H$2:$H$1001,MATCH($B641,智能流水!$B$2:$B$1001,0)),""))</f>
        <v/>
      </c>
      <c r="I641" s="19">
        <f>IF($B641="","",IFERROR(INDEX(智能流水!$I$2:$I$1001,MATCH($B641,智能流水!$B$2:$B$1001,0)),""))</f>
        <v/>
      </c>
      <c r="J641" s="19">
        <f>IF($B641="","",IFERROR(INDEX(智能流水!$J$2:$J$1001,MATCH($B641,智能流水!$B$2:$B$1001,0)),""))</f>
        <v/>
      </c>
      <c r="K641" s="19">
        <f>IF($B641="","",IFERROR(INDEX(智能流水!$K$2:$K$1001,MATCH($B641,智能流水!$B$2:$B$1001,0)),""))</f>
        <v/>
      </c>
      <c r="L641" s="19">
        <f>IF($B641="","",IFERROR(INDEX(智能流水!$L$2:$L$1001,MATCH($B641,智能流水!$B$2:$B$1001,0)),""))</f>
        <v/>
      </c>
      <c r="M641" s="19">
        <f>IF($B641="","",IFERROR(INDEX(智能流水!$M$2:$M$1001,MATCH($B641,智能流水!$B$2:$B$1001,0)),""))</f>
        <v/>
      </c>
      <c r="N641" s="19">
        <f>IF($B641="","",IFERROR(INDEX(智能流水!$N$2:$N$1001,MATCH($B641,智能流水!$B$2:$B$1001,0)),""))</f>
        <v/>
      </c>
      <c r="O641" s="19">
        <f>IF($B641="","",IFERROR(INDEX(智能流水!$O$2:$O$1001,MATCH($B641,智能流水!$B$2:$B$1001,0)),""))</f>
        <v/>
      </c>
    </row>
    <row r="642">
      <c r="A642" s="19">
        <f>IF($B642="","",641)</f>
        <v/>
      </c>
      <c r="B642" s="19">
        <f>IFERROR(LARGE(智能流水!$B$2:$B$1001,641),"")</f>
        <v/>
      </c>
      <c r="C642" s="19">
        <f>IF($B642="","",IFERROR(INDEX(智能流水!$C$2:$C$1001,MATCH($B642,智能流水!$B$2:$B$1001,0)),""))</f>
        <v/>
      </c>
      <c r="D642" s="19">
        <f>IF($B642="","",IFERROR(INDEX(智能流水!$D$2:$D$1001,MATCH($B642,智能流水!$B$2:$B$1001,0)),""))</f>
        <v/>
      </c>
      <c r="E642" s="19">
        <f>IF($B642="","",IFERROR(INDEX(智能流水!$E$2:$E$1001,MATCH($B642,智能流水!$B$2:$B$1001,0)),""))</f>
        <v/>
      </c>
      <c r="F642" s="19">
        <f>IF($B642="","",IFERROR(INDEX(智能流水!$F$2:$F$1001,MATCH($B642,智能流水!$B$2:$B$1001,0)),""))</f>
        <v/>
      </c>
      <c r="G642" s="19">
        <f>IF($B642="","",IFERROR(INDEX(智能流水!$G$2:$G$1001,MATCH($B642,智能流水!$B$2:$B$1001,0)),""))</f>
        <v/>
      </c>
      <c r="H642" s="19">
        <f>IF($B642="","",IFERROR(INDEX(智能流水!$H$2:$H$1001,MATCH($B642,智能流水!$B$2:$B$1001,0)),""))</f>
        <v/>
      </c>
      <c r="I642" s="19">
        <f>IF($B642="","",IFERROR(INDEX(智能流水!$I$2:$I$1001,MATCH($B642,智能流水!$B$2:$B$1001,0)),""))</f>
        <v/>
      </c>
      <c r="J642" s="19">
        <f>IF($B642="","",IFERROR(INDEX(智能流水!$J$2:$J$1001,MATCH($B642,智能流水!$B$2:$B$1001,0)),""))</f>
        <v/>
      </c>
      <c r="K642" s="19">
        <f>IF($B642="","",IFERROR(INDEX(智能流水!$K$2:$K$1001,MATCH($B642,智能流水!$B$2:$B$1001,0)),""))</f>
        <v/>
      </c>
      <c r="L642" s="19">
        <f>IF($B642="","",IFERROR(INDEX(智能流水!$L$2:$L$1001,MATCH($B642,智能流水!$B$2:$B$1001,0)),""))</f>
        <v/>
      </c>
      <c r="M642" s="19">
        <f>IF($B642="","",IFERROR(INDEX(智能流水!$M$2:$M$1001,MATCH($B642,智能流水!$B$2:$B$1001,0)),""))</f>
        <v/>
      </c>
      <c r="N642" s="19">
        <f>IF($B642="","",IFERROR(INDEX(智能流水!$N$2:$N$1001,MATCH($B642,智能流水!$B$2:$B$1001,0)),""))</f>
        <v/>
      </c>
      <c r="O642" s="19">
        <f>IF($B642="","",IFERROR(INDEX(智能流水!$O$2:$O$1001,MATCH($B642,智能流水!$B$2:$B$1001,0)),""))</f>
        <v/>
      </c>
    </row>
    <row r="643">
      <c r="A643" s="19">
        <f>IF($B643="","",642)</f>
        <v/>
      </c>
      <c r="B643" s="19">
        <f>IFERROR(LARGE(智能流水!$B$2:$B$1001,642),"")</f>
        <v/>
      </c>
      <c r="C643" s="19">
        <f>IF($B643="","",IFERROR(INDEX(智能流水!$C$2:$C$1001,MATCH($B643,智能流水!$B$2:$B$1001,0)),""))</f>
        <v/>
      </c>
      <c r="D643" s="19">
        <f>IF($B643="","",IFERROR(INDEX(智能流水!$D$2:$D$1001,MATCH($B643,智能流水!$B$2:$B$1001,0)),""))</f>
        <v/>
      </c>
      <c r="E643" s="19">
        <f>IF($B643="","",IFERROR(INDEX(智能流水!$E$2:$E$1001,MATCH($B643,智能流水!$B$2:$B$1001,0)),""))</f>
        <v/>
      </c>
      <c r="F643" s="19">
        <f>IF($B643="","",IFERROR(INDEX(智能流水!$F$2:$F$1001,MATCH($B643,智能流水!$B$2:$B$1001,0)),""))</f>
        <v/>
      </c>
      <c r="G643" s="19">
        <f>IF($B643="","",IFERROR(INDEX(智能流水!$G$2:$G$1001,MATCH($B643,智能流水!$B$2:$B$1001,0)),""))</f>
        <v/>
      </c>
      <c r="H643" s="19">
        <f>IF($B643="","",IFERROR(INDEX(智能流水!$H$2:$H$1001,MATCH($B643,智能流水!$B$2:$B$1001,0)),""))</f>
        <v/>
      </c>
      <c r="I643" s="19">
        <f>IF($B643="","",IFERROR(INDEX(智能流水!$I$2:$I$1001,MATCH($B643,智能流水!$B$2:$B$1001,0)),""))</f>
        <v/>
      </c>
      <c r="J643" s="19">
        <f>IF($B643="","",IFERROR(INDEX(智能流水!$J$2:$J$1001,MATCH($B643,智能流水!$B$2:$B$1001,0)),""))</f>
        <v/>
      </c>
      <c r="K643" s="19">
        <f>IF($B643="","",IFERROR(INDEX(智能流水!$K$2:$K$1001,MATCH($B643,智能流水!$B$2:$B$1001,0)),""))</f>
        <v/>
      </c>
      <c r="L643" s="19">
        <f>IF($B643="","",IFERROR(INDEX(智能流水!$L$2:$L$1001,MATCH($B643,智能流水!$B$2:$B$1001,0)),""))</f>
        <v/>
      </c>
      <c r="M643" s="19">
        <f>IF($B643="","",IFERROR(INDEX(智能流水!$M$2:$M$1001,MATCH($B643,智能流水!$B$2:$B$1001,0)),""))</f>
        <v/>
      </c>
      <c r="N643" s="19">
        <f>IF($B643="","",IFERROR(INDEX(智能流水!$N$2:$N$1001,MATCH($B643,智能流水!$B$2:$B$1001,0)),""))</f>
        <v/>
      </c>
      <c r="O643" s="19">
        <f>IF($B643="","",IFERROR(INDEX(智能流水!$O$2:$O$1001,MATCH($B643,智能流水!$B$2:$B$1001,0)),""))</f>
        <v/>
      </c>
    </row>
    <row r="644">
      <c r="A644" s="19">
        <f>IF($B644="","",643)</f>
        <v/>
      </c>
      <c r="B644" s="19">
        <f>IFERROR(LARGE(智能流水!$B$2:$B$1001,643),"")</f>
        <v/>
      </c>
      <c r="C644" s="19">
        <f>IF($B644="","",IFERROR(INDEX(智能流水!$C$2:$C$1001,MATCH($B644,智能流水!$B$2:$B$1001,0)),""))</f>
        <v/>
      </c>
      <c r="D644" s="19">
        <f>IF($B644="","",IFERROR(INDEX(智能流水!$D$2:$D$1001,MATCH($B644,智能流水!$B$2:$B$1001,0)),""))</f>
        <v/>
      </c>
      <c r="E644" s="19">
        <f>IF($B644="","",IFERROR(INDEX(智能流水!$E$2:$E$1001,MATCH($B644,智能流水!$B$2:$B$1001,0)),""))</f>
        <v/>
      </c>
      <c r="F644" s="19">
        <f>IF($B644="","",IFERROR(INDEX(智能流水!$F$2:$F$1001,MATCH($B644,智能流水!$B$2:$B$1001,0)),""))</f>
        <v/>
      </c>
      <c r="G644" s="19">
        <f>IF($B644="","",IFERROR(INDEX(智能流水!$G$2:$G$1001,MATCH($B644,智能流水!$B$2:$B$1001,0)),""))</f>
        <v/>
      </c>
      <c r="H644" s="19">
        <f>IF($B644="","",IFERROR(INDEX(智能流水!$H$2:$H$1001,MATCH($B644,智能流水!$B$2:$B$1001,0)),""))</f>
        <v/>
      </c>
      <c r="I644" s="19">
        <f>IF($B644="","",IFERROR(INDEX(智能流水!$I$2:$I$1001,MATCH($B644,智能流水!$B$2:$B$1001,0)),""))</f>
        <v/>
      </c>
      <c r="J644" s="19">
        <f>IF($B644="","",IFERROR(INDEX(智能流水!$J$2:$J$1001,MATCH($B644,智能流水!$B$2:$B$1001,0)),""))</f>
        <v/>
      </c>
      <c r="K644" s="19">
        <f>IF($B644="","",IFERROR(INDEX(智能流水!$K$2:$K$1001,MATCH($B644,智能流水!$B$2:$B$1001,0)),""))</f>
        <v/>
      </c>
      <c r="L644" s="19">
        <f>IF($B644="","",IFERROR(INDEX(智能流水!$L$2:$L$1001,MATCH($B644,智能流水!$B$2:$B$1001,0)),""))</f>
        <v/>
      </c>
      <c r="M644" s="19">
        <f>IF($B644="","",IFERROR(INDEX(智能流水!$M$2:$M$1001,MATCH($B644,智能流水!$B$2:$B$1001,0)),""))</f>
        <v/>
      </c>
      <c r="N644" s="19">
        <f>IF($B644="","",IFERROR(INDEX(智能流水!$N$2:$N$1001,MATCH($B644,智能流水!$B$2:$B$1001,0)),""))</f>
        <v/>
      </c>
      <c r="O644" s="19">
        <f>IF($B644="","",IFERROR(INDEX(智能流水!$O$2:$O$1001,MATCH($B644,智能流水!$B$2:$B$1001,0)),""))</f>
        <v/>
      </c>
    </row>
    <row r="645">
      <c r="A645" s="19">
        <f>IF($B645="","",644)</f>
        <v/>
      </c>
      <c r="B645" s="19">
        <f>IFERROR(LARGE(智能流水!$B$2:$B$1001,644),"")</f>
        <v/>
      </c>
      <c r="C645" s="19">
        <f>IF($B645="","",IFERROR(INDEX(智能流水!$C$2:$C$1001,MATCH($B645,智能流水!$B$2:$B$1001,0)),""))</f>
        <v/>
      </c>
      <c r="D645" s="19">
        <f>IF($B645="","",IFERROR(INDEX(智能流水!$D$2:$D$1001,MATCH($B645,智能流水!$B$2:$B$1001,0)),""))</f>
        <v/>
      </c>
      <c r="E645" s="19">
        <f>IF($B645="","",IFERROR(INDEX(智能流水!$E$2:$E$1001,MATCH($B645,智能流水!$B$2:$B$1001,0)),""))</f>
        <v/>
      </c>
      <c r="F645" s="19">
        <f>IF($B645="","",IFERROR(INDEX(智能流水!$F$2:$F$1001,MATCH($B645,智能流水!$B$2:$B$1001,0)),""))</f>
        <v/>
      </c>
      <c r="G645" s="19">
        <f>IF($B645="","",IFERROR(INDEX(智能流水!$G$2:$G$1001,MATCH($B645,智能流水!$B$2:$B$1001,0)),""))</f>
        <v/>
      </c>
      <c r="H645" s="19">
        <f>IF($B645="","",IFERROR(INDEX(智能流水!$H$2:$H$1001,MATCH($B645,智能流水!$B$2:$B$1001,0)),""))</f>
        <v/>
      </c>
      <c r="I645" s="19">
        <f>IF($B645="","",IFERROR(INDEX(智能流水!$I$2:$I$1001,MATCH($B645,智能流水!$B$2:$B$1001,0)),""))</f>
        <v/>
      </c>
      <c r="J645" s="19">
        <f>IF($B645="","",IFERROR(INDEX(智能流水!$J$2:$J$1001,MATCH($B645,智能流水!$B$2:$B$1001,0)),""))</f>
        <v/>
      </c>
      <c r="K645" s="19">
        <f>IF($B645="","",IFERROR(INDEX(智能流水!$K$2:$K$1001,MATCH($B645,智能流水!$B$2:$B$1001,0)),""))</f>
        <v/>
      </c>
      <c r="L645" s="19">
        <f>IF($B645="","",IFERROR(INDEX(智能流水!$L$2:$L$1001,MATCH($B645,智能流水!$B$2:$B$1001,0)),""))</f>
        <v/>
      </c>
      <c r="M645" s="19">
        <f>IF($B645="","",IFERROR(INDEX(智能流水!$M$2:$M$1001,MATCH($B645,智能流水!$B$2:$B$1001,0)),""))</f>
        <v/>
      </c>
      <c r="N645" s="19">
        <f>IF($B645="","",IFERROR(INDEX(智能流水!$N$2:$N$1001,MATCH($B645,智能流水!$B$2:$B$1001,0)),""))</f>
        <v/>
      </c>
      <c r="O645" s="19">
        <f>IF($B645="","",IFERROR(INDEX(智能流水!$O$2:$O$1001,MATCH($B645,智能流水!$B$2:$B$1001,0)),""))</f>
        <v/>
      </c>
    </row>
    <row r="646">
      <c r="A646" s="19">
        <f>IF($B646="","",645)</f>
        <v/>
      </c>
      <c r="B646" s="19">
        <f>IFERROR(LARGE(智能流水!$B$2:$B$1001,645),"")</f>
        <v/>
      </c>
      <c r="C646" s="19">
        <f>IF($B646="","",IFERROR(INDEX(智能流水!$C$2:$C$1001,MATCH($B646,智能流水!$B$2:$B$1001,0)),""))</f>
        <v/>
      </c>
      <c r="D646" s="19">
        <f>IF($B646="","",IFERROR(INDEX(智能流水!$D$2:$D$1001,MATCH($B646,智能流水!$B$2:$B$1001,0)),""))</f>
        <v/>
      </c>
      <c r="E646" s="19">
        <f>IF($B646="","",IFERROR(INDEX(智能流水!$E$2:$E$1001,MATCH($B646,智能流水!$B$2:$B$1001,0)),""))</f>
        <v/>
      </c>
      <c r="F646" s="19">
        <f>IF($B646="","",IFERROR(INDEX(智能流水!$F$2:$F$1001,MATCH($B646,智能流水!$B$2:$B$1001,0)),""))</f>
        <v/>
      </c>
      <c r="G646" s="19">
        <f>IF($B646="","",IFERROR(INDEX(智能流水!$G$2:$G$1001,MATCH($B646,智能流水!$B$2:$B$1001,0)),""))</f>
        <v/>
      </c>
      <c r="H646" s="19">
        <f>IF($B646="","",IFERROR(INDEX(智能流水!$H$2:$H$1001,MATCH($B646,智能流水!$B$2:$B$1001,0)),""))</f>
        <v/>
      </c>
      <c r="I646" s="19">
        <f>IF($B646="","",IFERROR(INDEX(智能流水!$I$2:$I$1001,MATCH($B646,智能流水!$B$2:$B$1001,0)),""))</f>
        <v/>
      </c>
      <c r="J646" s="19">
        <f>IF($B646="","",IFERROR(INDEX(智能流水!$J$2:$J$1001,MATCH($B646,智能流水!$B$2:$B$1001,0)),""))</f>
        <v/>
      </c>
      <c r="K646" s="19">
        <f>IF($B646="","",IFERROR(INDEX(智能流水!$K$2:$K$1001,MATCH($B646,智能流水!$B$2:$B$1001,0)),""))</f>
        <v/>
      </c>
      <c r="L646" s="19">
        <f>IF($B646="","",IFERROR(INDEX(智能流水!$L$2:$L$1001,MATCH($B646,智能流水!$B$2:$B$1001,0)),""))</f>
        <v/>
      </c>
      <c r="M646" s="19">
        <f>IF($B646="","",IFERROR(INDEX(智能流水!$M$2:$M$1001,MATCH($B646,智能流水!$B$2:$B$1001,0)),""))</f>
        <v/>
      </c>
      <c r="N646" s="19">
        <f>IF($B646="","",IFERROR(INDEX(智能流水!$N$2:$N$1001,MATCH($B646,智能流水!$B$2:$B$1001,0)),""))</f>
        <v/>
      </c>
      <c r="O646" s="19">
        <f>IF($B646="","",IFERROR(INDEX(智能流水!$O$2:$O$1001,MATCH($B646,智能流水!$B$2:$B$1001,0)),""))</f>
        <v/>
      </c>
    </row>
    <row r="647">
      <c r="A647" s="19">
        <f>IF($B647="","",646)</f>
        <v/>
      </c>
      <c r="B647" s="19">
        <f>IFERROR(LARGE(智能流水!$B$2:$B$1001,646),"")</f>
        <v/>
      </c>
      <c r="C647" s="19">
        <f>IF($B647="","",IFERROR(INDEX(智能流水!$C$2:$C$1001,MATCH($B647,智能流水!$B$2:$B$1001,0)),""))</f>
        <v/>
      </c>
      <c r="D647" s="19">
        <f>IF($B647="","",IFERROR(INDEX(智能流水!$D$2:$D$1001,MATCH($B647,智能流水!$B$2:$B$1001,0)),""))</f>
        <v/>
      </c>
      <c r="E647" s="19">
        <f>IF($B647="","",IFERROR(INDEX(智能流水!$E$2:$E$1001,MATCH($B647,智能流水!$B$2:$B$1001,0)),""))</f>
        <v/>
      </c>
      <c r="F647" s="19">
        <f>IF($B647="","",IFERROR(INDEX(智能流水!$F$2:$F$1001,MATCH($B647,智能流水!$B$2:$B$1001,0)),""))</f>
        <v/>
      </c>
      <c r="G647" s="19">
        <f>IF($B647="","",IFERROR(INDEX(智能流水!$G$2:$G$1001,MATCH($B647,智能流水!$B$2:$B$1001,0)),""))</f>
        <v/>
      </c>
      <c r="H647" s="19">
        <f>IF($B647="","",IFERROR(INDEX(智能流水!$H$2:$H$1001,MATCH($B647,智能流水!$B$2:$B$1001,0)),""))</f>
        <v/>
      </c>
      <c r="I647" s="19">
        <f>IF($B647="","",IFERROR(INDEX(智能流水!$I$2:$I$1001,MATCH($B647,智能流水!$B$2:$B$1001,0)),""))</f>
        <v/>
      </c>
      <c r="J647" s="19">
        <f>IF($B647="","",IFERROR(INDEX(智能流水!$J$2:$J$1001,MATCH($B647,智能流水!$B$2:$B$1001,0)),""))</f>
        <v/>
      </c>
      <c r="K647" s="19">
        <f>IF($B647="","",IFERROR(INDEX(智能流水!$K$2:$K$1001,MATCH($B647,智能流水!$B$2:$B$1001,0)),""))</f>
        <v/>
      </c>
      <c r="L647" s="19">
        <f>IF($B647="","",IFERROR(INDEX(智能流水!$L$2:$L$1001,MATCH($B647,智能流水!$B$2:$B$1001,0)),""))</f>
        <v/>
      </c>
      <c r="M647" s="19">
        <f>IF($B647="","",IFERROR(INDEX(智能流水!$M$2:$M$1001,MATCH($B647,智能流水!$B$2:$B$1001,0)),""))</f>
        <v/>
      </c>
      <c r="N647" s="19">
        <f>IF($B647="","",IFERROR(INDEX(智能流水!$N$2:$N$1001,MATCH($B647,智能流水!$B$2:$B$1001,0)),""))</f>
        <v/>
      </c>
      <c r="O647" s="19">
        <f>IF($B647="","",IFERROR(INDEX(智能流水!$O$2:$O$1001,MATCH($B647,智能流水!$B$2:$B$1001,0)),""))</f>
        <v/>
      </c>
    </row>
    <row r="648">
      <c r="A648" s="19">
        <f>IF($B648="","",647)</f>
        <v/>
      </c>
      <c r="B648" s="19">
        <f>IFERROR(LARGE(智能流水!$B$2:$B$1001,647),"")</f>
        <v/>
      </c>
      <c r="C648" s="19">
        <f>IF($B648="","",IFERROR(INDEX(智能流水!$C$2:$C$1001,MATCH($B648,智能流水!$B$2:$B$1001,0)),""))</f>
        <v/>
      </c>
      <c r="D648" s="19">
        <f>IF($B648="","",IFERROR(INDEX(智能流水!$D$2:$D$1001,MATCH($B648,智能流水!$B$2:$B$1001,0)),""))</f>
        <v/>
      </c>
      <c r="E648" s="19">
        <f>IF($B648="","",IFERROR(INDEX(智能流水!$E$2:$E$1001,MATCH($B648,智能流水!$B$2:$B$1001,0)),""))</f>
        <v/>
      </c>
      <c r="F648" s="19">
        <f>IF($B648="","",IFERROR(INDEX(智能流水!$F$2:$F$1001,MATCH($B648,智能流水!$B$2:$B$1001,0)),""))</f>
        <v/>
      </c>
      <c r="G648" s="19">
        <f>IF($B648="","",IFERROR(INDEX(智能流水!$G$2:$G$1001,MATCH($B648,智能流水!$B$2:$B$1001,0)),""))</f>
        <v/>
      </c>
      <c r="H648" s="19">
        <f>IF($B648="","",IFERROR(INDEX(智能流水!$H$2:$H$1001,MATCH($B648,智能流水!$B$2:$B$1001,0)),""))</f>
        <v/>
      </c>
      <c r="I648" s="19">
        <f>IF($B648="","",IFERROR(INDEX(智能流水!$I$2:$I$1001,MATCH($B648,智能流水!$B$2:$B$1001,0)),""))</f>
        <v/>
      </c>
      <c r="J648" s="19">
        <f>IF($B648="","",IFERROR(INDEX(智能流水!$J$2:$J$1001,MATCH($B648,智能流水!$B$2:$B$1001,0)),""))</f>
        <v/>
      </c>
      <c r="K648" s="19">
        <f>IF($B648="","",IFERROR(INDEX(智能流水!$K$2:$K$1001,MATCH($B648,智能流水!$B$2:$B$1001,0)),""))</f>
        <v/>
      </c>
      <c r="L648" s="19">
        <f>IF($B648="","",IFERROR(INDEX(智能流水!$L$2:$L$1001,MATCH($B648,智能流水!$B$2:$B$1001,0)),""))</f>
        <v/>
      </c>
      <c r="M648" s="19">
        <f>IF($B648="","",IFERROR(INDEX(智能流水!$M$2:$M$1001,MATCH($B648,智能流水!$B$2:$B$1001,0)),""))</f>
        <v/>
      </c>
      <c r="N648" s="19">
        <f>IF($B648="","",IFERROR(INDEX(智能流水!$N$2:$N$1001,MATCH($B648,智能流水!$B$2:$B$1001,0)),""))</f>
        <v/>
      </c>
      <c r="O648" s="19">
        <f>IF($B648="","",IFERROR(INDEX(智能流水!$O$2:$O$1001,MATCH($B648,智能流水!$B$2:$B$1001,0)),""))</f>
        <v/>
      </c>
    </row>
    <row r="649">
      <c r="A649" s="19">
        <f>IF($B649="","",648)</f>
        <v/>
      </c>
      <c r="B649" s="19">
        <f>IFERROR(LARGE(智能流水!$B$2:$B$1001,648),"")</f>
        <v/>
      </c>
      <c r="C649" s="19">
        <f>IF($B649="","",IFERROR(INDEX(智能流水!$C$2:$C$1001,MATCH($B649,智能流水!$B$2:$B$1001,0)),""))</f>
        <v/>
      </c>
      <c r="D649" s="19">
        <f>IF($B649="","",IFERROR(INDEX(智能流水!$D$2:$D$1001,MATCH($B649,智能流水!$B$2:$B$1001,0)),""))</f>
        <v/>
      </c>
      <c r="E649" s="19">
        <f>IF($B649="","",IFERROR(INDEX(智能流水!$E$2:$E$1001,MATCH($B649,智能流水!$B$2:$B$1001,0)),""))</f>
        <v/>
      </c>
      <c r="F649" s="19">
        <f>IF($B649="","",IFERROR(INDEX(智能流水!$F$2:$F$1001,MATCH($B649,智能流水!$B$2:$B$1001,0)),""))</f>
        <v/>
      </c>
      <c r="G649" s="19">
        <f>IF($B649="","",IFERROR(INDEX(智能流水!$G$2:$G$1001,MATCH($B649,智能流水!$B$2:$B$1001,0)),""))</f>
        <v/>
      </c>
      <c r="H649" s="19">
        <f>IF($B649="","",IFERROR(INDEX(智能流水!$H$2:$H$1001,MATCH($B649,智能流水!$B$2:$B$1001,0)),""))</f>
        <v/>
      </c>
      <c r="I649" s="19">
        <f>IF($B649="","",IFERROR(INDEX(智能流水!$I$2:$I$1001,MATCH($B649,智能流水!$B$2:$B$1001,0)),""))</f>
        <v/>
      </c>
      <c r="J649" s="19">
        <f>IF($B649="","",IFERROR(INDEX(智能流水!$J$2:$J$1001,MATCH($B649,智能流水!$B$2:$B$1001,0)),""))</f>
        <v/>
      </c>
      <c r="K649" s="19">
        <f>IF($B649="","",IFERROR(INDEX(智能流水!$K$2:$K$1001,MATCH($B649,智能流水!$B$2:$B$1001,0)),""))</f>
        <v/>
      </c>
      <c r="L649" s="19">
        <f>IF($B649="","",IFERROR(INDEX(智能流水!$L$2:$L$1001,MATCH($B649,智能流水!$B$2:$B$1001,0)),""))</f>
        <v/>
      </c>
      <c r="M649" s="19">
        <f>IF($B649="","",IFERROR(INDEX(智能流水!$M$2:$M$1001,MATCH($B649,智能流水!$B$2:$B$1001,0)),""))</f>
        <v/>
      </c>
      <c r="N649" s="19">
        <f>IF($B649="","",IFERROR(INDEX(智能流水!$N$2:$N$1001,MATCH($B649,智能流水!$B$2:$B$1001,0)),""))</f>
        <v/>
      </c>
      <c r="O649" s="19">
        <f>IF($B649="","",IFERROR(INDEX(智能流水!$O$2:$O$1001,MATCH($B649,智能流水!$B$2:$B$1001,0)),""))</f>
        <v/>
      </c>
    </row>
    <row r="650">
      <c r="A650" s="19">
        <f>IF($B650="","",649)</f>
        <v/>
      </c>
      <c r="B650" s="19">
        <f>IFERROR(LARGE(智能流水!$B$2:$B$1001,649),"")</f>
        <v/>
      </c>
      <c r="C650" s="19">
        <f>IF($B650="","",IFERROR(INDEX(智能流水!$C$2:$C$1001,MATCH($B650,智能流水!$B$2:$B$1001,0)),""))</f>
        <v/>
      </c>
      <c r="D650" s="19">
        <f>IF($B650="","",IFERROR(INDEX(智能流水!$D$2:$D$1001,MATCH($B650,智能流水!$B$2:$B$1001,0)),""))</f>
        <v/>
      </c>
      <c r="E650" s="19">
        <f>IF($B650="","",IFERROR(INDEX(智能流水!$E$2:$E$1001,MATCH($B650,智能流水!$B$2:$B$1001,0)),""))</f>
        <v/>
      </c>
      <c r="F650" s="19">
        <f>IF($B650="","",IFERROR(INDEX(智能流水!$F$2:$F$1001,MATCH($B650,智能流水!$B$2:$B$1001,0)),""))</f>
        <v/>
      </c>
      <c r="G650" s="19">
        <f>IF($B650="","",IFERROR(INDEX(智能流水!$G$2:$G$1001,MATCH($B650,智能流水!$B$2:$B$1001,0)),""))</f>
        <v/>
      </c>
      <c r="H650" s="19">
        <f>IF($B650="","",IFERROR(INDEX(智能流水!$H$2:$H$1001,MATCH($B650,智能流水!$B$2:$B$1001,0)),""))</f>
        <v/>
      </c>
      <c r="I650" s="19">
        <f>IF($B650="","",IFERROR(INDEX(智能流水!$I$2:$I$1001,MATCH($B650,智能流水!$B$2:$B$1001,0)),""))</f>
        <v/>
      </c>
      <c r="J650" s="19">
        <f>IF($B650="","",IFERROR(INDEX(智能流水!$J$2:$J$1001,MATCH($B650,智能流水!$B$2:$B$1001,0)),""))</f>
        <v/>
      </c>
      <c r="K650" s="19">
        <f>IF($B650="","",IFERROR(INDEX(智能流水!$K$2:$K$1001,MATCH($B650,智能流水!$B$2:$B$1001,0)),""))</f>
        <v/>
      </c>
      <c r="L650" s="19">
        <f>IF($B650="","",IFERROR(INDEX(智能流水!$L$2:$L$1001,MATCH($B650,智能流水!$B$2:$B$1001,0)),""))</f>
        <v/>
      </c>
      <c r="M650" s="19">
        <f>IF($B650="","",IFERROR(INDEX(智能流水!$M$2:$M$1001,MATCH($B650,智能流水!$B$2:$B$1001,0)),""))</f>
        <v/>
      </c>
      <c r="N650" s="19">
        <f>IF($B650="","",IFERROR(INDEX(智能流水!$N$2:$N$1001,MATCH($B650,智能流水!$B$2:$B$1001,0)),""))</f>
        <v/>
      </c>
      <c r="O650" s="19">
        <f>IF($B650="","",IFERROR(INDEX(智能流水!$O$2:$O$1001,MATCH($B650,智能流水!$B$2:$B$1001,0)),""))</f>
        <v/>
      </c>
    </row>
    <row r="651">
      <c r="A651" s="19">
        <f>IF($B651="","",650)</f>
        <v/>
      </c>
      <c r="B651" s="19">
        <f>IFERROR(LARGE(智能流水!$B$2:$B$1001,650),"")</f>
        <v/>
      </c>
      <c r="C651" s="19">
        <f>IF($B651="","",IFERROR(INDEX(智能流水!$C$2:$C$1001,MATCH($B651,智能流水!$B$2:$B$1001,0)),""))</f>
        <v/>
      </c>
      <c r="D651" s="19">
        <f>IF($B651="","",IFERROR(INDEX(智能流水!$D$2:$D$1001,MATCH($B651,智能流水!$B$2:$B$1001,0)),""))</f>
        <v/>
      </c>
      <c r="E651" s="19">
        <f>IF($B651="","",IFERROR(INDEX(智能流水!$E$2:$E$1001,MATCH($B651,智能流水!$B$2:$B$1001,0)),""))</f>
        <v/>
      </c>
      <c r="F651" s="19">
        <f>IF($B651="","",IFERROR(INDEX(智能流水!$F$2:$F$1001,MATCH($B651,智能流水!$B$2:$B$1001,0)),""))</f>
        <v/>
      </c>
      <c r="G651" s="19">
        <f>IF($B651="","",IFERROR(INDEX(智能流水!$G$2:$G$1001,MATCH($B651,智能流水!$B$2:$B$1001,0)),""))</f>
        <v/>
      </c>
      <c r="H651" s="19">
        <f>IF($B651="","",IFERROR(INDEX(智能流水!$H$2:$H$1001,MATCH($B651,智能流水!$B$2:$B$1001,0)),""))</f>
        <v/>
      </c>
      <c r="I651" s="19">
        <f>IF($B651="","",IFERROR(INDEX(智能流水!$I$2:$I$1001,MATCH($B651,智能流水!$B$2:$B$1001,0)),""))</f>
        <v/>
      </c>
      <c r="J651" s="19">
        <f>IF($B651="","",IFERROR(INDEX(智能流水!$J$2:$J$1001,MATCH($B651,智能流水!$B$2:$B$1001,0)),""))</f>
        <v/>
      </c>
      <c r="K651" s="19">
        <f>IF($B651="","",IFERROR(INDEX(智能流水!$K$2:$K$1001,MATCH($B651,智能流水!$B$2:$B$1001,0)),""))</f>
        <v/>
      </c>
      <c r="L651" s="19">
        <f>IF($B651="","",IFERROR(INDEX(智能流水!$L$2:$L$1001,MATCH($B651,智能流水!$B$2:$B$1001,0)),""))</f>
        <v/>
      </c>
      <c r="M651" s="19">
        <f>IF($B651="","",IFERROR(INDEX(智能流水!$M$2:$M$1001,MATCH($B651,智能流水!$B$2:$B$1001,0)),""))</f>
        <v/>
      </c>
      <c r="N651" s="19">
        <f>IF($B651="","",IFERROR(INDEX(智能流水!$N$2:$N$1001,MATCH($B651,智能流水!$B$2:$B$1001,0)),""))</f>
        <v/>
      </c>
      <c r="O651" s="19">
        <f>IF($B651="","",IFERROR(INDEX(智能流水!$O$2:$O$1001,MATCH($B651,智能流水!$B$2:$B$1001,0)),""))</f>
        <v/>
      </c>
    </row>
    <row r="652">
      <c r="A652" s="19">
        <f>IF($B652="","",651)</f>
        <v/>
      </c>
      <c r="B652" s="19">
        <f>IFERROR(LARGE(智能流水!$B$2:$B$1001,651),"")</f>
        <v/>
      </c>
      <c r="C652" s="19">
        <f>IF($B652="","",IFERROR(INDEX(智能流水!$C$2:$C$1001,MATCH($B652,智能流水!$B$2:$B$1001,0)),""))</f>
        <v/>
      </c>
      <c r="D652" s="19">
        <f>IF($B652="","",IFERROR(INDEX(智能流水!$D$2:$D$1001,MATCH($B652,智能流水!$B$2:$B$1001,0)),""))</f>
        <v/>
      </c>
      <c r="E652" s="19">
        <f>IF($B652="","",IFERROR(INDEX(智能流水!$E$2:$E$1001,MATCH($B652,智能流水!$B$2:$B$1001,0)),""))</f>
        <v/>
      </c>
      <c r="F652" s="19">
        <f>IF($B652="","",IFERROR(INDEX(智能流水!$F$2:$F$1001,MATCH($B652,智能流水!$B$2:$B$1001,0)),""))</f>
        <v/>
      </c>
      <c r="G652" s="19">
        <f>IF($B652="","",IFERROR(INDEX(智能流水!$G$2:$G$1001,MATCH($B652,智能流水!$B$2:$B$1001,0)),""))</f>
        <v/>
      </c>
      <c r="H652" s="19">
        <f>IF($B652="","",IFERROR(INDEX(智能流水!$H$2:$H$1001,MATCH($B652,智能流水!$B$2:$B$1001,0)),""))</f>
        <v/>
      </c>
      <c r="I652" s="19">
        <f>IF($B652="","",IFERROR(INDEX(智能流水!$I$2:$I$1001,MATCH($B652,智能流水!$B$2:$B$1001,0)),""))</f>
        <v/>
      </c>
      <c r="J652" s="19">
        <f>IF($B652="","",IFERROR(INDEX(智能流水!$J$2:$J$1001,MATCH($B652,智能流水!$B$2:$B$1001,0)),""))</f>
        <v/>
      </c>
      <c r="K652" s="19">
        <f>IF($B652="","",IFERROR(INDEX(智能流水!$K$2:$K$1001,MATCH($B652,智能流水!$B$2:$B$1001,0)),""))</f>
        <v/>
      </c>
      <c r="L652" s="19">
        <f>IF($B652="","",IFERROR(INDEX(智能流水!$L$2:$L$1001,MATCH($B652,智能流水!$B$2:$B$1001,0)),""))</f>
        <v/>
      </c>
      <c r="M652" s="19">
        <f>IF($B652="","",IFERROR(INDEX(智能流水!$M$2:$M$1001,MATCH($B652,智能流水!$B$2:$B$1001,0)),""))</f>
        <v/>
      </c>
      <c r="N652" s="19">
        <f>IF($B652="","",IFERROR(INDEX(智能流水!$N$2:$N$1001,MATCH($B652,智能流水!$B$2:$B$1001,0)),""))</f>
        <v/>
      </c>
      <c r="O652" s="19">
        <f>IF($B652="","",IFERROR(INDEX(智能流水!$O$2:$O$1001,MATCH($B652,智能流水!$B$2:$B$1001,0)),""))</f>
        <v/>
      </c>
    </row>
    <row r="653">
      <c r="A653" s="19">
        <f>IF($B653="","",652)</f>
        <v/>
      </c>
      <c r="B653" s="19">
        <f>IFERROR(LARGE(智能流水!$B$2:$B$1001,652),"")</f>
        <v/>
      </c>
      <c r="C653" s="19">
        <f>IF($B653="","",IFERROR(INDEX(智能流水!$C$2:$C$1001,MATCH($B653,智能流水!$B$2:$B$1001,0)),""))</f>
        <v/>
      </c>
      <c r="D653" s="19">
        <f>IF($B653="","",IFERROR(INDEX(智能流水!$D$2:$D$1001,MATCH($B653,智能流水!$B$2:$B$1001,0)),""))</f>
        <v/>
      </c>
      <c r="E653" s="19">
        <f>IF($B653="","",IFERROR(INDEX(智能流水!$E$2:$E$1001,MATCH($B653,智能流水!$B$2:$B$1001,0)),""))</f>
        <v/>
      </c>
      <c r="F653" s="19">
        <f>IF($B653="","",IFERROR(INDEX(智能流水!$F$2:$F$1001,MATCH($B653,智能流水!$B$2:$B$1001,0)),""))</f>
        <v/>
      </c>
      <c r="G653" s="19">
        <f>IF($B653="","",IFERROR(INDEX(智能流水!$G$2:$G$1001,MATCH($B653,智能流水!$B$2:$B$1001,0)),""))</f>
        <v/>
      </c>
      <c r="H653" s="19">
        <f>IF($B653="","",IFERROR(INDEX(智能流水!$H$2:$H$1001,MATCH($B653,智能流水!$B$2:$B$1001,0)),""))</f>
        <v/>
      </c>
      <c r="I653" s="19">
        <f>IF($B653="","",IFERROR(INDEX(智能流水!$I$2:$I$1001,MATCH($B653,智能流水!$B$2:$B$1001,0)),""))</f>
        <v/>
      </c>
      <c r="J653" s="19">
        <f>IF($B653="","",IFERROR(INDEX(智能流水!$J$2:$J$1001,MATCH($B653,智能流水!$B$2:$B$1001,0)),""))</f>
        <v/>
      </c>
      <c r="K653" s="19">
        <f>IF($B653="","",IFERROR(INDEX(智能流水!$K$2:$K$1001,MATCH($B653,智能流水!$B$2:$B$1001,0)),""))</f>
        <v/>
      </c>
      <c r="L653" s="19">
        <f>IF($B653="","",IFERROR(INDEX(智能流水!$L$2:$L$1001,MATCH($B653,智能流水!$B$2:$B$1001,0)),""))</f>
        <v/>
      </c>
      <c r="M653" s="19">
        <f>IF($B653="","",IFERROR(INDEX(智能流水!$M$2:$M$1001,MATCH($B653,智能流水!$B$2:$B$1001,0)),""))</f>
        <v/>
      </c>
      <c r="N653" s="19">
        <f>IF($B653="","",IFERROR(INDEX(智能流水!$N$2:$N$1001,MATCH($B653,智能流水!$B$2:$B$1001,0)),""))</f>
        <v/>
      </c>
      <c r="O653" s="19">
        <f>IF($B653="","",IFERROR(INDEX(智能流水!$O$2:$O$1001,MATCH($B653,智能流水!$B$2:$B$1001,0)),""))</f>
        <v/>
      </c>
    </row>
    <row r="654">
      <c r="A654" s="19">
        <f>IF($B654="","",653)</f>
        <v/>
      </c>
      <c r="B654" s="19">
        <f>IFERROR(LARGE(智能流水!$B$2:$B$1001,653),"")</f>
        <v/>
      </c>
      <c r="C654" s="19">
        <f>IF($B654="","",IFERROR(INDEX(智能流水!$C$2:$C$1001,MATCH($B654,智能流水!$B$2:$B$1001,0)),""))</f>
        <v/>
      </c>
      <c r="D654" s="19">
        <f>IF($B654="","",IFERROR(INDEX(智能流水!$D$2:$D$1001,MATCH($B654,智能流水!$B$2:$B$1001,0)),""))</f>
        <v/>
      </c>
      <c r="E654" s="19">
        <f>IF($B654="","",IFERROR(INDEX(智能流水!$E$2:$E$1001,MATCH($B654,智能流水!$B$2:$B$1001,0)),""))</f>
        <v/>
      </c>
      <c r="F654" s="19">
        <f>IF($B654="","",IFERROR(INDEX(智能流水!$F$2:$F$1001,MATCH($B654,智能流水!$B$2:$B$1001,0)),""))</f>
        <v/>
      </c>
      <c r="G654" s="19">
        <f>IF($B654="","",IFERROR(INDEX(智能流水!$G$2:$G$1001,MATCH($B654,智能流水!$B$2:$B$1001,0)),""))</f>
        <v/>
      </c>
      <c r="H654" s="19">
        <f>IF($B654="","",IFERROR(INDEX(智能流水!$H$2:$H$1001,MATCH($B654,智能流水!$B$2:$B$1001,0)),""))</f>
        <v/>
      </c>
      <c r="I654" s="19">
        <f>IF($B654="","",IFERROR(INDEX(智能流水!$I$2:$I$1001,MATCH($B654,智能流水!$B$2:$B$1001,0)),""))</f>
        <v/>
      </c>
      <c r="J654" s="19">
        <f>IF($B654="","",IFERROR(INDEX(智能流水!$J$2:$J$1001,MATCH($B654,智能流水!$B$2:$B$1001,0)),""))</f>
        <v/>
      </c>
      <c r="K654" s="19">
        <f>IF($B654="","",IFERROR(INDEX(智能流水!$K$2:$K$1001,MATCH($B654,智能流水!$B$2:$B$1001,0)),""))</f>
        <v/>
      </c>
      <c r="L654" s="19">
        <f>IF($B654="","",IFERROR(INDEX(智能流水!$L$2:$L$1001,MATCH($B654,智能流水!$B$2:$B$1001,0)),""))</f>
        <v/>
      </c>
      <c r="M654" s="19">
        <f>IF($B654="","",IFERROR(INDEX(智能流水!$M$2:$M$1001,MATCH($B654,智能流水!$B$2:$B$1001,0)),""))</f>
        <v/>
      </c>
      <c r="N654" s="19">
        <f>IF($B654="","",IFERROR(INDEX(智能流水!$N$2:$N$1001,MATCH($B654,智能流水!$B$2:$B$1001,0)),""))</f>
        <v/>
      </c>
      <c r="O654" s="19">
        <f>IF($B654="","",IFERROR(INDEX(智能流水!$O$2:$O$1001,MATCH($B654,智能流水!$B$2:$B$1001,0)),""))</f>
        <v/>
      </c>
    </row>
    <row r="655">
      <c r="A655" s="19">
        <f>IF($B655="","",654)</f>
        <v/>
      </c>
      <c r="B655" s="19">
        <f>IFERROR(LARGE(智能流水!$B$2:$B$1001,654),"")</f>
        <v/>
      </c>
      <c r="C655" s="19">
        <f>IF($B655="","",IFERROR(INDEX(智能流水!$C$2:$C$1001,MATCH($B655,智能流水!$B$2:$B$1001,0)),""))</f>
        <v/>
      </c>
      <c r="D655" s="19">
        <f>IF($B655="","",IFERROR(INDEX(智能流水!$D$2:$D$1001,MATCH($B655,智能流水!$B$2:$B$1001,0)),""))</f>
        <v/>
      </c>
      <c r="E655" s="19">
        <f>IF($B655="","",IFERROR(INDEX(智能流水!$E$2:$E$1001,MATCH($B655,智能流水!$B$2:$B$1001,0)),""))</f>
        <v/>
      </c>
      <c r="F655" s="19">
        <f>IF($B655="","",IFERROR(INDEX(智能流水!$F$2:$F$1001,MATCH($B655,智能流水!$B$2:$B$1001,0)),""))</f>
        <v/>
      </c>
      <c r="G655" s="19">
        <f>IF($B655="","",IFERROR(INDEX(智能流水!$G$2:$G$1001,MATCH($B655,智能流水!$B$2:$B$1001,0)),""))</f>
        <v/>
      </c>
      <c r="H655" s="19">
        <f>IF($B655="","",IFERROR(INDEX(智能流水!$H$2:$H$1001,MATCH($B655,智能流水!$B$2:$B$1001,0)),""))</f>
        <v/>
      </c>
      <c r="I655" s="19">
        <f>IF($B655="","",IFERROR(INDEX(智能流水!$I$2:$I$1001,MATCH($B655,智能流水!$B$2:$B$1001,0)),""))</f>
        <v/>
      </c>
      <c r="J655" s="19">
        <f>IF($B655="","",IFERROR(INDEX(智能流水!$J$2:$J$1001,MATCH($B655,智能流水!$B$2:$B$1001,0)),""))</f>
        <v/>
      </c>
      <c r="K655" s="19">
        <f>IF($B655="","",IFERROR(INDEX(智能流水!$K$2:$K$1001,MATCH($B655,智能流水!$B$2:$B$1001,0)),""))</f>
        <v/>
      </c>
      <c r="L655" s="19">
        <f>IF($B655="","",IFERROR(INDEX(智能流水!$L$2:$L$1001,MATCH($B655,智能流水!$B$2:$B$1001,0)),""))</f>
        <v/>
      </c>
      <c r="M655" s="19">
        <f>IF($B655="","",IFERROR(INDEX(智能流水!$M$2:$M$1001,MATCH($B655,智能流水!$B$2:$B$1001,0)),""))</f>
        <v/>
      </c>
      <c r="N655" s="19">
        <f>IF($B655="","",IFERROR(INDEX(智能流水!$N$2:$N$1001,MATCH($B655,智能流水!$B$2:$B$1001,0)),""))</f>
        <v/>
      </c>
      <c r="O655" s="19">
        <f>IF($B655="","",IFERROR(INDEX(智能流水!$O$2:$O$1001,MATCH($B655,智能流水!$B$2:$B$1001,0)),""))</f>
        <v/>
      </c>
    </row>
    <row r="656">
      <c r="A656" s="19">
        <f>IF($B656="","",655)</f>
        <v/>
      </c>
      <c r="B656" s="19">
        <f>IFERROR(LARGE(智能流水!$B$2:$B$1001,655),"")</f>
        <v/>
      </c>
      <c r="C656" s="19">
        <f>IF($B656="","",IFERROR(INDEX(智能流水!$C$2:$C$1001,MATCH($B656,智能流水!$B$2:$B$1001,0)),""))</f>
        <v/>
      </c>
      <c r="D656" s="19">
        <f>IF($B656="","",IFERROR(INDEX(智能流水!$D$2:$D$1001,MATCH($B656,智能流水!$B$2:$B$1001,0)),""))</f>
        <v/>
      </c>
      <c r="E656" s="19">
        <f>IF($B656="","",IFERROR(INDEX(智能流水!$E$2:$E$1001,MATCH($B656,智能流水!$B$2:$B$1001,0)),""))</f>
        <v/>
      </c>
      <c r="F656" s="19">
        <f>IF($B656="","",IFERROR(INDEX(智能流水!$F$2:$F$1001,MATCH($B656,智能流水!$B$2:$B$1001,0)),""))</f>
        <v/>
      </c>
      <c r="G656" s="19">
        <f>IF($B656="","",IFERROR(INDEX(智能流水!$G$2:$G$1001,MATCH($B656,智能流水!$B$2:$B$1001,0)),""))</f>
        <v/>
      </c>
      <c r="H656" s="19">
        <f>IF($B656="","",IFERROR(INDEX(智能流水!$H$2:$H$1001,MATCH($B656,智能流水!$B$2:$B$1001,0)),""))</f>
        <v/>
      </c>
      <c r="I656" s="19">
        <f>IF($B656="","",IFERROR(INDEX(智能流水!$I$2:$I$1001,MATCH($B656,智能流水!$B$2:$B$1001,0)),""))</f>
        <v/>
      </c>
      <c r="J656" s="19">
        <f>IF($B656="","",IFERROR(INDEX(智能流水!$J$2:$J$1001,MATCH($B656,智能流水!$B$2:$B$1001,0)),""))</f>
        <v/>
      </c>
      <c r="K656" s="19">
        <f>IF($B656="","",IFERROR(INDEX(智能流水!$K$2:$K$1001,MATCH($B656,智能流水!$B$2:$B$1001,0)),""))</f>
        <v/>
      </c>
      <c r="L656" s="19">
        <f>IF($B656="","",IFERROR(INDEX(智能流水!$L$2:$L$1001,MATCH($B656,智能流水!$B$2:$B$1001,0)),""))</f>
        <v/>
      </c>
      <c r="M656" s="19">
        <f>IF($B656="","",IFERROR(INDEX(智能流水!$M$2:$M$1001,MATCH($B656,智能流水!$B$2:$B$1001,0)),""))</f>
        <v/>
      </c>
      <c r="N656" s="19">
        <f>IF($B656="","",IFERROR(INDEX(智能流水!$N$2:$N$1001,MATCH($B656,智能流水!$B$2:$B$1001,0)),""))</f>
        <v/>
      </c>
      <c r="O656" s="19">
        <f>IF($B656="","",IFERROR(INDEX(智能流水!$O$2:$O$1001,MATCH($B656,智能流水!$B$2:$B$1001,0)),""))</f>
        <v/>
      </c>
    </row>
    <row r="657">
      <c r="A657" s="19">
        <f>IF($B657="","",656)</f>
        <v/>
      </c>
      <c r="B657" s="19">
        <f>IFERROR(LARGE(智能流水!$B$2:$B$1001,656),"")</f>
        <v/>
      </c>
      <c r="C657" s="19">
        <f>IF($B657="","",IFERROR(INDEX(智能流水!$C$2:$C$1001,MATCH($B657,智能流水!$B$2:$B$1001,0)),""))</f>
        <v/>
      </c>
      <c r="D657" s="19">
        <f>IF($B657="","",IFERROR(INDEX(智能流水!$D$2:$D$1001,MATCH($B657,智能流水!$B$2:$B$1001,0)),""))</f>
        <v/>
      </c>
      <c r="E657" s="19">
        <f>IF($B657="","",IFERROR(INDEX(智能流水!$E$2:$E$1001,MATCH($B657,智能流水!$B$2:$B$1001,0)),""))</f>
        <v/>
      </c>
      <c r="F657" s="19">
        <f>IF($B657="","",IFERROR(INDEX(智能流水!$F$2:$F$1001,MATCH($B657,智能流水!$B$2:$B$1001,0)),""))</f>
        <v/>
      </c>
      <c r="G657" s="19">
        <f>IF($B657="","",IFERROR(INDEX(智能流水!$G$2:$G$1001,MATCH($B657,智能流水!$B$2:$B$1001,0)),""))</f>
        <v/>
      </c>
      <c r="H657" s="19">
        <f>IF($B657="","",IFERROR(INDEX(智能流水!$H$2:$H$1001,MATCH($B657,智能流水!$B$2:$B$1001,0)),""))</f>
        <v/>
      </c>
      <c r="I657" s="19">
        <f>IF($B657="","",IFERROR(INDEX(智能流水!$I$2:$I$1001,MATCH($B657,智能流水!$B$2:$B$1001,0)),""))</f>
        <v/>
      </c>
      <c r="J657" s="19">
        <f>IF($B657="","",IFERROR(INDEX(智能流水!$J$2:$J$1001,MATCH($B657,智能流水!$B$2:$B$1001,0)),""))</f>
        <v/>
      </c>
      <c r="K657" s="19">
        <f>IF($B657="","",IFERROR(INDEX(智能流水!$K$2:$K$1001,MATCH($B657,智能流水!$B$2:$B$1001,0)),""))</f>
        <v/>
      </c>
      <c r="L657" s="19">
        <f>IF($B657="","",IFERROR(INDEX(智能流水!$L$2:$L$1001,MATCH($B657,智能流水!$B$2:$B$1001,0)),""))</f>
        <v/>
      </c>
      <c r="M657" s="19">
        <f>IF($B657="","",IFERROR(INDEX(智能流水!$M$2:$M$1001,MATCH($B657,智能流水!$B$2:$B$1001,0)),""))</f>
        <v/>
      </c>
      <c r="N657" s="19">
        <f>IF($B657="","",IFERROR(INDEX(智能流水!$N$2:$N$1001,MATCH($B657,智能流水!$B$2:$B$1001,0)),""))</f>
        <v/>
      </c>
      <c r="O657" s="19">
        <f>IF($B657="","",IFERROR(INDEX(智能流水!$O$2:$O$1001,MATCH($B657,智能流水!$B$2:$B$1001,0)),""))</f>
        <v/>
      </c>
    </row>
    <row r="658">
      <c r="A658" s="19">
        <f>IF($B658="","",657)</f>
        <v/>
      </c>
      <c r="B658" s="19">
        <f>IFERROR(LARGE(智能流水!$B$2:$B$1001,657),"")</f>
        <v/>
      </c>
      <c r="C658" s="19">
        <f>IF($B658="","",IFERROR(INDEX(智能流水!$C$2:$C$1001,MATCH($B658,智能流水!$B$2:$B$1001,0)),""))</f>
        <v/>
      </c>
      <c r="D658" s="19">
        <f>IF($B658="","",IFERROR(INDEX(智能流水!$D$2:$D$1001,MATCH($B658,智能流水!$B$2:$B$1001,0)),""))</f>
        <v/>
      </c>
      <c r="E658" s="19">
        <f>IF($B658="","",IFERROR(INDEX(智能流水!$E$2:$E$1001,MATCH($B658,智能流水!$B$2:$B$1001,0)),""))</f>
        <v/>
      </c>
      <c r="F658" s="19">
        <f>IF($B658="","",IFERROR(INDEX(智能流水!$F$2:$F$1001,MATCH($B658,智能流水!$B$2:$B$1001,0)),""))</f>
        <v/>
      </c>
      <c r="G658" s="19">
        <f>IF($B658="","",IFERROR(INDEX(智能流水!$G$2:$G$1001,MATCH($B658,智能流水!$B$2:$B$1001,0)),""))</f>
        <v/>
      </c>
      <c r="H658" s="19">
        <f>IF($B658="","",IFERROR(INDEX(智能流水!$H$2:$H$1001,MATCH($B658,智能流水!$B$2:$B$1001,0)),""))</f>
        <v/>
      </c>
      <c r="I658" s="19">
        <f>IF($B658="","",IFERROR(INDEX(智能流水!$I$2:$I$1001,MATCH($B658,智能流水!$B$2:$B$1001,0)),""))</f>
        <v/>
      </c>
      <c r="J658" s="19">
        <f>IF($B658="","",IFERROR(INDEX(智能流水!$J$2:$J$1001,MATCH($B658,智能流水!$B$2:$B$1001,0)),""))</f>
        <v/>
      </c>
      <c r="K658" s="19">
        <f>IF($B658="","",IFERROR(INDEX(智能流水!$K$2:$K$1001,MATCH($B658,智能流水!$B$2:$B$1001,0)),""))</f>
        <v/>
      </c>
      <c r="L658" s="19">
        <f>IF($B658="","",IFERROR(INDEX(智能流水!$L$2:$L$1001,MATCH($B658,智能流水!$B$2:$B$1001,0)),""))</f>
        <v/>
      </c>
      <c r="M658" s="19">
        <f>IF($B658="","",IFERROR(INDEX(智能流水!$M$2:$M$1001,MATCH($B658,智能流水!$B$2:$B$1001,0)),""))</f>
        <v/>
      </c>
      <c r="N658" s="19">
        <f>IF($B658="","",IFERROR(INDEX(智能流水!$N$2:$N$1001,MATCH($B658,智能流水!$B$2:$B$1001,0)),""))</f>
        <v/>
      </c>
      <c r="O658" s="19">
        <f>IF($B658="","",IFERROR(INDEX(智能流水!$O$2:$O$1001,MATCH($B658,智能流水!$B$2:$B$1001,0)),""))</f>
        <v/>
      </c>
    </row>
    <row r="659">
      <c r="A659" s="19">
        <f>IF($B659="","",658)</f>
        <v/>
      </c>
      <c r="B659" s="19">
        <f>IFERROR(LARGE(智能流水!$B$2:$B$1001,658),"")</f>
        <v/>
      </c>
      <c r="C659" s="19">
        <f>IF($B659="","",IFERROR(INDEX(智能流水!$C$2:$C$1001,MATCH($B659,智能流水!$B$2:$B$1001,0)),""))</f>
        <v/>
      </c>
      <c r="D659" s="19">
        <f>IF($B659="","",IFERROR(INDEX(智能流水!$D$2:$D$1001,MATCH($B659,智能流水!$B$2:$B$1001,0)),""))</f>
        <v/>
      </c>
      <c r="E659" s="19">
        <f>IF($B659="","",IFERROR(INDEX(智能流水!$E$2:$E$1001,MATCH($B659,智能流水!$B$2:$B$1001,0)),""))</f>
        <v/>
      </c>
      <c r="F659" s="19">
        <f>IF($B659="","",IFERROR(INDEX(智能流水!$F$2:$F$1001,MATCH($B659,智能流水!$B$2:$B$1001,0)),""))</f>
        <v/>
      </c>
      <c r="G659" s="19">
        <f>IF($B659="","",IFERROR(INDEX(智能流水!$G$2:$G$1001,MATCH($B659,智能流水!$B$2:$B$1001,0)),""))</f>
        <v/>
      </c>
      <c r="H659" s="19">
        <f>IF($B659="","",IFERROR(INDEX(智能流水!$H$2:$H$1001,MATCH($B659,智能流水!$B$2:$B$1001,0)),""))</f>
        <v/>
      </c>
      <c r="I659" s="19">
        <f>IF($B659="","",IFERROR(INDEX(智能流水!$I$2:$I$1001,MATCH($B659,智能流水!$B$2:$B$1001,0)),""))</f>
        <v/>
      </c>
      <c r="J659" s="19">
        <f>IF($B659="","",IFERROR(INDEX(智能流水!$J$2:$J$1001,MATCH($B659,智能流水!$B$2:$B$1001,0)),""))</f>
        <v/>
      </c>
      <c r="K659" s="19">
        <f>IF($B659="","",IFERROR(INDEX(智能流水!$K$2:$K$1001,MATCH($B659,智能流水!$B$2:$B$1001,0)),""))</f>
        <v/>
      </c>
      <c r="L659" s="19">
        <f>IF($B659="","",IFERROR(INDEX(智能流水!$L$2:$L$1001,MATCH($B659,智能流水!$B$2:$B$1001,0)),""))</f>
        <v/>
      </c>
      <c r="M659" s="19">
        <f>IF($B659="","",IFERROR(INDEX(智能流水!$M$2:$M$1001,MATCH($B659,智能流水!$B$2:$B$1001,0)),""))</f>
        <v/>
      </c>
      <c r="N659" s="19">
        <f>IF($B659="","",IFERROR(INDEX(智能流水!$N$2:$N$1001,MATCH($B659,智能流水!$B$2:$B$1001,0)),""))</f>
        <v/>
      </c>
      <c r="O659" s="19">
        <f>IF($B659="","",IFERROR(INDEX(智能流水!$O$2:$O$1001,MATCH($B659,智能流水!$B$2:$B$1001,0)),""))</f>
        <v/>
      </c>
    </row>
    <row r="660">
      <c r="A660" s="19">
        <f>IF($B660="","",659)</f>
        <v/>
      </c>
      <c r="B660" s="19">
        <f>IFERROR(LARGE(智能流水!$B$2:$B$1001,659),"")</f>
        <v/>
      </c>
      <c r="C660" s="19">
        <f>IF($B660="","",IFERROR(INDEX(智能流水!$C$2:$C$1001,MATCH($B660,智能流水!$B$2:$B$1001,0)),""))</f>
        <v/>
      </c>
      <c r="D660" s="19">
        <f>IF($B660="","",IFERROR(INDEX(智能流水!$D$2:$D$1001,MATCH($B660,智能流水!$B$2:$B$1001,0)),""))</f>
        <v/>
      </c>
      <c r="E660" s="19">
        <f>IF($B660="","",IFERROR(INDEX(智能流水!$E$2:$E$1001,MATCH($B660,智能流水!$B$2:$B$1001,0)),""))</f>
        <v/>
      </c>
      <c r="F660" s="19">
        <f>IF($B660="","",IFERROR(INDEX(智能流水!$F$2:$F$1001,MATCH($B660,智能流水!$B$2:$B$1001,0)),""))</f>
        <v/>
      </c>
      <c r="G660" s="19">
        <f>IF($B660="","",IFERROR(INDEX(智能流水!$G$2:$G$1001,MATCH($B660,智能流水!$B$2:$B$1001,0)),""))</f>
        <v/>
      </c>
      <c r="H660" s="19">
        <f>IF($B660="","",IFERROR(INDEX(智能流水!$H$2:$H$1001,MATCH($B660,智能流水!$B$2:$B$1001,0)),""))</f>
        <v/>
      </c>
      <c r="I660" s="19">
        <f>IF($B660="","",IFERROR(INDEX(智能流水!$I$2:$I$1001,MATCH($B660,智能流水!$B$2:$B$1001,0)),""))</f>
        <v/>
      </c>
      <c r="J660" s="19">
        <f>IF($B660="","",IFERROR(INDEX(智能流水!$J$2:$J$1001,MATCH($B660,智能流水!$B$2:$B$1001,0)),""))</f>
        <v/>
      </c>
      <c r="K660" s="19">
        <f>IF($B660="","",IFERROR(INDEX(智能流水!$K$2:$K$1001,MATCH($B660,智能流水!$B$2:$B$1001,0)),""))</f>
        <v/>
      </c>
      <c r="L660" s="19">
        <f>IF($B660="","",IFERROR(INDEX(智能流水!$L$2:$L$1001,MATCH($B660,智能流水!$B$2:$B$1001,0)),""))</f>
        <v/>
      </c>
      <c r="M660" s="19">
        <f>IF($B660="","",IFERROR(INDEX(智能流水!$M$2:$M$1001,MATCH($B660,智能流水!$B$2:$B$1001,0)),""))</f>
        <v/>
      </c>
      <c r="N660" s="19">
        <f>IF($B660="","",IFERROR(INDEX(智能流水!$N$2:$N$1001,MATCH($B660,智能流水!$B$2:$B$1001,0)),""))</f>
        <v/>
      </c>
      <c r="O660" s="19">
        <f>IF($B660="","",IFERROR(INDEX(智能流水!$O$2:$O$1001,MATCH($B660,智能流水!$B$2:$B$1001,0)),""))</f>
        <v/>
      </c>
    </row>
    <row r="661">
      <c r="A661" s="19">
        <f>IF($B661="","",660)</f>
        <v/>
      </c>
      <c r="B661" s="19">
        <f>IFERROR(LARGE(智能流水!$B$2:$B$1001,660),"")</f>
        <v/>
      </c>
      <c r="C661" s="19">
        <f>IF($B661="","",IFERROR(INDEX(智能流水!$C$2:$C$1001,MATCH($B661,智能流水!$B$2:$B$1001,0)),""))</f>
        <v/>
      </c>
      <c r="D661" s="19">
        <f>IF($B661="","",IFERROR(INDEX(智能流水!$D$2:$D$1001,MATCH($B661,智能流水!$B$2:$B$1001,0)),""))</f>
        <v/>
      </c>
      <c r="E661" s="19">
        <f>IF($B661="","",IFERROR(INDEX(智能流水!$E$2:$E$1001,MATCH($B661,智能流水!$B$2:$B$1001,0)),""))</f>
        <v/>
      </c>
      <c r="F661" s="19">
        <f>IF($B661="","",IFERROR(INDEX(智能流水!$F$2:$F$1001,MATCH($B661,智能流水!$B$2:$B$1001,0)),""))</f>
        <v/>
      </c>
      <c r="G661" s="19">
        <f>IF($B661="","",IFERROR(INDEX(智能流水!$G$2:$G$1001,MATCH($B661,智能流水!$B$2:$B$1001,0)),""))</f>
        <v/>
      </c>
      <c r="H661" s="19">
        <f>IF($B661="","",IFERROR(INDEX(智能流水!$H$2:$H$1001,MATCH($B661,智能流水!$B$2:$B$1001,0)),""))</f>
        <v/>
      </c>
      <c r="I661" s="19">
        <f>IF($B661="","",IFERROR(INDEX(智能流水!$I$2:$I$1001,MATCH($B661,智能流水!$B$2:$B$1001,0)),""))</f>
        <v/>
      </c>
      <c r="J661" s="19">
        <f>IF($B661="","",IFERROR(INDEX(智能流水!$J$2:$J$1001,MATCH($B661,智能流水!$B$2:$B$1001,0)),""))</f>
        <v/>
      </c>
      <c r="K661" s="19">
        <f>IF($B661="","",IFERROR(INDEX(智能流水!$K$2:$K$1001,MATCH($B661,智能流水!$B$2:$B$1001,0)),""))</f>
        <v/>
      </c>
      <c r="L661" s="19">
        <f>IF($B661="","",IFERROR(INDEX(智能流水!$L$2:$L$1001,MATCH($B661,智能流水!$B$2:$B$1001,0)),""))</f>
        <v/>
      </c>
      <c r="M661" s="19">
        <f>IF($B661="","",IFERROR(INDEX(智能流水!$M$2:$M$1001,MATCH($B661,智能流水!$B$2:$B$1001,0)),""))</f>
        <v/>
      </c>
      <c r="N661" s="19">
        <f>IF($B661="","",IFERROR(INDEX(智能流水!$N$2:$N$1001,MATCH($B661,智能流水!$B$2:$B$1001,0)),""))</f>
        <v/>
      </c>
      <c r="O661" s="19">
        <f>IF($B661="","",IFERROR(INDEX(智能流水!$O$2:$O$1001,MATCH($B661,智能流水!$B$2:$B$1001,0)),""))</f>
        <v/>
      </c>
    </row>
    <row r="662">
      <c r="A662" s="19">
        <f>IF($B662="","",661)</f>
        <v/>
      </c>
      <c r="B662" s="19">
        <f>IFERROR(LARGE(智能流水!$B$2:$B$1001,661),"")</f>
        <v/>
      </c>
      <c r="C662" s="19">
        <f>IF($B662="","",IFERROR(INDEX(智能流水!$C$2:$C$1001,MATCH($B662,智能流水!$B$2:$B$1001,0)),""))</f>
        <v/>
      </c>
      <c r="D662" s="19">
        <f>IF($B662="","",IFERROR(INDEX(智能流水!$D$2:$D$1001,MATCH($B662,智能流水!$B$2:$B$1001,0)),""))</f>
        <v/>
      </c>
      <c r="E662" s="19">
        <f>IF($B662="","",IFERROR(INDEX(智能流水!$E$2:$E$1001,MATCH($B662,智能流水!$B$2:$B$1001,0)),""))</f>
        <v/>
      </c>
      <c r="F662" s="19">
        <f>IF($B662="","",IFERROR(INDEX(智能流水!$F$2:$F$1001,MATCH($B662,智能流水!$B$2:$B$1001,0)),""))</f>
        <v/>
      </c>
      <c r="G662" s="19">
        <f>IF($B662="","",IFERROR(INDEX(智能流水!$G$2:$G$1001,MATCH($B662,智能流水!$B$2:$B$1001,0)),""))</f>
        <v/>
      </c>
      <c r="H662" s="19">
        <f>IF($B662="","",IFERROR(INDEX(智能流水!$H$2:$H$1001,MATCH($B662,智能流水!$B$2:$B$1001,0)),""))</f>
        <v/>
      </c>
      <c r="I662" s="19">
        <f>IF($B662="","",IFERROR(INDEX(智能流水!$I$2:$I$1001,MATCH($B662,智能流水!$B$2:$B$1001,0)),""))</f>
        <v/>
      </c>
      <c r="J662" s="19">
        <f>IF($B662="","",IFERROR(INDEX(智能流水!$J$2:$J$1001,MATCH($B662,智能流水!$B$2:$B$1001,0)),""))</f>
        <v/>
      </c>
      <c r="K662" s="19">
        <f>IF($B662="","",IFERROR(INDEX(智能流水!$K$2:$K$1001,MATCH($B662,智能流水!$B$2:$B$1001,0)),""))</f>
        <v/>
      </c>
      <c r="L662" s="19">
        <f>IF($B662="","",IFERROR(INDEX(智能流水!$L$2:$L$1001,MATCH($B662,智能流水!$B$2:$B$1001,0)),""))</f>
        <v/>
      </c>
      <c r="M662" s="19">
        <f>IF($B662="","",IFERROR(INDEX(智能流水!$M$2:$M$1001,MATCH($B662,智能流水!$B$2:$B$1001,0)),""))</f>
        <v/>
      </c>
      <c r="N662" s="19">
        <f>IF($B662="","",IFERROR(INDEX(智能流水!$N$2:$N$1001,MATCH($B662,智能流水!$B$2:$B$1001,0)),""))</f>
        <v/>
      </c>
      <c r="O662" s="19">
        <f>IF($B662="","",IFERROR(INDEX(智能流水!$O$2:$O$1001,MATCH($B662,智能流水!$B$2:$B$1001,0)),""))</f>
        <v/>
      </c>
    </row>
    <row r="663">
      <c r="A663" s="19">
        <f>IF($B663="","",662)</f>
        <v/>
      </c>
      <c r="B663" s="19">
        <f>IFERROR(LARGE(智能流水!$B$2:$B$1001,662),"")</f>
        <v/>
      </c>
      <c r="C663" s="19">
        <f>IF($B663="","",IFERROR(INDEX(智能流水!$C$2:$C$1001,MATCH($B663,智能流水!$B$2:$B$1001,0)),""))</f>
        <v/>
      </c>
      <c r="D663" s="19">
        <f>IF($B663="","",IFERROR(INDEX(智能流水!$D$2:$D$1001,MATCH($B663,智能流水!$B$2:$B$1001,0)),""))</f>
        <v/>
      </c>
      <c r="E663" s="19">
        <f>IF($B663="","",IFERROR(INDEX(智能流水!$E$2:$E$1001,MATCH($B663,智能流水!$B$2:$B$1001,0)),""))</f>
        <v/>
      </c>
      <c r="F663" s="19">
        <f>IF($B663="","",IFERROR(INDEX(智能流水!$F$2:$F$1001,MATCH($B663,智能流水!$B$2:$B$1001,0)),""))</f>
        <v/>
      </c>
      <c r="G663" s="19">
        <f>IF($B663="","",IFERROR(INDEX(智能流水!$G$2:$G$1001,MATCH($B663,智能流水!$B$2:$B$1001,0)),""))</f>
        <v/>
      </c>
      <c r="H663" s="19">
        <f>IF($B663="","",IFERROR(INDEX(智能流水!$H$2:$H$1001,MATCH($B663,智能流水!$B$2:$B$1001,0)),""))</f>
        <v/>
      </c>
      <c r="I663" s="19">
        <f>IF($B663="","",IFERROR(INDEX(智能流水!$I$2:$I$1001,MATCH($B663,智能流水!$B$2:$B$1001,0)),""))</f>
        <v/>
      </c>
      <c r="J663" s="19">
        <f>IF($B663="","",IFERROR(INDEX(智能流水!$J$2:$J$1001,MATCH($B663,智能流水!$B$2:$B$1001,0)),""))</f>
        <v/>
      </c>
      <c r="K663" s="19">
        <f>IF($B663="","",IFERROR(INDEX(智能流水!$K$2:$K$1001,MATCH($B663,智能流水!$B$2:$B$1001,0)),""))</f>
        <v/>
      </c>
      <c r="L663" s="19">
        <f>IF($B663="","",IFERROR(INDEX(智能流水!$L$2:$L$1001,MATCH($B663,智能流水!$B$2:$B$1001,0)),""))</f>
        <v/>
      </c>
      <c r="M663" s="19">
        <f>IF($B663="","",IFERROR(INDEX(智能流水!$M$2:$M$1001,MATCH($B663,智能流水!$B$2:$B$1001,0)),""))</f>
        <v/>
      </c>
      <c r="N663" s="19">
        <f>IF($B663="","",IFERROR(INDEX(智能流水!$N$2:$N$1001,MATCH($B663,智能流水!$B$2:$B$1001,0)),""))</f>
        <v/>
      </c>
      <c r="O663" s="19">
        <f>IF($B663="","",IFERROR(INDEX(智能流水!$O$2:$O$1001,MATCH($B663,智能流水!$B$2:$B$1001,0)),""))</f>
        <v/>
      </c>
    </row>
    <row r="664">
      <c r="A664" s="19">
        <f>IF($B664="","",663)</f>
        <v/>
      </c>
      <c r="B664" s="19">
        <f>IFERROR(LARGE(智能流水!$B$2:$B$1001,663),"")</f>
        <v/>
      </c>
      <c r="C664" s="19">
        <f>IF($B664="","",IFERROR(INDEX(智能流水!$C$2:$C$1001,MATCH($B664,智能流水!$B$2:$B$1001,0)),""))</f>
        <v/>
      </c>
      <c r="D664" s="19">
        <f>IF($B664="","",IFERROR(INDEX(智能流水!$D$2:$D$1001,MATCH($B664,智能流水!$B$2:$B$1001,0)),""))</f>
        <v/>
      </c>
      <c r="E664" s="19">
        <f>IF($B664="","",IFERROR(INDEX(智能流水!$E$2:$E$1001,MATCH($B664,智能流水!$B$2:$B$1001,0)),""))</f>
        <v/>
      </c>
      <c r="F664" s="19">
        <f>IF($B664="","",IFERROR(INDEX(智能流水!$F$2:$F$1001,MATCH($B664,智能流水!$B$2:$B$1001,0)),""))</f>
        <v/>
      </c>
      <c r="G664" s="19">
        <f>IF($B664="","",IFERROR(INDEX(智能流水!$G$2:$G$1001,MATCH($B664,智能流水!$B$2:$B$1001,0)),""))</f>
        <v/>
      </c>
      <c r="H664" s="19">
        <f>IF($B664="","",IFERROR(INDEX(智能流水!$H$2:$H$1001,MATCH($B664,智能流水!$B$2:$B$1001,0)),""))</f>
        <v/>
      </c>
      <c r="I664" s="19">
        <f>IF($B664="","",IFERROR(INDEX(智能流水!$I$2:$I$1001,MATCH($B664,智能流水!$B$2:$B$1001,0)),""))</f>
        <v/>
      </c>
      <c r="J664" s="19">
        <f>IF($B664="","",IFERROR(INDEX(智能流水!$J$2:$J$1001,MATCH($B664,智能流水!$B$2:$B$1001,0)),""))</f>
        <v/>
      </c>
      <c r="K664" s="19">
        <f>IF($B664="","",IFERROR(INDEX(智能流水!$K$2:$K$1001,MATCH($B664,智能流水!$B$2:$B$1001,0)),""))</f>
        <v/>
      </c>
      <c r="L664" s="19">
        <f>IF($B664="","",IFERROR(INDEX(智能流水!$L$2:$L$1001,MATCH($B664,智能流水!$B$2:$B$1001,0)),""))</f>
        <v/>
      </c>
      <c r="M664" s="19">
        <f>IF($B664="","",IFERROR(INDEX(智能流水!$M$2:$M$1001,MATCH($B664,智能流水!$B$2:$B$1001,0)),""))</f>
        <v/>
      </c>
      <c r="N664" s="19">
        <f>IF($B664="","",IFERROR(INDEX(智能流水!$N$2:$N$1001,MATCH($B664,智能流水!$B$2:$B$1001,0)),""))</f>
        <v/>
      </c>
      <c r="O664" s="19">
        <f>IF($B664="","",IFERROR(INDEX(智能流水!$O$2:$O$1001,MATCH($B664,智能流水!$B$2:$B$1001,0)),""))</f>
        <v/>
      </c>
    </row>
    <row r="665">
      <c r="A665" s="19">
        <f>IF($B665="","",664)</f>
        <v/>
      </c>
      <c r="B665" s="19">
        <f>IFERROR(LARGE(智能流水!$B$2:$B$1001,664),"")</f>
        <v/>
      </c>
      <c r="C665" s="19">
        <f>IF($B665="","",IFERROR(INDEX(智能流水!$C$2:$C$1001,MATCH($B665,智能流水!$B$2:$B$1001,0)),""))</f>
        <v/>
      </c>
      <c r="D665" s="19">
        <f>IF($B665="","",IFERROR(INDEX(智能流水!$D$2:$D$1001,MATCH($B665,智能流水!$B$2:$B$1001,0)),""))</f>
        <v/>
      </c>
      <c r="E665" s="19">
        <f>IF($B665="","",IFERROR(INDEX(智能流水!$E$2:$E$1001,MATCH($B665,智能流水!$B$2:$B$1001,0)),""))</f>
        <v/>
      </c>
      <c r="F665" s="19">
        <f>IF($B665="","",IFERROR(INDEX(智能流水!$F$2:$F$1001,MATCH($B665,智能流水!$B$2:$B$1001,0)),""))</f>
        <v/>
      </c>
      <c r="G665" s="19">
        <f>IF($B665="","",IFERROR(INDEX(智能流水!$G$2:$G$1001,MATCH($B665,智能流水!$B$2:$B$1001,0)),""))</f>
        <v/>
      </c>
      <c r="H665" s="19">
        <f>IF($B665="","",IFERROR(INDEX(智能流水!$H$2:$H$1001,MATCH($B665,智能流水!$B$2:$B$1001,0)),""))</f>
        <v/>
      </c>
      <c r="I665" s="19">
        <f>IF($B665="","",IFERROR(INDEX(智能流水!$I$2:$I$1001,MATCH($B665,智能流水!$B$2:$B$1001,0)),""))</f>
        <v/>
      </c>
      <c r="J665" s="19">
        <f>IF($B665="","",IFERROR(INDEX(智能流水!$J$2:$J$1001,MATCH($B665,智能流水!$B$2:$B$1001,0)),""))</f>
        <v/>
      </c>
      <c r="K665" s="19">
        <f>IF($B665="","",IFERROR(INDEX(智能流水!$K$2:$K$1001,MATCH($B665,智能流水!$B$2:$B$1001,0)),""))</f>
        <v/>
      </c>
      <c r="L665" s="19">
        <f>IF($B665="","",IFERROR(INDEX(智能流水!$L$2:$L$1001,MATCH($B665,智能流水!$B$2:$B$1001,0)),""))</f>
        <v/>
      </c>
      <c r="M665" s="19">
        <f>IF($B665="","",IFERROR(INDEX(智能流水!$M$2:$M$1001,MATCH($B665,智能流水!$B$2:$B$1001,0)),""))</f>
        <v/>
      </c>
      <c r="N665" s="19">
        <f>IF($B665="","",IFERROR(INDEX(智能流水!$N$2:$N$1001,MATCH($B665,智能流水!$B$2:$B$1001,0)),""))</f>
        <v/>
      </c>
      <c r="O665" s="19">
        <f>IF($B665="","",IFERROR(INDEX(智能流水!$O$2:$O$1001,MATCH($B665,智能流水!$B$2:$B$1001,0)),""))</f>
        <v/>
      </c>
    </row>
    <row r="666">
      <c r="A666" s="19">
        <f>IF($B666="","",665)</f>
        <v/>
      </c>
      <c r="B666" s="19">
        <f>IFERROR(LARGE(智能流水!$B$2:$B$1001,665),"")</f>
        <v/>
      </c>
      <c r="C666" s="19">
        <f>IF($B666="","",IFERROR(INDEX(智能流水!$C$2:$C$1001,MATCH($B666,智能流水!$B$2:$B$1001,0)),""))</f>
        <v/>
      </c>
      <c r="D666" s="19">
        <f>IF($B666="","",IFERROR(INDEX(智能流水!$D$2:$D$1001,MATCH($B666,智能流水!$B$2:$B$1001,0)),""))</f>
        <v/>
      </c>
      <c r="E666" s="19">
        <f>IF($B666="","",IFERROR(INDEX(智能流水!$E$2:$E$1001,MATCH($B666,智能流水!$B$2:$B$1001,0)),""))</f>
        <v/>
      </c>
      <c r="F666" s="19">
        <f>IF($B666="","",IFERROR(INDEX(智能流水!$F$2:$F$1001,MATCH($B666,智能流水!$B$2:$B$1001,0)),""))</f>
        <v/>
      </c>
      <c r="G666" s="19">
        <f>IF($B666="","",IFERROR(INDEX(智能流水!$G$2:$G$1001,MATCH($B666,智能流水!$B$2:$B$1001,0)),""))</f>
        <v/>
      </c>
      <c r="H666" s="19">
        <f>IF($B666="","",IFERROR(INDEX(智能流水!$H$2:$H$1001,MATCH($B666,智能流水!$B$2:$B$1001,0)),""))</f>
        <v/>
      </c>
      <c r="I666" s="19">
        <f>IF($B666="","",IFERROR(INDEX(智能流水!$I$2:$I$1001,MATCH($B666,智能流水!$B$2:$B$1001,0)),""))</f>
        <v/>
      </c>
      <c r="J666" s="19">
        <f>IF($B666="","",IFERROR(INDEX(智能流水!$J$2:$J$1001,MATCH($B666,智能流水!$B$2:$B$1001,0)),""))</f>
        <v/>
      </c>
      <c r="K666" s="19">
        <f>IF($B666="","",IFERROR(INDEX(智能流水!$K$2:$K$1001,MATCH($B666,智能流水!$B$2:$B$1001,0)),""))</f>
        <v/>
      </c>
      <c r="L666" s="19">
        <f>IF($B666="","",IFERROR(INDEX(智能流水!$L$2:$L$1001,MATCH($B666,智能流水!$B$2:$B$1001,0)),""))</f>
        <v/>
      </c>
      <c r="M666" s="19">
        <f>IF($B666="","",IFERROR(INDEX(智能流水!$M$2:$M$1001,MATCH($B666,智能流水!$B$2:$B$1001,0)),""))</f>
        <v/>
      </c>
      <c r="N666" s="19">
        <f>IF($B666="","",IFERROR(INDEX(智能流水!$N$2:$N$1001,MATCH($B666,智能流水!$B$2:$B$1001,0)),""))</f>
        <v/>
      </c>
      <c r="O666" s="19">
        <f>IF($B666="","",IFERROR(INDEX(智能流水!$O$2:$O$1001,MATCH($B666,智能流水!$B$2:$B$1001,0)),""))</f>
        <v/>
      </c>
    </row>
    <row r="667">
      <c r="A667" s="19">
        <f>IF($B667="","",666)</f>
        <v/>
      </c>
      <c r="B667" s="19">
        <f>IFERROR(LARGE(智能流水!$B$2:$B$1001,666),"")</f>
        <v/>
      </c>
      <c r="C667" s="19">
        <f>IF($B667="","",IFERROR(INDEX(智能流水!$C$2:$C$1001,MATCH($B667,智能流水!$B$2:$B$1001,0)),""))</f>
        <v/>
      </c>
      <c r="D667" s="19">
        <f>IF($B667="","",IFERROR(INDEX(智能流水!$D$2:$D$1001,MATCH($B667,智能流水!$B$2:$B$1001,0)),""))</f>
        <v/>
      </c>
      <c r="E667" s="19">
        <f>IF($B667="","",IFERROR(INDEX(智能流水!$E$2:$E$1001,MATCH($B667,智能流水!$B$2:$B$1001,0)),""))</f>
        <v/>
      </c>
      <c r="F667" s="19">
        <f>IF($B667="","",IFERROR(INDEX(智能流水!$F$2:$F$1001,MATCH($B667,智能流水!$B$2:$B$1001,0)),""))</f>
        <v/>
      </c>
      <c r="G667" s="19">
        <f>IF($B667="","",IFERROR(INDEX(智能流水!$G$2:$G$1001,MATCH($B667,智能流水!$B$2:$B$1001,0)),""))</f>
        <v/>
      </c>
      <c r="H667" s="19">
        <f>IF($B667="","",IFERROR(INDEX(智能流水!$H$2:$H$1001,MATCH($B667,智能流水!$B$2:$B$1001,0)),""))</f>
        <v/>
      </c>
      <c r="I667" s="19">
        <f>IF($B667="","",IFERROR(INDEX(智能流水!$I$2:$I$1001,MATCH($B667,智能流水!$B$2:$B$1001,0)),""))</f>
        <v/>
      </c>
      <c r="J667" s="19">
        <f>IF($B667="","",IFERROR(INDEX(智能流水!$J$2:$J$1001,MATCH($B667,智能流水!$B$2:$B$1001,0)),""))</f>
        <v/>
      </c>
      <c r="K667" s="19">
        <f>IF($B667="","",IFERROR(INDEX(智能流水!$K$2:$K$1001,MATCH($B667,智能流水!$B$2:$B$1001,0)),""))</f>
        <v/>
      </c>
      <c r="L667" s="19">
        <f>IF($B667="","",IFERROR(INDEX(智能流水!$L$2:$L$1001,MATCH($B667,智能流水!$B$2:$B$1001,0)),""))</f>
        <v/>
      </c>
      <c r="M667" s="19">
        <f>IF($B667="","",IFERROR(INDEX(智能流水!$M$2:$M$1001,MATCH($B667,智能流水!$B$2:$B$1001,0)),""))</f>
        <v/>
      </c>
      <c r="N667" s="19">
        <f>IF($B667="","",IFERROR(INDEX(智能流水!$N$2:$N$1001,MATCH($B667,智能流水!$B$2:$B$1001,0)),""))</f>
        <v/>
      </c>
      <c r="O667" s="19">
        <f>IF($B667="","",IFERROR(INDEX(智能流水!$O$2:$O$1001,MATCH($B667,智能流水!$B$2:$B$1001,0)),""))</f>
        <v/>
      </c>
    </row>
    <row r="668">
      <c r="A668" s="19">
        <f>IF($B668="","",667)</f>
        <v/>
      </c>
      <c r="B668" s="19">
        <f>IFERROR(LARGE(智能流水!$B$2:$B$1001,667),"")</f>
        <v/>
      </c>
      <c r="C668" s="19">
        <f>IF($B668="","",IFERROR(INDEX(智能流水!$C$2:$C$1001,MATCH($B668,智能流水!$B$2:$B$1001,0)),""))</f>
        <v/>
      </c>
      <c r="D668" s="19">
        <f>IF($B668="","",IFERROR(INDEX(智能流水!$D$2:$D$1001,MATCH($B668,智能流水!$B$2:$B$1001,0)),""))</f>
        <v/>
      </c>
      <c r="E668" s="19">
        <f>IF($B668="","",IFERROR(INDEX(智能流水!$E$2:$E$1001,MATCH($B668,智能流水!$B$2:$B$1001,0)),""))</f>
        <v/>
      </c>
      <c r="F668" s="19">
        <f>IF($B668="","",IFERROR(INDEX(智能流水!$F$2:$F$1001,MATCH($B668,智能流水!$B$2:$B$1001,0)),""))</f>
        <v/>
      </c>
      <c r="G668" s="19">
        <f>IF($B668="","",IFERROR(INDEX(智能流水!$G$2:$G$1001,MATCH($B668,智能流水!$B$2:$B$1001,0)),""))</f>
        <v/>
      </c>
      <c r="H668" s="19">
        <f>IF($B668="","",IFERROR(INDEX(智能流水!$H$2:$H$1001,MATCH($B668,智能流水!$B$2:$B$1001,0)),""))</f>
        <v/>
      </c>
      <c r="I668" s="19">
        <f>IF($B668="","",IFERROR(INDEX(智能流水!$I$2:$I$1001,MATCH($B668,智能流水!$B$2:$B$1001,0)),""))</f>
        <v/>
      </c>
      <c r="J668" s="19">
        <f>IF($B668="","",IFERROR(INDEX(智能流水!$J$2:$J$1001,MATCH($B668,智能流水!$B$2:$B$1001,0)),""))</f>
        <v/>
      </c>
      <c r="K668" s="19">
        <f>IF($B668="","",IFERROR(INDEX(智能流水!$K$2:$K$1001,MATCH($B668,智能流水!$B$2:$B$1001,0)),""))</f>
        <v/>
      </c>
      <c r="L668" s="19">
        <f>IF($B668="","",IFERROR(INDEX(智能流水!$L$2:$L$1001,MATCH($B668,智能流水!$B$2:$B$1001,0)),""))</f>
        <v/>
      </c>
      <c r="M668" s="19">
        <f>IF($B668="","",IFERROR(INDEX(智能流水!$M$2:$M$1001,MATCH($B668,智能流水!$B$2:$B$1001,0)),""))</f>
        <v/>
      </c>
      <c r="N668" s="19">
        <f>IF($B668="","",IFERROR(INDEX(智能流水!$N$2:$N$1001,MATCH($B668,智能流水!$B$2:$B$1001,0)),""))</f>
        <v/>
      </c>
      <c r="O668" s="19">
        <f>IF($B668="","",IFERROR(INDEX(智能流水!$O$2:$O$1001,MATCH($B668,智能流水!$B$2:$B$1001,0)),""))</f>
        <v/>
      </c>
    </row>
    <row r="669">
      <c r="A669" s="19">
        <f>IF($B669="","",668)</f>
        <v/>
      </c>
      <c r="B669" s="19">
        <f>IFERROR(LARGE(智能流水!$B$2:$B$1001,668),"")</f>
        <v/>
      </c>
      <c r="C669" s="19">
        <f>IF($B669="","",IFERROR(INDEX(智能流水!$C$2:$C$1001,MATCH($B669,智能流水!$B$2:$B$1001,0)),""))</f>
        <v/>
      </c>
      <c r="D669" s="19">
        <f>IF($B669="","",IFERROR(INDEX(智能流水!$D$2:$D$1001,MATCH($B669,智能流水!$B$2:$B$1001,0)),""))</f>
        <v/>
      </c>
      <c r="E669" s="19">
        <f>IF($B669="","",IFERROR(INDEX(智能流水!$E$2:$E$1001,MATCH($B669,智能流水!$B$2:$B$1001,0)),""))</f>
        <v/>
      </c>
      <c r="F669" s="19">
        <f>IF($B669="","",IFERROR(INDEX(智能流水!$F$2:$F$1001,MATCH($B669,智能流水!$B$2:$B$1001,0)),""))</f>
        <v/>
      </c>
      <c r="G669" s="19">
        <f>IF($B669="","",IFERROR(INDEX(智能流水!$G$2:$G$1001,MATCH($B669,智能流水!$B$2:$B$1001,0)),""))</f>
        <v/>
      </c>
      <c r="H669" s="19">
        <f>IF($B669="","",IFERROR(INDEX(智能流水!$H$2:$H$1001,MATCH($B669,智能流水!$B$2:$B$1001,0)),""))</f>
        <v/>
      </c>
      <c r="I669" s="19">
        <f>IF($B669="","",IFERROR(INDEX(智能流水!$I$2:$I$1001,MATCH($B669,智能流水!$B$2:$B$1001,0)),""))</f>
        <v/>
      </c>
      <c r="J669" s="19">
        <f>IF($B669="","",IFERROR(INDEX(智能流水!$J$2:$J$1001,MATCH($B669,智能流水!$B$2:$B$1001,0)),""))</f>
        <v/>
      </c>
      <c r="K669" s="19">
        <f>IF($B669="","",IFERROR(INDEX(智能流水!$K$2:$K$1001,MATCH($B669,智能流水!$B$2:$B$1001,0)),""))</f>
        <v/>
      </c>
      <c r="L669" s="19">
        <f>IF($B669="","",IFERROR(INDEX(智能流水!$L$2:$L$1001,MATCH($B669,智能流水!$B$2:$B$1001,0)),""))</f>
        <v/>
      </c>
      <c r="M669" s="19">
        <f>IF($B669="","",IFERROR(INDEX(智能流水!$M$2:$M$1001,MATCH($B669,智能流水!$B$2:$B$1001,0)),""))</f>
        <v/>
      </c>
      <c r="N669" s="19">
        <f>IF($B669="","",IFERROR(INDEX(智能流水!$N$2:$N$1001,MATCH($B669,智能流水!$B$2:$B$1001,0)),""))</f>
        <v/>
      </c>
      <c r="O669" s="19">
        <f>IF($B669="","",IFERROR(INDEX(智能流水!$O$2:$O$1001,MATCH($B669,智能流水!$B$2:$B$1001,0)),""))</f>
        <v/>
      </c>
    </row>
    <row r="670">
      <c r="A670" s="19">
        <f>IF($B670="","",669)</f>
        <v/>
      </c>
      <c r="B670" s="19">
        <f>IFERROR(LARGE(智能流水!$B$2:$B$1001,669),"")</f>
        <v/>
      </c>
      <c r="C670" s="19">
        <f>IF($B670="","",IFERROR(INDEX(智能流水!$C$2:$C$1001,MATCH($B670,智能流水!$B$2:$B$1001,0)),""))</f>
        <v/>
      </c>
      <c r="D670" s="19">
        <f>IF($B670="","",IFERROR(INDEX(智能流水!$D$2:$D$1001,MATCH($B670,智能流水!$B$2:$B$1001,0)),""))</f>
        <v/>
      </c>
      <c r="E670" s="19">
        <f>IF($B670="","",IFERROR(INDEX(智能流水!$E$2:$E$1001,MATCH($B670,智能流水!$B$2:$B$1001,0)),""))</f>
        <v/>
      </c>
      <c r="F670" s="19">
        <f>IF($B670="","",IFERROR(INDEX(智能流水!$F$2:$F$1001,MATCH($B670,智能流水!$B$2:$B$1001,0)),""))</f>
        <v/>
      </c>
      <c r="G670" s="19">
        <f>IF($B670="","",IFERROR(INDEX(智能流水!$G$2:$G$1001,MATCH($B670,智能流水!$B$2:$B$1001,0)),""))</f>
        <v/>
      </c>
      <c r="H670" s="19">
        <f>IF($B670="","",IFERROR(INDEX(智能流水!$H$2:$H$1001,MATCH($B670,智能流水!$B$2:$B$1001,0)),""))</f>
        <v/>
      </c>
      <c r="I670" s="19">
        <f>IF($B670="","",IFERROR(INDEX(智能流水!$I$2:$I$1001,MATCH($B670,智能流水!$B$2:$B$1001,0)),""))</f>
        <v/>
      </c>
      <c r="J670" s="19">
        <f>IF($B670="","",IFERROR(INDEX(智能流水!$J$2:$J$1001,MATCH($B670,智能流水!$B$2:$B$1001,0)),""))</f>
        <v/>
      </c>
      <c r="K670" s="19">
        <f>IF($B670="","",IFERROR(INDEX(智能流水!$K$2:$K$1001,MATCH($B670,智能流水!$B$2:$B$1001,0)),""))</f>
        <v/>
      </c>
      <c r="L670" s="19">
        <f>IF($B670="","",IFERROR(INDEX(智能流水!$L$2:$L$1001,MATCH($B670,智能流水!$B$2:$B$1001,0)),""))</f>
        <v/>
      </c>
      <c r="M670" s="19">
        <f>IF($B670="","",IFERROR(INDEX(智能流水!$M$2:$M$1001,MATCH($B670,智能流水!$B$2:$B$1001,0)),""))</f>
        <v/>
      </c>
      <c r="N670" s="19">
        <f>IF($B670="","",IFERROR(INDEX(智能流水!$N$2:$N$1001,MATCH($B670,智能流水!$B$2:$B$1001,0)),""))</f>
        <v/>
      </c>
      <c r="O670" s="19">
        <f>IF($B670="","",IFERROR(INDEX(智能流水!$O$2:$O$1001,MATCH($B670,智能流水!$B$2:$B$1001,0)),""))</f>
        <v/>
      </c>
    </row>
    <row r="671">
      <c r="A671" s="19">
        <f>IF($B671="","",670)</f>
        <v/>
      </c>
      <c r="B671" s="19">
        <f>IFERROR(LARGE(智能流水!$B$2:$B$1001,670),"")</f>
        <v/>
      </c>
      <c r="C671" s="19">
        <f>IF($B671="","",IFERROR(INDEX(智能流水!$C$2:$C$1001,MATCH($B671,智能流水!$B$2:$B$1001,0)),""))</f>
        <v/>
      </c>
      <c r="D671" s="19">
        <f>IF($B671="","",IFERROR(INDEX(智能流水!$D$2:$D$1001,MATCH($B671,智能流水!$B$2:$B$1001,0)),""))</f>
        <v/>
      </c>
      <c r="E671" s="19">
        <f>IF($B671="","",IFERROR(INDEX(智能流水!$E$2:$E$1001,MATCH($B671,智能流水!$B$2:$B$1001,0)),""))</f>
        <v/>
      </c>
      <c r="F671" s="19">
        <f>IF($B671="","",IFERROR(INDEX(智能流水!$F$2:$F$1001,MATCH($B671,智能流水!$B$2:$B$1001,0)),""))</f>
        <v/>
      </c>
      <c r="G671" s="19">
        <f>IF($B671="","",IFERROR(INDEX(智能流水!$G$2:$G$1001,MATCH($B671,智能流水!$B$2:$B$1001,0)),""))</f>
        <v/>
      </c>
      <c r="H671" s="19">
        <f>IF($B671="","",IFERROR(INDEX(智能流水!$H$2:$H$1001,MATCH($B671,智能流水!$B$2:$B$1001,0)),""))</f>
        <v/>
      </c>
      <c r="I671" s="19">
        <f>IF($B671="","",IFERROR(INDEX(智能流水!$I$2:$I$1001,MATCH($B671,智能流水!$B$2:$B$1001,0)),""))</f>
        <v/>
      </c>
      <c r="J671" s="19">
        <f>IF($B671="","",IFERROR(INDEX(智能流水!$J$2:$J$1001,MATCH($B671,智能流水!$B$2:$B$1001,0)),""))</f>
        <v/>
      </c>
      <c r="K671" s="19">
        <f>IF($B671="","",IFERROR(INDEX(智能流水!$K$2:$K$1001,MATCH($B671,智能流水!$B$2:$B$1001,0)),""))</f>
        <v/>
      </c>
      <c r="L671" s="19">
        <f>IF($B671="","",IFERROR(INDEX(智能流水!$L$2:$L$1001,MATCH($B671,智能流水!$B$2:$B$1001,0)),""))</f>
        <v/>
      </c>
      <c r="M671" s="19">
        <f>IF($B671="","",IFERROR(INDEX(智能流水!$M$2:$M$1001,MATCH($B671,智能流水!$B$2:$B$1001,0)),""))</f>
        <v/>
      </c>
      <c r="N671" s="19">
        <f>IF($B671="","",IFERROR(INDEX(智能流水!$N$2:$N$1001,MATCH($B671,智能流水!$B$2:$B$1001,0)),""))</f>
        <v/>
      </c>
      <c r="O671" s="19">
        <f>IF($B671="","",IFERROR(INDEX(智能流水!$O$2:$O$1001,MATCH($B671,智能流水!$B$2:$B$1001,0)),""))</f>
        <v/>
      </c>
    </row>
    <row r="672">
      <c r="A672" s="19">
        <f>IF($B672="","",671)</f>
        <v/>
      </c>
      <c r="B672" s="19">
        <f>IFERROR(LARGE(智能流水!$B$2:$B$1001,671),"")</f>
        <v/>
      </c>
      <c r="C672" s="19">
        <f>IF($B672="","",IFERROR(INDEX(智能流水!$C$2:$C$1001,MATCH($B672,智能流水!$B$2:$B$1001,0)),""))</f>
        <v/>
      </c>
      <c r="D672" s="19">
        <f>IF($B672="","",IFERROR(INDEX(智能流水!$D$2:$D$1001,MATCH($B672,智能流水!$B$2:$B$1001,0)),""))</f>
        <v/>
      </c>
      <c r="E672" s="19">
        <f>IF($B672="","",IFERROR(INDEX(智能流水!$E$2:$E$1001,MATCH($B672,智能流水!$B$2:$B$1001,0)),""))</f>
        <v/>
      </c>
      <c r="F672" s="19">
        <f>IF($B672="","",IFERROR(INDEX(智能流水!$F$2:$F$1001,MATCH($B672,智能流水!$B$2:$B$1001,0)),""))</f>
        <v/>
      </c>
      <c r="G672" s="19">
        <f>IF($B672="","",IFERROR(INDEX(智能流水!$G$2:$G$1001,MATCH($B672,智能流水!$B$2:$B$1001,0)),""))</f>
        <v/>
      </c>
      <c r="H672" s="19">
        <f>IF($B672="","",IFERROR(INDEX(智能流水!$H$2:$H$1001,MATCH($B672,智能流水!$B$2:$B$1001,0)),""))</f>
        <v/>
      </c>
      <c r="I672" s="19">
        <f>IF($B672="","",IFERROR(INDEX(智能流水!$I$2:$I$1001,MATCH($B672,智能流水!$B$2:$B$1001,0)),""))</f>
        <v/>
      </c>
      <c r="J672" s="19">
        <f>IF($B672="","",IFERROR(INDEX(智能流水!$J$2:$J$1001,MATCH($B672,智能流水!$B$2:$B$1001,0)),""))</f>
        <v/>
      </c>
      <c r="K672" s="19">
        <f>IF($B672="","",IFERROR(INDEX(智能流水!$K$2:$K$1001,MATCH($B672,智能流水!$B$2:$B$1001,0)),""))</f>
        <v/>
      </c>
      <c r="L672" s="19">
        <f>IF($B672="","",IFERROR(INDEX(智能流水!$L$2:$L$1001,MATCH($B672,智能流水!$B$2:$B$1001,0)),""))</f>
        <v/>
      </c>
      <c r="M672" s="19">
        <f>IF($B672="","",IFERROR(INDEX(智能流水!$M$2:$M$1001,MATCH($B672,智能流水!$B$2:$B$1001,0)),""))</f>
        <v/>
      </c>
      <c r="N672" s="19">
        <f>IF($B672="","",IFERROR(INDEX(智能流水!$N$2:$N$1001,MATCH($B672,智能流水!$B$2:$B$1001,0)),""))</f>
        <v/>
      </c>
      <c r="O672" s="19">
        <f>IF($B672="","",IFERROR(INDEX(智能流水!$O$2:$O$1001,MATCH($B672,智能流水!$B$2:$B$1001,0)),""))</f>
        <v/>
      </c>
    </row>
    <row r="673">
      <c r="A673" s="19">
        <f>IF($B673="","",672)</f>
        <v/>
      </c>
      <c r="B673" s="19">
        <f>IFERROR(LARGE(智能流水!$B$2:$B$1001,672),"")</f>
        <v/>
      </c>
      <c r="C673" s="19">
        <f>IF($B673="","",IFERROR(INDEX(智能流水!$C$2:$C$1001,MATCH($B673,智能流水!$B$2:$B$1001,0)),""))</f>
        <v/>
      </c>
      <c r="D673" s="19">
        <f>IF($B673="","",IFERROR(INDEX(智能流水!$D$2:$D$1001,MATCH($B673,智能流水!$B$2:$B$1001,0)),""))</f>
        <v/>
      </c>
      <c r="E673" s="19">
        <f>IF($B673="","",IFERROR(INDEX(智能流水!$E$2:$E$1001,MATCH($B673,智能流水!$B$2:$B$1001,0)),""))</f>
        <v/>
      </c>
      <c r="F673" s="19">
        <f>IF($B673="","",IFERROR(INDEX(智能流水!$F$2:$F$1001,MATCH($B673,智能流水!$B$2:$B$1001,0)),""))</f>
        <v/>
      </c>
      <c r="G673" s="19">
        <f>IF($B673="","",IFERROR(INDEX(智能流水!$G$2:$G$1001,MATCH($B673,智能流水!$B$2:$B$1001,0)),""))</f>
        <v/>
      </c>
      <c r="H673" s="19">
        <f>IF($B673="","",IFERROR(INDEX(智能流水!$H$2:$H$1001,MATCH($B673,智能流水!$B$2:$B$1001,0)),""))</f>
        <v/>
      </c>
      <c r="I673" s="19">
        <f>IF($B673="","",IFERROR(INDEX(智能流水!$I$2:$I$1001,MATCH($B673,智能流水!$B$2:$B$1001,0)),""))</f>
        <v/>
      </c>
      <c r="J673" s="19">
        <f>IF($B673="","",IFERROR(INDEX(智能流水!$J$2:$J$1001,MATCH($B673,智能流水!$B$2:$B$1001,0)),""))</f>
        <v/>
      </c>
      <c r="K673" s="19">
        <f>IF($B673="","",IFERROR(INDEX(智能流水!$K$2:$K$1001,MATCH($B673,智能流水!$B$2:$B$1001,0)),""))</f>
        <v/>
      </c>
      <c r="L673" s="19">
        <f>IF($B673="","",IFERROR(INDEX(智能流水!$L$2:$L$1001,MATCH($B673,智能流水!$B$2:$B$1001,0)),""))</f>
        <v/>
      </c>
      <c r="M673" s="19">
        <f>IF($B673="","",IFERROR(INDEX(智能流水!$M$2:$M$1001,MATCH($B673,智能流水!$B$2:$B$1001,0)),""))</f>
        <v/>
      </c>
      <c r="N673" s="19">
        <f>IF($B673="","",IFERROR(INDEX(智能流水!$N$2:$N$1001,MATCH($B673,智能流水!$B$2:$B$1001,0)),""))</f>
        <v/>
      </c>
      <c r="O673" s="19">
        <f>IF($B673="","",IFERROR(INDEX(智能流水!$O$2:$O$1001,MATCH($B673,智能流水!$B$2:$B$1001,0)),""))</f>
        <v/>
      </c>
    </row>
    <row r="674">
      <c r="A674" s="19">
        <f>IF($B674="","",673)</f>
        <v/>
      </c>
      <c r="B674" s="19">
        <f>IFERROR(LARGE(智能流水!$B$2:$B$1001,673),"")</f>
        <v/>
      </c>
      <c r="C674" s="19">
        <f>IF($B674="","",IFERROR(INDEX(智能流水!$C$2:$C$1001,MATCH($B674,智能流水!$B$2:$B$1001,0)),""))</f>
        <v/>
      </c>
      <c r="D674" s="19">
        <f>IF($B674="","",IFERROR(INDEX(智能流水!$D$2:$D$1001,MATCH($B674,智能流水!$B$2:$B$1001,0)),""))</f>
        <v/>
      </c>
      <c r="E674" s="19">
        <f>IF($B674="","",IFERROR(INDEX(智能流水!$E$2:$E$1001,MATCH($B674,智能流水!$B$2:$B$1001,0)),""))</f>
        <v/>
      </c>
      <c r="F674" s="19">
        <f>IF($B674="","",IFERROR(INDEX(智能流水!$F$2:$F$1001,MATCH($B674,智能流水!$B$2:$B$1001,0)),""))</f>
        <v/>
      </c>
      <c r="G674" s="19">
        <f>IF($B674="","",IFERROR(INDEX(智能流水!$G$2:$G$1001,MATCH($B674,智能流水!$B$2:$B$1001,0)),""))</f>
        <v/>
      </c>
      <c r="H674" s="19">
        <f>IF($B674="","",IFERROR(INDEX(智能流水!$H$2:$H$1001,MATCH($B674,智能流水!$B$2:$B$1001,0)),""))</f>
        <v/>
      </c>
      <c r="I674" s="19">
        <f>IF($B674="","",IFERROR(INDEX(智能流水!$I$2:$I$1001,MATCH($B674,智能流水!$B$2:$B$1001,0)),""))</f>
        <v/>
      </c>
      <c r="J674" s="19">
        <f>IF($B674="","",IFERROR(INDEX(智能流水!$J$2:$J$1001,MATCH($B674,智能流水!$B$2:$B$1001,0)),""))</f>
        <v/>
      </c>
      <c r="K674" s="19">
        <f>IF($B674="","",IFERROR(INDEX(智能流水!$K$2:$K$1001,MATCH($B674,智能流水!$B$2:$B$1001,0)),""))</f>
        <v/>
      </c>
      <c r="L674" s="19">
        <f>IF($B674="","",IFERROR(INDEX(智能流水!$L$2:$L$1001,MATCH($B674,智能流水!$B$2:$B$1001,0)),""))</f>
        <v/>
      </c>
      <c r="M674" s="19">
        <f>IF($B674="","",IFERROR(INDEX(智能流水!$M$2:$M$1001,MATCH($B674,智能流水!$B$2:$B$1001,0)),""))</f>
        <v/>
      </c>
      <c r="N674" s="19">
        <f>IF($B674="","",IFERROR(INDEX(智能流水!$N$2:$N$1001,MATCH($B674,智能流水!$B$2:$B$1001,0)),""))</f>
        <v/>
      </c>
      <c r="O674" s="19">
        <f>IF($B674="","",IFERROR(INDEX(智能流水!$O$2:$O$1001,MATCH($B674,智能流水!$B$2:$B$1001,0)),""))</f>
        <v/>
      </c>
    </row>
    <row r="675">
      <c r="A675" s="19">
        <f>IF($B675="","",674)</f>
        <v/>
      </c>
      <c r="B675" s="19">
        <f>IFERROR(LARGE(智能流水!$B$2:$B$1001,674),"")</f>
        <v/>
      </c>
      <c r="C675" s="19">
        <f>IF($B675="","",IFERROR(INDEX(智能流水!$C$2:$C$1001,MATCH($B675,智能流水!$B$2:$B$1001,0)),""))</f>
        <v/>
      </c>
      <c r="D675" s="19">
        <f>IF($B675="","",IFERROR(INDEX(智能流水!$D$2:$D$1001,MATCH($B675,智能流水!$B$2:$B$1001,0)),""))</f>
        <v/>
      </c>
      <c r="E675" s="19">
        <f>IF($B675="","",IFERROR(INDEX(智能流水!$E$2:$E$1001,MATCH($B675,智能流水!$B$2:$B$1001,0)),""))</f>
        <v/>
      </c>
      <c r="F675" s="19">
        <f>IF($B675="","",IFERROR(INDEX(智能流水!$F$2:$F$1001,MATCH($B675,智能流水!$B$2:$B$1001,0)),""))</f>
        <v/>
      </c>
      <c r="G675" s="19">
        <f>IF($B675="","",IFERROR(INDEX(智能流水!$G$2:$G$1001,MATCH($B675,智能流水!$B$2:$B$1001,0)),""))</f>
        <v/>
      </c>
      <c r="H675" s="19">
        <f>IF($B675="","",IFERROR(INDEX(智能流水!$H$2:$H$1001,MATCH($B675,智能流水!$B$2:$B$1001,0)),""))</f>
        <v/>
      </c>
      <c r="I675" s="19">
        <f>IF($B675="","",IFERROR(INDEX(智能流水!$I$2:$I$1001,MATCH($B675,智能流水!$B$2:$B$1001,0)),""))</f>
        <v/>
      </c>
      <c r="J675" s="19">
        <f>IF($B675="","",IFERROR(INDEX(智能流水!$J$2:$J$1001,MATCH($B675,智能流水!$B$2:$B$1001,0)),""))</f>
        <v/>
      </c>
      <c r="K675" s="19">
        <f>IF($B675="","",IFERROR(INDEX(智能流水!$K$2:$K$1001,MATCH($B675,智能流水!$B$2:$B$1001,0)),""))</f>
        <v/>
      </c>
      <c r="L675" s="19">
        <f>IF($B675="","",IFERROR(INDEX(智能流水!$L$2:$L$1001,MATCH($B675,智能流水!$B$2:$B$1001,0)),""))</f>
        <v/>
      </c>
      <c r="M675" s="19">
        <f>IF($B675="","",IFERROR(INDEX(智能流水!$M$2:$M$1001,MATCH($B675,智能流水!$B$2:$B$1001,0)),""))</f>
        <v/>
      </c>
      <c r="N675" s="19">
        <f>IF($B675="","",IFERROR(INDEX(智能流水!$N$2:$N$1001,MATCH($B675,智能流水!$B$2:$B$1001,0)),""))</f>
        <v/>
      </c>
      <c r="O675" s="19">
        <f>IF($B675="","",IFERROR(INDEX(智能流水!$O$2:$O$1001,MATCH($B675,智能流水!$B$2:$B$1001,0)),""))</f>
        <v/>
      </c>
    </row>
    <row r="676">
      <c r="A676" s="19">
        <f>IF($B676="","",675)</f>
        <v/>
      </c>
      <c r="B676" s="19">
        <f>IFERROR(LARGE(智能流水!$B$2:$B$1001,675),"")</f>
        <v/>
      </c>
      <c r="C676" s="19">
        <f>IF($B676="","",IFERROR(INDEX(智能流水!$C$2:$C$1001,MATCH($B676,智能流水!$B$2:$B$1001,0)),""))</f>
        <v/>
      </c>
      <c r="D676" s="19">
        <f>IF($B676="","",IFERROR(INDEX(智能流水!$D$2:$D$1001,MATCH($B676,智能流水!$B$2:$B$1001,0)),""))</f>
        <v/>
      </c>
      <c r="E676" s="19">
        <f>IF($B676="","",IFERROR(INDEX(智能流水!$E$2:$E$1001,MATCH($B676,智能流水!$B$2:$B$1001,0)),""))</f>
        <v/>
      </c>
      <c r="F676" s="19">
        <f>IF($B676="","",IFERROR(INDEX(智能流水!$F$2:$F$1001,MATCH($B676,智能流水!$B$2:$B$1001,0)),""))</f>
        <v/>
      </c>
      <c r="G676" s="19">
        <f>IF($B676="","",IFERROR(INDEX(智能流水!$G$2:$G$1001,MATCH($B676,智能流水!$B$2:$B$1001,0)),""))</f>
        <v/>
      </c>
      <c r="H676" s="19">
        <f>IF($B676="","",IFERROR(INDEX(智能流水!$H$2:$H$1001,MATCH($B676,智能流水!$B$2:$B$1001,0)),""))</f>
        <v/>
      </c>
      <c r="I676" s="19">
        <f>IF($B676="","",IFERROR(INDEX(智能流水!$I$2:$I$1001,MATCH($B676,智能流水!$B$2:$B$1001,0)),""))</f>
        <v/>
      </c>
      <c r="J676" s="19">
        <f>IF($B676="","",IFERROR(INDEX(智能流水!$J$2:$J$1001,MATCH($B676,智能流水!$B$2:$B$1001,0)),""))</f>
        <v/>
      </c>
      <c r="K676" s="19">
        <f>IF($B676="","",IFERROR(INDEX(智能流水!$K$2:$K$1001,MATCH($B676,智能流水!$B$2:$B$1001,0)),""))</f>
        <v/>
      </c>
      <c r="L676" s="19">
        <f>IF($B676="","",IFERROR(INDEX(智能流水!$L$2:$L$1001,MATCH($B676,智能流水!$B$2:$B$1001,0)),""))</f>
        <v/>
      </c>
      <c r="M676" s="19">
        <f>IF($B676="","",IFERROR(INDEX(智能流水!$M$2:$M$1001,MATCH($B676,智能流水!$B$2:$B$1001,0)),""))</f>
        <v/>
      </c>
      <c r="N676" s="19">
        <f>IF($B676="","",IFERROR(INDEX(智能流水!$N$2:$N$1001,MATCH($B676,智能流水!$B$2:$B$1001,0)),""))</f>
        <v/>
      </c>
      <c r="O676" s="19">
        <f>IF($B676="","",IFERROR(INDEX(智能流水!$O$2:$O$1001,MATCH($B676,智能流水!$B$2:$B$1001,0)),""))</f>
        <v/>
      </c>
    </row>
    <row r="677">
      <c r="A677" s="19">
        <f>IF($B677="","",676)</f>
        <v/>
      </c>
      <c r="B677" s="19">
        <f>IFERROR(LARGE(智能流水!$B$2:$B$1001,676),"")</f>
        <v/>
      </c>
      <c r="C677" s="19">
        <f>IF($B677="","",IFERROR(INDEX(智能流水!$C$2:$C$1001,MATCH($B677,智能流水!$B$2:$B$1001,0)),""))</f>
        <v/>
      </c>
      <c r="D677" s="19">
        <f>IF($B677="","",IFERROR(INDEX(智能流水!$D$2:$D$1001,MATCH($B677,智能流水!$B$2:$B$1001,0)),""))</f>
        <v/>
      </c>
      <c r="E677" s="19">
        <f>IF($B677="","",IFERROR(INDEX(智能流水!$E$2:$E$1001,MATCH($B677,智能流水!$B$2:$B$1001,0)),""))</f>
        <v/>
      </c>
      <c r="F677" s="19">
        <f>IF($B677="","",IFERROR(INDEX(智能流水!$F$2:$F$1001,MATCH($B677,智能流水!$B$2:$B$1001,0)),""))</f>
        <v/>
      </c>
      <c r="G677" s="19">
        <f>IF($B677="","",IFERROR(INDEX(智能流水!$G$2:$G$1001,MATCH($B677,智能流水!$B$2:$B$1001,0)),""))</f>
        <v/>
      </c>
      <c r="H677" s="19">
        <f>IF($B677="","",IFERROR(INDEX(智能流水!$H$2:$H$1001,MATCH($B677,智能流水!$B$2:$B$1001,0)),""))</f>
        <v/>
      </c>
      <c r="I677" s="19">
        <f>IF($B677="","",IFERROR(INDEX(智能流水!$I$2:$I$1001,MATCH($B677,智能流水!$B$2:$B$1001,0)),""))</f>
        <v/>
      </c>
      <c r="J677" s="19">
        <f>IF($B677="","",IFERROR(INDEX(智能流水!$J$2:$J$1001,MATCH($B677,智能流水!$B$2:$B$1001,0)),""))</f>
        <v/>
      </c>
      <c r="K677" s="19">
        <f>IF($B677="","",IFERROR(INDEX(智能流水!$K$2:$K$1001,MATCH($B677,智能流水!$B$2:$B$1001,0)),""))</f>
        <v/>
      </c>
      <c r="L677" s="19">
        <f>IF($B677="","",IFERROR(INDEX(智能流水!$L$2:$L$1001,MATCH($B677,智能流水!$B$2:$B$1001,0)),""))</f>
        <v/>
      </c>
      <c r="M677" s="19">
        <f>IF($B677="","",IFERROR(INDEX(智能流水!$M$2:$M$1001,MATCH($B677,智能流水!$B$2:$B$1001,0)),""))</f>
        <v/>
      </c>
      <c r="N677" s="19">
        <f>IF($B677="","",IFERROR(INDEX(智能流水!$N$2:$N$1001,MATCH($B677,智能流水!$B$2:$B$1001,0)),""))</f>
        <v/>
      </c>
      <c r="O677" s="19">
        <f>IF($B677="","",IFERROR(INDEX(智能流水!$O$2:$O$1001,MATCH($B677,智能流水!$B$2:$B$1001,0)),""))</f>
        <v/>
      </c>
    </row>
    <row r="678">
      <c r="A678" s="19">
        <f>IF($B678="","",677)</f>
        <v/>
      </c>
      <c r="B678" s="19">
        <f>IFERROR(LARGE(智能流水!$B$2:$B$1001,677),"")</f>
        <v/>
      </c>
      <c r="C678" s="19">
        <f>IF($B678="","",IFERROR(INDEX(智能流水!$C$2:$C$1001,MATCH($B678,智能流水!$B$2:$B$1001,0)),""))</f>
        <v/>
      </c>
      <c r="D678" s="19">
        <f>IF($B678="","",IFERROR(INDEX(智能流水!$D$2:$D$1001,MATCH($B678,智能流水!$B$2:$B$1001,0)),""))</f>
        <v/>
      </c>
      <c r="E678" s="19">
        <f>IF($B678="","",IFERROR(INDEX(智能流水!$E$2:$E$1001,MATCH($B678,智能流水!$B$2:$B$1001,0)),""))</f>
        <v/>
      </c>
      <c r="F678" s="19">
        <f>IF($B678="","",IFERROR(INDEX(智能流水!$F$2:$F$1001,MATCH($B678,智能流水!$B$2:$B$1001,0)),""))</f>
        <v/>
      </c>
      <c r="G678" s="19">
        <f>IF($B678="","",IFERROR(INDEX(智能流水!$G$2:$G$1001,MATCH($B678,智能流水!$B$2:$B$1001,0)),""))</f>
        <v/>
      </c>
      <c r="H678" s="19">
        <f>IF($B678="","",IFERROR(INDEX(智能流水!$H$2:$H$1001,MATCH($B678,智能流水!$B$2:$B$1001,0)),""))</f>
        <v/>
      </c>
      <c r="I678" s="19">
        <f>IF($B678="","",IFERROR(INDEX(智能流水!$I$2:$I$1001,MATCH($B678,智能流水!$B$2:$B$1001,0)),""))</f>
        <v/>
      </c>
      <c r="J678" s="19">
        <f>IF($B678="","",IFERROR(INDEX(智能流水!$J$2:$J$1001,MATCH($B678,智能流水!$B$2:$B$1001,0)),""))</f>
        <v/>
      </c>
      <c r="K678" s="19">
        <f>IF($B678="","",IFERROR(INDEX(智能流水!$K$2:$K$1001,MATCH($B678,智能流水!$B$2:$B$1001,0)),""))</f>
        <v/>
      </c>
      <c r="L678" s="19">
        <f>IF($B678="","",IFERROR(INDEX(智能流水!$L$2:$L$1001,MATCH($B678,智能流水!$B$2:$B$1001,0)),""))</f>
        <v/>
      </c>
      <c r="M678" s="19">
        <f>IF($B678="","",IFERROR(INDEX(智能流水!$M$2:$M$1001,MATCH($B678,智能流水!$B$2:$B$1001,0)),""))</f>
        <v/>
      </c>
      <c r="N678" s="19">
        <f>IF($B678="","",IFERROR(INDEX(智能流水!$N$2:$N$1001,MATCH($B678,智能流水!$B$2:$B$1001,0)),""))</f>
        <v/>
      </c>
      <c r="O678" s="19">
        <f>IF($B678="","",IFERROR(INDEX(智能流水!$O$2:$O$1001,MATCH($B678,智能流水!$B$2:$B$1001,0)),""))</f>
        <v/>
      </c>
    </row>
    <row r="679">
      <c r="A679" s="19">
        <f>IF($B679="","",678)</f>
        <v/>
      </c>
      <c r="B679" s="19">
        <f>IFERROR(LARGE(智能流水!$B$2:$B$1001,678),"")</f>
        <v/>
      </c>
      <c r="C679" s="19">
        <f>IF($B679="","",IFERROR(INDEX(智能流水!$C$2:$C$1001,MATCH($B679,智能流水!$B$2:$B$1001,0)),""))</f>
        <v/>
      </c>
      <c r="D679" s="19">
        <f>IF($B679="","",IFERROR(INDEX(智能流水!$D$2:$D$1001,MATCH($B679,智能流水!$B$2:$B$1001,0)),""))</f>
        <v/>
      </c>
      <c r="E679" s="19">
        <f>IF($B679="","",IFERROR(INDEX(智能流水!$E$2:$E$1001,MATCH($B679,智能流水!$B$2:$B$1001,0)),""))</f>
        <v/>
      </c>
      <c r="F679" s="19">
        <f>IF($B679="","",IFERROR(INDEX(智能流水!$F$2:$F$1001,MATCH($B679,智能流水!$B$2:$B$1001,0)),""))</f>
        <v/>
      </c>
      <c r="G679" s="19">
        <f>IF($B679="","",IFERROR(INDEX(智能流水!$G$2:$G$1001,MATCH($B679,智能流水!$B$2:$B$1001,0)),""))</f>
        <v/>
      </c>
      <c r="H679" s="19">
        <f>IF($B679="","",IFERROR(INDEX(智能流水!$H$2:$H$1001,MATCH($B679,智能流水!$B$2:$B$1001,0)),""))</f>
        <v/>
      </c>
      <c r="I679" s="19">
        <f>IF($B679="","",IFERROR(INDEX(智能流水!$I$2:$I$1001,MATCH($B679,智能流水!$B$2:$B$1001,0)),""))</f>
        <v/>
      </c>
      <c r="J679" s="19">
        <f>IF($B679="","",IFERROR(INDEX(智能流水!$J$2:$J$1001,MATCH($B679,智能流水!$B$2:$B$1001,0)),""))</f>
        <v/>
      </c>
      <c r="K679" s="19">
        <f>IF($B679="","",IFERROR(INDEX(智能流水!$K$2:$K$1001,MATCH($B679,智能流水!$B$2:$B$1001,0)),""))</f>
        <v/>
      </c>
      <c r="L679" s="19">
        <f>IF($B679="","",IFERROR(INDEX(智能流水!$L$2:$L$1001,MATCH($B679,智能流水!$B$2:$B$1001,0)),""))</f>
        <v/>
      </c>
      <c r="M679" s="19">
        <f>IF($B679="","",IFERROR(INDEX(智能流水!$M$2:$M$1001,MATCH($B679,智能流水!$B$2:$B$1001,0)),""))</f>
        <v/>
      </c>
      <c r="N679" s="19">
        <f>IF($B679="","",IFERROR(INDEX(智能流水!$N$2:$N$1001,MATCH($B679,智能流水!$B$2:$B$1001,0)),""))</f>
        <v/>
      </c>
      <c r="O679" s="19">
        <f>IF($B679="","",IFERROR(INDEX(智能流水!$O$2:$O$1001,MATCH($B679,智能流水!$B$2:$B$1001,0)),""))</f>
        <v/>
      </c>
    </row>
    <row r="680">
      <c r="A680" s="19">
        <f>IF($B680="","",679)</f>
        <v/>
      </c>
      <c r="B680" s="19">
        <f>IFERROR(LARGE(智能流水!$B$2:$B$1001,679),"")</f>
        <v/>
      </c>
      <c r="C680" s="19">
        <f>IF($B680="","",IFERROR(INDEX(智能流水!$C$2:$C$1001,MATCH($B680,智能流水!$B$2:$B$1001,0)),""))</f>
        <v/>
      </c>
      <c r="D680" s="19">
        <f>IF($B680="","",IFERROR(INDEX(智能流水!$D$2:$D$1001,MATCH($B680,智能流水!$B$2:$B$1001,0)),""))</f>
        <v/>
      </c>
      <c r="E680" s="19">
        <f>IF($B680="","",IFERROR(INDEX(智能流水!$E$2:$E$1001,MATCH($B680,智能流水!$B$2:$B$1001,0)),""))</f>
        <v/>
      </c>
      <c r="F680" s="19">
        <f>IF($B680="","",IFERROR(INDEX(智能流水!$F$2:$F$1001,MATCH($B680,智能流水!$B$2:$B$1001,0)),""))</f>
        <v/>
      </c>
      <c r="G680" s="19">
        <f>IF($B680="","",IFERROR(INDEX(智能流水!$G$2:$G$1001,MATCH($B680,智能流水!$B$2:$B$1001,0)),""))</f>
        <v/>
      </c>
      <c r="H680" s="19">
        <f>IF($B680="","",IFERROR(INDEX(智能流水!$H$2:$H$1001,MATCH($B680,智能流水!$B$2:$B$1001,0)),""))</f>
        <v/>
      </c>
      <c r="I680" s="19">
        <f>IF($B680="","",IFERROR(INDEX(智能流水!$I$2:$I$1001,MATCH($B680,智能流水!$B$2:$B$1001,0)),""))</f>
        <v/>
      </c>
      <c r="J680" s="19">
        <f>IF($B680="","",IFERROR(INDEX(智能流水!$J$2:$J$1001,MATCH($B680,智能流水!$B$2:$B$1001,0)),""))</f>
        <v/>
      </c>
      <c r="K680" s="19">
        <f>IF($B680="","",IFERROR(INDEX(智能流水!$K$2:$K$1001,MATCH($B680,智能流水!$B$2:$B$1001,0)),""))</f>
        <v/>
      </c>
      <c r="L680" s="19">
        <f>IF($B680="","",IFERROR(INDEX(智能流水!$L$2:$L$1001,MATCH($B680,智能流水!$B$2:$B$1001,0)),""))</f>
        <v/>
      </c>
      <c r="M680" s="19">
        <f>IF($B680="","",IFERROR(INDEX(智能流水!$M$2:$M$1001,MATCH($B680,智能流水!$B$2:$B$1001,0)),""))</f>
        <v/>
      </c>
      <c r="N680" s="19">
        <f>IF($B680="","",IFERROR(INDEX(智能流水!$N$2:$N$1001,MATCH($B680,智能流水!$B$2:$B$1001,0)),""))</f>
        <v/>
      </c>
      <c r="O680" s="19">
        <f>IF($B680="","",IFERROR(INDEX(智能流水!$O$2:$O$1001,MATCH($B680,智能流水!$B$2:$B$1001,0)),""))</f>
        <v/>
      </c>
    </row>
    <row r="681">
      <c r="A681" s="19">
        <f>IF($B681="","",680)</f>
        <v/>
      </c>
      <c r="B681" s="19">
        <f>IFERROR(LARGE(智能流水!$B$2:$B$1001,680),"")</f>
        <v/>
      </c>
      <c r="C681" s="19">
        <f>IF($B681="","",IFERROR(INDEX(智能流水!$C$2:$C$1001,MATCH($B681,智能流水!$B$2:$B$1001,0)),""))</f>
        <v/>
      </c>
      <c r="D681" s="19">
        <f>IF($B681="","",IFERROR(INDEX(智能流水!$D$2:$D$1001,MATCH($B681,智能流水!$B$2:$B$1001,0)),""))</f>
        <v/>
      </c>
      <c r="E681" s="19">
        <f>IF($B681="","",IFERROR(INDEX(智能流水!$E$2:$E$1001,MATCH($B681,智能流水!$B$2:$B$1001,0)),""))</f>
        <v/>
      </c>
      <c r="F681" s="19">
        <f>IF($B681="","",IFERROR(INDEX(智能流水!$F$2:$F$1001,MATCH($B681,智能流水!$B$2:$B$1001,0)),""))</f>
        <v/>
      </c>
      <c r="G681" s="19">
        <f>IF($B681="","",IFERROR(INDEX(智能流水!$G$2:$G$1001,MATCH($B681,智能流水!$B$2:$B$1001,0)),""))</f>
        <v/>
      </c>
      <c r="H681" s="19">
        <f>IF($B681="","",IFERROR(INDEX(智能流水!$H$2:$H$1001,MATCH($B681,智能流水!$B$2:$B$1001,0)),""))</f>
        <v/>
      </c>
      <c r="I681" s="19">
        <f>IF($B681="","",IFERROR(INDEX(智能流水!$I$2:$I$1001,MATCH($B681,智能流水!$B$2:$B$1001,0)),""))</f>
        <v/>
      </c>
      <c r="J681" s="19">
        <f>IF($B681="","",IFERROR(INDEX(智能流水!$J$2:$J$1001,MATCH($B681,智能流水!$B$2:$B$1001,0)),""))</f>
        <v/>
      </c>
      <c r="K681" s="19">
        <f>IF($B681="","",IFERROR(INDEX(智能流水!$K$2:$K$1001,MATCH($B681,智能流水!$B$2:$B$1001,0)),""))</f>
        <v/>
      </c>
      <c r="L681" s="19">
        <f>IF($B681="","",IFERROR(INDEX(智能流水!$L$2:$L$1001,MATCH($B681,智能流水!$B$2:$B$1001,0)),""))</f>
        <v/>
      </c>
      <c r="M681" s="19">
        <f>IF($B681="","",IFERROR(INDEX(智能流水!$M$2:$M$1001,MATCH($B681,智能流水!$B$2:$B$1001,0)),""))</f>
        <v/>
      </c>
      <c r="N681" s="19">
        <f>IF($B681="","",IFERROR(INDEX(智能流水!$N$2:$N$1001,MATCH($B681,智能流水!$B$2:$B$1001,0)),""))</f>
        <v/>
      </c>
      <c r="O681" s="19">
        <f>IF($B681="","",IFERROR(INDEX(智能流水!$O$2:$O$1001,MATCH($B681,智能流水!$B$2:$B$1001,0)),""))</f>
        <v/>
      </c>
    </row>
    <row r="682">
      <c r="A682" s="19">
        <f>IF($B682="","",681)</f>
        <v/>
      </c>
      <c r="B682" s="19">
        <f>IFERROR(LARGE(智能流水!$B$2:$B$1001,681),"")</f>
        <v/>
      </c>
      <c r="C682" s="19">
        <f>IF($B682="","",IFERROR(INDEX(智能流水!$C$2:$C$1001,MATCH($B682,智能流水!$B$2:$B$1001,0)),""))</f>
        <v/>
      </c>
      <c r="D682" s="19">
        <f>IF($B682="","",IFERROR(INDEX(智能流水!$D$2:$D$1001,MATCH($B682,智能流水!$B$2:$B$1001,0)),""))</f>
        <v/>
      </c>
      <c r="E682" s="19">
        <f>IF($B682="","",IFERROR(INDEX(智能流水!$E$2:$E$1001,MATCH($B682,智能流水!$B$2:$B$1001,0)),""))</f>
        <v/>
      </c>
      <c r="F682" s="19">
        <f>IF($B682="","",IFERROR(INDEX(智能流水!$F$2:$F$1001,MATCH($B682,智能流水!$B$2:$B$1001,0)),""))</f>
        <v/>
      </c>
      <c r="G682" s="19">
        <f>IF($B682="","",IFERROR(INDEX(智能流水!$G$2:$G$1001,MATCH($B682,智能流水!$B$2:$B$1001,0)),""))</f>
        <v/>
      </c>
      <c r="H682" s="19">
        <f>IF($B682="","",IFERROR(INDEX(智能流水!$H$2:$H$1001,MATCH($B682,智能流水!$B$2:$B$1001,0)),""))</f>
        <v/>
      </c>
      <c r="I682" s="19">
        <f>IF($B682="","",IFERROR(INDEX(智能流水!$I$2:$I$1001,MATCH($B682,智能流水!$B$2:$B$1001,0)),""))</f>
        <v/>
      </c>
      <c r="J682" s="19">
        <f>IF($B682="","",IFERROR(INDEX(智能流水!$J$2:$J$1001,MATCH($B682,智能流水!$B$2:$B$1001,0)),""))</f>
        <v/>
      </c>
      <c r="K682" s="19">
        <f>IF($B682="","",IFERROR(INDEX(智能流水!$K$2:$K$1001,MATCH($B682,智能流水!$B$2:$B$1001,0)),""))</f>
        <v/>
      </c>
      <c r="L682" s="19">
        <f>IF($B682="","",IFERROR(INDEX(智能流水!$L$2:$L$1001,MATCH($B682,智能流水!$B$2:$B$1001,0)),""))</f>
        <v/>
      </c>
      <c r="M682" s="19">
        <f>IF($B682="","",IFERROR(INDEX(智能流水!$M$2:$M$1001,MATCH($B682,智能流水!$B$2:$B$1001,0)),""))</f>
        <v/>
      </c>
      <c r="N682" s="19">
        <f>IF($B682="","",IFERROR(INDEX(智能流水!$N$2:$N$1001,MATCH($B682,智能流水!$B$2:$B$1001,0)),""))</f>
        <v/>
      </c>
      <c r="O682" s="19">
        <f>IF($B682="","",IFERROR(INDEX(智能流水!$O$2:$O$1001,MATCH($B682,智能流水!$B$2:$B$1001,0)),""))</f>
        <v/>
      </c>
    </row>
    <row r="683">
      <c r="A683" s="19">
        <f>IF($B683="","",682)</f>
        <v/>
      </c>
      <c r="B683" s="19">
        <f>IFERROR(LARGE(智能流水!$B$2:$B$1001,682),"")</f>
        <v/>
      </c>
      <c r="C683" s="19">
        <f>IF($B683="","",IFERROR(INDEX(智能流水!$C$2:$C$1001,MATCH($B683,智能流水!$B$2:$B$1001,0)),""))</f>
        <v/>
      </c>
      <c r="D683" s="19">
        <f>IF($B683="","",IFERROR(INDEX(智能流水!$D$2:$D$1001,MATCH($B683,智能流水!$B$2:$B$1001,0)),""))</f>
        <v/>
      </c>
      <c r="E683" s="19">
        <f>IF($B683="","",IFERROR(INDEX(智能流水!$E$2:$E$1001,MATCH($B683,智能流水!$B$2:$B$1001,0)),""))</f>
        <v/>
      </c>
      <c r="F683" s="19">
        <f>IF($B683="","",IFERROR(INDEX(智能流水!$F$2:$F$1001,MATCH($B683,智能流水!$B$2:$B$1001,0)),""))</f>
        <v/>
      </c>
      <c r="G683" s="19">
        <f>IF($B683="","",IFERROR(INDEX(智能流水!$G$2:$G$1001,MATCH($B683,智能流水!$B$2:$B$1001,0)),""))</f>
        <v/>
      </c>
      <c r="H683" s="19">
        <f>IF($B683="","",IFERROR(INDEX(智能流水!$H$2:$H$1001,MATCH($B683,智能流水!$B$2:$B$1001,0)),""))</f>
        <v/>
      </c>
      <c r="I683" s="19">
        <f>IF($B683="","",IFERROR(INDEX(智能流水!$I$2:$I$1001,MATCH($B683,智能流水!$B$2:$B$1001,0)),""))</f>
        <v/>
      </c>
      <c r="J683" s="19">
        <f>IF($B683="","",IFERROR(INDEX(智能流水!$J$2:$J$1001,MATCH($B683,智能流水!$B$2:$B$1001,0)),""))</f>
        <v/>
      </c>
      <c r="K683" s="19">
        <f>IF($B683="","",IFERROR(INDEX(智能流水!$K$2:$K$1001,MATCH($B683,智能流水!$B$2:$B$1001,0)),""))</f>
        <v/>
      </c>
      <c r="L683" s="19">
        <f>IF($B683="","",IFERROR(INDEX(智能流水!$L$2:$L$1001,MATCH($B683,智能流水!$B$2:$B$1001,0)),""))</f>
        <v/>
      </c>
      <c r="M683" s="19">
        <f>IF($B683="","",IFERROR(INDEX(智能流水!$M$2:$M$1001,MATCH($B683,智能流水!$B$2:$B$1001,0)),""))</f>
        <v/>
      </c>
      <c r="N683" s="19">
        <f>IF($B683="","",IFERROR(INDEX(智能流水!$N$2:$N$1001,MATCH($B683,智能流水!$B$2:$B$1001,0)),""))</f>
        <v/>
      </c>
      <c r="O683" s="19">
        <f>IF($B683="","",IFERROR(INDEX(智能流水!$O$2:$O$1001,MATCH($B683,智能流水!$B$2:$B$1001,0)),""))</f>
        <v/>
      </c>
    </row>
    <row r="684">
      <c r="A684" s="19">
        <f>IF($B684="","",683)</f>
        <v/>
      </c>
      <c r="B684" s="19">
        <f>IFERROR(LARGE(智能流水!$B$2:$B$1001,683),"")</f>
        <v/>
      </c>
      <c r="C684" s="19">
        <f>IF($B684="","",IFERROR(INDEX(智能流水!$C$2:$C$1001,MATCH($B684,智能流水!$B$2:$B$1001,0)),""))</f>
        <v/>
      </c>
      <c r="D684" s="19">
        <f>IF($B684="","",IFERROR(INDEX(智能流水!$D$2:$D$1001,MATCH($B684,智能流水!$B$2:$B$1001,0)),""))</f>
        <v/>
      </c>
      <c r="E684" s="19">
        <f>IF($B684="","",IFERROR(INDEX(智能流水!$E$2:$E$1001,MATCH($B684,智能流水!$B$2:$B$1001,0)),""))</f>
        <v/>
      </c>
      <c r="F684" s="19">
        <f>IF($B684="","",IFERROR(INDEX(智能流水!$F$2:$F$1001,MATCH($B684,智能流水!$B$2:$B$1001,0)),""))</f>
        <v/>
      </c>
      <c r="G684" s="19">
        <f>IF($B684="","",IFERROR(INDEX(智能流水!$G$2:$G$1001,MATCH($B684,智能流水!$B$2:$B$1001,0)),""))</f>
        <v/>
      </c>
      <c r="H684" s="19">
        <f>IF($B684="","",IFERROR(INDEX(智能流水!$H$2:$H$1001,MATCH($B684,智能流水!$B$2:$B$1001,0)),""))</f>
        <v/>
      </c>
      <c r="I684" s="19">
        <f>IF($B684="","",IFERROR(INDEX(智能流水!$I$2:$I$1001,MATCH($B684,智能流水!$B$2:$B$1001,0)),""))</f>
        <v/>
      </c>
      <c r="J684" s="19">
        <f>IF($B684="","",IFERROR(INDEX(智能流水!$J$2:$J$1001,MATCH($B684,智能流水!$B$2:$B$1001,0)),""))</f>
        <v/>
      </c>
      <c r="K684" s="19">
        <f>IF($B684="","",IFERROR(INDEX(智能流水!$K$2:$K$1001,MATCH($B684,智能流水!$B$2:$B$1001,0)),""))</f>
        <v/>
      </c>
      <c r="L684" s="19">
        <f>IF($B684="","",IFERROR(INDEX(智能流水!$L$2:$L$1001,MATCH($B684,智能流水!$B$2:$B$1001,0)),""))</f>
        <v/>
      </c>
      <c r="M684" s="19">
        <f>IF($B684="","",IFERROR(INDEX(智能流水!$M$2:$M$1001,MATCH($B684,智能流水!$B$2:$B$1001,0)),""))</f>
        <v/>
      </c>
      <c r="N684" s="19">
        <f>IF($B684="","",IFERROR(INDEX(智能流水!$N$2:$N$1001,MATCH($B684,智能流水!$B$2:$B$1001,0)),""))</f>
        <v/>
      </c>
      <c r="O684" s="19">
        <f>IF($B684="","",IFERROR(INDEX(智能流水!$O$2:$O$1001,MATCH($B684,智能流水!$B$2:$B$1001,0)),""))</f>
        <v/>
      </c>
    </row>
    <row r="685">
      <c r="A685" s="19">
        <f>IF($B685="","",684)</f>
        <v/>
      </c>
      <c r="B685" s="19">
        <f>IFERROR(LARGE(智能流水!$B$2:$B$1001,684),"")</f>
        <v/>
      </c>
      <c r="C685" s="19">
        <f>IF($B685="","",IFERROR(INDEX(智能流水!$C$2:$C$1001,MATCH($B685,智能流水!$B$2:$B$1001,0)),""))</f>
        <v/>
      </c>
      <c r="D685" s="19">
        <f>IF($B685="","",IFERROR(INDEX(智能流水!$D$2:$D$1001,MATCH($B685,智能流水!$B$2:$B$1001,0)),""))</f>
        <v/>
      </c>
      <c r="E685" s="19">
        <f>IF($B685="","",IFERROR(INDEX(智能流水!$E$2:$E$1001,MATCH($B685,智能流水!$B$2:$B$1001,0)),""))</f>
        <v/>
      </c>
      <c r="F685" s="19">
        <f>IF($B685="","",IFERROR(INDEX(智能流水!$F$2:$F$1001,MATCH($B685,智能流水!$B$2:$B$1001,0)),""))</f>
        <v/>
      </c>
      <c r="G685" s="19">
        <f>IF($B685="","",IFERROR(INDEX(智能流水!$G$2:$G$1001,MATCH($B685,智能流水!$B$2:$B$1001,0)),""))</f>
        <v/>
      </c>
      <c r="H685" s="19">
        <f>IF($B685="","",IFERROR(INDEX(智能流水!$H$2:$H$1001,MATCH($B685,智能流水!$B$2:$B$1001,0)),""))</f>
        <v/>
      </c>
      <c r="I685" s="19">
        <f>IF($B685="","",IFERROR(INDEX(智能流水!$I$2:$I$1001,MATCH($B685,智能流水!$B$2:$B$1001,0)),""))</f>
        <v/>
      </c>
      <c r="J685" s="19">
        <f>IF($B685="","",IFERROR(INDEX(智能流水!$J$2:$J$1001,MATCH($B685,智能流水!$B$2:$B$1001,0)),""))</f>
        <v/>
      </c>
      <c r="K685" s="19">
        <f>IF($B685="","",IFERROR(INDEX(智能流水!$K$2:$K$1001,MATCH($B685,智能流水!$B$2:$B$1001,0)),""))</f>
        <v/>
      </c>
      <c r="L685" s="19">
        <f>IF($B685="","",IFERROR(INDEX(智能流水!$L$2:$L$1001,MATCH($B685,智能流水!$B$2:$B$1001,0)),""))</f>
        <v/>
      </c>
      <c r="M685" s="19">
        <f>IF($B685="","",IFERROR(INDEX(智能流水!$M$2:$M$1001,MATCH($B685,智能流水!$B$2:$B$1001,0)),""))</f>
        <v/>
      </c>
      <c r="N685" s="19">
        <f>IF($B685="","",IFERROR(INDEX(智能流水!$N$2:$N$1001,MATCH($B685,智能流水!$B$2:$B$1001,0)),""))</f>
        <v/>
      </c>
      <c r="O685" s="19">
        <f>IF($B685="","",IFERROR(INDEX(智能流水!$O$2:$O$1001,MATCH($B685,智能流水!$B$2:$B$1001,0)),""))</f>
        <v/>
      </c>
    </row>
    <row r="686">
      <c r="A686" s="19">
        <f>IF($B686="","",685)</f>
        <v/>
      </c>
      <c r="B686" s="19">
        <f>IFERROR(LARGE(智能流水!$B$2:$B$1001,685),"")</f>
        <v/>
      </c>
      <c r="C686" s="19">
        <f>IF($B686="","",IFERROR(INDEX(智能流水!$C$2:$C$1001,MATCH($B686,智能流水!$B$2:$B$1001,0)),""))</f>
        <v/>
      </c>
      <c r="D686" s="19">
        <f>IF($B686="","",IFERROR(INDEX(智能流水!$D$2:$D$1001,MATCH($B686,智能流水!$B$2:$B$1001,0)),""))</f>
        <v/>
      </c>
      <c r="E686" s="19">
        <f>IF($B686="","",IFERROR(INDEX(智能流水!$E$2:$E$1001,MATCH($B686,智能流水!$B$2:$B$1001,0)),""))</f>
        <v/>
      </c>
      <c r="F686" s="19">
        <f>IF($B686="","",IFERROR(INDEX(智能流水!$F$2:$F$1001,MATCH($B686,智能流水!$B$2:$B$1001,0)),""))</f>
        <v/>
      </c>
      <c r="G686" s="19">
        <f>IF($B686="","",IFERROR(INDEX(智能流水!$G$2:$G$1001,MATCH($B686,智能流水!$B$2:$B$1001,0)),""))</f>
        <v/>
      </c>
      <c r="H686" s="19">
        <f>IF($B686="","",IFERROR(INDEX(智能流水!$H$2:$H$1001,MATCH($B686,智能流水!$B$2:$B$1001,0)),""))</f>
        <v/>
      </c>
      <c r="I686" s="19">
        <f>IF($B686="","",IFERROR(INDEX(智能流水!$I$2:$I$1001,MATCH($B686,智能流水!$B$2:$B$1001,0)),""))</f>
        <v/>
      </c>
      <c r="J686" s="19">
        <f>IF($B686="","",IFERROR(INDEX(智能流水!$J$2:$J$1001,MATCH($B686,智能流水!$B$2:$B$1001,0)),""))</f>
        <v/>
      </c>
      <c r="K686" s="19">
        <f>IF($B686="","",IFERROR(INDEX(智能流水!$K$2:$K$1001,MATCH($B686,智能流水!$B$2:$B$1001,0)),""))</f>
        <v/>
      </c>
      <c r="L686" s="19">
        <f>IF($B686="","",IFERROR(INDEX(智能流水!$L$2:$L$1001,MATCH($B686,智能流水!$B$2:$B$1001,0)),""))</f>
        <v/>
      </c>
      <c r="M686" s="19">
        <f>IF($B686="","",IFERROR(INDEX(智能流水!$M$2:$M$1001,MATCH($B686,智能流水!$B$2:$B$1001,0)),""))</f>
        <v/>
      </c>
      <c r="N686" s="19">
        <f>IF($B686="","",IFERROR(INDEX(智能流水!$N$2:$N$1001,MATCH($B686,智能流水!$B$2:$B$1001,0)),""))</f>
        <v/>
      </c>
      <c r="O686" s="19">
        <f>IF($B686="","",IFERROR(INDEX(智能流水!$O$2:$O$1001,MATCH($B686,智能流水!$B$2:$B$1001,0)),""))</f>
        <v/>
      </c>
    </row>
    <row r="687">
      <c r="A687" s="19">
        <f>IF($B687="","",686)</f>
        <v/>
      </c>
      <c r="B687" s="19">
        <f>IFERROR(LARGE(智能流水!$B$2:$B$1001,686),"")</f>
        <v/>
      </c>
      <c r="C687" s="19">
        <f>IF($B687="","",IFERROR(INDEX(智能流水!$C$2:$C$1001,MATCH($B687,智能流水!$B$2:$B$1001,0)),""))</f>
        <v/>
      </c>
      <c r="D687" s="19">
        <f>IF($B687="","",IFERROR(INDEX(智能流水!$D$2:$D$1001,MATCH($B687,智能流水!$B$2:$B$1001,0)),""))</f>
        <v/>
      </c>
      <c r="E687" s="19">
        <f>IF($B687="","",IFERROR(INDEX(智能流水!$E$2:$E$1001,MATCH($B687,智能流水!$B$2:$B$1001,0)),""))</f>
        <v/>
      </c>
      <c r="F687" s="19">
        <f>IF($B687="","",IFERROR(INDEX(智能流水!$F$2:$F$1001,MATCH($B687,智能流水!$B$2:$B$1001,0)),""))</f>
        <v/>
      </c>
      <c r="G687" s="19">
        <f>IF($B687="","",IFERROR(INDEX(智能流水!$G$2:$G$1001,MATCH($B687,智能流水!$B$2:$B$1001,0)),""))</f>
        <v/>
      </c>
      <c r="H687" s="19">
        <f>IF($B687="","",IFERROR(INDEX(智能流水!$H$2:$H$1001,MATCH($B687,智能流水!$B$2:$B$1001,0)),""))</f>
        <v/>
      </c>
      <c r="I687" s="19">
        <f>IF($B687="","",IFERROR(INDEX(智能流水!$I$2:$I$1001,MATCH($B687,智能流水!$B$2:$B$1001,0)),""))</f>
        <v/>
      </c>
      <c r="J687" s="19">
        <f>IF($B687="","",IFERROR(INDEX(智能流水!$J$2:$J$1001,MATCH($B687,智能流水!$B$2:$B$1001,0)),""))</f>
        <v/>
      </c>
      <c r="K687" s="19">
        <f>IF($B687="","",IFERROR(INDEX(智能流水!$K$2:$K$1001,MATCH($B687,智能流水!$B$2:$B$1001,0)),""))</f>
        <v/>
      </c>
      <c r="L687" s="19">
        <f>IF($B687="","",IFERROR(INDEX(智能流水!$L$2:$L$1001,MATCH($B687,智能流水!$B$2:$B$1001,0)),""))</f>
        <v/>
      </c>
      <c r="M687" s="19">
        <f>IF($B687="","",IFERROR(INDEX(智能流水!$M$2:$M$1001,MATCH($B687,智能流水!$B$2:$B$1001,0)),""))</f>
        <v/>
      </c>
      <c r="N687" s="19">
        <f>IF($B687="","",IFERROR(INDEX(智能流水!$N$2:$N$1001,MATCH($B687,智能流水!$B$2:$B$1001,0)),""))</f>
        <v/>
      </c>
      <c r="O687" s="19">
        <f>IF($B687="","",IFERROR(INDEX(智能流水!$O$2:$O$1001,MATCH($B687,智能流水!$B$2:$B$1001,0)),""))</f>
        <v/>
      </c>
    </row>
    <row r="688">
      <c r="A688" s="19">
        <f>IF($B688="","",687)</f>
        <v/>
      </c>
      <c r="B688" s="19">
        <f>IFERROR(LARGE(智能流水!$B$2:$B$1001,687),"")</f>
        <v/>
      </c>
      <c r="C688" s="19">
        <f>IF($B688="","",IFERROR(INDEX(智能流水!$C$2:$C$1001,MATCH($B688,智能流水!$B$2:$B$1001,0)),""))</f>
        <v/>
      </c>
      <c r="D688" s="19">
        <f>IF($B688="","",IFERROR(INDEX(智能流水!$D$2:$D$1001,MATCH($B688,智能流水!$B$2:$B$1001,0)),""))</f>
        <v/>
      </c>
      <c r="E688" s="19">
        <f>IF($B688="","",IFERROR(INDEX(智能流水!$E$2:$E$1001,MATCH($B688,智能流水!$B$2:$B$1001,0)),""))</f>
        <v/>
      </c>
      <c r="F688" s="19">
        <f>IF($B688="","",IFERROR(INDEX(智能流水!$F$2:$F$1001,MATCH($B688,智能流水!$B$2:$B$1001,0)),""))</f>
        <v/>
      </c>
      <c r="G688" s="19">
        <f>IF($B688="","",IFERROR(INDEX(智能流水!$G$2:$G$1001,MATCH($B688,智能流水!$B$2:$B$1001,0)),""))</f>
        <v/>
      </c>
      <c r="H688" s="19">
        <f>IF($B688="","",IFERROR(INDEX(智能流水!$H$2:$H$1001,MATCH($B688,智能流水!$B$2:$B$1001,0)),""))</f>
        <v/>
      </c>
      <c r="I688" s="19">
        <f>IF($B688="","",IFERROR(INDEX(智能流水!$I$2:$I$1001,MATCH($B688,智能流水!$B$2:$B$1001,0)),""))</f>
        <v/>
      </c>
      <c r="J688" s="19">
        <f>IF($B688="","",IFERROR(INDEX(智能流水!$J$2:$J$1001,MATCH($B688,智能流水!$B$2:$B$1001,0)),""))</f>
        <v/>
      </c>
      <c r="K688" s="19">
        <f>IF($B688="","",IFERROR(INDEX(智能流水!$K$2:$K$1001,MATCH($B688,智能流水!$B$2:$B$1001,0)),""))</f>
        <v/>
      </c>
      <c r="L688" s="19">
        <f>IF($B688="","",IFERROR(INDEX(智能流水!$L$2:$L$1001,MATCH($B688,智能流水!$B$2:$B$1001,0)),""))</f>
        <v/>
      </c>
      <c r="M688" s="19">
        <f>IF($B688="","",IFERROR(INDEX(智能流水!$M$2:$M$1001,MATCH($B688,智能流水!$B$2:$B$1001,0)),""))</f>
        <v/>
      </c>
      <c r="N688" s="19">
        <f>IF($B688="","",IFERROR(INDEX(智能流水!$N$2:$N$1001,MATCH($B688,智能流水!$B$2:$B$1001,0)),""))</f>
        <v/>
      </c>
      <c r="O688" s="19">
        <f>IF($B688="","",IFERROR(INDEX(智能流水!$O$2:$O$1001,MATCH($B688,智能流水!$B$2:$B$1001,0)),""))</f>
        <v/>
      </c>
    </row>
    <row r="689">
      <c r="A689" s="19">
        <f>IF($B689="","",688)</f>
        <v/>
      </c>
      <c r="B689" s="19">
        <f>IFERROR(LARGE(智能流水!$B$2:$B$1001,688),"")</f>
        <v/>
      </c>
      <c r="C689" s="19">
        <f>IF($B689="","",IFERROR(INDEX(智能流水!$C$2:$C$1001,MATCH($B689,智能流水!$B$2:$B$1001,0)),""))</f>
        <v/>
      </c>
      <c r="D689" s="19">
        <f>IF($B689="","",IFERROR(INDEX(智能流水!$D$2:$D$1001,MATCH($B689,智能流水!$B$2:$B$1001,0)),""))</f>
        <v/>
      </c>
      <c r="E689" s="19">
        <f>IF($B689="","",IFERROR(INDEX(智能流水!$E$2:$E$1001,MATCH($B689,智能流水!$B$2:$B$1001,0)),""))</f>
        <v/>
      </c>
      <c r="F689" s="19">
        <f>IF($B689="","",IFERROR(INDEX(智能流水!$F$2:$F$1001,MATCH($B689,智能流水!$B$2:$B$1001,0)),""))</f>
        <v/>
      </c>
      <c r="G689" s="19">
        <f>IF($B689="","",IFERROR(INDEX(智能流水!$G$2:$G$1001,MATCH($B689,智能流水!$B$2:$B$1001,0)),""))</f>
        <v/>
      </c>
      <c r="H689" s="19">
        <f>IF($B689="","",IFERROR(INDEX(智能流水!$H$2:$H$1001,MATCH($B689,智能流水!$B$2:$B$1001,0)),""))</f>
        <v/>
      </c>
      <c r="I689" s="19">
        <f>IF($B689="","",IFERROR(INDEX(智能流水!$I$2:$I$1001,MATCH($B689,智能流水!$B$2:$B$1001,0)),""))</f>
        <v/>
      </c>
      <c r="J689" s="19">
        <f>IF($B689="","",IFERROR(INDEX(智能流水!$J$2:$J$1001,MATCH($B689,智能流水!$B$2:$B$1001,0)),""))</f>
        <v/>
      </c>
      <c r="K689" s="19">
        <f>IF($B689="","",IFERROR(INDEX(智能流水!$K$2:$K$1001,MATCH($B689,智能流水!$B$2:$B$1001,0)),""))</f>
        <v/>
      </c>
      <c r="L689" s="19">
        <f>IF($B689="","",IFERROR(INDEX(智能流水!$L$2:$L$1001,MATCH($B689,智能流水!$B$2:$B$1001,0)),""))</f>
        <v/>
      </c>
      <c r="M689" s="19">
        <f>IF($B689="","",IFERROR(INDEX(智能流水!$M$2:$M$1001,MATCH($B689,智能流水!$B$2:$B$1001,0)),""))</f>
        <v/>
      </c>
      <c r="N689" s="19">
        <f>IF($B689="","",IFERROR(INDEX(智能流水!$N$2:$N$1001,MATCH($B689,智能流水!$B$2:$B$1001,0)),""))</f>
        <v/>
      </c>
      <c r="O689" s="19">
        <f>IF($B689="","",IFERROR(INDEX(智能流水!$O$2:$O$1001,MATCH($B689,智能流水!$B$2:$B$1001,0)),""))</f>
        <v/>
      </c>
    </row>
    <row r="690">
      <c r="A690" s="19">
        <f>IF($B690="","",689)</f>
        <v/>
      </c>
      <c r="B690" s="19">
        <f>IFERROR(LARGE(智能流水!$B$2:$B$1001,689),"")</f>
        <v/>
      </c>
      <c r="C690" s="19">
        <f>IF($B690="","",IFERROR(INDEX(智能流水!$C$2:$C$1001,MATCH($B690,智能流水!$B$2:$B$1001,0)),""))</f>
        <v/>
      </c>
      <c r="D690" s="19">
        <f>IF($B690="","",IFERROR(INDEX(智能流水!$D$2:$D$1001,MATCH($B690,智能流水!$B$2:$B$1001,0)),""))</f>
        <v/>
      </c>
      <c r="E690" s="19">
        <f>IF($B690="","",IFERROR(INDEX(智能流水!$E$2:$E$1001,MATCH($B690,智能流水!$B$2:$B$1001,0)),""))</f>
        <v/>
      </c>
      <c r="F690" s="19">
        <f>IF($B690="","",IFERROR(INDEX(智能流水!$F$2:$F$1001,MATCH($B690,智能流水!$B$2:$B$1001,0)),""))</f>
        <v/>
      </c>
      <c r="G690" s="19">
        <f>IF($B690="","",IFERROR(INDEX(智能流水!$G$2:$G$1001,MATCH($B690,智能流水!$B$2:$B$1001,0)),""))</f>
        <v/>
      </c>
      <c r="H690" s="19">
        <f>IF($B690="","",IFERROR(INDEX(智能流水!$H$2:$H$1001,MATCH($B690,智能流水!$B$2:$B$1001,0)),""))</f>
        <v/>
      </c>
      <c r="I690" s="19">
        <f>IF($B690="","",IFERROR(INDEX(智能流水!$I$2:$I$1001,MATCH($B690,智能流水!$B$2:$B$1001,0)),""))</f>
        <v/>
      </c>
      <c r="J690" s="19">
        <f>IF($B690="","",IFERROR(INDEX(智能流水!$J$2:$J$1001,MATCH($B690,智能流水!$B$2:$B$1001,0)),""))</f>
        <v/>
      </c>
      <c r="K690" s="19">
        <f>IF($B690="","",IFERROR(INDEX(智能流水!$K$2:$K$1001,MATCH($B690,智能流水!$B$2:$B$1001,0)),""))</f>
        <v/>
      </c>
      <c r="L690" s="19">
        <f>IF($B690="","",IFERROR(INDEX(智能流水!$L$2:$L$1001,MATCH($B690,智能流水!$B$2:$B$1001,0)),""))</f>
        <v/>
      </c>
      <c r="M690" s="19">
        <f>IF($B690="","",IFERROR(INDEX(智能流水!$M$2:$M$1001,MATCH($B690,智能流水!$B$2:$B$1001,0)),""))</f>
        <v/>
      </c>
      <c r="N690" s="19">
        <f>IF($B690="","",IFERROR(INDEX(智能流水!$N$2:$N$1001,MATCH($B690,智能流水!$B$2:$B$1001,0)),""))</f>
        <v/>
      </c>
      <c r="O690" s="19">
        <f>IF($B690="","",IFERROR(INDEX(智能流水!$O$2:$O$1001,MATCH($B690,智能流水!$B$2:$B$1001,0)),""))</f>
        <v/>
      </c>
    </row>
    <row r="691">
      <c r="A691" s="19">
        <f>IF($B691="","",690)</f>
        <v/>
      </c>
      <c r="B691" s="19">
        <f>IFERROR(LARGE(智能流水!$B$2:$B$1001,690),"")</f>
        <v/>
      </c>
      <c r="C691" s="19">
        <f>IF($B691="","",IFERROR(INDEX(智能流水!$C$2:$C$1001,MATCH($B691,智能流水!$B$2:$B$1001,0)),""))</f>
        <v/>
      </c>
      <c r="D691" s="19">
        <f>IF($B691="","",IFERROR(INDEX(智能流水!$D$2:$D$1001,MATCH($B691,智能流水!$B$2:$B$1001,0)),""))</f>
        <v/>
      </c>
      <c r="E691" s="19">
        <f>IF($B691="","",IFERROR(INDEX(智能流水!$E$2:$E$1001,MATCH($B691,智能流水!$B$2:$B$1001,0)),""))</f>
        <v/>
      </c>
      <c r="F691" s="19">
        <f>IF($B691="","",IFERROR(INDEX(智能流水!$F$2:$F$1001,MATCH($B691,智能流水!$B$2:$B$1001,0)),""))</f>
        <v/>
      </c>
      <c r="G691" s="19">
        <f>IF($B691="","",IFERROR(INDEX(智能流水!$G$2:$G$1001,MATCH($B691,智能流水!$B$2:$B$1001,0)),""))</f>
        <v/>
      </c>
      <c r="H691" s="19">
        <f>IF($B691="","",IFERROR(INDEX(智能流水!$H$2:$H$1001,MATCH($B691,智能流水!$B$2:$B$1001,0)),""))</f>
        <v/>
      </c>
      <c r="I691" s="19">
        <f>IF($B691="","",IFERROR(INDEX(智能流水!$I$2:$I$1001,MATCH($B691,智能流水!$B$2:$B$1001,0)),""))</f>
        <v/>
      </c>
      <c r="J691" s="19">
        <f>IF($B691="","",IFERROR(INDEX(智能流水!$J$2:$J$1001,MATCH($B691,智能流水!$B$2:$B$1001,0)),""))</f>
        <v/>
      </c>
      <c r="K691" s="19">
        <f>IF($B691="","",IFERROR(INDEX(智能流水!$K$2:$K$1001,MATCH($B691,智能流水!$B$2:$B$1001,0)),""))</f>
        <v/>
      </c>
      <c r="L691" s="19">
        <f>IF($B691="","",IFERROR(INDEX(智能流水!$L$2:$L$1001,MATCH($B691,智能流水!$B$2:$B$1001,0)),""))</f>
        <v/>
      </c>
      <c r="M691" s="19">
        <f>IF($B691="","",IFERROR(INDEX(智能流水!$M$2:$M$1001,MATCH($B691,智能流水!$B$2:$B$1001,0)),""))</f>
        <v/>
      </c>
      <c r="N691" s="19">
        <f>IF($B691="","",IFERROR(INDEX(智能流水!$N$2:$N$1001,MATCH($B691,智能流水!$B$2:$B$1001,0)),""))</f>
        <v/>
      </c>
      <c r="O691" s="19">
        <f>IF($B691="","",IFERROR(INDEX(智能流水!$O$2:$O$1001,MATCH($B691,智能流水!$B$2:$B$1001,0)),""))</f>
        <v/>
      </c>
    </row>
    <row r="692">
      <c r="A692" s="19">
        <f>IF($B692="","",691)</f>
        <v/>
      </c>
      <c r="B692" s="19">
        <f>IFERROR(LARGE(智能流水!$B$2:$B$1001,691),"")</f>
        <v/>
      </c>
      <c r="C692" s="19">
        <f>IF($B692="","",IFERROR(INDEX(智能流水!$C$2:$C$1001,MATCH($B692,智能流水!$B$2:$B$1001,0)),""))</f>
        <v/>
      </c>
      <c r="D692" s="19">
        <f>IF($B692="","",IFERROR(INDEX(智能流水!$D$2:$D$1001,MATCH($B692,智能流水!$B$2:$B$1001,0)),""))</f>
        <v/>
      </c>
      <c r="E692" s="19">
        <f>IF($B692="","",IFERROR(INDEX(智能流水!$E$2:$E$1001,MATCH($B692,智能流水!$B$2:$B$1001,0)),""))</f>
        <v/>
      </c>
      <c r="F692" s="19">
        <f>IF($B692="","",IFERROR(INDEX(智能流水!$F$2:$F$1001,MATCH($B692,智能流水!$B$2:$B$1001,0)),""))</f>
        <v/>
      </c>
      <c r="G692" s="19">
        <f>IF($B692="","",IFERROR(INDEX(智能流水!$G$2:$G$1001,MATCH($B692,智能流水!$B$2:$B$1001,0)),""))</f>
        <v/>
      </c>
      <c r="H692" s="19">
        <f>IF($B692="","",IFERROR(INDEX(智能流水!$H$2:$H$1001,MATCH($B692,智能流水!$B$2:$B$1001,0)),""))</f>
        <v/>
      </c>
      <c r="I692" s="19">
        <f>IF($B692="","",IFERROR(INDEX(智能流水!$I$2:$I$1001,MATCH($B692,智能流水!$B$2:$B$1001,0)),""))</f>
        <v/>
      </c>
      <c r="J692" s="19">
        <f>IF($B692="","",IFERROR(INDEX(智能流水!$J$2:$J$1001,MATCH($B692,智能流水!$B$2:$B$1001,0)),""))</f>
        <v/>
      </c>
      <c r="K692" s="19">
        <f>IF($B692="","",IFERROR(INDEX(智能流水!$K$2:$K$1001,MATCH($B692,智能流水!$B$2:$B$1001,0)),""))</f>
        <v/>
      </c>
      <c r="L692" s="19">
        <f>IF($B692="","",IFERROR(INDEX(智能流水!$L$2:$L$1001,MATCH($B692,智能流水!$B$2:$B$1001,0)),""))</f>
        <v/>
      </c>
      <c r="M692" s="19">
        <f>IF($B692="","",IFERROR(INDEX(智能流水!$M$2:$M$1001,MATCH($B692,智能流水!$B$2:$B$1001,0)),""))</f>
        <v/>
      </c>
      <c r="N692" s="19">
        <f>IF($B692="","",IFERROR(INDEX(智能流水!$N$2:$N$1001,MATCH($B692,智能流水!$B$2:$B$1001,0)),""))</f>
        <v/>
      </c>
      <c r="O692" s="19">
        <f>IF($B692="","",IFERROR(INDEX(智能流水!$O$2:$O$1001,MATCH($B692,智能流水!$B$2:$B$1001,0)),""))</f>
        <v/>
      </c>
    </row>
    <row r="693">
      <c r="A693" s="19">
        <f>IF($B693="","",692)</f>
        <v/>
      </c>
      <c r="B693" s="19">
        <f>IFERROR(LARGE(智能流水!$B$2:$B$1001,692),"")</f>
        <v/>
      </c>
      <c r="C693" s="19">
        <f>IF($B693="","",IFERROR(INDEX(智能流水!$C$2:$C$1001,MATCH($B693,智能流水!$B$2:$B$1001,0)),""))</f>
        <v/>
      </c>
      <c r="D693" s="19">
        <f>IF($B693="","",IFERROR(INDEX(智能流水!$D$2:$D$1001,MATCH($B693,智能流水!$B$2:$B$1001,0)),""))</f>
        <v/>
      </c>
      <c r="E693" s="19">
        <f>IF($B693="","",IFERROR(INDEX(智能流水!$E$2:$E$1001,MATCH($B693,智能流水!$B$2:$B$1001,0)),""))</f>
        <v/>
      </c>
      <c r="F693" s="19">
        <f>IF($B693="","",IFERROR(INDEX(智能流水!$F$2:$F$1001,MATCH($B693,智能流水!$B$2:$B$1001,0)),""))</f>
        <v/>
      </c>
      <c r="G693" s="19">
        <f>IF($B693="","",IFERROR(INDEX(智能流水!$G$2:$G$1001,MATCH($B693,智能流水!$B$2:$B$1001,0)),""))</f>
        <v/>
      </c>
      <c r="H693" s="19">
        <f>IF($B693="","",IFERROR(INDEX(智能流水!$H$2:$H$1001,MATCH($B693,智能流水!$B$2:$B$1001,0)),""))</f>
        <v/>
      </c>
      <c r="I693" s="19">
        <f>IF($B693="","",IFERROR(INDEX(智能流水!$I$2:$I$1001,MATCH($B693,智能流水!$B$2:$B$1001,0)),""))</f>
        <v/>
      </c>
      <c r="J693" s="19">
        <f>IF($B693="","",IFERROR(INDEX(智能流水!$J$2:$J$1001,MATCH($B693,智能流水!$B$2:$B$1001,0)),""))</f>
        <v/>
      </c>
      <c r="K693" s="19">
        <f>IF($B693="","",IFERROR(INDEX(智能流水!$K$2:$K$1001,MATCH($B693,智能流水!$B$2:$B$1001,0)),""))</f>
        <v/>
      </c>
      <c r="L693" s="19">
        <f>IF($B693="","",IFERROR(INDEX(智能流水!$L$2:$L$1001,MATCH($B693,智能流水!$B$2:$B$1001,0)),""))</f>
        <v/>
      </c>
      <c r="M693" s="19">
        <f>IF($B693="","",IFERROR(INDEX(智能流水!$M$2:$M$1001,MATCH($B693,智能流水!$B$2:$B$1001,0)),""))</f>
        <v/>
      </c>
      <c r="N693" s="19">
        <f>IF($B693="","",IFERROR(INDEX(智能流水!$N$2:$N$1001,MATCH($B693,智能流水!$B$2:$B$1001,0)),""))</f>
        <v/>
      </c>
      <c r="O693" s="19">
        <f>IF($B693="","",IFERROR(INDEX(智能流水!$O$2:$O$1001,MATCH($B693,智能流水!$B$2:$B$1001,0)),""))</f>
        <v/>
      </c>
    </row>
    <row r="694">
      <c r="A694" s="19">
        <f>IF($B694="","",693)</f>
        <v/>
      </c>
      <c r="B694" s="19">
        <f>IFERROR(LARGE(智能流水!$B$2:$B$1001,693),"")</f>
        <v/>
      </c>
      <c r="C694" s="19">
        <f>IF($B694="","",IFERROR(INDEX(智能流水!$C$2:$C$1001,MATCH($B694,智能流水!$B$2:$B$1001,0)),""))</f>
        <v/>
      </c>
      <c r="D694" s="19">
        <f>IF($B694="","",IFERROR(INDEX(智能流水!$D$2:$D$1001,MATCH($B694,智能流水!$B$2:$B$1001,0)),""))</f>
        <v/>
      </c>
      <c r="E694" s="19">
        <f>IF($B694="","",IFERROR(INDEX(智能流水!$E$2:$E$1001,MATCH($B694,智能流水!$B$2:$B$1001,0)),""))</f>
        <v/>
      </c>
      <c r="F694" s="19">
        <f>IF($B694="","",IFERROR(INDEX(智能流水!$F$2:$F$1001,MATCH($B694,智能流水!$B$2:$B$1001,0)),""))</f>
        <v/>
      </c>
      <c r="G694" s="19">
        <f>IF($B694="","",IFERROR(INDEX(智能流水!$G$2:$G$1001,MATCH($B694,智能流水!$B$2:$B$1001,0)),""))</f>
        <v/>
      </c>
      <c r="H694" s="19">
        <f>IF($B694="","",IFERROR(INDEX(智能流水!$H$2:$H$1001,MATCH($B694,智能流水!$B$2:$B$1001,0)),""))</f>
        <v/>
      </c>
      <c r="I694" s="19">
        <f>IF($B694="","",IFERROR(INDEX(智能流水!$I$2:$I$1001,MATCH($B694,智能流水!$B$2:$B$1001,0)),""))</f>
        <v/>
      </c>
      <c r="J694" s="19">
        <f>IF($B694="","",IFERROR(INDEX(智能流水!$J$2:$J$1001,MATCH($B694,智能流水!$B$2:$B$1001,0)),""))</f>
        <v/>
      </c>
      <c r="K694" s="19">
        <f>IF($B694="","",IFERROR(INDEX(智能流水!$K$2:$K$1001,MATCH($B694,智能流水!$B$2:$B$1001,0)),""))</f>
        <v/>
      </c>
      <c r="L694" s="19">
        <f>IF($B694="","",IFERROR(INDEX(智能流水!$L$2:$L$1001,MATCH($B694,智能流水!$B$2:$B$1001,0)),""))</f>
        <v/>
      </c>
      <c r="M694" s="19">
        <f>IF($B694="","",IFERROR(INDEX(智能流水!$M$2:$M$1001,MATCH($B694,智能流水!$B$2:$B$1001,0)),""))</f>
        <v/>
      </c>
      <c r="N694" s="19">
        <f>IF($B694="","",IFERROR(INDEX(智能流水!$N$2:$N$1001,MATCH($B694,智能流水!$B$2:$B$1001,0)),""))</f>
        <v/>
      </c>
      <c r="O694" s="19">
        <f>IF($B694="","",IFERROR(INDEX(智能流水!$O$2:$O$1001,MATCH($B694,智能流水!$B$2:$B$1001,0)),""))</f>
        <v/>
      </c>
    </row>
    <row r="695">
      <c r="A695" s="19">
        <f>IF($B695="","",694)</f>
        <v/>
      </c>
      <c r="B695" s="19">
        <f>IFERROR(LARGE(智能流水!$B$2:$B$1001,694),"")</f>
        <v/>
      </c>
      <c r="C695" s="19">
        <f>IF($B695="","",IFERROR(INDEX(智能流水!$C$2:$C$1001,MATCH($B695,智能流水!$B$2:$B$1001,0)),""))</f>
        <v/>
      </c>
      <c r="D695" s="19">
        <f>IF($B695="","",IFERROR(INDEX(智能流水!$D$2:$D$1001,MATCH($B695,智能流水!$B$2:$B$1001,0)),""))</f>
        <v/>
      </c>
      <c r="E695" s="19">
        <f>IF($B695="","",IFERROR(INDEX(智能流水!$E$2:$E$1001,MATCH($B695,智能流水!$B$2:$B$1001,0)),""))</f>
        <v/>
      </c>
      <c r="F695" s="19">
        <f>IF($B695="","",IFERROR(INDEX(智能流水!$F$2:$F$1001,MATCH($B695,智能流水!$B$2:$B$1001,0)),""))</f>
        <v/>
      </c>
      <c r="G695" s="19">
        <f>IF($B695="","",IFERROR(INDEX(智能流水!$G$2:$G$1001,MATCH($B695,智能流水!$B$2:$B$1001,0)),""))</f>
        <v/>
      </c>
      <c r="H695" s="19">
        <f>IF($B695="","",IFERROR(INDEX(智能流水!$H$2:$H$1001,MATCH($B695,智能流水!$B$2:$B$1001,0)),""))</f>
        <v/>
      </c>
      <c r="I695" s="19">
        <f>IF($B695="","",IFERROR(INDEX(智能流水!$I$2:$I$1001,MATCH($B695,智能流水!$B$2:$B$1001,0)),""))</f>
        <v/>
      </c>
      <c r="J695" s="19">
        <f>IF($B695="","",IFERROR(INDEX(智能流水!$J$2:$J$1001,MATCH($B695,智能流水!$B$2:$B$1001,0)),""))</f>
        <v/>
      </c>
      <c r="K695" s="19">
        <f>IF($B695="","",IFERROR(INDEX(智能流水!$K$2:$K$1001,MATCH($B695,智能流水!$B$2:$B$1001,0)),""))</f>
        <v/>
      </c>
      <c r="L695" s="19">
        <f>IF($B695="","",IFERROR(INDEX(智能流水!$L$2:$L$1001,MATCH($B695,智能流水!$B$2:$B$1001,0)),""))</f>
        <v/>
      </c>
      <c r="M695" s="19">
        <f>IF($B695="","",IFERROR(INDEX(智能流水!$M$2:$M$1001,MATCH($B695,智能流水!$B$2:$B$1001,0)),""))</f>
        <v/>
      </c>
      <c r="N695" s="19">
        <f>IF($B695="","",IFERROR(INDEX(智能流水!$N$2:$N$1001,MATCH($B695,智能流水!$B$2:$B$1001,0)),""))</f>
        <v/>
      </c>
      <c r="O695" s="19">
        <f>IF($B695="","",IFERROR(INDEX(智能流水!$O$2:$O$1001,MATCH($B695,智能流水!$B$2:$B$1001,0)),""))</f>
        <v/>
      </c>
    </row>
    <row r="696">
      <c r="A696" s="19">
        <f>IF($B696="","",695)</f>
        <v/>
      </c>
      <c r="B696" s="19">
        <f>IFERROR(LARGE(智能流水!$B$2:$B$1001,695),"")</f>
        <v/>
      </c>
      <c r="C696" s="19">
        <f>IF($B696="","",IFERROR(INDEX(智能流水!$C$2:$C$1001,MATCH($B696,智能流水!$B$2:$B$1001,0)),""))</f>
        <v/>
      </c>
      <c r="D696" s="19">
        <f>IF($B696="","",IFERROR(INDEX(智能流水!$D$2:$D$1001,MATCH($B696,智能流水!$B$2:$B$1001,0)),""))</f>
        <v/>
      </c>
      <c r="E696" s="19">
        <f>IF($B696="","",IFERROR(INDEX(智能流水!$E$2:$E$1001,MATCH($B696,智能流水!$B$2:$B$1001,0)),""))</f>
        <v/>
      </c>
      <c r="F696" s="19">
        <f>IF($B696="","",IFERROR(INDEX(智能流水!$F$2:$F$1001,MATCH($B696,智能流水!$B$2:$B$1001,0)),""))</f>
        <v/>
      </c>
      <c r="G696" s="19">
        <f>IF($B696="","",IFERROR(INDEX(智能流水!$G$2:$G$1001,MATCH($B696,智能流水!$B$2:$B$1001,0)),""))</f>
        <v/>
      </c>
      <c r="H696" s="19">
        <f>IF($B696="","",IFERROR(INDEX(智能流水!$H$2:$H$1001,MATCH($B696,智能流水!$B$2:$B$1001,0)),""))</f>
        <v/>
      </c>
      <c r="I696" s="19">
        <f>IF($B696="","",IFERROR(INDEX(智能流水!$I$2:$I$1001,MATCH($B696,智能流水!$B$2:$B$1001,0)),""))</f>
        <v/>
      </c>
      <c r="J696" s="19">
        <f>IF($B696="","",IFERROR(INDEX(智能流水!$J$2:$J$1001,MATCH($B696,智能流水!$B$2:$B$1001,0)),""))</f>
        <v/>
      </c>
      <c r="K696" s="19">
        <f>IF($B696="","",IFERROR(INDEX(智能流水!$K$2:$K$1001,MATCH($B696,智能流水!$B$2:$B$1001,0)),""))</f>
        <v/>
      </c>
      <c r="L696" s="19">
        <f>IF($B696="","",IFERROR(INDEX(智能流水!$L$2:$L$1001,MATCH($B696,智能流水!$B$2:$B$1001,0)),""))</f>
        <v/>
      </c>
      <c r="M696" s="19">
        <f>IF($B696="","",IFERROR(INDEX(智能流水!$M$2:$M$1001,MATCH($B696,智能流水!$B$2:$B$1001,0)),""))</f>
        <v/>
      </c>
      <c r="N696" s="19">
        <f>IF($B696="","",IFERROR(INDEX(智能流水!$N$2:$N$1001,MATCH($B696,智能流水!$B$2:$B$1001,0)),""))</f>
        <v/>
      </c>
      <c r="O696" s="19">
        <f>IF($B696="","",IFERROR(INDEX(智能流水!$O$2:$O$1001,MATCH($B696,智能流水!$B$2:$B$1001,0)),""))</f>
        <v/>
      </c>
    </row>
    <row r="697">
      <c r="A697" s="19">
        <f>IF($B697="","",696)</f>
        <v/>
      </c>
      <c r="B697" s="19">
        <f>IFERROR(LARGE(智能流水!$B$2:$B$1001,696),"")</f>
        <v/>
      </c>
      <c r="C697" s="19">
        <f>IF($B697="","",IFERROR(INDEX(智能流水!$C$2:$C$1001,MATCH($B697,智能流水!$B$2:$B$1001,0)),""))</f>
        <v/>
      </c>
      <c r="D697" s="19">
        <f>IF($B697="","",IFERROR(INDEX(智能流水!$D$2:$D$1001,MATCH($B697,智能流水!$B$2:$B$1001,0)),""))</f>
        <v/>
      </c>
      <c r="E697" s="19">
        <f>IF($B697="","",IFERROR(INDEX(智能流水!$E$2:$E$1001,MATCH($B697,智能流水!$B$2:$B$1001,0)),""))</f>
        <v/>
      </c>
      <c r="F697" s="19">
        <f>IF($B697="","",IFERROR(INDEX(智能流水!$F$2:$F$1001,MATCH($B697,智能流水!$B$2:$B$1001,0)),""))</f>
        <v/>
      </c>
      <c r="G697" s="19">
        <f>IF($B697="","",IFERROR(INDEX(智能流水!$G$2:$G$1001,MATCH($B697,智能流水!$B$2:$B$1001,0)),""))</f>
        <v/>
      </c>
      <c r="H697" s="19">
        <f>IF($B697="","",IFERROR(INDEX(智能流水!$H$2:$H$1001,MATCH($B697,智能流水!$B$2:$B$1001,0)),""))</f>
        <v/>
      </c>
      <c r="I697" s="19">
        <f>IF($B697="","",IFERROR(INDEX(智能流水!$I$2:$I$1001,MATCH($B697,智能流水!$B$2:$B$1001,0)),""))</f>
        <v/>
      </c>
      <c r="J697" s="19">
        <f>IF($B697="","",IFERROR(INDEX(智能流水!$J$2:$J$1001,MATCH($B697,智能流水!$B$2:$B$1001,0)),""))</f>
        <v/>
      </c>
      <c r="K697" s="19">
        <f>IF($B697="","",IFERROR(INDEX(智能流水!$K$2:$K$1001,MATCH($B697,智能流水!$B$2:$B$1001,0)),""))</f>
        <v/>
      </c>
      <c r="L697" s="19">
        <f>IF($B697="","",IFERROR(INDEX(智能流水!$L$2:$L$1001,MATCH($B697,智能流水!$B$2:$B$1001,0)),""))</f>
        <v/>
      </c>
      <c r="M697" s="19">
        <f>IF($B697="","",IFERROR(INDEX(智能流水!$M$2:$M$1001,MATCH($B697,智能流水!$B$2:$B$1001,0)),""))</f>
        <v/>
      </c>
      <c r="N697" s="19">
        <f>IF($B697="","",IFERROR(INDEX(智能流水!$N$2:$N$1001,MATCH($B697,智能流水!$B$2:$B$1001,0)),""))</f>
        <v/>
      </c>
      <c r="O697" s="19">
        <f>IF($B697="","",IFERROR(INDEX(智能流水!$O$2:$O$1001,MATCH($B697,智能流水!$B$2:$B$1001,0)),""))</f>
        <v/>
      </c>
    </row>
    <row r="698">
      <c r="A698" s="19">
        <f>IF($B698="","",697)</f>
        <v/>
      </c>
      <c r="B698" s="19">
        <f>IFERROR(LARGE(智能流水!$B$2:$B$1001,697),"")</f>
        <v/>
      </c>
      <c r="C698" s="19">
        <f>IF($B698="","",IFERROR(INDEX(智能流水!$C$2:$C$1001,MATCH($B698,智能流水!$B$2:$B$1001,0)),""))</f>
        <v/>
      </c>
      <c r="D698" s="19">
        <f>IF($B698="","",IFERROR(INDEX(智能流水!$D$2:$D$1001,MATCH($B698,智能流水!$B$2:$B$1001,0)),""))</f>
        <v/>
      </c>
      <c r="E698" s="19">
        <f>IF($B698="","",IFERROR(INDEX(智能流水!$E$2:$E$1001,MATCH($B698,智能流水!$B$2:$B$1001,0)),""))</f>
        <v/>
      </c>
      <c r="F698" s="19">
        <f>IF($B698="","",IFERROR(INDEX(智能流水!$F$2:$F$1001,MATCH($B698,智能流水!$B$2:$B$1001,0)),""))</f>
        <v/>
      </c>
      <c r="G698" s="19">
        <f>IF($B698="","",IFERROR(INDEX(智能流水!$G$2:$G$1001,MATCH($B698,智能流水!$B$2:$B$1001,0)),""))</f>
        <v/>
      </c>
      <c r="H698" s="19">
        <f>IF($B698="","",IFERROR(INDEX(智能流水!$H$2:$H$1001,MATCH($B698,智能流水!$B$2:$B$1001,0)),""))</f>
        <v/>
      </c>
      <c r="I698" s="19">
        <f>IF($B698="","",IFERROR(INDEX(智能流水!$I$2:$I$1001,MATCH($B698,智能流水!$B$2:$B$1001,0)),""))</f>
        <v/>
      </c>
      <c r="J698" s="19">
        <f>IF($B698="","",IFERROR(INDEX(智能流水!$J$2:$J$1001,MATCH($B698,智能流水!$B$2:$B$1001,0)),""))</f>
        <v/>
      </c>
      <c r="K698" s="19">
        <f>IF($B698="","",IFERROR(INDEX(智能流水!$K$2:$K$1001,MATCH($B698,智能流水!$B$2:$B$1001,0)),""))</f>
        <v/>
      </c>
      <c r="L698" s="19">
        <f>IF($B698="","",IFERROR(INDEX(智能流水!$L$2:$L$1001,MATCH($B698,智能流水!$B$2:$B$1001,0)),""))</f>
        <v/>
      </c>
      <c r="M698" s="19">
        <f>IF($B698="","",IFERROR(INDEX(智能流水!$M$2:$M$1001,MATCH($B698,智能流水!$B$2:$B$1001,0)),""))</f>
        <v/>
      </c>
      <c r="N698" s="19">
        <f>IF($B698="","",IFERROR(INDEX(智能流水!$N$2:$N$1001,MATCH($B698,智能流水!$B$2:$B$1001,0)),""))</f>
        <v/>
      </c>
      <c r="O698" s="19">
        <f>IF($B698="","",IFERROR(INDEX(智能流水!$O$2:$O$1001,MATCH($B698,智能流水!$B$2:$B$1001,0)),""))</f>
        <v/>
      </c>
    </row>
    <row r="699">
      <c r="A699" s="19">
        <f>IF($B699="","",698)</f>
        <v/>
      </c>
      <c r="B699" s="19">
        <f>IFERROR(LARGE(智能流水!$B$2:$B$1001,698),"")</f>
        <v/>
      </c>
      <c r="C699" s="19">
        <f>IF($B699="","",IFERROR(INDEX(智能流水!$C$2:$C$1001,MATCH($B699,智能流水!$B$2:$B$1001,0)),""))</f>
        <v/>
      </c>
      <c r="D699" s="19">
        <f>IF($B699="","",IFERROR(INDEX(智能流水!$D$2:$D$1001,MATCH($B699,智能流水!$B$2:$B$1001,0)),""))</f>
        <v/>
      </c>
      <c r="E699" s="19">
        <f>IF($B699="","",IFERROR(INDEX(智能流水!$E$2:$E$1001,MATCH($B699,智能流水!$B$2:$B$1001,0)),""))</f>
        <v/>
      </c>
      <c r="F699" s="19">
        <f>IF($B699="","",IFERROR(INDEX(智能流水!$F$2:$F$1001,MATCH($B699,智能流水!$B$2:$B$1001,0)),""))</f>
        <v/>
      </c>
      <c r="G699" s="19">
        <f>IF($B699="","",IFERROR(INDEX(智能流水!$G$2:$G$1001,MATCH($B699,智能流水!$B$2:$B$1001,0)),""))</f>
        <v/>
      </c>
      <c r="H699" s="19">
        <f>IF($B699="","",IFERROR(INDEX(智能流水!$H$2:$H$1001,MATCH($B699,智能流水!$B$2:$B$1001,0)),""))</f>
        <v/>
      </c>
      <c r="I699" s="19">
        <f>IF($B699="","",IFERROR(INDEX(智能流水!$I$2:$I$1001,MATCH($B699,智能流水!$B$2:$B$1001,0)),""))</f>
        <v/>
      </c>
      <c r="J699" s="19">
        <f>IF($B699="","",IFERROR(INDEX(智能流水!$J$2:$J$1001,MATCH($B699,智能流水!$B$2:$B$1001,0)),""))</f>
        <v/>
      </c>
      <c r="K699" s="19">
        <f>IF($B699="","",IFERROR(INDEX(智能流水!$K$2:$K$1001,MATCH($B699,智能流水!$B$2:$B$1001,0)),""))</f>
        <v/>
      </c>
      <c r="L699" s="19">
        <f>IF($B699="","",IFERROR(INDEX(智能流水!$L$2:$L$1001,MATCH($B699,智能流水!$B$2:$B$1001,0)),""))</f>
        <v/>
      </c>
      <c r="M699" s="19">
        <f>IF($B699="","",IFERROR(INDEX(智能流水!$M$2:$M$1001,MATCH($B699,智能流水!$B$2:$B$1001,0)),""))</f>
        <v/>
      </c>
      <c r="N699" s="19">
        <f>IF($B699="","",IFERROR(INDEX(智能流水!$N$2:$N$1001,MATCH($B699,智能流水!$B$2:$B$1001,0)),""))</f>
        <v/>
      </c>
      <c r="O699" s="19">
        <f>IF($B699="","",IFERROR(INDEX(智能流水!$O$2:$O$1001,MATCH($B699,智能流水!$B$2:$B$1001,0)),""))</f>
        <v/>
      </c>
    </row>
    <row r="700">
      <c r="A700" s="19">
        <f>IF($B700="","",699)</f>
        <v/>
      </c>
      <c r="B700" s="19">
        <f>IFERROR(LARGE(智能流水!$B$2:$B$1001,699),"")</f>
        <v/>
      </c>
      <c r="C700" s="19">
        <f>IF($B700="","",IFERROR(INDEX(智能流水!$C$2:$C$1001,MATCH($B700,智能流水!$B$2:$B$1001,0)),""))</f>
        <v/>
      </c>
      <c r="D700" s="19">
        <f>IF($B700="","",IFERROR(INDEX(智能流水!$D$2:$D$1001,MATCH($B700,智能流水!$B$2:$B$1001,0)),""))</f>
        <v/>
      </c>
      <c r="E700" s="19">
        <f>IF($B700="","",IFERROR(INDEX(智能流水!$E$2:$E$1001,MATCH($B700,智能流水!$B$2:$B$1001,0)),""))</f>
        <v/>
      </c>
      <c r="F700" s="19">
        <f>IF($B700="","",IFERROR(INDEX(智能流水!$F$2:$F$1001,MATCH($B700,智能流水!$B$2:$B$1001,0)),""))</f>
        <v/>
      </c>
      <c r="G700" s="19">
        <f>IF($B700="","",IFERROR(INDEX(智能流水!$G$2:$G$1001,MATCH($B700,智能流水!$B$2:$B$1001,0)),""))</f>
        <v/>
      </c>
      <c r="H700" s="19">
        <f>IF($B700="","",IFERROR(INDEX(智能流水!$H$2:$H$1001,MATCH($B700,智能流水!$B$2:$B$1001,0)),""))</f>
        <v/>
      </c>
      <c r="I700" s="19">
        <f>IF($B700="","",IFERROR(INDEX(智能流水!$I$2:$I$1001,MATCH($B700,智能流水!$B$2:$B$1001,0)),""))</f>
        <v/>
      </c>
      <c r="J700" s="19">
        <f>IF($B700="","",IFERROR(INDEX(智能流水!$J$2:$J$1001,MATCH($B700,智能流水!$B$2:$B$1001,0)),""))</f>
        <v/>
      </c>
      <c r="K700" s="19">
        <f>IF($B700="","",IFERROR(INDEX(智能流水!$K$2:$K$1001,MATCH($B700,智能流水!$B$2:$B$1001,0)),""))</f>
        <v/>
      </c>
      <c r="L700" s="19">
        <f>IF($B700="","",IFERROR(INDEX(智能流水!$L$2:$L$1001,MATCH($B700,智能流水!$B$2:$B$1001,0)),""))</f>
        <v/>
      </c>
      <c r="M700" s="19">
        <f>IF($B700="","",IFERROR(INDEX(智能流水!$M$2:$M$1001,MATCH($B700,智能流水!$B$2:$B$1001,0)),""))</f>
        <v/>
      </c>
      <c r="N700" s="19">
        <f>IF($B700="","",IFERROR(INDEX(智能流水!$N$2:$N$1001,MATCH($B700,智能流水!$B$2:$B$1001,0)),""))</f>
        <v/>
      </c>
      <c r="O700" s="19">
        <f>IF($B700="","",IFERROR(INDEX(智能流水!$O$2:$O$1001,MATCH($B700,智能流水!$B$2:$B$1001,0)),""))</f>
        <v/>
      </c>
    </row>
    <row r="701">
      <c r="A701" s="19">
        <f>IF($B701="","",700)</f>
        <v/>
      </c>
      <c r="B701" s="19">
        <f>IFERROR(LARGE(智能流水!$B$2:$B$1001,700),"")</f>
        <v/>
      </c>
      <c r="C701" s="19">
        <f>IF($B701="","",IFERROR(INDEX(智能流水!$C$2:$C$1001,MATCH($B701,智能流水!$B$2:$B$1001,0)),""))</f>
        <v/>
      </c>
      <c r="D701" s="19">
        <f>IF($B701="","",IFERROR(INDEX(智能流水!$D$2:$D$1001,MATCH($B701,智能流水!$B$2:$B$1001,0)),""))</f>
        <v/>
      </c>
      <c r="E701" s="19">
        <f>IF($B701="","",IFERROR(INDEX(智能流水!$E$2:$E$1001,MATCH($B701,智能流水!$B$2:$B$1001,0)),""))</f>
        <v/>
      </c>
      <c r="F701" s="19">
        <f>IF($B701="","",IFERROR(INDEX(智能流水!$F$2:$F$1001,MATCH($B701,智能流水!$B$2:$B$1001,0)),""))</f>
        <v/>
      </c>
      <c r="G701" s="19">
        <f>IF($B701="","",IFERROR(INDEX(智能流水!$G$2:$G$1001,MATCH($B701,智能流水!$B$2:$B$1001,0)),""))</f>
        <v/>
      </c>
      <c r="H701" s="19">
        <f>IF($B701="","",IFERROR(INDEX(智能流水!$H$2:$H$1001,MATCH($B701,智能流水!$B$2:$B$1001,0)),""))</f>
        <v/>
      </c>
      <c r="I701" s="19">
        <f>IF($B701="","",IFERROR(INDEX(智能流水!$I$2:$I$1001,MATCH($B701,智能流水!$B$2:$B$1001,0)),""))</f>
        <v/>
      </c>
      <c r="J701" s="19">
        <f>IF($B701="","",IFERROR(INDEX(智能流水!$J$2:$J$1001,MATCH($B701,智能流水!$B$2:$B$1001,0)),""))</f>
        <v/>
      </c>
      <c r="K701" s="19">
        <f>IF($B701="","",IFERROR(INDEX(智能流水!$K$2:$K$1001,MATCH($B701,智能流水!$B$2:$B$1001,0)),""))</f>
        <v/>
      </c>
      <c r="L701" s="19">
        <f>IF($B701="","",IFERROR(INDEX(智能流水!$L$2:$L$1001,MATCH($B701,智能流水!$B$2:$B$1001,0)),""))</f>
        <v/>
      </c>
      <c r="M701" s="19">
        <f>IF($B701="","",IFERROR(INDEX(智能流水!$M$2:$M$1001,MATCH($B701,智能流水!$B$2:$B$1001,0)),""))</f>
        <v/>
      </c>
      <c r="N701" s="19">
        <f>IF($B701="","",IFERROR(INDEX(智能流水!$N$2:$N$1001,MATCH($B701,智能流水!$B$2:$B$1001,0)),""))</f>
        <v/>
      </c>
      <c r="O701" s="19">
        <f>IF($B701="","",IFERROR(INDEX(智能流水!$O$2:$O$1001,MATCH($B701,智能流水!$B$2:$B$1001,0)),""))</f>
        <v/>
      </c>
    </row>
    <row r="702">
      <c r="A702" s="19">
        <f>IF($B702="","",701)</f>
        <v/>
      </c>
      <c r="B702" s="19">
        <f>IFERROR(LARGE(智能流水!$B$2:$B$1001,701),"")</f>
        <v/>
      </c>
      <c r="C702" s="19">
        <f>IF($B702="","",IFERROR(INDEX(智能流水!$C$2:$C$1001,MATCH($B702,智能流水!$B$2:$B$1001,0)),""))</f>
        <v/>
      </c>
      <c r="D702" s="19">
        <f>IF($B702="","",IFERROR(INDEX(智能流水!$D$2:$D$1001,MATCH($B702,智能流水!$B$2:$B$1001,0)),""))</f>
        <v/>
      </c>
      <c r="E702" s="19">
        <f>IF($B702="","",IFERROR(INDEX(智能流水!$E$2:$E$1001,MATCH($B702,智能流水!$B$2:$B$1001,0)),""))</f>
        <v/>
      </c>
      <c r="F702" s="19">
        <f>IF($B702="","",IFERROR(INDEX(智能流水!$F$2:$F$1001,MATCH($B702,智能流水!$B$2:$B$1001,0)),""))</f>
        <v/>
      </c>
      <c r="G702" s="19">
        <f>IF($B702="","",IFERROR(INDEX(智能流水!$G$2:$G$1001,MATCH($B702,智能流水!$B$2:$B$1001,0)),""))</f>
        <v/>
      </c>
      <c r="H702" s="19">
        <f>IF($B702="","",IFERROR(INDEX(智能流水!$H$2:$H$1001,MATCH($B702,智能流水!$B$2:$B$1001,0)),""))</f>
        <v/>
      </c>
      <c r="I702" s="19">
        <f>IF($B702="","",IFERROR(INDEX(智能流水!$I$2:$I$1001,MATCH($B702,智能流水!$B$2:$B$1001,0)),""))</f>
        <v/>
      </c>
      <c r="J702" s="19">
        <f>IF($B702="","",IFERROR(INDEX(智能流水!$J$2:$J$1001,MATCH($B702,智能流水!$B$2:$B$1001,0)),""))</f>
        <v/>
      </c>
      <c r="K702" s="19">
        <f>IF($B702="","",IFERROR(INDEX(智能流水!$K$2:$K$1001,MATCH($B702,智能流水!$B$2:$B$1001,0)),""))</f>
        <v/>
      </c>
      <c r="L702" s="19">
        <f>IF($B702="","",IFERROR(INDEX(智能流水!$L$2:$L$1001,MATCH($B702,智能流水!$B$2:$B$1001,0)),""))</f>
        <v/>
      </c>
      <c r="M702" s="19">
        <f>IF($B702="","",IFERROR(INDEX(智能流水!$M$2:$M$1001,MATCH($B702,智能流水!$B$2:$B$1001,0)),""))</f>
        <v/>
      </c>
      <c r="N702" s="19">
        <f>IF($B702="","",IFERROR(INDEX(智能流水!$N$2:$N$1001,MATCH($B702,智能流水!$B$2:$B$1001,0)),""))</f>
        <v/>
      </c>
      <c r="O702" s="19">
        <f>IF($B702="","",IFERROR(INDEX(智能流水!$O$2:$O$1001,MATCH($B702,智能流水!$B$2:$B$1001,0)),""))</f>
        <v/>
      </c>
    </row>
    <row r="703">
      <c r="A703" s="19">
        <f>IF($B703="","",702)</f>
        <v/>
      </c>
      <c r="B703" s="19">
        <f>IFERROR(LARGE(智能流水!$B$2:$B$1001,702),"")</f>
        <v/>
      </c>
      <c r="C703" s="19">
        <f>IF($B703="","",IFERROR(INDEX(智能流水!$C$2:$C$1001,MATCH($B703,智能流水!$B$2:$B$1001,0)),""))</f>
        <v/>
      </c>
      <c r="D703" s="19">
        <f>IF($B703="","",IFERROR(INDEX(智能流水!$D$2:$D$1001,MATCH($B703,智能流水!$B$2:$B$1001,0)),""))</f>
        <v/>
      </c>
      <c r="E703" s="19">
        <f>IF($B703="","",IFERROR(INDEX(智能流水!$E$2:$E$1001,MATCH($B703,智能流水!$B$2:$B$1001,0)),""))</f>
        <v/>
      </c>
      <c r="F703" s="19">
        <f>IF($B703="","",IFERROR(INDEX(智能流水!$F$2:$F$1001,MATCH($B703,智能流水!$B$2:$B$1001,0)),""))</f>
        <v/>
      </c>
      <c r="G703" s="19">
        <f>IF($B703="","",IFERROR(INDEX(智能流水!$G$2:$G$1001,MATCH($B703,智能流水!$B$2:$B$1001,0)),""))</f>
        <v/>
      </c>
      <c r="H703" s="19">
        <f>IF($B703="","",IFERROR(INDEX(智能流水!$H$2:$H$1001,MATCH($B703,智能流水!$B$2:$B$1001,0)),""))</f>
        <v/>
      </c>
      <c r="I703" s="19">
        <f>IF($B703="","",IFERROR(INDEX(智能流水!$I$2:$I$1001,MATCH($B703,智能流水!$B$2:$B$1001,0)),""))</f>
        <v/>
      </c>
      <c r="J703" s="19">
        <f>IF($B703="","",IFERROR(INDEX(智能流水!$J$2:$J$1001,MATCH($B703,智能流水!$B$2:$B$1001,0)),""))</f>
        <v/>
      </c>
      <c r="K703" s="19">
        <f>IF($B703="","",IFERROR(INDEX(智能流水!$K$2:$K$1001,MATCH($B703,智能流水!$B$2:$B$1001,0)),""))</f>
        <v/>
      </c>
      <c r="L703" s="19">
        <f>IF($B703="","",IFERROR(INDEX(智能流水!$L$2:$L$1001,MATCH($B703,智能流水!$B$2:$B$1001,0)),""))</f>
        <v/>
      </c>
      <c r="M703" s="19">
        <f>IF($B703="","",IFERROR(INDEX(智能流水!$M$2:$M$1001,MATCH($B703,智能流水!$B$2:$B$1001,0)),""))</f>
        <v/>
      </c>
      <c r="N703" s="19">
        <f>IF($B703="","",IFERROR(INDEX(智能流水!$N$2:$N$1001,MATCH($B703,智能流水!$B$2:$B$1001,0)),""))</f>
        <v/>
      </c>
      <c r="O703" s="19">
        <f>IF($B703="","",IFERROR(INDEX(智能流水!$O$2:$O$1001,MATCH($B703,智能流水!$B$2:$B$1001,0)),""))</f>
        <v/>
      </c>
    </row>
    <row r="704">
      <c r="A704" s="19">
        <f>IF($B704="","",703)</f>
        <v/>
      </c>
      <c r="B704" s="19">
        <f>IFERROR(LARGE(智能流水!$B$2:$B$1001,703),"")</f>
        <v/>
      </c>
      <c r="C704" s="19">
        <f>IF($B704="","",IFERROR(INDEX(智能流水!$C$2:$C$1001,MATCH($B704,智能流水!$B$2:$B$1001,0)),""))</f>
        <v/>
      </c>
      <c r="D704" s="19">
        <f>IF($B704="","",IFERROR(INDEX(智能流水!$D$2:$D$1001,MATCH($B704,智能流水!$B$2:$B$1001,0)),""))</f>
        <v/>
      </c>
      <c r="E704" s="19">
        <f>IF($B704="","",IFERROR(INDEX(智能流水!$E$2:$E$1001,MATCH($B704,智能流水!$B$2:$B$1001,0)),""))</f>
        <v/>
      </c>
      <c r="F704" s="19">
        <f>IF($B704="","",IFERROR(INDEX(智能流水!$F$2:$F$1001,MATCH($B704,智能流水!$B$2:$B$1001,0)),""))</f>
        <v/>
      </c>
      <c r="G704" s="19">
        <f>IF($B704="","",IFERROR(INDEX(智能流水!$G$2:$G$1001,MATCH($B704,智能流水!$B$2:$B$1001,0)),""))</f>
        <v/>
      </c>
      <c r="H704" s="19">
        <f>IF($B704="","",IFERROR(INDEX(智能流水!$H$2:$H$1001,MATCH($B704,智能流水!$B$2:$B$1001,0)),""))</f>
        <v/>
      </c>
      <c r="I704" s="19">
        <f>IF($B704="","",IFERROR(INDEX(智能流水!$I$2:$I$1001,MATCH($B704,智能流水!$B$2:$B$1001,0)),""))</f>
        <v/>
      </c>
      <c r="J704" s="19">
        <f>IF($B704="","",IFERROR(INDEX(智能流水!$J$2:$J$1001,MATCH($B704,智能流水!$B$2:$B$1001,0)),""))</f>
        <v/>
      </c>
      <c r="K704" s="19">
        <f>IF($B704="","",IFERROR(INDEX(智能流水!$K$2:$K$1001,MATCH($B704,智能流水!$B$2:$B$1001,0)),""))</f>
        <v/>
      </c>
      <c r="L704" s="19">
        <f>IF($B704="","",IFERROR(INDEX(智能流水!$L$2:$L$1001,MATCH($B704,智能流水!$B$2:$B$1001,0)),""))</f>
        <v/>
      </c>
      <c r="M704" s="19">
        <f>IF($B704="","",IFERROR(INDEX(智能流水!$M$2:$M$1001,MATCH($B704,智能流水!$B$2:$B$1001,0)),""))</f>
        <v/>
      </c>
      <c r="N704" s="19">
        <f>IF($B704="","",IFERROR(INDEX(智能流水!$N$2:$N$1001,MATCH($B704,智能流水!$B$2:$B$1001,0)),""))</f>
        <v/>
      </c>
      <c r="O704" s="19">
        <f>IF($B704="","",IFERROR(INDEX(智能流水!$O$2:$O$1001,MATCH($B704,智能流水!$B$2:$B$1001,0)),""))</f>
        <v/>
      </c>
    </row>
    <row r="705">
      <c r="A705" s="19">
        <f>IF($B705="","",704)</f>
        <v/>
      </c>
      <c r="B705" s="19">
        <f>IFERROR(LARGE(智能流水!$B$2:$B$1001,704),"")</f>
        <v/>
      </c>
      <c r="C705" s="19">
        <f>IF($B705="","",IFERROR(INDEX(智能流水!$C$2:$C$1001,MATCH($B705,智能流水!$B$2:$B$1001,0)),""))</f>
        <v/>
      </c>
      <c r="D705" s="19">
        <f>IF($B705="","",IFERROR(INDEX(智能流水!$D$2:$D$1001,MATCH($B705,智能流水!$B$2:$B$1001,0)),""))</f>
        <v/>
      </c>
      <c r="E705" s="19">
        <f>IF($B705="","",IFERROR(INDEX(智能流水!$E$2:$E$1001,MATCH($B705,智能流水!$B$2:$B$1001,0)),""))</f>
        <v/>
      </c>
      <c r="F705" s="19">
        <f>IF($B705="","",IFERROR(INDEX(智能流水!$F$2:$F$1001,MATCH($B705,智能流水!$B$2:$B$1001,0)),""))</f>
        <v/>
      </c>
      <c r="G705" s="19">
        <f>IF($B705="","",IFERROR(INDEX(智能流水!$G$2:$G$1001,MATCH($B705,智能流水!$B$2:$B$1001,0)),""))</f>
        <v/>
      </c>
      <c r="H705" s="19">
        <f>IF($B705="","",IFERROR(INDEX(智能流水!$H$2:$H$1001,MATCH($B705,智能流水!$B$2:$B$1001,0)),""))</f>
        <v/>
      </c>
      <c r="I705" s="19">
        <f>IF($B705="","",IFERROR(INDEX(智能流水!$I$2:$I$1001,MATCH($B705,智能流水!$B$2:$B$1001,0)),""))</f>
        <v/>
      </c>
      <c r="J705" s="19">
        <f>IF($B705="","",IFERROR(INDEX(智能流水!$J$2:$J$1001,MATCH($B705,智能流水!$B$2:$B$1001,0)),""))</f>
        <v/>
      </c>
      <c r="K705" s="19">
        <f>IF($B705="","",IFERROR(INDEX(智能流水!$K$2:$K$1001,MATCH($B705,智能流水!$B$2:$B$1001,0)),""))</f>
        <v/>
      </c>
      <c r="L705" s="19">
        <f>IF($B705="","",IFERROR(INDEX(智能流水!$L$2:$L$1001,MATCH($B705,智能流水!$B$2:$B$1001,0)),""))</f>
        <v/>
      </c>
      <c r="M705" s="19">
        <f>IF($B705="","",IFERROR(INDEX(智能流水!$M$2:$M$1001,MATCH($B705,智能流水!$B$2:$B$1001,0)),""))</f>
        <v/>
      </c>
      <c r="N705" s="19">
        <f>IF($B705="","",IFERROR(INDEX(智能流水!$N$2:$N$1001,MATCH($B705,智能流水!$B$2:$B$1001,0)),""))</f>
        <v/>
      </c>
      <c r="O705" s="19">
        <f>IF($B705="","",IFERROR(INDEX(智能流水!$O$2:$O$1001,MATCH($B705,智能流水!$B$2:$B$1001,0)),""))</f>
        <v/>
      </c>
    </row>
    <row r="706">
      <c r="A706" s="19">
        <f>IF($B706="","",705)</f>
        <v/>
      </c>
      <c r="B706" s="19">
        <f>IFERROR(LARGE(智能流水!$B$2:$B$1001,705),"")</f>
        <v/>
      </c>
      <c r="C706" s="19">
        <f>IF($B706="","",IFERROR(INDEX(智能流水!$C$2:$C$1001,MATCH($B706,智能流水!$B$2:$B$1001,0)),""))</f>
        <v/>
      </c>
      <c r="D706" s="19">
        <f>IF($B706="","",IFERROR(INDEX(智能流水!$D$2:$D$1001,MATCH($B706,智能流水!$B$2:$B$1001,0)),""))</f>
        <v/>
      </c>
      <c r="E706" s="19">
        <f>IF($B706="","",IFERROR(INDEX(智能流水!$E$2:$E$1001,MATCH($B706,智能流水!$B$2:$B$1001,0)),""))</f>
        <v/>
      </c>
      <c r="F706" s="19">
        <f>IF($B706="","",IFERROR(INDEX(智能流水!$F$2:$F$1001,MATCH($B706,智能流水!$B$2:$B$1001,0)),""))</f>
        <v/>
      </c>
      <c r="G706" s="19">
        <f>IF($B706="","",IFERROR(INDEX(智能流水!$G$2:$G$1001,MATCH($B706,智能流水!$B$2:$B$1001,0)),""))</f>
        <v/>
      </c>
      <c r="H706" s="19">
        <f>IF($B706="","",IFERROR(INDEX(智能流水!$H$2:$H$1001,MATCH($B706,智能流水!$B$2:$B$1001,0)),""))</f>
        <v/>
      </c>
      <c r="I706" s="19">
        <f>IF($B706="","",IFERROR(INDEX(智能流水!$I$2:$I$1001,MATCH($B706,智能流水!$B$2:$B$1001,0)),""))</f>
        <v/>
      </c>
      <c r="J706" s="19">
        <f>IF($B706="","",IFERROR(INDEX(智能流水!$J$2:$J$1001,MATCH($B706,智能流水!$B$2:$B$1001,0)),""))</f>
        <v/>
      </c>
      <c r="K706" s="19">
        <f>IF($B706="","",IFERROR(INDEX(智能流水!$K$2:$K$1001,MATCH($B706,智能流水!$B$2:$B$1001,0)),""))</f>
        <v/>
      </c>
      <c r="L706" s="19">
        <f>IF($B706="","",IFERROR(INDEX(智能流水!$L$2:$L$1001,MATCH($B706,智能流水!$B$2:$B$1001,0)),""))</f>
        <v/>
      </c>
      <c r="M706" s="19">
        <f>IF($B706="","",IFERROR(INDEX(智能流水!$M$2:$M$1001,MATCH($B706,智能流水!$B$2:$B$1001,0)),""))</f>
        <v/>
      </c>
      <c r="N706" s="19">
        <f>IF($B706="","",IFERROR(INDEX(智能流水!$N$2:$N$1001,MATCH($B706,智能流水!$B$2:$B$1001,0)),""))</f>
        <v/>
      </c>
      <c r="O706" s="19">
        <f>IF($B706="","",IFERROR(INDEX(智能流水!$O$2:$O$1001,MATCH($B706,智能流水!$B$2:$B$1001,0)),""))</f>
        <v/>
      </c>
    </row>
    <row r="707">
      <c r="A707" s="19">
        <f>IF($B707="","",706)</f>
        <v/>
      </c>
      <c r="B707" s="19">
        <f>IFERROR(LARGE(智能流水!$B$2:$B$1001,706),"")</f>
        <v/>
      </c>
      <c r="C707" s="19">
        <f>IF($B707="","",IFERROR(INDEX(智能流水!$C$2:$C$1001,MATCH($B707,智能流水!$B$2:$B$1001,0)),""))</f>
        <v/>
      </c>
      <c r="D707" s="19">
        <f>IF($B707="","",IFERROR(INDEX(智能流水!$D$2:$D$1001,MATCH($B707,智能流水!$B$2:$B$1001,0)),""))</f>
        <v/>
      </c>
      <c r="E707" s="19">
        <f>IF($B707="","",IFERROR(INDEX(智能流水!$E$2:$E$1001,MATCH($B707,智能流水!$B$2:$B$1001,0)),""))</f>
        <v/>
      </c>
      <c r="F707" s="19">
        <f>IF($B707="","",IFERROR(INDEX(智能流水!$F$2:$F$1001,MATCH($B707,智能流水!$B$2:$B$1001,0)),""))</f>
        <v/>
      </c>
      <c r="G707" s="19">
        <f>IF($B707="","",IFERROR(INDEX(智能流水!$G$2:$G$1001,MATCH($B707,智能流水!$B$2:$B$1001,0)),""))</f>
        <v/>
      </c>
      <c r="H707" s="19">
        <f>IF($B707="","",IFERROR(INDEX(智能流水!$H$2:$H$1001,MATCH($B707,智能流水!$B$2:$B$1001,0)),""))</f>
        <v/>
      </c>
      <c r="I707" s="19">
        <f>IF($B707="","",IFERROR(INDEX(智能流水!$I$2:$I$1001,MATCH($B707,智能流水!$B$2:$B$1001,0)),""))</f>
        <v/>
      </c>
      <c r="J707" s="19">
        <f>IF($B707="","",IFERROR(INDEX(智能流水!$J$2:$J$1001,MATCH($B707,智能流水!$B$2:$B$1001,0)),""))</f>
        <v/>
      </c>
      <c r="K707" s="19">
        <f>IF($B707="","",IFERROR(INDEX(智能流水!$K$2:$K$1001,MATCH($B707,智能流水!$B$2:$B$1001,0)),""))</f>
        <v/>
      </c>
      <c r="L707" s="19">
        <f>IF($B707="","",IFERROR(INDEX(智能流水!$L$2:$L$1001,MATCH($B707,智能流水!$B$2:$B$1001,0)),""))</f>
        <v/>
      </c>
      <c r="M707" s="19">
        <f>IF($B707="","",IFERROR(INDEX(智能流水!$M$2:$M$1001,MATCH($B707,智能流水!$B$2:$B$1001,0)),""))</f>
        <v/>
      </c>
      <c r="N707" s="19">
        <f>IF($B707="","",IFERROR(INDEX(智能流水!$N$2:$N$1001,MATCH($B707,智能流水!$B$2:$B$1001,0)),""))</f>
        <v/>
      </c>
      <c r="O707" s="19">
        <f>IF($B707="","",IFERROR(INDEX(智能流水!$O$2:$O$1001,MATCH($B707,智能流水!$B$2:$B$1001,0)),""))</f>
        <v/>
      </c>
    </row>
    <row r="708">
      <c r="A708" s="19">
        <f>IF($B708="","",707)</f>
        <v/>
      </c>
      <c r="B708" s="19">
        <f>IFERROR(LARGE(智能流水!$B$2:$B$1001,707),"")</f>
        <v/>
      </c>
      <c r="C708" s="19">
        <f>IF($B708="","",IFERROR(INDEX(智能流水!$C$2:$C$1001,MATCH($B708,智能流水!$B$2:$B$1001,0)),""))</f>
        <v/>
      </c>
      <c r="D708" s="19">
        <f>IF($B708="","",IFERROR(INDEX(智能流水!$D$2:$D$1001,MATCH($B708,智能流水!$B$2:$B$1001,0)),""))</f>
        <v/>
      </c>
      <c r="E708" s="19">
        <f>IF($B708="","",IFERROR(INDEX(智能流水!$E$2:$E$1001,MATCH($B708,智能流水!$B$2:$B$1001,0)),""))</f>
        <v/>
      </c>
      <c r="F708" s="19">
        <f>IF($B708="","",IFERROR(INDEX(智能流水!$F$2:$F$1001,MATCH($B708,智能流水!$B$2:$B$1001,0)),""))</f>
        <v/>
      </c>
      <c r="G708" s="19">
        <f>IF($B708="","",IFERROR(INDEX(智能流水!$G$2:$G$1001,MATCH($B708,智能流水!$B$2:$B$1001,0)),""))</f>
        <v/>
      </c>
      <c r="H708" s="19">
        <f>IF($B708="","",IFERROR(INDEX(智能流水!$H$2:$H$1001,MATCH($B708,智能流水!$B$2:$B$1001,0)),""))</f>
        <v/>
      </c>
      <c r="I708" s="19">
        <f>IF($B708="","",IFERROR(INDEX(智能流水!$I$2:$I$1001,MATCH($B708,智能流水!$B$2:$B$1001,0)),""))</f>
        <v/>
      </c>
      <c r="J708" s="19">
        <f>IF($B708="","",IFERROR(INDEX(智能流水!$J$2:$J$1001,MATCH($B708,智能流水!$B$2:$B$1001,0)),""))</f>
        <v/>
      </c>
      <c r="K708" s="19">
        <f>IF($B708="","",IFERROR(INDEX(智能流水!$K$2:$K$1001,MATCH($B708,智能流水!$B$2:$B$1001,0)),""))</f>
        <v/>
      </c>
      <c r="L708" s="19">
        <f>IF($B708="","",IFERROR(INDEX(智能流水!$L$2:$L$1001,MATCH($B708,智能流水!$B$2:$B$1001,0)),""))</f>
        <v/>
      </c>
      <c r="M708" s="19">
        <f>IF($B708="","",IFERROR(INDEX(智能流水!$M$2:$M$1001,MATCH($B708,智能流水!$B$2:$B$1001,0)),""))</f>
        <v/>
      </c>
      <c r="N708" s="19">
        <f>IF($B708="","",IFERROR(INDEX(智能流水!$N$2:$N$1001,MATCH($B708,智能流水!$B$2:$B$1001,0)),""))</f>
        <v/>
      </c>
      <c r="O708" s="19">
        <f>IF($B708="","",IFERROR(INDEX(智能流水!$O$2:$O$1001,MATCH($B708,智能流水!$B$2:$B$1001,0)),""))</f>
        <v/>
      </c>
    </row>
    <row r="709">
      <c r="A709" s="19">
        <f>IF($B709="","",708)</f>
        <v/>
      </c>
      <c r="B709" s="19">
        <f>IFERROR(LARGE(智能流水!$B$2:$B$1001,708),"")</f>
        <v/>
      </c>
      <c r="C709" s="19">
        <f>IF($B709="","",IFERROR(INDEX(智能流水!$C$2:$C$1001,MATCH($B709,智能流水!$B$2:$B$1001,0)),""))</f>
        <v/>
      </c>
      <c r="D709" s="19">
        <f>IF($B709="","",IFERROR(INDEX(智能流水!$D$2:$D$1001,MATCH($B709,智能流水!$B$2:$B$1001,0)),""))</f>
        <v/>
      </c>
      <c r="E709" s="19">
        <f>IF($B709="","",IFERROR(INDEX(智能流水!$E$2:$E$1001,MATCH($B709,智能流水!$B$2:$B$1001,0)),""))</f>
        <v/>
      </c>
      <c r="F709" s="19">
        <f>IF($B709="","",IFERROR(INDEX(智能流水!$F$2:$F$1001,MATCH($B709,智能流水!$B$2:$B$1001,0)),""))</f>
        <v/>
      </c>
      <c r="G709" s="19">
        <f>IF($B709="","",IFERROR(INDEX(智能流水!$G$2:$G$1001,MATCH($B709,智能流水!$B$2:$B$1001,0)),""))</f>
        <v/>
      </c>
      <c r="H709" s="19">
        <f>IF($B709="","",IFERROR(INDEX(智能流水!$H$2:$H$1001,MATCH($B709,智能流水!$B$2:$B$1001,0)),""))</f>
        <v/>
      </c>
      <c r="I709" s="19">
        <f>IF($B709="","",IFERROR(INDEX(智能流水!$I$2:$I$1001,MATCH($B709,智能流水!$B$2:$B$1001,0)),""))</f>
        <v/>
      </c>
      <c r="J709" s="19">
        <f>IF($B709="","",IFERROR(INDEX(智能流水!$J$2:$J$1001,MATCH($B709,智能流水!$B$2:$B$1001,0)),""))</f>
        <v/>
      </c>
      <c r="K709" s="19">
        <f>IF($B709="","",IFERROR(INDEX(智能流水!$K$2:$K$1001,MATCH($B709,智能流水!$B$2:$B$1001,0)),""))</f>
        <v/>
      </c>
      <c r="L709" s="19">
        <f>IF($B709="","",IFERROR(INDEX(智能流水!$L$2:$L$1001,MATCH($B709,智能流水!$B$2:$B$1001,0)),""))</f>
        <v/>
      </c>
      <c r="M709" s="19">
        <f>IF($B709="","",IFERROR(INDEX(智能流水!$M$2:$M$1001,MATCH($B709,智能流水!$B$2:$B$1001,0)),""))</f>
        <v/>
      </c>
      <c r="N709" s="19">
        <f>IF($B709="","",IFERROR(INDEX(智能流水!$N$2:$N$1001,MATCH($B709,智能流水!$B$2:$B$1001,0)),""))</f>
        <v/>
      </c>
      <c r="O709" s="19">
        <f>IF($B709="","",IFERROR(INDEX(智能流水!$O$2:$O$1001,MATCH($B709,智能流水!$B$2:$B$1001,0)),""))</f>
        <v/>
      </c>
    </row>
    <row r="710">
      <c r="A710" s="19">
        <f>IF($B710="","",709)</f>
        <v/>
      </c>
      <c r="B710" s="19">
        <f>IFERROR(LARGE(智能流水!$B$2:$B$1001,709),"")</f>
        <v/>
      </c>
      <c r="C710" s="19">
        <f>IF($B710="","",IFERROR(INDEX(智能流水!$C$2:$C$1001,MATCH($B710,智能流水!$B$2:$B$1001,0)),""))</f>
        <v/>
      </c>
      <c r="D710" s="19">
        <f>IF($B710="","",IFERROR(INDEX(智能流水!$D$2:$D$1001,MATCH($B710,智能流水!$B$2:$B$1001,0)),""))</f>
        <v/>
      </c>
      <c r="E710" s="19">
        <f>IF($B710="","",IFERROR(INDEX(智能流水!$E$2:$E$1001,MATCH($B710,智能流水!$B$2:$B$1001,0)),""))</f>
        <v/>
      </c>
      <c r="F710" s="19">
        <f>IF($B710="","",IFERROR(INDEX(智能流水!$F$2:$F$1001,MATCH($B710,智能流水!$B$2:$B$1001,0)),""))</f>
        <v/>
      </c>
      <c r="G710" s="19">
        <f>IF($B710="","",IFERROR(INDEX(智能流水!$G$2:$G$1001,MATCH($B710,智能流水!$B$2:$B$1001,0)),""))</f>
        <v/>
      </c>
      <c r="H710" s="19">
        <f>IF($B710="","",IFERROR(INDEX(智能流水!$H$2:$H$1001,MATCH($B710,智能流水!$B$2:$B$1001,0)),""))</f>
        <v/>
      </c>
      <c r="I710" s="19">
        <f>IF($B710="","",IFERROR(INDEX(智能流水!$I$2:$I$1001,MATCH($B710,智能流水!$B$2:$B$1001,0)),""))</f>
        <v/>
      </c>
      <c r="J710" s="19">
        <f>IF($B710="","",IFERROR(INDEX(智能流水!$J$2:$J$1001,MATCH($B710,智能流水!$B$2:$B$1001,0)),""))</f>
        <v/>
      </c>
      <c r="K710" s="19">
        <f>IF($B710="","",IFERROR(INDEX(智能流水!$K$2:$K$1001,MATCH($B710,智能流水!$B$2:$B$1001,0)),""))</f>
        <v/>
      </c>
      <c r="L710" s="19">
        <f>IF($B710="","",IFERROR(INDEX(智能流水!$L$2:$L$1001,MATCH($B710,智能流水!$B$2:$B$1001,0)),""))</f>
        <v/>
      </c>
      <c r="M710" s="19">
        <f>IF($B710="","",IFERROR(INDEX(智能流水!$M$2:$M$1001,MATCH($B710,智能流水!$B$2:$B$1001,0)),""))</f>
        <v/>
      </c>
      <c r="N710" s="19">
        <f>IF($B710="","",IFERROR(INDEX(智能流水!$N$2:$N$1001,MATCH($B710,智能流水!$B$2:$B$1001,0)),""))</f>
        <v/>
      </c>
      <c r="O710" s="19">
        <f>IF($B710="","",IFERROR(INDEX(智能流水!$O$2:$O$1001,MATCH($B710,智能流水!$B$2:$B$1001,0)),""))</f>
        <v/>
      </c>
    </row>
    <row r="711">
      <c r="A711" s="19">
        <f>IF($B711="","",710)</f>
        <v/>
      </c>
      <c r="B711" s="19">
        <f>IFERROR(LARGE(智能流水!$B$2:$B$1001,710),"")</f>
        <v/>
      </c>
      <c r="C711" s="19">
        <f>IF($B711="","",IFERROR(INDEX(智能流水!$C$2:$C$1001,MATCH($B711,智能流水!$B$2:$B$1001,0)),""))</f>
        <v/>
      </c>
      <c r="D711" s="19">
        <f>IF($B711="","",IFERROR(INDEX(智能流水!$D$2:$D$1001,MATCH($B711,智能流水!$B$2:$B$1001,0)),""))</f>
        <v/>
      </c>
      <c r="E711" s="19">
        <f>IF($B711="","",IFERROR(INDEX(智能流水!$E$2:$E$1001,MATCH($B711,智能流水!$B$2:$B$1001,0)),""))</f>
        <v/>
      </c>
      <c r="F711" s="19">
        <f>IF($B711="","",IFERROR(INDEX(智能流水!$F$2:$F$1001,MATCH($B711,智能流水!$B$2:$B$1001,0)),""))</f>
        <v/>
      </c>
      <c r="G711" s="19">
        <f>IF($B711="","",IFERROR(INDEX(智能流水!$G$2:$G$1001,MATCH($B711,智能流水!$B$2:$B$1001,0)),""))</f>
        <v/>
      </c>
      <c r="H711" s="19">
        <f>IF($B711="","",IFERROR(INDEX(智能流水!$H$2:$H$1001,MATCH($B711,智能流水!$B$2:$B$1001,0)),""))</f>
        <v/>
      </c>
      <c r="I711" s="19">
        <f>IF($B711="","",IFERROR(INDEX(智能流水!$I$2:$I$1001,MATCH($B711,智能流水!$B$2:$B$1001,0)),""))</f>
        <v/>
      </c>
      <c r="J711" s="19">
        <f>IF($B711="","",IFERROR(INDEX(智能流水!$J$2:$J$1001,MATCH($B711,智能流水!$B$2:$B$1001,0)),""))</f>
        <v/>
      </c>
      <c r="K711" s="19">
        <f>IF($B711="","",IFERROR(INDEX(智能流水!$K$2:$K$1001,MATCH($B711,智能流水!$B$2:$B$1001,0)),""))</f>
        <v/>
      </c>
      <c r="L711" s="19">
        <f>IF($B711="","",IFERROR(INDEX(智能流水!$L$2:$L$1001,MATCH($B711,智能流水!$B$2:$B$1001,0)),""))</f>
        <v/>
      </c>
      <c r="M711" s="19">
        <f>IF($B711="","",IFERROR(INDEX(智能流水!$M$2:$M$1001,MATCH($B711,智能流水!$B$2:$B$1001,0)),""))</f>
        <v/>
      </c>
      <c r="N711" s="19">
        <f>IF($B711="","",IFERROR(INDEX(智能流水!$N$2:$N$1001,MATCH($B711,智能流水!$B$2:$B$1001,0)),""))</f>
        <v/>
      </c>
      <c r="O711" s="19">
        <f>IF($B711="","",IFERROR(INDEX(智能流水!$O$2:$O$1001,MATCH($B711,智能流水!$B$2:$B$1001,0)),""))</f>
        <v/>
      </c>
    </row>
    <row r="712">
      <c r="A712" s="19">
        <f>IF($B712="","",711)</f>
        <v/>
      </c>
      <c r="B712" s="19">
        <f>IFERROR(LARGE(智能流水!$B$2:$B$1001,711),"")</f>
        <v/>
      </c>
      <c r="C712" s="19">
        <f>IF($B712="","",IFERROR(INDEX(智能流水!$C$2:$C$1001,MATCH($B712,智能流水!$B$2:$B$1001,0)),""))</f>
        <v/>
      </c>
      <c r="D712" s="19">
        <f>IF($B712="","",IFERROR(INDEX(智能流水!$D$2:$D$1001,MATCH($B712,智能流水!$B$2:$B$1001,0)),""))</f>
        <v/>
      </c>
      <c r="E712" s="19">
        <f>IF($B712="","",IFERROR(INDEX(智能流水!$E$2:$E$1001,MATCH($B712,智能流水!$B$2:$B$1001,0)),""))</f>
        <v/>
      </c>
      <c r="F712" s="19">
        <f>IF($B712="","",IFERROR(INDEX(智能流水!$F$2:$F$1001,MATCH($B712,智能流水!$B$2:$B$1001,0)),""))</f>
        <v/>
      </c>
      <c r="G712" s="19">
        <f>IF($B712="","",IFERROR(INDEX(智能流水!$G$2:$G$1001,MATCH($B712,智能流水!$B$2:$B$1001,0)),""))</f>
        <v/>
      </c>
      <c r="H712" s="19">
        <f>IF($B712="","",IFERROR(INDEX(智能流水!$H$2:$H$1001,MATCH($B712,智能流水!$B$2:$B$1001,0)),""))</f>
        <v/>
      </c>
      <c r="I712" s="19">
        <f>IF($B712="","",IFERROR(INDEX(智能流水!$I$2:$I$1001,MATCH($B712,智能流水!$B$2:$B$1001,0)),""))</f>
        <v/>
      </c>
      <c r="J712" s="19">
        <f>IF($B712="","",IFERROR(INDEX(智能流水!$J$2:$J$1001,MATCH($B712,智能流水!$B$2:$B$1001,0)),""))</f>
        <v/>
      </c>
      <c r="K712" s="19">
        <f>IF($B712="","",IFERROR(INDEX(智能流水!$K$2:$K$1001,MATCH($B712,智能流水!$B$2:$B$1001,0)),""))</f>
        <v/>
      </c>
      <c r="L712" s="19">
        <f>IF($B712="","",IFERROR(INDEX(智能流水!$L$2:$L$1001,MATCH($B712,智能流水!$B$2:$B$1001,0)),""))</f>
        <v/>
      </c>
      <c r="M712" s="19">
        <f>IF($B712="","",IFERROR(INDEX(智能流水!$M$2:$M$1001,MATCH($B712,智能流水!$B$2:$B$1001,0)),""))</f>
        <v/>
      </c>
      <c r="N712" s="19">
        <f>IF($B712="","",IFERROR(INDEX(智能流水!$N$2:$N$1001,MATCH($B712,智能流水!$B$2:$B$1001,0)),""))</f>
        <v/>
      </c>
      <c r="O712" s="19">
        <f>IF($B712="","",IFERROR(INDEX(智能流水!$O$2:$O$1001,MATCH($B712,智能流水!$B$2:$B$1001,0)),""))</f>
        <v/>
      </c>
    </row>
    <row r="713">
      <c r="A713" s="19">
        <f>IF($B713="","",712)</f>
        <v/>
      </c>
      <c r="B713" s="19">
        <f>IFERROR(LARGE(智能流水!$B$2:$B$1001,712),"")</f>
        <v/>
      </c>
      <c r="C713" s="19">
        <f>IF($B713="","",IFERROR(INDEX(智能流水!$C$2:$C$1001,MATCH($B713,智能流水!$B$2:$B$1001,0)),""))</f>
        <v/>
      </c>
      <c r="D713" s="19">
        <f>IF($B713="","",IFERROR(INDEX(智能流水!$D$2:$D$1001,MATCH($B713,智能流水!$B$2:$B$1001,0)),""))</f>
        <v/>
      </c>
      <c r="E713" s="19">
        <f>IF($B713="","",IFERROR(INDEX(智能流水!$E$2:$E$1001,MATCH($B713,智能流水!$B$2:$B$1001,0)),""))</f>
        <v/>
      </c>
      <c r="F713" s="19">
        <f>IF($B713="","",IFERROR(INDEX(智能流水!$F$2:$F$1001,MATCH($B713,智能流水!$B$2:$B$1001,0)),""))</f>
        <v/>
      </c>
      <c r="G713" s="19">
        <f>IF($B713="","",IFERROR(INDEX(智能流水!$G$2:$G$1001,MATCH($B713,智能流水!$B$2:$B$1001,0)),""))</f>
        <v/>
      </c>
      <c r="H713" s="19">
        <f>IF($B713="","",IFERROR(INDEX(智能流水!$H$2:$H$1001,MATCH($B713,智能流水!$B$2:$B$1001,0)),""))</f>
        <v/>
      </c>
      <c r="I713" s="19">
        <f>IF($B713="","",IFERROR(INDEX(智能流水!$I$2:$I$1001,MATCH($B713,智能流水!$B$2:$B$1001,0)),""))</f>
        <v/>
      </c>
      <c r="J713" s="19">
        <f>IF($B713="","",IFERROR(INDEX(智能流水!$J$2:$J$1001,MATCH($B713,智能流水!$B$2:$B$1001,0)),""))</f>
        <v/>
      </c>
      <c r="K713" s="19">
        <f>IF($B713="","",IFERROR(INDEX(智能流水!$K$2:$K$1001,MATCH($B713,智能流水!$B$2:$B$1001,0)),""))</f>
        <v/>
      </c>
      <c r="L713" s="19">
        <f>IF($B713="","",IFERROR(INDEX(智能流水!$L$2:$L$1001,MATCH($B713,智能流水!$B$2:$B$1001,0)),""))</f>
        <v/>
      </c>
      <c r="M713" s="19">
        <f>IF($B713="","",IFERROR(INDEX(智能流水!$M$2:$M$1001,MATCH($B713,智能流水!$B$2:$B$1001,0)),""))</f>
        <v/>
      </c>
      <c r="N713" s="19">
        <f>IF($B713="","",IFERROR(INDEX(智能流水!$N$2:$N$1001,MATCH($B713,智能流水!$B$2:$B$1001,0)),""))</f>
        <v/>
      </c>
      <c r="O713" s="19">
        <f>IF($B713="","",IFERROR(INDEX(智能流水!$O$2:$O$1001,MATCH($B713,智能流水!$B$2:$B$1001,0)),""))</f>
        <v/>
      </c>
    </row>
    <row r="714">
      <c r="A714" s="19">
        <f>IF($B714="","",713)</f>
        <v/>
      </c>
      <c r="B714" s="19">
        <f>IFERROR(LARGE(智能流水!$B$2:$B$1001,713),"")</f>
        <v/>
      </c>
      <c r="C714" s="19">
        <f>IF($B714="","",IFERROR(INDEX(智能流水!$C$2:$C$1001,MATCH($B714,智能流水!$B$2:$B$1001,0)),""))</f>
        <v/>
      </c>
      <c r="D714" s="19">
        <f>IF($B714="","",IFERROR(INDEX(智能流水!$D$2:$D$1001,MATCH($B714,智能流水!$B$2:$B$1001,0)),""))</f>
        <v/>
      </c>
      <c r="E714" s="19">
        <f>IF($B714="","",IFERROR(INDEX(智能流水!$E$2:$E$1001,MATCH($B714,智能流水!$B$2:$B$1001,0)),""))</f>
        <v/>
      </c>
      <c r="F714" s="19">
        <f>IF($B714="","",IFERROR(INDEX(智能流水!$F$2:$F$1001,MATCH($B714,智能流水!$B$2:$B$1001,0)),""))</f>
        <v/>
      </c>
      <c r="G714" s="19">
        <f>IF($B714="","",IFERROR(INDEX(智能流水!$G$2:$G$1001,MATCH($B714,智能流水!$B$2:$B$1001,0)),""))</f>
        <v/>
      </c>
      <c r="H714" s="19">
        <f>IF($B714="","",IFERROR(INDEX(智能流水!$H$2:$H$1001,MATCH($B714,智能流水!$B$2:$B$1001,0)),""))</f>
        <v/>
      </c>
      <c r="I714" s="19">
        <f>IF($B714="","",IFERROR(INDEX(智能流水!$I$2:$I$1001,MATCH($B714,智能流水!$B$2:$B$1001,0)),""))</f>
        <v/>
      </c>
      <c r="J714" s="19">
        <f>IF($B714="","",IFERROR(INDEX(智能流水!$J$2:$J$1001,MATCH($B714,智能流水!$B$2:$B$1001,0)),""))</f>
        <v/>
      </c>
      <c r="K714" s="19">
        <f>IF($B714="","",IFERROR(INDEX(智能流水!$K$2:$K$1001,MATCH($B714,智能流水!$B$2:$B$1001,0)),""))</f>
        <v/>
      </c>
      <c r="L714" s="19">
        <f>IF($B714="","",IFERROR(INDEX(智能流水!$L$2:$L$1001,MATCH($B714,智能流水!$B$2:$B$1001,0)),""))</f>
        <v/>
      </c>
      <c r="M714" s="19">
        <f>IF($B714="","",IFERROR(INDEX(智能流水!$M$2:$M$1001,MATCH($B714,智能流水!$B$2:$B$1001,0)),""))</f>
        <v/>
      </c>
      <c r="N714" s="19">
        <f>IF($B714="","",IFERROR(INDEX(智能流水!$N$2:$N$1001,MATCH($B714,智能流水!$B$2:$B$1001,0)),""))</f>
        <v/>
      </c>
      <c r="O714" s="19">
        <f>IF($B714="","",IFERROR(INDEX(智能流水!$O$2:$O$1001,MATCH($B714,智能流水!$B$2:$B$1001,0)),""))</f>
        <v/>
      </c>
    </row>
    <row r="715">
      <c r="A715" s="19">
        <f>IF($B715="","",714)</f>
        <v/>
      </c>
      <c r="B715" s="19">
        <f>IFERROR(LARGE(智能流水!$B$2:$B$1001,714),"")</f>
        <v/>
      </c>
      <c r="C715" s="19">
        <f>IF($B715="","",IFERROR(INDEX(智能流水!$C$2:$C$1001,MATCH($B715,智能流水!$B$2:$B$1001,0)),""))</f>
        <v/>
      </c>
      <c r="D715" s="19">
        <f>IF($B715="","",IFERROR(INDEX(智能流水!$D$2:$D$1001,MATCH($B715,智能流水!$B$2:$B$1001,0)),""))</f>
        <v/>
      </c>
      <c r="E715" s="19">
        <f>IF($B715="","",IFERROR(INDEX(智能流水!$E$2:$E$1001,MATCH($B715,智能流水!$B$2:$B$1001,0)),""))</f>
        <v/>
      </c>
      <c r="F715" s="19">
        <f>IF($B715="","",IFERROR(INDEX(智能流水!$F$2:$F$1001,MATCH($B715,智能流水!$B$2:$B$1001,0)),""))</f>
        <v/>
      </c>
      <c r="G715" s="19">
        <f>IF($B715="","",IFERROR(INDEX(智能流水!$G$2:$G$1001,MATCH($B715,智能流水!$B$2:$B$1001,0)),""))</f>
        <v/>
      </c>
      <c r="H715" s="19">
        <f>IF($B715="","",IFERROR(INDEX(智能流水!$H$2:$H$1001,MATCH($B715,智能流水!$B$2:$B$1001,0)),""))</f>
        <v/>
      </c>
      <c r="I715" s="19">
        <f>IF($B715="","",IFERROR(INDEX(智能流水!$I$2:$I$1001,MATCH($B715,智能流水!$B$2:$B$1001,0)),""))</f>
        <v/>
      </c>
      <c r="J715" s="19">
        <f>IF($B715="","",IFERROR(INDEX(智能流水!$J$2:$J$1001,MATCH($B715,智能流水!$B$2:$B$1001,0)),""))</f>
        <v/>
      </c>
      <c r="K715" s="19">
        <f>IF($B715="","",IFERROR(INDEX(智能流水!$K$2:$K$1001,MATCH($B715,智能流水!$B$2:$B$1001,0)),""))</f>
        <v/>
      </c>
      <c r="L715" s="19">
        <f>IF($B715="","",IFERROR(INDEX(智能流水!$L$2:$L$1001,MATCH($B715,智能流水!$B$2:$B$1001,0)),""))</f>
        <v/>
      </c>
      <c r="M715" s="19">
        <f>IF($B715="","",IFERROR(INDEX(智能流水!$M$2:$M$1001,MATCH($B715,智能流水!$B$2:$B$1001,0)),""))</f>
        <v/>
      </c>
      <c r="N715" s="19">
        <f>IF($B715="","",IFERROR(INDEX(智能流水!$N$2:$N$1001,MATCH($B715,智能流水!$B$2:$B$1001,0)),""))</f>
        <v/>
      </c>
      <c r="O715" s="19">
        <f>IF($B715="","",IFERROR(INDEX(智能流水!$O$2:$O$1001,MATCH($B715,智能流水!$B$2:$B$1001,0)),""))</f>
        <v/>
      </c>
    </row>
    <row r="716">
      <c r="A716" s="19">
        <f>IF($B716="","",715)</f>
        <v/>
      </c>
      <c r="B716" s="19">
        <f>IFERROR(LARGE(智能流水!$B$2:$B$1001,715),"")</f>
        <v/>
      </c>
      <c r="C716" s="19">
        <f>IF($B716="","",IFERROR(INDEX(智能流水!$C$2:$C$1001,MATCH($B716,智能流水!$B$2:$B$1001,0)),""))</f>
        <v/>
      </c>
      <c r="D716" s="19">
        <f>IF($B716="","",IFERROR(INDEX(智能流水!$D$2:$D$1001,MATCH($B716,智能流水!$B$2:$B$1001,0)),""))</f>
        <v/>
      </c>
      <c r="E716" s="19">
        <f>IF($B716="","",IFERROR(INDEX(智能流水!$E$2:$E$1001,MATCH($B716,智能流水!$B$2:$B$1001,0)),""))</f>
        <v/>
      </c>
      <c r="F716" s="19">
        <f>IF($B716="","",IFERROR(INDEX(智能流水!$F$2:$F$1001,MATCH($B716,智能流水!$B$2:$B$1001,0)),""))</f>
        <v/>
      </c>
      <c r="G716" s="19">
        <f>IF($B716="","",IFERROR(INDEX(智能流水!$G$2:$G$1001,MATCH($B716,智能流水!$B$2:$B$1001,0)),""))</f>
        <v/>
      </c>
      <c r="H716" s="19">
        <f>IF($B716="","",IFERROR(INDEX(智能流水!$H$2:$H$1001,MATCH($B716,智能流水!$B$2:$B$1001,0)),""))</f>
        <v/>
      </c>
      <c r="I716" s="19">
        <f>IF($B716="","",IFERROR(INDEX(智能流水!$I$2:$I$1001,MATCH($B716,智能流水!$B$2:$B$1001,0)),""))</f>
        <v/>
      </c>
      <c r="J716" s="19">
        <f>IF($B716="","",IFERROR(INDEX(智能流水!$J$2:$J$1001,MATCH($B716,智能流水!$B$2:$B$1001,0)),""))</f>
        <v/>
      </c>
      <c r="K716" s="19">
        <f>IF($B716="","",IFERROR(INDEX(智能流水!$K$2:$K$1001,MATCH($B716,智能流水!$B$2:$B$1001,0)),""))</f>
        <v/>
      </c>
      <c r="L716" s="19">
        <f>IF($B716="","",IFERROR(INDEX(智能流水!$L$2:$L$1001,MATCH($B716,智能流水!$B$2:$B$1001,0)),""))</f>
        <v/>
      </c>
      <c r="M716" s="19">
        <f>IF($B716="","",IFERROR(INDEX(智能流水!$M$2:$M$1001,MATCH($B716,智能流水!$B$2:$B$1001,0)),""))</f>
        <v/>
      </c>
      <c r="N716" s="19">
        <f>IF($B716="","",IFERROR(INDEX(智能流水!$N$2:$N$1001,MATCH($B716,智能流水!$B$2:$B$1001,0)),""))</f>
        <v/>
      </c>
      <c r="O716" s="19">
        <f>IF($B716="","",IFERROR(INDEX(智能流水!$O$2:$O$1001,MATCH($B716,智能流水!$B$2:$B$1001,0)),""))</f>
        <v/>
      </c>
    </row>
    <row r="717">
      <c r="A717" s="19">
        <f>IF($B717="","",716)</f>
        <v/>
      </c>
      <c r="B717" s="19">
        <f>IFERROR(LARGE(智能流水!$B$2:$B$1001,716),"")</f>
        <v/>
      </c>
      <c r="C717" s="19">
        <f>IF($B717="","",IFERROR(INDEX(智能流水!$C$2:$C$1001,MATCH($B717,智能流水!$B$2:$B$1001,0)),""))</f>
        <v/>
      </c>
      <c r="D717" s="19">
        <f>IF($B717="","",IFERROR(INDEX(智能流水!$D$2:$D$1001,MATCH($B717,智能流水!$B$2:$B$1001,0)),""))</f>
        <v/>
      </c>
      <c r="E717" s="19">
        <f>IF($B717="","",IFERROR(INDEX(智能流水!$E$2:$E$1001,MATCH($B717,智能流水!$B$2:$B$1001,0)),""))</f>
        <v/>
      </c>
      <c r="F717" s="19">
        <f>IF($B717="","",IFERROR(INDEX(智能流水!$F$2:$F$1001,MATCH($B717,智能流水!$B$2:$B$1001,0)),""))</f>
        <v/>
      </c>
      <c r="G717" s="19">
        <f>IF($B717="","",IFERROR(INDEX(智能流水!$G$2:$G$1001,MATCH($B717,智能流水!$B$2:$B$1001,0)),""))</f>
        <v/>
      </c>
      <c r="H717" s="19">
        <f>IF($B717="","",IFERROR(INDEX(智能流水!$H$2:$H$1001,MATCH($B717,智能流水!$B$2:$B$1001,0)),""))</f>
        <v/>
      </c>
      <c r="I717" s="19">
        <f>IF($B717="","",IFERROR(INDEX(智能流水!$I$2:$I$1001,MATCH($B717,智能流水!$B$2:$B$1001,0)),""))</f>
        <v/>
      </c>
      <c r="J717" s="19">
        <f>IF($B717="","",IFERROR(INDEX(智能流水!$J$2:$J$1001,MATCH($B717,智能流水!$B$2:$B$1001,0)),""))</f>
        <v/>
      </c>
      <c r="K717" s="19">
        <f>IF($B717="","",IFERROR(INDEX(智能流水!$K$2:$K$1001,MATCH($B717,智能流水!$B$2:$B$1001,0)),""))</f>
        <v/>
      </c>
      <c r="L717" s="19">
        <f>IF($B717="","",IFERROR(INDEX(智能流水!$L$2:$L$1001,MATCH($B717,智能流水!$B$2:$B$1001,0)),""))</f>
        <v/>
      </c>
      <c r="M717" s="19">
        <f>IF($B717="","",IFERROR(INDEX(智能流水!$M$2:$M$1001,MATCH($B717,智能流水!$B$2:$B$1001,0)),""))</f>
        <v/>
      </c>
      <c r="N717" s="19">
        <f>IF($B717="","",IFERROR(INDEX(智能流水!$N$2:$N$1001,MATCH($B717,智能流水!$B$2:$B$1001,0)),""))</f>
        <v/>
      </c>
      <c r="O717" s="19">
        <f>IF($B717="","",IFERROR(INDEX(智能流水!$O$2:$O$1001,MATCH($B717,智能流水!$B$2:$B$1001,0)),""))</f>
        <v/>
      </c>
    </row>
    <row r="718">
      <c r="A718" s="19">
        <f>IF($B718="","",717)</f>
        <v/>
      </c>
      <c r="B718" s="19">
        <f>IFERROR(LARGE(智能流水!$B$2:$B$1001,717),"")</f>
        <v/>
      </c>
      <c r="C718" s="19">
        <f>IF($B718="","",IFERROR(INDEX(智能流水!$C$2:$C$1001,MATCH($B718,智能流水!$B$2:$B$1001,0)),""))</f>
        <v/>
      </c>
      <c r="D718" s="19">
        <f>IF($B718="","",IFERROR(INDEX(智能流水!$D$2:$D$1001,MATCH($B718,智能流水!$B$2:$B$1001,0)),""))</f>
        <v/>
      </c>
      <c r="E718" s="19">
        <f>IF($B718="","",IFERROR(INDEX(智能流水!$E$2:$E$1001,MATCH($B718,智能流水!$B$2:$B$1001,0)),""))</f>
        <v/>
      </c>
      <c r="F718" s="19">
        <f>IF($B718="","",IFERROR(INDEX(智能流水!$F$2:$F$1001,MATCH($B718,智能流水!$B$2:$B$1001,0)),""))</f>
        <v/>
      </c>
      <c r="G718" s="19">
        <f>IF($B718="","",IFERROR(INDEX(智能流水!$G$2:$G$1001,MATCH($B718,智能流水!$B$2:$B$1001,0)),""))</f>
        <v/>
      </c>
      <c r="H718" s="19">
        <f>IF($B718="","",IFERROR(INDEX(智能流水!$H$2:$H$1001,MATCH($B718,智能流水!$B$2:$B$1001,0)),""))</f>
        <v/>
      </c>
      <c r="I718" s="19">
        <f>IF($B718="","",IFERROR(INDEX(智能流水!$I$2:$I$1001,MATCH($B718,智能流水!$B$2:$B$1001,0)),""))</f>
        <v/>
      </c>
      <c r="J718" s="19">
        <f>IF($B718="","",IFERROR(INDEX(智能流水!$J$2:$J$1001,MATCH($B718,智能流水!$B$2:$B$1001,0)),""))</f>
        <v/>
      </c>
      <c r="K718" s="19">
        <f>IF($B718="","",IFERROR(INDEX(智能流水!$K$2:$K$1001,MATCH($B718,智能流水!$B$2:$B$1001,0)),""))</f>
        <v/>
      </c>
      <c r="L718" s="19">
        <f>IF($B718="","",IFERROR(INDEX(智能流水!$L$2:$L$1001,MATCH($B718,智能流水!$B$2:$B$1001,0)),""))</f>
        <v/>
      </c>
      <c r="M718" s="19">
        <f>IF($B718="","",IFERROR(INDEX(智能流水!$M$2:$M$1001,MATCH($B718,智能流水!$B$2:$B$1001,0)),""))</f>
        <v/>
      </c>
      <c r="N718" s="19">
        <f>IF($B718="","",IFERROR(INDEX(智能流水!$N$2:$N$1001,MATCH($B718,智能流水!$B$2:$B$1001,0)),""))</f>
        <v/>
      </c>
      <c r="O718" s="19">
        <f>IF($B718="","",IFERROR(INDEX(智能流水!$O$2:$O$1001,MATCH($B718,智能流水!$B$2:$B$1001,0)),""))</f>
        <v/>
      </c>
    </row>
    <row r="719">
      <c r="A719" s="19">
        <f>IF($B719="","",718)</f>
        <v/>
      </c>
      <c r="B719" s="19">
        <f>IFERROR(LARGE(智能流水!$B$2:$B$1001,718),"")</f>
        <v/>
      </c>
      <c r="C719" s="19">
        <f>IF($B719="","",IFERROR(INDEX(智能流水!$C$2:$C$1001,MATCH($B719,智能流水!$B$2:$B$1001,0)),""))</f>
        <v/>
      </c>
      <c r="D719" s="19">
        <f>IF($B719="","",IFERROR(INDEX(智能流水!$D$2:$D$1001,MATCH($B719,智能流水!$B$2:$B$1001,0)),""))</f>
        <v/>
      </c>
      <c r="E719" s="19">
        <f>IF($B719="","",IFERROR(INDEX(智能流水!$E$2:$E$1001,MATCH($B719,智能流水!$B$2:$B$1001,0)),""))</f>
        <v/>
      </c>
      <c r="F719" s="19">
        <f>IF($B719="","",IFERROR(INDEX(智能流水!$F$2:$F$1001,MATCH($B719,智能流水!$B$2:$B$1001,0)),""))</f>
        <v/>
      </c>
      <c r="G719" s="19">
        <f>IF($B719="","",IFERROR(INDEX(智能流水!$G$2:$G$1001,MATCH($B719,智能流水!$B$2:$B$1001,0)),""))</f>
        <v/>
      </c>
      <c r="H719" s="19">
        <f>IF($B719="","",IFERROR(INDEX(智能流水!$H$2:$H$1001,MATCH($B719,智能流水!$B$2:$B$1001,0)),""))</f>
        <v/>
      </c>
      <c r="I719" s="19">
        <f>IF($B719="","",IFERROR(INDEX(智能流水!$I$2:$I$1001,MATCH($B719,智能流水!$B$2:$B$1001,0)),""))</f>
        <v/>
      </c>
      <c r="J719" s="19">
        <f>IF($B719="","",IFERROR(INDEX(智能流水!$J$2:$J$1001,MATCH($B719,智能流水!$B$2:$B$1001,0)),""))</f>
        <v/>
      </c>
      <c r="K719" s="19">
        <f>IF($B719="","",IFERROR(INDEX(智能流水!$K$2:$K$1001,MATCH($B719,智能流水!$B$2:$B$1001,0)),""))</f>
        <v/>
      </c>
      <c r="L719" s="19">
        <f>IF($B719="","",IFERROR(INDEX(智能流水!$L$2:$L$1001,MATCH($B719,智能流水!$B$2:$B$1001,0)),""))</f>
        <v/>
      </c>
      <c r="M719" s="19">
        <f>IF($B719="","",IFERROR(INDEX(智能流水!$M$2:$M$1001,MATCH($B719,智能流水!$B$2:$B$1001,0)),""))</f>
        <v/>
      </c>
      <c r="N719" s="19">
        <f>IF($B719="","",IFERROR(INDEX(智能流水!$N$2:$N$1001,MATCH($B719,智能流水!$B$2:$B$1001,0)),""))</f>
        <v/>
      </c>
      <c r="O719" s="19">
        <f>IF($B719="","",IFERROR(INDEX(智能流水!$O$2:$O$1001,MATCH($B719,智能流水!$B$2:$B$1001,0)),""))</f>
        <v/>
      </c>
    </row>
    <row r="720">
      <c r="A720" s="19">
        <f>IF($B720="","",719)</f>
        <v/>
      </c>
      <c r="B720" s="19">
        <f>IFERROR(LARGE(智能流水!$B$2:$B$1001,719),"")</f>
        <v/>
      </c>
      <c r="C720" s="19">
        <f>IF($B720="","",IFERROR(INDEX(智能流水!$C$2:$C$1001,MATCH($B720,智能流水!$B$2:$B$1001,0)),""))</f>
        <v/>
      </c>
      <c r="D720" s="19">
        <f>IF($B720="","",IFERROR(INDEX(智能流水!$D$2:$D$1001,MATCH($B720,智能流水!$B$2:$B$1001,0)),""))</f>
        <v/>
      </c>
      <c r="E720" s="19">
        <f>IF($B720="","",IFERROR(INDEX(智能流水!$E$2:$E$1001,MATCH($B720,智能流水!$B$2:$B$1001,0)),""))</f>
        <v/>
      </c>
      <c r="F720" s="19">
        <f>IF($B720="","",IFERROR(INDEX(智能流水!$F$2:$F$1001,MATCH($B720,智能流水!$B$2:$B$1001,0)),""))</f>
        <v/>
      </c>
      <c r="G720" s="19">
        <f>IF($B720="","",IFERROR(INDEX(智能流水!$G$2:$G$1001,MATCH($B720,智能流水!$B$2:$B$1001,0)),""))</f>
        <v/>
      </c>
      <c r="H720" s="19">
        <f>IF($B720="","",IFERROR(INDEX(智能流水!$H$2:$H$1001,MATCH($B720,智能流水!$B$2:$B$1001,0)),""))</f>
        <v/>
      </c>
      <c r="I720" s="19">
        <f>IF($B720="","",IFERROR(INDEX(智能流水!$I$2:$I$1001,MATCH($B720,智能流水!$B$2:$B$1001,0)),""))</f>
        <v/>
      </c>
      <c r="J720" s="19">
        <f>IF($B720="","",IFERROR(INDEX(智能流水!$J$2:$J$1001,MATCH($B720,智能流水!$B$2:$B$1001,0)),""))</f>
        <v/>
      </c>
      <c r="K720" s="19">
        <f>IF($B720="","",IFERROR(INDEX(智能流水!$K$2:$K$1001,MATCH($B720,智能流水!$B$2:$B$1001,0)),""))</f>
        <v/>
      </c>
      <c r="L720" s="19">
        <f>IF($B720="","",IFERROR(INDEX(智能流水!$L$2:$L$1001,MATCH($B720,智能流水!$B$2:$B$1001,0)),""))</f>
        <v/>
      </c>
      <c r="M720" s="19">
        <f>IF($B720="","",IFERROR(INDEX(智能流水!$M$2:$M$1001,MATCH($B720,智能流水!$B$2:$B$1001,0)),""))</f>
        <v/>
      </c>
      <c r="N720" s="19">
        <f>IF($B720="","",IFERROR(INDEX(智能流水!$N$2:$N$1001,MATCH($B720,智能流水!$B$2:$B$1001,0)),""))</f>
        <v/>
      </c>
      <c r="O720" s="19">
        <f>IF($B720="","",IFERROR(INDEX(智能流水!$O$2:$O$1001,MATCH($B720,智能流水!$B$2:$B$1001,0)),""))</f>
        <v/>
      </c>
    </row>
    <row r="721">
      <c r="A721" s="19">
        <f>IF($B721="","",720)</f>
        <v/>
      </c>
      <c r="B721" s="19">
        <f>IFERROR(LARGE(智能流水!$B$2:$B$1001,720),"")</f>
        <v/>
      </c>
      <c r="C721" s="19">
        <f>IF($B721="","",IFERROR(INDEX(智能流水!$C$2:$C$1001,MATCH($B721,智能流水!$B$2:$B$1001,0)),""))</f>
        <v/>
      </c>
      <c r="D721" s="19">
        <f>IF($B721="","",IFERROR(INDEX(智能流水!$D$2:$D$1001,MATCH($B721,智能流水!$B$2:$B$1001,0)),""))</f>
        <v/>
      </c>
      <c r="E721" s="19">
        <f>IF($B721="","",IFERROR(INDEX(智能流水!$E$2:$E$1001,MATCH($B721,智能流水!$B$2:$B$1001,0)),""))</f>
        <v/>
      </c>
      <c r="F721" s="19">
        <f>IF($B721="","",IFERROR(INDEX(智能流水!$F$2:$F$1001,MATCH($B721,智能流水!$B$2:$B$1001,0)),""))</f>
        <v/>
      </c>
      <c r="G721" s="19">
        <f>IF($B721="","",IFERROR(INDEX(智能流水!$G$2:$G$1001,MATCH($B721,智能流水!$B$2:$B$1001,0)),""))</f>
        <v/>
      </c>
      <c r="H721" s="19">
        <f>IF($B721="","",IFERROR(INDEX(智能流水!$H$2:$H$1001,MATCH($B721,智能流水!$B$2:$B$1001,0)),""))</f>
        <v/>
      </c>
      <c r="I721" s="19">
        <f>IF($B721="","",IFERROR(INDEX(智能流水!$I$2:$I$1001,MATCH($B721,智能流水!$B$2:$B$1001,0)),""))</f>
        <v/>
      </c>
      <c r="J721" s="19">
        <f>IF($B721="","",IFERROR(INDEX(智能流水!$J$2:$J$1001,MATCH($B721,智能流水!$B$2:$B$1001,0)),""))</f>
        <v/>
      </c>
      <c r="K721" s="19">
        <f>IF($B721="","",IFERROR(INDEX(智能流水!$K$2:$K$1001,MATCH($B721,智能流水!$B$2:$B$1001,0)),""))</f>
        <v/>
      </c>
      <c r="L721" s="19">
        <f>IF($B721="","",IFERROR(INDEX(智能流水!$L$2:$L$1001,MATCH($B721,智能流水!$B$2:$B$1001,0)),""))</f>
        <v/>
      </c>
      <c r="M721" s="19">
        <f>IF($B721="","",IFERROR(INDEX(智能流水!$M$2:$M$1001,MATCH($B721,智能流水!$B$2:$B$1001,0)),""))</f>
        <v/>
      </c>
      <c r="N721" s="19">
        <f>IF($B721="","",IFERROR(INDEX(智能流水!$N$2:$N$1001,MATCH($B721,智能流水!$B$2:$B$1001,0)),""))</f>
        <v/>
      </c>
      <c r="O721" s="19">
        <f>IF($B721="","",IFERROR(INDEX(智能流水!$O$2:$O$1001,MATCH($B721,智能流水!$B$2:$B$1001,0)),""))</f>
        <v/>
      </c>
    </row>
    <row r="722">
      <c r="A722" s="19">
        <f>IF($B722="","",721)</f>
        <v/>
      </c>
      <c r="B722" s="19">
        <f>IFERROR(LARGE(智能流水!$B$2:$B$1001,721),"")</f>
        <v/>
      </c>
      <c r="C722" s="19">
        <f>IF($B722="","",IFERROR(INDEX(智能流水!$C$2:$C$1001,MATCH($B722,智能流水!$B$2:$B$1001,0)),""))</f>
        <v/>
      </c>
      <c r="D722" s="19">
        <f>IF($B722="","",IFERROR(INDEX(智能流水!$D$2:$D$1001,MATCH($B722,智能流水!$B$2:$B$1001,0)),""))</f>
        <v/>
      </c>
      <c r="E722" s="19">
        <f>IF($B722="","",IFERROR(INDEX(智能流水!$E$2:$E$1001,MATCH($B722,智能流水!$B$2:$B$1001,0)),""))</f>
        <v/>
      </c>
      <c r="F722" s="19">
        <f>IF($B722="","",IFERROR(INDEX(智能流水!$F$2:$F$1001,MATCH($B722,智能流水!$B$2:$B$1001,0)),""))</f>
        <v/>
      </c>
      <c r="G722" s="19">
        <f>IF($B722="","",IFERROR(INDEX(智能流水!$G$2:$G$1001,MATCH($B722,智能流水!$B$2:$B$1001,0)),""))</f>
        <v/>
      </c>
      <c r="H722" s="19">
        <f>IF($B722="","",IFERROR(INDEX(智能流水!$H$2:$H$1001,MATCH($B722,智能流水!$B$2:$B$1001,0)),""))</f>
        <v/>
      </c>
      <c r="I722" s="19">
        <f>IF($B722="","",IFERROR(INDEX(智能流水!$I$2:$I$1001,MATCH($B722,智能流水!$B$2:$B$1001,0)),""))</f>
        <v/>
      </c>
      <c r="J722" s="19">
        <f>IF($B722="","",IFERROR(INDEX(智能流水!$J$2:$J$1001,MATCH($B722,智能流水!$B$2:$B$1001,0)),""))</f>
        <v/>
      </c>
      <c r="K722" s="19">
        <f>IF($B722="","",IFERROR(INDEX(智能流水!$K$2:$K$1001,MATCH($B722,智能流水!$B$2:$B$1001,0)),""))</f>
        <v/>
      </c>
      <c r="L722" s="19">
        <f>IF($B722="","",IFERROR(INDEX(智能流水!$L$2:$L$1001,MATCH($B722,智能流水!$B$2:$B$1001,0)),""))</f>
        <v/>
      </c>
      <c r="M722" s="19">
        <f>IF($B722="","",IFERROR(INDEX(智能流水!$M$2:$M$1001,MATCH($B722,智能流水!$B$2:$B$1001,0)),""))</f>
        <v/>
      </c>
      <c r="N722" s="19">
        <f>IF($B722="","",IFERROR(INDEX(智能流水!$N$2:$N$1001,MATCH($B722,智能流水!$B$2:$B$1001,0)),""))</f>
        <v/>
      </c>
      <c r="O722" s="19">
        <f>IF($B722="","",IFERROR(INDEX(智能流水!$O$2:$O$1001,MATCH($B722,智能流水!$B$2:$B$1001,0)),""))</f>
        <v/>
      </c>
    </row>
    <row r="723">
      <c r="A723" s="19">
        <f>IF($B723="","",722)</f>
        <v/>
      </c>
      <c r="B723" s="19">
        <f>IFERROR(LARGE(智能流水!$B$2:$B$1001,722),"")</f>
        <v/>
      </c>
      <c r="C723" s="19">
        <f>IF($B723="","",IFERROR(INDEX(智能流水!$C$2:$C$1001,MATCH($B723,智能流水!$B$2:$B$1001,0)),""))</f>
        <v/>
      </c>
      <c r="D723" s="19">
        <f>IF($B723="","",IFERROR(INDEX(智能流水!$D$2:$D$1001,MATCH($B723,智能流水!$B$2:$B$1001,0)),""))</f>
        <v/>
      </c>
      <c r="E723" s="19">
        <f>IF($B723="","",IFERROR(INDEX(智能流水!$E$2:$E$1001,MATCH($B723,智能流水!$B$2:$B$1001,0)),""))</f>
        <v/>
      </c>
      <c r="F723" s="19">
        <f>IF($B723="","",IFERROR(INDEX(智能流水!$F$2:$F$1001,MATCH($B723,智能流水!$B$2:$B$1001,0)),""))</f>
        <v/>
      </c>
      <c r="G723" s="19">
        <f>IF($B723="","",IFERROR(INDEX(智能流水!$G$2:$G$1001,MATCH($B723,智能流水!$B$2:$B$1001,0)),""))</f>
        <v/>
      </c>
      <c r="H723" s="19">
        <f>IF($B723="","",IFERROR(INDEX(智能流水!$H$2:$H$1001,MATCH($B723,智能流水!$B$2:$B$1001,0)),""))</f>
        <v/>
      </c>
      <c r="I723" s="19">
        <f>IF($B723="","",IFERROR(INDEX(智能流水!$I$2:$I$1001,MATCH($B723,智能流水!$B$2:$B$1001,0)),""))</f>
        <v/>
      </c>
      <c r="J723" s="19">
        <f>IF($B723="","",IFERROR(INDEX(智能流水!$J$2:$J$1001,MATCH($B723,智能流水!$B$2:$B$1001,0)),""))</f>
        <v/>
      </c>
      <c r="K723" s="19">
        <f>IF($B723="","",IFERROR(INDEX(智能流水!$K$2:$K$1001,MATCH($B723,智能流水!$B$2:$B$1001,0)),""))</f>
        <v/>
      </c>
      <c r="L723" s="19">
        <f>IF($B723="","",IFERROR(INDEX(智能流水!$L$2:$L$1001,MATCH($B723,智能流水!$B$2:$B$1001,0)),""))</f>
        <v/>
      </c>
      <c r="M723" s="19">
        <f>IF($B723="","",IFERROR(INDEX(智能流水!$M$2:$M$1001,MATCH($B723,智能流水!$B$2:$B$1001,0)),""))</f>
        <v/>
      </c>
      <c r="N723" s="19">
        <f>IF($B723="","",IFERROR(INDEX(智能流水!$N$2:$N$1001,MATCH($B723,智能流水!$B$2:$B$1001,0)),""))</f>
        <v/>
      </c>
      <c r="O723" s="19">
        <f>IF($B723="","",IFERROR(INDEX(智能流水!$O$2:$O$1001,MATCH($B723,智能流水!$B$2:$B$1001,0)),""))</f>
        <v/>
      </c>
    </row>
    <row r="724">
      <c r="A724" s="19">
        <f>IF($B724="","",723)</f>
        <v/>
      </c>
      <c r="B724" s="19">
        <f>IFERROR(LARGE(智能流水!$B$2:$B$1001,723),"")</f>
        <v/>
      </c>
      <c r="C724" s="19">
        <f>IF($B724="","",IFERROR(INDEX(智能流水!$C$2:$C$1001,MATCH($B724,智能流水!$B$2:$B$1001,0)),""))</f>
        <v/>
      </c>
      <c r="D724" s="19">
        <f>IF($B724="","",IFERROR(INDEX(智能流水!$D$2:$D$1001,MATCH($B724,智能流水!$B$2:$B$1001,0)),""))</f>
        <v/>
      </c>
      <c r="E724" s="19">
        <f>IF($B724="","",IFERROR(INDEX(智能流水!$E$2:$E$1001,MATCH($B724,智能流水!$B$2:$B$1001,0)),""))</f>
        <v/>
      </c>
      <c r="F724" s="19">
        <f>IF($B724="","",IFERROR(INDEX(智能流水!$F$2:$F$1001,MATCH($B724,智能流水!$B$2:$B$1001,0)),""))</f>
        <v/>
      </c>
      <c r="G724" s="19">
        <f>IF($B724="","",IFERROR(INDEX(智能流水!$G$2:$G$1001,MATCH($B724,智能流水!$B$2:$B$1001,0)),""))</f>
        <v/>
      </c>
      <c r="H724" s="19">
        <f>IF($B724="","",IFERROR(INDEX(智能流水!$H$2:$H$1001,MATCH($B724,智能流水!$B$2:$B$1001,0)),""))</f>
        <v/>
      </c>
      <c r="I724" s="19">
        <f>IF($B724="","",IFERROR(INDEX(智能流水!$I$2:$I$1001,MATCH($B724,智能流水!$B$2:$B$1001,0)),""))</f>
        <v/>
      </c>
      <c r="J724" s="19">
        <f>IF($B724="","",IFERROR(INDEX(智能流水!$J$2:$J$1001,MATCH($B724,智能流水!$B$2:$B$1001,0)),""))</f>
        <v/>
      </c>
      <c r="K724" s="19">
        <f>IF($B724="","",IFERROR(INDEX(智能流水!$K$2:$K$1001,MATCH($B724,智能流水!$B$2:$B$1001,0)),""))</f>
        <v/>
      </c>
      <c r="L724" s="19">
        <f>IF($B724="","",IFERROR(INDEX(智能流水!$L$2:$L$1001,MATCH($B724,智能流水!$B$2:$B$1001,0)),""))</f>
        <v/>
      </c>
      <c r="M724" s="19">
        <f>IF($B724="","",IFERROR(INDEX(智能流水!$M$2:$M$1001,MATCH($B724,智能流水!$B$2:$B$1001,0)),""))</f>
        <v/>
      </c>
      <c r="N724" s="19">
        <f>IF($B724="","",IFERROR(INDEX(智能流水!$N$2:$N$1001,MATCH($B724,智能流水!$B$2:$B$1001,0)),""))</f>
        <v/>
      </c>
      <c r="O724" s="19">
        <f>IF($B724="","",IFERROR(INDEX(智能流水!$O$2:$O$1001,MATCH($B724,智能流水!$B$2:$B$1001,0)),""))</f>
        <v/>
      </c>
    </row>
    <row r="725">
      <c r="A725" s="19">
        <f>IF($B725="","",724)</f>
        <v/>
      </c>
      <c r="B725" s="19">
        <f>IFERROR(LARGE(智能流水!$B$2:$B$1001,724),"")</f>
        <v/>
      </c>
      <c r="C725" s="19">
        <f>IF($B725="","",IFERROR(INDEX(智能流水!$C$2:$C$1001,MATCH($B725,智能流水!$B$2:$B$1001,0)),""))</f>
        <v/>
      </c>
      <c r="D725" s="19">
        <f>IF($B725="","",IFERROR(INDEX(智能流水!$D$2:$D$1001,MATCH($B725,智能流水!$B$2:$B$1001,0)),""))</f>
        <v/>
      </c>
      <c r="E725" s="19">
        <f>IF($B725="","",IFERROR(INDEX(智能流水!$E$2:$E$1001,MATCH($B725,智能流水!$B$2:$B$1001,0)),""))</f>
        <v/>
      </c>
      <c r="F725" s="19">
        <f>IF($B725="","",IFERROR(INDEX(智能流水!$F$2:$F$1001,MATCH($B725,智能流水!$B$2:$B$1001,0)),""))</f>
        <v/>
      </c>
      <c r="G725" s="19">
        <f>IF($B725="","",IFERROR(INDEX(智能流水!$G$2:$G$1001,MATCH($B725,智能流水!$B$2:$B$1001,0)),""))</f>
        <v/>
      </c>
      <c r="H725" s="19">
        <f>IF($B725="","",IFERROR(INDEX(智能流水!$H$2:$H$1001,MATCH($B725,智能流水!$B$2:$B$1001,0)),""))</f>
        <v/>
      </c>
      <c r="I725" s="19">
        <f>IF($B725="","",IFERROR(INDEX(智能流水!$I$2:$I$1001,MATCH($B725,智能流水!$B$2:$B$1001,0)),""))</f>
        <v/>
      </c>
      <c r="J725" s="19">
        <f>IF($B725="","",IFERROR(INDEX(智能流水!$J$2:$J$1001,MATCH($B725,智能流水!$B$2:$B$1001,0)),""))</f>
        <v/>
      </c>
      <c r="K725" s="19">
        <f>IF($B725="","",IFERROR(INDEX(智能流水!$K$2:$K$1001,MATCH($B725,智能流水!$B$2:$B$1001,0)),""))</f>
        <v/>
      </c>
      <c r="L725" s="19">
        <f>IF($B725="","",IFERROR(INDEX(智能流水!$L$2:$L$1001,MATCH($B725,智能流水!$B$2:$B$1001,0)),""))</f>
        <v/>
      </c>
      <c r="M725" s="19">
        <f>IF($B725="","",IFERROR(INDEX(智能流水!$M$2:$M$1001,MATCH($B725,智能流水!$B$2:$B$1001,0)),""))</f>
        <v/>
      </c>
      <c r="N725" s="19">
        <f>IF($B725="","",IFERROR(INDEX(智能流水!$N$2:$N$1001,MATCH($B725,智能流水!$B$2:$B$1001,0)),""))</f>
        <v/>
      </c>
      <c r="O725" s="19">
        <f>IF($B725="","",IFERROR(INDEX(智能流水!$O$2:$O$1001,MATCH($B725,智能流水!$B$2:$B$1001,0)),""))</f>
        <v/>
      </c>
    </row>
    <row r="726">
      <c r="A726" s="19">
        <f>IF($B726="","",725)</f>
        <v/>
      </c>
      <c r="B726" s="19">
        <f>IFERROR(LARGE(智能流水!$B$2:$B$1001,725),"")</f>
        <v/>
      </c>
      <c r="C726" s="19">
        <f>IF($B726="","",IFERROR(INDEX(智能流水!$C$2:$C$1001,MATCH($B726,智能流水!$B$2:$B$1001,0)),""))</f>
        <v/>
      </c>
      <c r="D726" s="19">
        <f>IF($B726="","",IFERROR(INDEX(智能流水!$D$2:$D$1001,MATCH($B726,智能流水!$B$2:$B$1001,0)),""))</f>
        <v/>
      </c>
      <c r="E726" s="19">
        <f>IF($B726="","",IFERROR(INDEX(智能流水!$E$2:$E$1001,MATCH($B726,智能流水!$B$2:$B$1001,0)),""))</f>
        <v/>
      </c>
      <c r="F726" s="19">
        <f>IF($B726="","",IFERROR(INDEX(智能流水!$F$2:$F$1001,MATCH($B726,智能流水!$B$2:$B$1001,0)),""))</f>
        <v/>
      </c>
      <c r="G726" s="19">
        <f>IF($B726="","",IFERROR(INDEX(智能流水!$G$2:$G$1001,MATCH($B726,智能流水!$B$2:$B$1001,0)),""))</f>
        <v/>
      </c>
      <c r="H726" s="19">
        <f>IF($B726="","",IFERROR(INDEX(智能流水!$H$2:$H$1001,MATCH($B726,智能流水!$B$2:$B$1001,0)),""))</f>
        <v/>
      </c>
      <c r="I726" s="19">
        <f>IF($B726="","",IFERROR(INDEX(智能流水!$I$2:$I$1001,MATCH($B726,智能流水!$B$2:$B$1001,0)),""))</f>
        <v/>
      </c>
      <c r="J726" s="19">
        <f>IF($B726="","",IFERROR(INDEX(智能流水!$J$2:$J$1001,MATCH($B726,智能流水!$B$2:$B$1001,0)),""))</f>
        <v/>
      </c>
      <c r="K726" s="19">
        <f>IF($B726="","",IFERROR(INDEX(智能流水!$K$2:$K$1001,MATCH($B726,智能流水!$B$2:$B$1001,0)),""))</f>
        <v/>
      </c>
      <c r="L726" s="19">
        <f>IF($B726="","",IFERROR(INDEX(智能流水!$L$2:$L$1001,MATCH($B726,智能流水!$B$2:$B$1001,0)),""))</f>
        <v/>
      </c>
      <c r="M726" s="19">
        <f>IF($B726="","",IFERROR(INDEX(智能流水!$M$2:$M$1001,MATCH($B726,智能流水!$B$2:$B$1001,0)),""))</f>
        <v/>
      </c>
      <c r="N726" s="19">
        <f>IF($B726="","",IFERROR(INDEX(智能流水!$N$2:$N$1001,MATCH($B726,智能流水!$B$2:$B$1001,0)),""))</f>
        <v/>
      </c>
      <c r="O726" s="19">
        <f>IF($B726="","",IFERROR(INDEX(智能流水!$O$2:$O$1001,MATCH($B726,智能流水!$B$2:$B$1001,0)),""))</f>
        <v/>
      </c>
    </row>
    <row r="727">
      <c r="A727" s="19">
        <f>IF($B727="","",726)</f>
        <v/>
      </c>
      <c r="B727" s="19">
        <f>IFERROR(LARGE(智能流水!$B$2:$B$1001,726),"")</f>
        <v/>
      </c>
      <c r="C727" s="19">
        <f>IF($B727="","",IFERROR(INDEX(智能流水!$C$2:$C$1001,MATCH($B727,智能流水!$B$2:$B$1001,0)),""))</f>
        <v/>
      </c>
      <c r="D727" s="19">
        <f>IF($B727="","",IFERROR(INDEX(智能流水!$D$2:$D$1001,MATCH($B727,智能流水!$B$2:$B$1001,0)),""))</f>
        <v/>
      </c>
      <c r="E727" s="19">
        <f>IF($B727="","",IFERROR(INDEX(智能流水!$E$2:$E$1001,MATCH($B727,智能流水!$B$2:$B$1001,0)),""))</f>
        <v/>
      </c>
      <c r="F727" s="19">
        <f>IF($B727="","",IFERROR(INDEX(智能流水!$F$2:$F$1001,MATCH($B727,智能流水!$B$2:$B$1001,0)),""))</f>
        <v/>
      </c>
      <c r="G727" s="19">
        <f>IF($B727="","",IFERROR(INDEX(智能流水!$G$2:$G$1001,MATCH($B727,智能流水!$B$2:$B$1001,0)),""))</f>
        <v/>
      </c>
      <c r="H727" s="19">
        <f>IF($B727="","",IFERROR(INDEX(智能流水!$H$2:$H$1001,MATCH($B727,智能流水!$B$2:$B$1001,0)),""))</f>
        <v/>
      </c>
      <c r="I727" s="19">
        <f>IF($B727="","",IFERROR(INDEX(智能流水!$I$2:$I$1001,MATCH($B727,智能流水!$B$2:$B$1001,0)),""))</f>
        <v/>
      </c>
      <c r="J727" s="19">
        <f>IF($B727="","",IFERROR(INDEX(智能流水!$J$2:$J$1001,MATCH($B727,智能流水!$B$2:$B$1001,0)),""))</f>
        <v/>
      </c>
      <c r="K727" s="19">
        <f>IF($B727="","",IFERROR(INDEX(智能流水!$K$2:$K$1001,MATCH($B727,智能流水!$B$2:$B$1001,0)),""))</f>
        <v/>
      </c>
      <c r="L727" s="19">
        <f>IF($B727="","",IFERROR(INDEX(智能流水!$L$2:$L$1001,MATCH($B727,智能流水!$B$2:$B$1001,0)),""))</f>
        <v/>
      </c>
      <c r="M727" s="19">
        <f>IF($B727="","",IFERROR(INDEX(智能流水!$M$2:$M$1001,MATCH($B727,智能流水!$B$2:$B$1001,0)),""))</f>
        <v/>
      </c>
      <c r="N727" s="19">
        <f>IF($B727="","",IFERROR(INDEX(智能流水!$N$2:$N$1001,MATCH($B727,智能流水!$B$2:$B$1001,0)),""))</f>
        <v/>
      </c>
      <c r="O727" s="19">
        <f>IF($B727="","",IFERROR(INDEX(智能流水!$O$2:$O$1001,MATCH($B727,智能流水!$B$2:$B$1001,0)),""))</f>
        <v/>
      </c>
    </row>
    <row r="728">
      <c r="A728" s="19">
        <f>IF($B728="","",727)</f>
        <v/>
      </c>
      <c r="B728" s="19">
        <f>IFERROR(LARGE(智能流水!$B$2:$B$1001,727),"")</f>
        <v/>
      </c>
      <c r="C728" s="19">
        <f>IF($B728="","",IFERROR(INDEX(智能流水!$C$2:$C$1001,MATCH($B728,智能流水!$B$2:$B$1001,0)),""))</f>
        <v/>
      </c>
      <c r="D728" s="19">
        <f>IF($B728="","",IFERROR(INDEX(智能流水!$D$2:$D$1001,MATCH($B728,智能流水!$B$2:$B$1001,0)),""))</f>
        <v/>
      </c>
      <c r="E728" s="19">
        <f>IF($B728="","",IFERROR(INDEX(智能流水!$E$2:$E$1001,MATCH($B728,智能流水!$B$2:$B$1001,0)),""))</f>
        <v/>
      </c>
      <c r="F728" s="19">
        <f>IF($B728="","",IFERROR(INDEX(智能流水!$F$2:$F$1001,MATCH($B728,智能流水!$B$2:$B$1001,0)),""))</f>
        <v/>
      </c>
      <c r="G728" s="19">
        <f>IF($B728="","",IFERROR(INDEX(智能流水!$G$2:$G$1001,MATCH($B728,智能流水!$B$2:$B$1001,0)),""))</f>
        <v/>
      </c>
      <c r="H728" s="19">
        <f>IF($B728="","",IFERROR(INDEX(智能流水!$H$2:$H$1001,MATCH($B728,智能流水!$B$2:$B$1001,0)),""))</f>
        <v/>
      </c>
      <c r="I728" s="19">
        <f>IF($B728="","",IFERROR(INDEX(智能流水!$I$2:$I$1001,MATCH($B728,智能流水!$B$2:$B$1001,0)),""))</f>
        <v/>
      </c>
      <c r="J728" s="19">
        <f>IF($B728="","",IFERROR(INDEX(智能流水!$J$2:$J$1001,MATCH($B728,智能流水!$B$2:$B$1001,0)),""))</f>
        <v/>
      </c>
      <c r="K728" s="19">
        <f>IF($B728="","",IFERROR(INDEX(智能流水!$K$2:$K$1001,MATCH($B728,智能流水!$B$2:$B$1001,0)),""))</f>
        <v/>
      </c>
      <c r="L728" s="19">
        <f>IF($B728="","",IFERROR(INDEX(智能流水!$L$2:$L$1001,MATCH($B728,智能流水!$B$2:$B$1001,0)),""))</f>
        <v/>
      </c>
      <c r="M728" s="19">
        <f>IF($B728="","",IFERROR(INDEX(智能流水!$M$2:$M$1001,MATCH($B728,智能流水!$B$2:$B$1001,0)),""))</f>
        <v/>
      </c>
      <c r="N728" s="19">
        <f>IF($B728="","",IFERROR(INDEX(智能流水!$N$2:$N$1001,MATCH($B728,智能流水!$B$2:$B$1001,0)),""))</f>
        <v/>
      </c>
      <c r="O728" s="19">
        <f>IF($B728="","",IFERROR(INDEX(智能流水!$O$2:$O$1001,MATCH($B728,智能流水!$B$2:$B$1001,0)),""))</f>
        <v/>
      </c>
    </row>
    <row r="729">
      <c r="A729" s="19">
        <f>IF($B729="","",728)</f>
        <v/>
      </c>
      <c r="B729" s="19">
        <f>IFERROR(LARGE(智能流水!$B$2:$B$1001,728),"")</f>
        <v/>
      </c>
      <c r="C729" s="19">
        <f>IF($B729="","",IFERROR(INDEX(智能流水!$C$2:$C$1001,MATCH($B729,智能流水!$B$2:$B$1001,0)),""))</f>
        <v/>
      </c>
      <c r="D729" s="19">
        <f>IF($B729="","",IFERROR(INDEX(智能流水!$D$2:$D$1001,MATCH($B729,智能流水!$B$2:$B$1001,0)),""))</f>
        <v/>
      </c>
      <c r="E729" s="19">
        <f>IF($B729="","",IFERROR(INDEX(智能流水!$E$2:$E$1001,MATCH($B729,智能流水!$B$2:$B$1001,0)),""))</f>
        <v/>
      </c>
      <c r="F729" s="19">
        <f>IF($B729="","",IFERROR(INDEX(智能流水!$F$2:$F$1001,MATCH($B729,智能流水!$B$2:$B$1001,0)),""))</f>
        <v/>
      </c>
      <c r="G729" s="19">
        <f>IF($B729="","",IFERROR(INDEX(智能流水!$G$2:$G$1001,MATCH($B729,智能流水!$B$2:$B$1001,0)),""))</f>
        <v/>
      </c>
      <c r="H729" s="19">
        <f>IF($B729="","",IFERROR(INDEX(智能流水!$H$2:$H$1001,MATCH($B729,智能流水!$B$2:$B$1001,0)),""))</f>
        <v/>
      </c>
      <c r="I729" s="19">
        <f>IF($B729="","",IFERROR(INDEX(智能流水!$I$2:$I$1001,MATCH($B729,智能流水!$B$2:$B$1001,0)),""))</f>
        <v/>
      </c>
      <c r="J729" s="19">
        <f>IF($B729="","",IFERROR(INDEX(智能流水!$J$2:$J$1001,MATCH($B729,智能流水!$B$2:$B$1001,0)),""))</f>
        <v/>
      </c>
      <c r="K729" s="19">
        <f>IF($B729="","",IFERROR(INDEX(智能流水!$K$2:$K$1001,MATCH($B729,智能流水!$B$2:$B$1001,0)),""))</f>
        <v/>
      </c>
      <c r="L729" s="19">
        <f>IF($B729="","",IFERROR(INDEX(智能流水!$L$2:$L$1001,MATCH($B729,智能流水!$B$2:$B$1001,0)),""))</f>
        <v/>
      </c>
      <c r="M729" s="19">
        <f>IF($B729="","",IFERROR(INDEX(智能流水!$M$2:$M$1001,MATCH($B729,智能流水!$B$2:$B$1001,0)),""))</f>
        <v/>
      </c>
      <c r="N729" s="19">
        <f>IF($B729="","",IFERROR(INDEX(智能流水!$N$2:$N$1001,MATCH($B729,智能流水!$B$2:$B$1001,0)),""))</f>
        <v/>
      </c>
      <c r="O729" s="19">
        <f>IF($B729="","",IFERROR(INDEX(智能流水!$O$2:$O$1001,MATCH($B729,智能流水!$B$2:$B$1001,0)),""))</f>
        <v/>
      </c>
    </row>
    <row r="730">
      <c r="A730" s="19">
        <f>IF($B730="","",729)</f>
        <v/>
      </c>
      <c r="B730" s="19">
        <f>IFERROR(LARGE(智能流水!$B$2:$B$1001,729),"")</f>
        <v/>
      </c>
      <c r="C730" s="19">
        <f>IF($B730="","",IFERROR(INDEX(智能流水!$C$2:$C$1001,MATCH($B730,智能流水!$B$2:$B$1001,0)),""))</f>
        <v/>
      </c>
      <c r="D730" s="19">
        <f>IF($B730="","",IFERROR(INDEX(智能流水!$D$2:$D$1001,MATCH($B730,智能流水!$B$2:$B$1001,0)),""))</f>
        <v/>
      </c>
      <c r="E730" s="19">
        <f>IF($B730="","",IFERROR(INDEX(智能流水!$E$2:$E$1001,MATCH($B730,智能流水!$B$2:$B$1001,0)),""))</f>
        <v/>
      </c>
      <c r="F730" s="19">
        <f>IF($B730="","",IFERROR(INDEX(智能流水!$F$2:$F$1001,MATCH($B730,智能流水!$B$2:$B$1001,0)),""))</f>
        <v/>
      </c>
      <c r="G730" s="19">
        <f>IF($B730="","",IFERROR(INDEX(智能流水!$G$2:$G$1001,MATCH($B730,智能流水!$B$2:$B$1001,0)),""))</f>
        <v/>
      </c>
      <c r="H730" s="19">
        <f>IF($B730="","",IFERROR(INDEX(智能流水!$H$2:$H$1001,MATCH($B730,智能流水!$B$2:$B$1001,0)),""))</f>
        <v/>
      </c>
      <c r="I730" s="19">
        <f>IF($B730="","",IFERROR(INDEX(智能流水!$I$2:$I$1001,MATCH($B730,智能流水!$B$2:$B$1001,0)),""))</f>
        <v/>
      </c>
      <c r="J730" s="19">
        <f>IF($B730="","",IFERROR(INDEX(智能流水!$J$2:$J$1001,MATCH($B730,智能流水!$B$2:$B$1001,0)),""))</f>
        <v/>
      </c>
      <c r="K730" s="19">
        <f>IF($B730="","",IFERROR(INDEX(智能流水!$K$2:$K$1001,MATCH($B730,智能流水!$B$2:$B$1001,0)),""))</f>
        <v/>
      </c>
      <c r="L730" s="19">
        <f>IF($B730="","",IFERROR(INDEX(智能流水!$L$2:$L$1001,MATCH($B730,智能流水!$B$2:$B$1001,0)),""))</f>
        <v/>
      </c>
      <c r="M730" s="19">
        <f>IF($B730="","",IFERROR(INDEX(智能流水!$M$2:$M$1001,MATCH($B730,智能流水!$B$2:$B$1001,0)),""))</f>
        <v/>
      </c>
      <c r="N730" s="19">
        <f>IF($B730="","",IFERROR(INDEX(智能流水!$N$2:$N$1001,MATCH($B730,智能流水!$B$2:$B$1001,0)),""))</f>
        <v/>
      </c>
      <c r="O730" s="19">
        <f>IF($B730="","",IFERROR(INDEX(智能流水!$O$2:$O$1001,MATCH($B730,智能流水!$B$2:$B$1001,0)),""))</f>
        <v/>
      </c>
    </row>
    <row r="731">
      <c r="A731" s="19">
        <f>IF($B731="","",730)</f>
        <v/>
      </c>
      <c r="B731" s="19">
        <f>IFERROR(LARGE(智能流水!$B$2:$B$1001,730),"")</f>
        <v/>
      </c>
      <c r="C731" s="19">
        <f>IF($B731="","",IFERROR(INDEX(智能流水!$C$2:$C$1001,MATCH($B731,智能流水!$B$2:$B$1001,0)),""))</f>
        <v/>
      </c>
      <c r="D731" s="19">
        <f>IF($B731="","",IFERROR(INDEX(智能流水!$D$2:$D$1001,MATCH($B731,智能流水!$B$2:$B$1001,0)),""))</f>
        <v/>
      </c>
      <c r="E731" s="19">
        <f>IF($B731="","",IFERROR(INDEX(智能流水!$E$2:$E$1001,MATCH($B731,智能流水!$B$2:$B$1001,0)),""))</f>
        <v/>
      </c>
      <c r="F731" s="19">
        <f>IF($B731="","",IFERROR(INDEX(智能流水!$F$2:$F$1001,MATCH($B731,智能流水!$B$2:$B$1001,0)),""))</f>
        <v/>
      </c>
      <c r="G731" s="19">
        <f>IF($B731="","",IFERROR(INDEX(智能流水!$G$2:$G$1001,MATCH($B731,智能流水!$B$2:$B$1001,0)),""))</f>
        <v/>
      </c>
      <c r="H731" s="19">
        <f>IF($B731="","",IFERROR(INDEX(智能流水!$H$2:$H$1001,MATCH($B731,智能流水!$B$2:$B$1001,0)),""))</f>
        <v/>
      </c>
      <c r="I731" s="19">
        <f>IF($B731="","",IFERROR(INDEX(智能流水!$I$2:$I$1001,MATCH($B731,智能流水!$B$2:$B$1001,0)),""))</f>
        <v/>
      </c>
      <c r="J731" s="19">
        <f>IF($B731="","",IFERROR(INDEX(智能流水!$J$2:$J$1001,MATCH($B731,智能流水!$B$2:$B$1001,0)),""))</f>
        <v/>
      </c>
      <c r="K731" s="19">
        <f>IF($B731="","",IFERROR(INDEX(智能流水!$K$2:$K$1001,MATCH($B731,智能流水!$B$2:$B$1001,0)),""))</f>
        <v/>
      </c>
      <c r="L731" s="19">
        <f>IF($B731="","",IFERROR(INDEX(智能流水!$L$2:$L$1001,MATCH($B731,智能流水!$B$2:$B$1001,0)),""))</f>
        <v/>
      </c>
      <c r="M731" s="19">
        <f>IF($B731="","",IFERROR(INDEX(智能流水!$M$2:$M$1001,MATCH($B731,智能流水!$B$2:$B$1001,0)),""))</f>
        <v/>
      </c>
      <c r="N731" s="19">
        <f>IF($B731="","",IFERROR(INDEX(智能流水!$N$2:$N$1001,MATCH($B731,智能流水!$B$2:$B$1001,0)),""))</f>
        <v/>
      </c>
      <c r="O731" s="19">
        <f>IF($B731="","",IFERROR(INDEX(智能流水!$O$2:$O$1001,MATCH($B731,智能流水!$B$2:$B$1001,0)),""))</f>
        <v/>
      </c>
    </row>
    <row r="732">
      <c r="A732" s="19">
        <f>IF($B732="","",731)</f>
        <v/>
      </c>
      <c r="B732" s="19">
        <f>IFERROR(LARGE(智能流水!$B$2:$B$1001,731),"")</f>
        <v/>
      </c>
      <c r="C732" s="19">
        <f>IF($B732="","",IFERROR(INDEX(智能流水!$C$2:$C$1001,MATCH($B732,智能流水!$B$2:$B$1001,0)),""))</f>
        <v/>
      </c>
      <c r="D732" s="19">
        <f>IF($B732="","",IFERROR(INDEX(智能流水!$D$2:$D$1001,MATCH($B732,智能流水!$B$2:$B$1001,0)),""))</f>
        <v/>
      </c>
      <c r="E732" s="19">
        <f>IF($B732="","",IFERROR(INDEX(智能流水!$E$2:$E$1001,MATCH($B732,智能流水!$B$2:$B$1001,0)),""))</f>
        <v/>
      </c>
      <c r="F732" s="19">
        <f>IF($B732="","",IFERROR(INDEX(智能流水!$F$2:$F$1001,MATCH($B732,智能流水!$B$2:$B$1001,0)),""))</f>
        <v/>
      </c>
      <c r="G732" s="19">
        <f>IF($B732="","",IFERROR(INDEX(智能流水!$G$2:$G$1001,MATCH($B732,智能流水!$B$2:$B$1001,0)),""))</f>
        <v/>
      </c>
      <c r="H732" s="19">
        <f>IF($B732="","",IFERROR(INDEX(智能流水!$H$2:$H$1001,MATCH($B732,智能流水!$B$2:$B$1001,0)),""))</f>
        <v/>
      </c>
      <c r="I732" s="19">
        <f>IF($B732="","",IFERROR(INDEX(智能流水!$I$2:$I$1001,MATCH($B732,智能流水!$B$2:$B$1001,0)),""))</f>
        <v/>
      </c>
      <c r="J732" s="19">
        <f>IF($B732="","",IFERROR(INDEX(智能流水!$J$2:$J$1001,MATCH($B732,智能流水!$B$2:$B$1001,0)),""))</f>
        <v/>
      </c>
      <c r="K732" s="19">
        <f>IF($B732="","",IFERROR(INDEX(智能流水!$K$2:$K$1001,MATCH($B732,智能流水!$B$2:$B$1001,0)),""))</f>
        <v/>
      </c>
      <c r="L732" s="19">
        <f>IF($B732="","",IFERROR(INDEX(智能流水!$L$2:$L$1001,MATCH($B732,智能流水!$B$2:$B$1001,0)),""))</f>
        <v/>
      </c>
      <c r="M732" s="19">
        <f>IF($B732="","",IFERROR(INDEX(智能流水!$M$2:$M$1001,MATCH($B732,智能流水!$B$2:$B$1001,0)),""))</f>
        <v/>
      </c>
      <c r="N732" s="19">
        <f>IF($B732="","",IFERROR(INDEX(智能流水!$N$2:$N$1001,MATCH($B732,智能流水!$B$2:$B$1001,0)),""))</f>
        <v/>
      </c>
      <c r="O732" s="19">
        <f>IF($B732="","",IFERROR(INDEX(智能流水!$O$2:$O$1001,MATCH($B732,智能流水!$B$2:$B$1001,0)),""))</f>
        <v/>
      </c>
    </row>
    <row r="733">
      <c r="A733" s="19">
        <f>IF($B733="","",732)</f>
        <v/>
      </c>
      <c r="B733" s="19">
        <f>IFERROR(LARGE(智能流水!$B$2:$B$1001,732),"")</f>
        <v/>
      </c>
      <c r="C733" s="19">
        <f>IF($B733="","",IFERROR(INDEX(智能流水!$C$2:$C$1001,MATCH($B733,智能流水!$B$2:$B$1001,0)),""))</f>
        <v/>
      </c>
      <c r="D733" s="19">
        <f>IF($B733="","",IFERROR(INDEX(智能流水!$D$2:$D$1001,MATCH($B733,智能流水!$B$2:$B$1001,0)),""))</f>
        <v/>
      </c>
      <c r="E733" s="19">
        <f>IF($B733="","",IFERROR(INDEX(智能流水!$E$2:$E$1001,MATCH($B733,智能流水!$B$2:$B$1001,0)),""))</f>
        <v/>
      </c>
      <c r="F733" s="19">
        <f>IF($B733="","",IFERROR(INDEX(智能流水!$F$2:$F$1001,MATCH($B733,智能流水!$B$2:$B$1001,0)),""))</f>
        <v/>
      </c>
      <c r="G733" s="19">
        <f>IF($B733="","",IFERROR(INDEX(智能流水!$G$2:$G$1001,MATCH($B733,智能流水!$B$2:$B$1001,0)),""))</f>
        <v/>
      </c>
      <c r="H733" s="19">
        <f>IF($B733="","",IFERROR(INDEX(智能流水!$H$2:$H$1001,MATCH($B733,智能流水!$B$2:$B$1001,0)),""))</f>
        <v/>
      </c>
      <c r="I733" s="19">
        <f>IF($B733="","",IFERROR(INDEX(智能流水!$I$2:$I$1001,MATCH($B733,智能流水!$B$2:$B$1001,0)),""))</f>
        <v/>
      </c>
      <c r="J733" s="19">
        <f>IF($B733="","",IFERROR(INDEX(智能流水!$J$2:$J$1001,MATCH($B733,智能流水!$B$2:$B$1001,0)),""))</f>
        <v/>
      </c>
      <c r="K733" s="19">
        <f>IF($B733="","",IFERROR(INDEX(智能流水!$K$2:$K$1001,MATCH($B733,智能流水!$B$2:$B$1001,0)),""))</f>
        <v/>
      </c>
      <c r="L733" s="19">
        <f>IF($B733="","",IFERROR(INDEX(智能流水!$L$2:$L$1001,MATCH($B733,智能流水!$B$2:$B$1001,0)),""))</f>
        <v/>
      </c>
      <c r="M733" s="19">
        <f>IF($B733="","",IFERROR(INDEX(智能流水!$M$2:$M$1001,MATCH($B733,智能流水!$B$2:$B$1001,0)),""))</f>
        <v/>
      </c>
      <c r="N733" s="19">
        <f>IF($B733="","",IFERROR(INDEX(智能流水!$N$2:$N$1001,MATCH($B733,智能流水!$B$2:$B$1001,0)),""))</f>
        <v/>
      </c>
      <c r="O733" s="19">
        <f>IF($B733="","",IFERROR(INDEX(智能流水!$O$2:$O$1001,MATCH($B733,智能流水!$B$2:$B$1001,0)),""))</f>
        <v/>
      </c>
    </row>
    <row r="734">
      <c r="A734" s="19">
        <f>IF($B734="","",733)</f>
        <v/>
      </c>
      <c r="B734" s="19">
        <f>IFERROR(LARGE(智能流水!$B$2:$B$1001,733),"")</f>
        <v/>
      </c>
      <c r="C734" s="19">
        <f>IF($B734="","",IFERROR(INDEX(智能流水!$C$2:$C$1001,MATCH($B734,智能流水!$B$2:$B$1001,0)),""))</f>
        <v/>
      </c>
      <c r="D734" s="19">
        <f>IF($B734="","",IFERROR(INDEX(智能流水!$D$2:$D$1001,MATCH($B734,智能流水!$B$2:$B$1001,0)),""))</f>
        <v/>
      </c>
      <c r="E734" s="19">
        <f>IF($B734="","",IFERROR(INDEX(智能流水!$E$2:$E$1001,MATCH($B734,智能流水!$B$2:$B$1001,0)),""))</f>
        <v/>
      </c>
      <c r="F734" s="19">
        <f>IF($B734="","",IFERROR(INDEX(智能流水!$F$2:$F$1001,MATCH($B734,智能流水!$B$2:$B$1001,0)),""))</f>
        <v/>
      </c>
      <c r="G734" s="19">
        <f>IF($B734="","",IFERROR(INDEX(智能流水!$G$2:$G$1001,MATCH($B734,智能流水!$B$2:$B$1001,0)),""))</f>
        <v/>
      </c>
      <c r="H734" s="19">
        <f>IF($B734="","",IFERROR(INDEX(智能流水!$H$2:$H$1001,MATCH($B734,智能流水!$B$2:$B$1001,0)),""))</f>
        <v/>
      </c>
      <c r="I734" s="19">
        <f>IF($B734="","",IFERROR(INDEX(智能流水!$I$2:$I$1001,MATCH($B734,智能流水!$B$2:$B$1001,0)),""))</f>
        <v/>
      </c>
      <c r="J734" s="19">
        <f>IF($B734="","",IFERROR(INDEX(智能流水!$J$2:$J$1001,MATCH($B734,智能流水!$B$2:$B$1001,0)),""))</f>
        <v/>
      </c>
      <c r="K734" s="19">
        <f>IF($B734="","",IFERROR(INDEX(智能流水!$K$2:$K$1001,MATCH($B734,智能流水!$B$2:$B$1001,0)),""))</f>
        <v/>
      </c>
      <c r="L734" s="19">
        <f>IF($B734="","",IFERROR(INDEX(智能流水!$L$2:$L$1001,MATCH($B734,智能流水!$B$2:$B$1001,0)),""))</f>
        <v/>
      </c>
      <c r="M734" s="19">
        <f>IF($B734="","",IFERROR(INDEX(智能流水!$M$2:$M$1001,MATCH($B734,智能流水!$B$2:$B$1001,0)),""))</f>
        <v/>
      </c>
      <c r="N734" s="19">
        <f>IF($B734="","",IFERROR(INDEX(智能流水!$N$2:$N$1001,MATCH($B734,智能流水!$B$2:$B$1001,0)),""))</f>
        <v/>
      </c>
      <c r="O734" s="19">
        <f>IF($B734="","",IFERROR(INDEX(智能流水!$O$2:$O$1001,MATCH($B734,智能流水!$B$2:$B$1001,0)),""))</f>
        <v/>
      </c>
    </row>
    <row r="735">
      <c r="A735" s="19">
        <f>IF($B735="","",734)</f>
        <v/>
      </c>
      <c r="B735" s="19">
        <f>IFERROR(LARGE(智能流水!$B$2:$B$1001,734),"")</f>
        <v/>
      </c>
      <c r="C735" s="19">
        <f>IF($B735="","",IFERROR(INDEX(智能流水!$C$2:$C$1001,MATCH($B735,智能流水!$B$2:$B$1001,0)),""))</f>
        <v/>
      </c>
      <c r="D735" s="19">
        <f>IF($B735="","",IFERROR(INDEX(智能流水!$D$2:$D$1001,MATCH($B735,智能流水!$B$2:$B$1001,0)),""))</f>
        <v/>
      </c>
      <c r="E735" s="19">
        <f>IF($B735="","",IFERROR(INDEX(智能流水!$E$2:$E$1001,MATCH($B735,智能流水!$B$2:$B$1001,0)),""))</f>
        <v/>
      </c>
      <c r="F735" s="19">
        <f>IF($B735="","",IFERROR(INDEX(智能流水!$F$2:$F$1001,MATCH($B735,智能流水!$B$2:$B$1001,0)),""))</f>
        <v/>
      </c>
      <c r="G735" s="19">
        <f>IF($B735="","",IFERROR(INDEX(智能流水!$G$2:$G$1001,MATCH($B735,智能流水!$B$2:$B$1001,0)),""))</f>
        <v/>
      </c>
      <c r="H735" s="19">
        <f>IF($B735="","",IFERROR(INDEX(智能流水!$H$2:$H$1001,MATCH($B735,智能流水!$B$2:$B$1001,0)),""))</f>
        <v/>
      </c>
      <c r="I735" s="19">
        <f>IF($B735="","",IFERROR(INDEX(智能流水!$I$2:$I$1001,MATCH($B735,智能流水!$B$2:$B$1001,0)),""))</f>
        <v/>
      </c>
      <c r="J735" s="19">
        <f>IF($B735="","",IFERROR(INDEX(智能流水!$J$2:$J$1001,MATCH($B735,智能流水!$B$2:$B$1001,0)),""))</f>
        <v/>
      </c>
      <c r="K735" s="19">
        <f>IF($B735="","",IFERROR(INDEX(智能流水!$K$2:$K$1001,MATCH($B735,智能流水!$B$2:$B$1001,0)),""))</f>
        <v/>
      </c>
      <c r="L735" s="19">
        <f>IF($B735="","",IFERROR(INDEX(智能流水!$L$2:$L$1001,MATCH($B735,智能流水!$B$2:$B$1001,0)),""))</f>
        <v/>
      </c>
      <c r="M735" s="19">
        <f>IF($B735="","",IFERROR(INDEX(智能流水!$M$2:$M$1001,MATCH($B735,智能流水!$B$2:$B$1001,0)),""))</f>
        <v/>
      </c>
      <c r="N735" s="19">
        <f>IF($B735="","",IFERROR(INDEX(智能流水!$N$2:$N$1001,MATCH($B735,智能流水!$B$2:$B$1001,0)),""))</f>
        <v/>
      </c>
      <c r="O735" s="19">
        <f>IF($B735="","",IFERROR(INDEX(智能流水!$O$2:$O$1001,MATCH($B735,智能流水!$B$2:$B$1001,0)),""))</f>
        <v/>
      </c>
    </row>
    <row r="736">
      <c r="A736" s="19">
        <f>IF($B736="","",735)</f>
        <v/>
      </c>
      <c r="B736" s="19">
        <f>IFERROR(LARGE(智能流水!$B$2:$B$1001,735),"")</f>
        <v/>
      </c>
      <c r="C736" s="19">
        <f>IF($B736="","",IFERROR(INDEX(智能流水!$C$2:$C$1001,MATCH($B736,智能流水!$B$2:$B$1001,0)),""))</f>
        <v/>
      </c>
      <c r="D736" s="19">
        <f>IF($B736="","",IFERROR(INDEX(智能流水!$D$2:$D$1001,MATCH($B736,智能流水!$B$2:$B$1001,0)),""))</f>
        <v/>
      </c>
      <c r="E736" s="19">
        <f>IF($B736="","",IFERROR(INDEX(智能流水!$E$2:$E$1001,MATCH($B736,智能流水!$B$2:$B$1001,0)),""))</f>
        <v/>
      </c>
      <c r="F736" s="19">
        <f>IF($B736="","",IFERROR(INDEX(智能流水!$F$2:$F$1001,MATCH($B736,智能流水!$B$2:$B$1001,0)),""))</f>
        <v/>
      </c>
      <c r="G736" s="19">
        <f>IF($B736="","",IFERROR(INDEX(智能流水!$G$2:$G$1001,MATCH($B736,智能流水!$B$2:$B$1001,0)),""))</f>
        <v/>
      </c>
      <c r="H736" s="19">
        <f>IF($B736="","",IFERROR(INDEX(智能流水!$H$2:$H$1001,MATCH($B736,智能流水!$B$2:$B$1001,0)),""))</f>
        <v/>
      </c>
      <c r="I736" s="19">
        <f>IF($B736="","",IFERROR(INDEX(智能流水!$I$2:$I$1001,MATCH($B736,智能流水!$B$2:$B$1001,0)),""))</f>
        <v/>
      </c>
      <c r="J736" s="19">
        <f>IF($B736="","",IFERROR(INDEX(智能流水!$J$2:$J$1001,MATCH($B736,智能流水!$B$2:$B$1001,0)),""))</f>
        <v/>
      </c>
      <c r="K736" s="19">
        <f>IF($B736="","",IFERROR(INDEX(智能流水!$K$2:$K$1001,MATCH($B736,智能流水!$B$2:$B$1001,0)),""))</f>
        <v/>
      </c>
      <c r="L736" s="19">
        <f>IF($B736="","",IFERROR(INDEX(智能流水!$L$2:$L$1001,MATCH($B736,智能流水!$B$2:$B$1001,0)),""))</f>
        <v/>
      </c>
      <c r="M736" s="19">
        <f>IF($B736="","",IFERROR(INDEX(智能流水!$M$2:$M$1001,MATCH($B736,智能流水!$B$2:$B$1001,0)),""))</f>
        <v/>
      </c>
      <c r="N736" s="19">
        <f>IF($B736="","",IFERROR(INDEX(智能流水!$N$2:$N$1001,MATCH($B736,智能流水!$B$2:$B$1001,0)),""))</f>
        <v/>
      </c>
      <c r="O736" s="19">
        <f>IF($B736="","",IFERROR(INDEX(智能流水!$O$2:$O$1001,MATCH($B736,智能流水!$B$2:$B$1001,0)),""))</f>
        <v/>
      </c>
    </row>
    <row r="737">
      <c r="A737" s="19">
        <f>IF($B737="","",736)</f>
        <v/>
      </c>
      <c r="B737" s="19">
        <f>IFERROR(LARGE(智能流水!$B$2:$B$1001,736),"")</f>
        <v/>
      </c>
      <c r="C737" s="19">
        <f>IF($B737="","",IFERROR(INDEX(智能流水!$C$2:$C$1001,MATCH($B737,智能流水!$B$2:$B$1001,0)),""))</f>
        <v/>
      </c>
      <c r="D737" s="19">
        <f>IF($B737="","",IFERROR(INDEX(智能流水!$D$2:$D$1001,MATCH($B737,智能流水!$B$2:$B$1001,0)),""))</f>
        <v/>
      </c>
      <c r="E737" s="19">
        <f>IF($B737="","",IFERROR(INDEX(智能流水!$E$2:$E$1001,MATCH($B737,智能流水!$B$2:$B$1001,0)),""))</f>
        <v/>
      </c>
      <c r="F737" s="19">
        <f>IF($B737="","",IFERROR(INDEX(智能流水!$F$2:$F$1001,MATCH($B737,智能流水!$B$2:$B$1001,0)),""))</f>
        <v/>
      </c>
      <c r="G737" s="19">
        <f>IF($B737="","",IFERROR(INDEX(智能流水!$G$2:$G$1001,MATCH($B737,智能流水!$B$2:$B$1001,0)),""))</f>
        <v/>
      </c>
      <c r="H737" s="19">
        <f>IF($B737="","",IFERROR(INDEX(智能流水!$H$2:$H$1001,MATCH($B737,智能流水!$B$2:$B$1001,0)),""))</f>
        <v/>
      </c>
      <c r="I737" s="19">
        <f>IF($B737="","",IFERROR(INDEX(智能流水!$I$2:$I$1001,MATCH($B737,智能流水!$B$2:$B$1001,0)),""))</f>
        <v/>
      </c>
      <c r="J737" s="19">
        <f>IF($B737="","",IFERROR(INDEX(智能流水!$J$2:$J$1001,MATCH($B737,智能流水!$B$2:$B$1001,0)),""))</f>
        <v/>
      </c>
      <c r="K737" s="19">
        <f>IF($B737="","",IFERROR(INDEX(智能流水!$K$2:$K$1001,MATCH($B737,智能流水!$B$2:$B$1001,0)),""))</f>
        <v/>
      </c>
      <c r="L737" s="19">
        <f>IF($B737="","",IFERROR(INDEX(智能流水!$L$2:$L$1001,MATCH($B737,智能流水!$B$2:$B$1001,0)),""))</f>
        <v/>
      </c>
      <c r="M737" s="19">
        <f>IF($B737="","",IFERROR(INDEX(智能流水!$M$2:$M$1001,MATCH($B737,智能流水!$B$2:$B$1001,0)),""))</f>
        <v/>
      </c>
      <c r="N737" s="19">
        <f>IF($B737="","",IFERROR(INDEX(智能流水!$N$2:$N$1001,MATCH($B737,智能流水!$B$2:$B$1001,0)),""))</f>
        <v/>
      </c>
      <c r="O737" s="19">
        <f>IF($B737="","",IFERROR(INDEX(智能流水!$O$2:$O$1001,MATCH($B737,智能流水!$B$2:$B$1001,0)),""))</f>
        <v/>
      </c>
    </row>
    <row r="738">
      <c r="A738" s="19">
        <f>IF($B738="","",737)</f>
        <v/>
      </c>
      <c r="B738" s="19">
        <f>IFERROR(LARGE(智能流水!$B$2:$B$1001,737),"")</f>
        <v/>
      </c>
      <c r="C738" s="19">
        <f>IF($B738="","",IFERROR(INDEX(智能流水!$C$2:$C$1001,MATCH($B738,智能流水!$B$2:$B$1001,0)),""))</f>
        <v/>
      </c>
      <c r="D738" s="19">
        <f>IF($B738="","",IFERROR(INDEX(智能流水!$D$2:$D$1001,MATCH($B738,智能流水!$B$2:$B$1001,0)),""))</f>
        <v/>
      </c>
      <c r="E738" s="19">
        <f>IF($B738="","",IFERROR(INDEX(智能流水!$E$2:$E$1001,MATCH($B738,智能流水!$B$2:$B$1001,0)),""))</f>
        <v/>
      </c>
      <c r="F738" s="19">
        <f>IF($B738="","",IFERROR(INDEX(智能流水!$F$2:$F$1001,MATCH($B738,智能流水!$B$2:$B$1001,0)),""))</f>
        <v/>
      </c>
      <c r="G738" s="19">
        <f>IF($B738="","",IFERROR(INDEX(智能流水!$G$2:$G$1001,MATCH($B738,智能流水!$B$2:$B$1001,0)),""))</f>
        <v/>
      </c>
      <c r="H738" s="19">
        <f>IF($B738="","",IFERROR(INDEX(智能流水!$H$2:$H$1001,MATCH($B738,智能流水!$B$2:$B$1001,0)),""))</f>
        <v/>
      </c>
      <c r="I738" s="19">
        <f>IF($B738="","",IFERROR(INDEX(智能流水!$I$2:$I$1001,MATCH($B738,智能流水!$B$2:$B$1001,0)),""))</f>
        <v/>
      </c>
      <c r="J738" s="19">
        <f>IF($B738="","",IFERROR(INDEX(智能流水!$J$2:$J$1001,MATCH($B738,智能流水!$B$2:$B$1001,0)),""))</f>
        <v/>
      </c>
      <c r="K738" s="19">
        <f>IF($B738="","",IFERROR(INDEX(智能流水!$K$2:$K$1001,MATCH($B738,智能流水!$B$2:$B$1001,0)),""))</f>
        <v/>
      </c>
      <c r="L738" s="19">
        <f>IF($B738="","",IFERROR(INDEX(智能流水!$L$2:$L$1001,MATCH($B738,智能流水!$B$2:$B$1001,0)),""))</f>
        <v/>
      </c>
      <c r="M738" s="19">
        <f>IF($B738="","",IFERROR(INDEX(智能流水!$M$2:$M$1001,MATCH($B738,智能流水!$B$2:$B$1001,0)),""))</f>
        <v/>
      </c>
      <c r="N738" s="19">
        <f>IF($B738="","",IFERROR(INDEX(智能流水!$N$2:$N$1001,MATCH($B738,智能流水!$B$2:$B$1001,0)),""))</f>
        <v/>
      </c>
      <c r="O738" s="19">
        <f>IF($B738="","",IFERROR(INDEX(智能流水!$O$2:$O$1001,MATCH($B738,智能流水!$B$2:$B$1001,0)),""))</f>
        <v/>
      </c>
    </row>
    <row r="739">
      <c r="A739" s="19">
        <f>IF($B739="","",738)</f>
        <v/>
      </c>
      <c r="B739" s="19">
        <f>IFERROR(LARGE(智能流水!$B$2:$B$1001,738),"")</f>
        <v/>
      </c>
      <c r="C739" s="19">
        <f>IF($B739="","",IFERROR(INDEX(智能流水!$C$2:$C$1001,MATCH($B739,智能流水!$B$2:$B$1001,0)),""))</f>
        <v/>
      </c>
      <c r="D739" s="19">
        <f>IF($B739="","",IFERROR(INDEX(智能流水!$D$2:$D$1001,MATCH($B739,智能流水!$B$2:$B$1001,0)),""))</f>
        <v/>
      </c>
      <c r="E739" s="19">
        <f>IF($B739="","",IFERROR(INDEX(智能流水!$E$2:$E$1001,MATCH($B739,智能流水!$B$2:$B$1001,0)),""))</f>
        <v/>
      </c>
      <c r="F739" s="19">
        <f>IF($B739="","",IFERROR(INDEX(智能流水!$F$2:$F$1001,MATCH($B739,智能流水!$B$2:$B$1001,0)),""))</f>
        <v/>
      </c>
      <c r="G739" s="19">
        <f>IF($B739="","",IFERROR(INDEX(智能流水!$G$2:$G$1001,MATCH($B739,智能流水!$B$2:$B$1001,0)),""))</f>
        <v/>
      </c>
      <c r="H739" s="19">
        <f>IF($B739="","",IFERROR(INDEX(智能流水!$H$2:$H$1001,MATCH($B739,智能流水!$B$2:$B$1001,0)),""))</f>
        <v/>
      </c>
      <c r="I739" s="19">
        <f>IF($B739="","",IFERROR(INDEX(智能流水!$I$2:$I$1001,MATCH($B739,智能流水!$B$2:$B$1001,0)),""))</f>
        <v/>
      </c>
      <c r="J739" s="19">
        <f>IF($B739="","",IFERROR(INDEX(智能流水!$J$2:$J$1001,MATCH($B739,智能流水!$B$2:$B$1001,0)),""))</f>
        <v/>
      </c>
      <c r="K739" s="19">
        <f>IF($B739="","",IFERROR(INDEX(智能流水!$K$2:$K$1001,MATCH($B739,智能流水!$B$2:$B$1001,0)),""))</f>
        <v/>
      </c>
      <c r="L739" s="19">
        <f>IF($B739="","",IFERROR(INDEX(智能流水!$L$2:$L$1001,MATCH($B739,智能流水!$B$2:$B$1001,0)),""))</f>
        <v/>
      </c>
      <c r="M739" s="19">
        <f>IF($B739="","",IFERROR(INDEX(智能流水!$M$2:$M$1001,MATCH($B739,智能流水!$B$2:$B$1001,0)),""))</f>
        <v/>
      </c>
      <c r="N739" s="19">
        <f>IF($B739="","",IFERROR(INDEX(智能流水!$N$2:$N$1001,MATCH($B739,智能流水!$B$2:$B$1001,0)),""))</f>
        <v/>
      </c>
      <c r="O739" s="19">
        <f>IF($B739="","",IFERROR(INDEX(智能流水!$O$2:$O$1001,MATCH($B739,智能流水!$B$2:$B$1001,0)),""))</f>
        <v/>
      </c>
    </row>
    <row r="740">
      <c r="A740" s="19">
        <f>IF($B740="","",739)</f>
        <v/>
      </c>
      <c r="B740" s="19">
        <f>IFERROR(LARGE(智能流水!$B$2:$B$1001,739),"")</f>
        <v/>
      </c>
      <c r="C740" s="19">
        <f>IF($B740="","",IFERROR(INDEX(智能流水!$C$2:$C$1001,MATCH($B740,智能流水!$B$2:$B$1001,0)),""))</f>
        <v/>
      </c>
      <c r="D740" s="19">
        <f>IF($B740="","",IFERROR(INDEX(智能流水!$D$2:$D$1001,MATCH($B740,智能流水!$B$2:$B$1001,0)),""))</f>
        <v/>
      </c>
      <c r="E740" s="19">
        <f>IF($B740="","",IFERROR(INDEX(智能流水!$E$2:$E$1001,MATCH($B740,智能流水!$B$2:$B$1001,0)),""))</f>
        <v/>
      </c>
      <c r="F740" s="19">
        <f>IF($B740="","",IFERROR(INDEX(智能流水!$F$2:$F$1001,MATCH($B740,智能流水!$B$2:$B$1001,0)),""))</f>
        <v/>
      </c>
      <c r="G740" s="19">
        <f>IF($B740="","",IFERROR(INDEX(智能流水!$G$2:$G$1001,MATCH($B740,智能流水!$B$2:$B$1001,0)),""))</f>
        <v/>
      </c>
      <c r="H740" s="19">
        <f>IF($B740="","",IFERROR(INDEX(智能流水!$H$2:$H$1001,MATCH($B740,智能流水!$B$2:$B$1001,0)),""))</f>
        <v/>
      </c>
      <c r="I740" s="19">
        <f>IF($B740="","",IFERROR(INDEX(智能流水!$I$2:$I$1001,MATCH($B740,智能流水!$B$2:$B$1001,0)),""))</f>
        <v/>
      </c>
      <c r="J740" s="19">
        <f>IF($B740="","",IFERROR(INDEX(智能流水!$J$2:$J$1001,MATCH($B740,智能流水!$B$2:$B$1001,0)),""))</f>
        <v/>
      </c>
      <c r="K740" s="19">
        <f>IF($B740="","",IFERROR(INDEX(智能流水!$K$2:$K$1001,MATCH($B740,智能流水!$B$2:$B$1001,0)),""))</f>
        <v/>
      </c>
      <c r="L740" s="19">
        <f>IF($B740="","",IFERROR(INDEX(智能流水!$L$2:$L$1001,MATCH($B740,智能流水!$B$2:$B$1001,0)),""))</f>
        <v/>
      </c>
      <c r="M740" s="19">
        <f>IF($B740="","",IFERROR(INDEX(智能流水!$M$2:$M$1001,MATCH($B740,智能流水!$B$2:$B$1001,0)),""))</f>
        <v/>
      </c>
      <c r="N740" s="19">
        <f>IF($B740="","",IFERROR(INDEX(智能流水!$N$2:$N$1001,MATCH($B740,智能流水!$B$2:$B$1001,0)),""))</f>
        <v/>
      </c>
      <c r="O740" s="19">
        <f>IF($B740="","",IFERROR(INDEX(智能流水!$O$2:$O$1001,MATCH($B740,智能流水!$B$2:$B$1001,0)),""))</f>
        <v/>
      </c>
    </row>
    <row r="741">
      <c r="A741" s="19">
        <f>IF($B741="","",740)</f>
        <v/>
      </c>
      <c r="B741" s="19">
        <f>IFERROR(LARGE(智能流水!$B$2:$B$1001,740),"")</f>
        <v/>
      </c>
      <c r="C741" s="19">
        <f>IF($B741="","",IFERROR(INDEX(智能流水!$C$2:$C$1001,MATCH($B741,智能流水!$B$2:$B$1001,0)),""))</f>
        <v/>
      </c>
      <c r="D741" s="19">
        <f>IF($B741="","",IFERROR(INDEX(智能流水!$D$2:$D$1001,MATCH($B741,智能流水!$B$2:$B$1001,0)),""))</f>
        <v/>
      </c>
      <c r="E741" s="19">
        <f>IF($B741="","",IFERROR(INDEX(智能流水!$E$2:$E$1001,MATCH($B741,智能流水!$B$2:$B$1001,0)),""))</f>
        <v/>
      </c>
      <c r="F741" s="19">
        <f>IF($B741="","",IFERROR(INDEX(智能流水!$F$2:$F$1001,MATCH($B741,智能流水!$B$2:$B$1001,0)),""))</f>
        <v/>
      </c>
      <c r="G741" s="19">
        <f>IF($B741="","",IFERROR(INDEX(智能流水!$G$2:$G$1001,MATCH($B741,智能流水!$B$2:$B$1001,0)),""))</f>
        <v/>
      </c>
      <c r="H741" s="19">
        <f>IF($B741="","",IFERROR(INDEX(智能流水!$H$2:$H$1001,MATCH($B741,智能流水!$B$2:$B$1001,0)),""))</f>
        <v/>
      </c>
      <c r="I741" s="19">
        <f>IF($B741="","",IFERROR(INDEX(智能流水!$I$2:$I$1001,MATCH($B741,智能流水!$B$2:$B$1001,0)),""))</f>
        <v/>
      </c>
      <c r="J741" s="19">
        <f>IF($B741="","",IFERROR(INDEX(智能流水!$J$2:$J$1001,MATCH($B741,智能流水!$B$2:$B$1001,0)),""))</f>
        <v/>
      </c>
      <c r="K741" s="19">
        <f>IF($B741="","",IFERROR(INDEX(智能流水!$K$2:$K$1001,MATCH($B741,智能流水!$B$2:$B$1001,0)),""))</f>
        <v/>
      </c>
      <c r="L741" s="19">
        <f>IF($B741="","",IFERROR(INDEX(智能流水!$L$2:$L$1001,MATCH($B741,智能流水!$B$2:$B$1001,0)),""))</f>
        <v/>
      </c>
      <c r="M741" s="19">
        <f>IF($B741="","",IFERROR(INDEX(智能流水!$M$2:$M$1001,MATCH($B741,智能流水!$B$2:$B$1001,0)),""))</f>
        <v/>
      </c>
      <c r="N741" s="19">
        <f>IF($B741="","",IFERROR(INDEX(智能流水!$N$2:$N$1001,MATCH($B741,智能流水!$B$2:$B$1001,0)),""))</f>
        <v/>
      </c>
      <c r="O741" s="19">
        <f>IF($B741="","",IFERROR(INDEX(智能流水!$O$2:$O$1001,MATCH($B741,智能流水!$B$2:$B$1001,0)),""))</f>
        <v/>
      </c>
    </row>
    <row r="742">
      <c r="A742" s="19">
        <f>IF($B742="","",741)</f>
        <v/>
      </c>
      <c r="B742" s="19">
        <f>IFERROR(LARGE(智能流水!$B$2:$B$1001,741),"")</f>
        <v/>
      </c>
      <c r="C742" s="19">
        <f>IF($B742="","",IFERROR(INDEX(智能流水!$C$2:$C$1001,MATCH($B742,智能流水!$B$2:$B$1001,0)),""))</f>
        <v/>
      </c>
      <c r="D742" s="19">
        <f>IF($B742="","",IFERROR(INDEX(智能流水!$D$2:$D$1001,MATCH($B742,智能流水!$B$2:$B$1001,0)),""))</f>
        <v/>
      </c>
      <c r="E742" s="19">
        <f>IF($B742="","",IFERROR(INDEX(智能流水!$E$2:$E$1001,MATCH($B742,智能流水!$B$2:$B$1001,0)),""))</f>
        <v/>
      </c>
      <c r="F742" s="19">
        <f>IF($B742="","",IFERROR(INDEX(智能流水!$F$2:$F$1001,MATCH($B742,智能流水!$B$2:$B$1001,0)),""))</f>
        <v/>
      </c>
      <c r="G742" s="19">
        <f>IF($B742="","",IFERROR(INDEX(智能流水!$G$2:$G$1001,MATCH($B742,智能流水!$B$2:$B$1001,0)),""))</f>
        <v/>
      </c>
      <c r="H742" s="19">
        <f>IF($B742="","",IFERROR(INDEX(智能流水!$H$2:$H$1001,MATCH($B742,智能流水!$B$2:$B$1001,0)),""))</f>
        <v/>
      </c>
      <c r="I742" s="19">
        <f>IF($B742="","",IFERROR(INDEX(智能流水!$I$2:$I$1001,MATCH($B742,智能流水!$B$2:$B$1001,0)),""))</f>
        <v/>
      </c>
      <c r="J742" s="19">
        <f>IF($B742="","",IFERROR(INDEX(智能流水!$J$2:$J$1001,MATCH($B742,智能流水!$B$2:$B$1001,0)),""))</f>
        <v/>
      </c>
      <c r="K742" s="19">
        <f>IF($B742="","",IFERROR(INDEX(智能流水!$K$2:$K$1001,MATCH($B742,智能流水!$B$2:$B$1001,0)),""))</f>
        <v/>
      </c>
      <c r="L742" s="19">
        <f>IF($B742="","",IFERROR(INDEX(智能流水!$L$2:$L$1001,MATCH($B742,智能流水!$B$2:$B$1001,0)),""))</f>
        <v/>
      </c>
      <c r="M742" s="19">
        <f>IF($B742="","",IFERROR(INDEX(智能流水!$M$2:$M$1001,MATCH($B742,智能流水!$B$2:$B$1001,0)),""))</f>
        <v/>
      </c>
      <c r="N742" s="19">
        <f>IF($B742="","",IFERROR(INDEX(智能流水!$N$2:$N$1001,MATCH($B742,智能流水!$B$2:$B$1001,0)),""))</f>
        <v/>
      </c>
      <c r="O742" s="19">
        <f>IF($B742="","",IFERROR(INDEX(智能流水!$O$2:$O$1001,MATCH($B742,智能流水!$B$2:$B$1001,0)),""))</f>
        <v/>
      </c>
    </row>
    <row r="743">
      <c r="A743" s="19">
        <f>IF($B743="","",742)</f>
        <v/>
      </c>
      <c r="B743" s="19">
        <f>IFERROR(LARGE(智能流水!$B$2:$B$1001,742),"")</f>
        <v/>
      </c>
      <c r="C743" s="19">
        <f>IF($B743="","",IFERROR(INDEX(智能流水!$C$2:$C$1001,MATCH($B743,智能流水!$B$2:$B$1001,0)),""))</f>
        <v/>
      </c>
      <c r="D743" s="19">
        <f>IF($B743="","",IFERROR(INDEX(智能流水!$D$2:$D$1001,MATCH($B743,智能流水!$B$2:$B$1001,0)),""))</f>
        <v/>
      </c>
      <c r="E743" s="19">
        <f>IF($B743="","",IFERROR(INDEX(智能流水!$E$2:$E$1001,MATCH($B743,智能流水!$B$2:$B$1001,0)),""))</f>
        <v/>
      </c>
      <c r="F743" s="19">
        <f>IF($B743="","",IFERROR(INDEX(智能流水!$F$2:$F$1001,MATCH($B743,智能流水!$B$2:$B$1001,0)),""))</f>
        <v/>
      </c>
      <c r="G743" s="19">
        <f>IF($B743="","",IFERROR(INDEX(智能流水!$G$2:$G$1001,MATCH($B743,智能流水!$B$2:$B$1001,0)),""))</f>
        <v/>
      </c>
      <c r="H743" s="19">
        <f>IF($B743="","",IFERROR(INDEX(智能流水!$H$2:$H$1001,MATCH($B743,智能流水!$B$2:$B$1001,0)),""))</f>
        <v/>
      </c>
      <c r="I743" s="19">
        <f>IF($B743="","",IFERROR(INDEX(智能流水!$I$2:$I$1001,MATCH($B743,智能流水!$B$2:$B$1001,0)),""))</f>
        <v/>
      </c>
      <c r="J743" s="19">
        <f>IF($B743="","",IFERROR(INDEX(智能流水!$J$2:$J$1001,MATCH($B743,智能流水!$B$2:$B$1001,0)),""))</f>
        <v/>
      </c>
      <c r="K743" s="19">
        <f>IF($B743="","",IFERROR(INDEX(智能流水!$K$2:$K$1001,MATCH($B743,智能流水!$B$2:$B$1001,0)),""))</f>
        <v/>
      </c>
      <c r="L743" s="19">
        <f>IF($B743="","",IFERROR(INDEX(智能流水!$L$2:$L$1001,MATCH($B743,智能流水!$B$2:$B$1001,0)),""))</f>
        <v/>
      </c>
      <c r="M743" s="19">
        <f>IF($B743="","",IFERROR(INDEX(智能流水!$M$2:$M$1001,MATCH($B743,智能流水!$B$2:$B$1001,0)),""))</f>
        <v/>
      </c>
      <c r="N743" s="19">
        <f>IF($B743="","",IFERROR(INDEX(智能流水!$N$2:$N$1001,MATCH($B743,智能流水!$B$2:$B$1001,0)),""))</f>
        <v/>
      </c>
      <c r="O743" s="19">
        <f>IF($B743="","",IFERROR(INDEX(智能流水!$O$2:$O$1001,MATCH($B743,智能流水!$B$2:$B$1001,0)),""))</f>
        <v/>
      </c>
    </row>
    <row r="744">
      <c r="A744" s="19">
        <f>IF($B744="","",743)</f>
        <v/>
      </c>
      <c r="B744" s="19">
        <f>IFERROR(LARGE(智能流水!$B$2:$B$1001,743),"")</f>
        <v/>
      </c>
      <c r="C744" s="19">
        <f>IF($B744="","",IFERROR(INDEX(智能流水!$C$2:$C$1001,MATCH($B744,智能流水!$B$2:$B$1001,0)),""))</f>
        <v/>
      </c>
      <c r="D744" s="19">
        <f>IF($B744="","",IFERROR(INDEX(智能流水!$D$2:$D$1001,MATCH($B744,智能流水!$B$2:$B$1001,0)),""))</f>
        <v/>
      </c>
      <c r="E744" s="19">
        <f>IF($B744="","",IFERROR(INDEX(智能流水!$E$2:$E$1001,MATCH($B744,智能流水!$B$2:$B$1001,0)),""))</f>
        <v/>
      </c>
      <c r="F744" s="19">
        <f>IF($B744="","",IFERROR(INDEX(智能流水!$F$2:$F$1001,MATCH($B744,智能流水!$B$2:$B$1001,0)),""))</f>
        <v/>
      </c>
      <c r="G744" s="19">
        <f>IF($B744="","",IFERROR(INDEX(智能流水!$G$2:$G$1001,MATCH($B744,智能流水!$B$2:$B$1001,0)),""))</f>
        <v/>
      </c>
      <c r="H744" s="19">
        <f>IF($B744="","",IFERROR(INDEX(智能流水!$H$2:$H$1001,MATCH($B744,智能流水!$B$2:$B$1001,0)),""))</f>
        <v/>
      </c>
      <c r="I744" s="19">
        <f>IF($B744="","",IFERROR(INDEX(智能流水!$I$2:$I$1001,MATCH($B744,智能流水!$B$2:$B$1001,0)),""))</f>
        <v/>
      </c>
      <c r="J744" s="19">
        <f>IF($B744="","",IFERROR(INDEX(智能流水!$J$2:$J$1001,MATCH($B744,智能流水!$B$2:$B$1001,0)),""))</f>
        <v/>
      </c>
      <c r="K744" s="19">
        <f>IF($B744="","",IFERROR(INDEX(智能流水!$K$2:$K$1001,MATCH($B744,智能流水!$B$2:$B$1001,0)),""))</f>
        <v/>
      </c>
      <c r="L744" s="19">
        <f>IF($B744="","",IFERROR(INDEX(智能流水!$L$2:$L$1001,MATCH($B744,智能流水!$B$2:$B$1001,0)),""))</f>
        <v/>
      </c>
      <c r="M744" s="19">
        <f>IF($B744="","",IFERROR(INDEX(智能流水!$M$2:$M$1001,MATCH($B744,智能流水!$B$2:$B$1001,0)),""))</f>
        <v/>
      </c>
      <c r="N744" s="19">
        <f>IF($B744="","",IFERROR(INDEX(智能流水!$N$2:$N$1001,MATCH($B744,智能流水!$B$2:$B$1001,0)),""))</f>
        <v/>
      </c>
      <c r="O744" s="19">
        <f>IF($B744="","",IFERROR(INDEX(智能流水!$O$2:$O$1001,MATCH($B744,智能流水!$B$2:$B$1001,0)),""))</f>
        <v/>
      </c>
    </row>
    <row r="745">
      <c r="A745" s="19">
        <f>IF($B745="","",744)</f>
        <v/>
      </c>
      <c r="B745" s="19">
        <f>IFERROR(LARGE(智能流水!$B$2:$B$1001,744),"")</f>
        <v/>
      </c>
      <c r="C745" s="19">
        <f>IF($B745="","",IFERROR(INDEX(智能流水!$C$2:$C$1001,MATCH($B745,智能流水!$B$2:$B$1001,0)),""))</f>
        <v/>
      </c>
      <c r="D745" s="19">
        <f>IF($B745="","",IFERROR(INDEX(智能流水!$D$2:$D$1001,MATCH($B745,智能流水!$B$2:$B$1001,0)),""))</f>
        <v/>
      </c>
      <c r="E745" s="19">
        <f>IF($B745="","",IFERROR(INDEX(智能流水!$E$2:$E$1001,MATCH($B745,智能流水!$B$2:$B$1001,0)),""))</f>
        <v/>
      </c>
      <c r="F745" s="19">
        <f>IF($B745="","",IFERROR(INDEX(智能流水!$F$2:$F$1001,MATCH($B745,智能流水!$B$2:$B$1001,0)),""))</f>
        <v/>
      </c>
      <c r="G745" s="19">
        <f>IF($B745="","",IFERROR(INDEX(智能流水!$G$2:$G$1001,MATCH($B745,智能流水!$B$2:$B$1001,0)),""))</f>
        <v/>
      </c>
      <c r="H745" s="19">
        <f>IF($B745="","",IFERROR(INDEX(智能流水!$H$2:$H$1001,MATCH($B745,智能流水!$B$2:$B$1001,0)),""))</f>
        <v/>
      </c>
      <c r="I745" s="19">
        <f>IF($B745="","",IFERROR(INDEX(智能流水!$I$2:$I$1001,MATCH($B745,智能流水!$B$2:$B$1001,0)),""))</f>
        <v/>
      </c>
      <c r="J745" s="19">
        <f>IF($B745="","",IFERROR(INDEX(智能流水!$J$2:$J$1001,MATCH($B745,智能流水!$B$2:$B$1001,0)),""))</f>
        <v/>
      </c>
      <c r="K745" s="19">
        <f>IF($B745="","",IFERROR(INDEX(智能流水!$K$2:$K$1001,MATCH($B745,智能流水!$B$2:$B$1001,0)),""))</f>
        <v/>
      </c>
      <c r="L745" s="19">
        <f>IF($B745="","",IFERROR(INDEX(智能流水!$L$2:$L$1001,MATCH($B745,智能流水!$B$2:$B$1001,0)),""))</f>
        <v/>
      </c>
      <c r="M745" s="19">
        <f>IF($B745="","",IFERROR(INDEX(智能流水!$M$2:$M$1001,MATCH($B745,智能流水!$B$2:$B$1001,0)),""))</f>
        <v/>
      </c>
      <c r="N745" s="19">
        <f>IF($B745="","",IFERROR(INDEX(智能流水!$N$2:$N$1001,MATCH($B745,智能流水!$B$2:$B$1001,0)),""))</f>
        <v/>
      </c>
      <c r="O745" s="19">
        <f>IF($B745="","",IFERROR(INDEX(智能流水!$O$2:$O$1001,MATCH($B745,智能流水!$B$2:$B$1001,0)),""))</f>
        <v/>
      </c>
    </row>
    <row r="746">
      <c r="A746" s="19">
        <f>IF($B746="","",745)</f>
        <v/>
      </c>
      <c r="B746" s="19">
        <f>IFERROR(LARGE(智能流水!$B$2:$B$1001,745),"")</f>
        <v/>
      </c>
      <c r="C746" s="19">
        <f>IF($B746="","",IFERROR(INDEX(智能流水!$C$2:$C$1001,MATCH($B746,智能流水!$B$2:$B$1001,0)),""))</f>
        <v/>
      </c>
      <c r="D746" s="19">
        <f>IF($B746="","",IFERROR(INDEX(智能流水!$D$2:$D$1001,MATCH($B746,智能流水!$B$2:$B$1001,0)),""))</f>
        <v/>
      </c>
      <c r="E746" s="19">
        <f>IF($B746="","",IFERROR(INDEX(智能流水!$E$2:$E$1001,MATCH($B746,智能流水!$B$2:$B$1001,0)),""))</f>
        <v/>
      </c>
      <c r="F746" s="19">
        <f>IF($B746="","",IFERROR(INDEX(智能流水!$F$2:$F$1001,MATCH($B746,智能流水!$B$2:$B$1001,0)),""))</f>
        <v/>
      </c>
      <c r="G746" s="19">
        <f>IF($B746="","",IFERROR(INDEX(智能流水!$G$2:$G$1001,MATCH($B746,智能流水!$B$2:$B$1001,0)),""))</f>
        <v/>
      </c>
      <c r="H746" s="19">
        <f>IF($B746="","",IFERROR(INDEX(智能流水!$H$2:$H$1001,MATCH($B746,智能流水!$B$2:$B$1001,0)),""))</f>
        <v/>
      </c>
      <c r="I746" s="19">
        <f>IF($B746="","",IFERROR(INDEX(智能流水!$I$2:$I$1001,MATCH($B746,智能流水!$B$2:$B$1001,0)),""))</f>
        <v/>
      </c>
      <c r="J746" s="19">
        <f>IF($B746="","",IFERROR(INDEX(智能流水!$J$2:$J$1001,MATCH($B746,智能流水!$B$2:$B$1001,0)),""))</f>
        <v/>
      </c>
      <c r="K746" s="19">
        <f>IF($B746="","",IFERROR(INDEX(智能流水!$K$2:$K$1001,MATCH($B746,智能流水!$B$2:$B$1001,0)),""))</f>
        <v/>
      </c>
      <c r="L746" s="19">
        <f>IF($B746="","",IFERROR(INDEX(智能流水!$L$2:$L$1001,MATCH($B746,智能流水!$B$2:$B$1001,0)),""))</f>
        <v/>
      </c>
      <c r="M746" s="19">
        <f>IF($B746="","",IFERROR(INDEX(智能流水!$M$2:$M$1001,MATCH($B746,智能流水!$B$2:$B$1001,0)),""))</f>
        <v/>
      </c>
      <c r="N746" s="19">
        <f>IF($B746="","",IFERROR(INDEX(智能流水!$N$2:$N$1001,MATCH($B746,智能流水!$B$2:$B$1001,0)),""))</f>
        <v/>
      </c>
      <c r="O746" s="19">
        <f>IF($B746="","",IFERROR(INDEX(智能流水!$O$2:$O$1001,MATCH($B746,智能流水!$B$2:$B$1001,0)),""))</f>
        <v/>
      </c>
    </row>
    <row r="747">
      <c r="A747" s="19">
        <f>IF($B747="","",746)</f>
        <v/>
      </c>
      <c r="B747" s="19">
        <f>IFERROR(LARGE(智能流水!$B$2:$B$1001,746),"")</f>
        <v/>
      </c>
      <c r="C747" s="19">
        <f>IF($B747="","",IFERROR(INDEX(智能流水!$C$2:$C$1001,MATCH($B747,智能流水!$B$2:$B$1001,0)),""))</f>
        <v/>
      </c>
      <c r="D747" s="19">
        <f>IF($B747="","",IFERROR(INDEX(智能流水!$D$2:$D$1001,MATCH($B747,智能流水!$B$2:$B$1001,0)),""))</f>
        <v/>
      </c>
      <c r="E747" s="19">
        <f>IF($B747="","",IFERROR(INDEX(智能流水!$E$2:$E$1001,MATCH($B747,智能流水!$B$2:$B$1001,0)),""))</f>
        <v/>
      </c>
      <c r="F747" s="19">
        <f>IF($B747="","",IFERROR(INDEX(智能流水!$F$2:$F$1001,MATCH($B747,智能流水!$B$2:$B$1001,0)),""))</f>
        <v/>
      </c>
      <c r="G747" s="19">
        <f>IF($B747="","",IFERROR(INDEX(智能流水!$G$2:$G$1001,MATCH($B747,智能流水!$B$2:$B$1001,0)),""))</f>
        <v/>
      </c>
      <c r="H747" s="19">
        <f>IF($B747="","",IFERROR(INDEX(智能流水!$H$2:$H$1001,MATCH($B747,智能流水!$B$2:$B$1001,0)),""))</f>
        <v/>
      </c>
      <c r="I747" s="19">
        <f>IF($B747="","",IFERROR(INDEX(智能流水!$I$2:$I$1001,MATCH($B747,智能流水!$B$2:$B$1001,0)),""))</f>
        <v/>
      </c>
      <c r="J747" s="19">
        <f>IF($B747="","",IFERROR(INDEX(智能流水!$J$2:$J$1001,MATCH($B747,智能流水!$B$2:$B$1001,0)),""))</f>
        <v/>
      </c>
      <c r="K747" s="19">
        <f>IF($B747="","",IFERROR(INDEX(智能流水!$K$2:$K$1001,MATCH($B747,智能流水!$B$2:$B$1001,0)),""))</f>
        <v/>
      </c>
      <c r="L747" s="19">
        <f>IF($B747="","",IFERROR(INDEX(智能流水!$L$2:$L$1001,MATCH($B747,智能流水!$B$2:$B$1001,0)),""))</f>
        <v/>
      </c>
      <c r="M747" s="19">
        <f>IF($B747="","",IFERROR(INDEX(智能流水!$M$2:$M$1001,MATCH($B747,智能流水!$B$2:$B$1001,0)),""))</f>
        <v/>
      </c>
      <c r="N747" s="19">
        <f>IF($B747="","",IFERROR(INDEX(智能流水!$N$2:$N$1001,MATCH($B747,智能流水!$B$2:$B$1001,0)),""))</f>
        <v/>
      </c>
      <c r="O747" s="19">
        <f>IF($B747="","",IFERROR(INDEX(智能流水!$O$2:$O$1001,MATCH($B747,智能流水!$B$2:$B$1001,0)),""))</f>
        <v/>
      </c>
    </row>
    <row r="748">
      <c r="A748" s="19">
        <f>IF($B748="","",747)</f>
        <v/>
      </c>
      <c r="B748" s="19">
        <f>IFERROR(LARGE(智能流水!$B$2:$B$1001,747),"")</f>
        <v/>
      </c>
      <c r="C748" s="19">
        <f>IF($B748="","",IFERROR(INDEX(智能流水!$C$2:$C$1001,MATCH($B748,智能流水!$B$2:$B$1001,0)),""))</f>
        <v/>
      </c>
      <c r="D748" s="19">
        <f>IF($B748="","",IFERROR(INDEX(智能流水!$D$2:$D$1001,MATCH($B748,智能流水!$B$2:$B$1001,0)),""))</f>
        <v/>
      </c>
      <c r="E748" s="19">
        <f>IF($B748="","",IFERROR(INDEX(智能流水!$E$2:$E$1001,MATCH($B748,智能流水!$B$2:$B$1001,0)),""))</f>
        <v/>
      </c>
      <c r="F748" s="19">
        <f>IF($B748="","",IFERROR(INDEX(智能流水!$F$2:$F$1001,MATCH($B748,智能流水!$B$2:$B$1001,0)),""))</f>
        <v/>
      </c>
      <c r="G748" s="19">
        <f>IF($B748="","",IFERROR(INDEX(智能流水!$G$2:$G$1001,MATCH($B748,智能流水!$B$2:$B$1001,0)),""))</f>
        <v/>
      </c>
      <c r="H748" s="19">
        <f>IF($B748="","",IFERROR(INDEX(智能流水!$H$2:$H$1001,MATCH($B748,智能流水!$B$2:$B$1001,0)),""))</f>
        <v/>
      </c>
      <c r="I748" s="19">
        <f>IF($B748="","",IFERROR(INDEX(智能流水!$I$2:$I$1001,MATCH($B748,智能流水!$B$2:$B$1001,0)),""))</f>
        <v/>
      </c>
      <c r="J748" s="19">
        <f>IF($B748="","",IFERROR(INDEX(智能流水!$J$2:$J$1001,MATCH($B748,智能流水!$B$2:$B$1001,0)),""))</f>
        <v/>
      </c>
      <c r="K748" s="19">
        <f>IF($B748="","",IFERROR(INDEX(智能流水!$K$2:$K$1001,MATCH($B748,智能流水!$B$2:$B$1001,0)),""))</f>
        <v/>
      </c>
      <c r="L748" s="19">
        <f>IF($B748="","",IFERROR(INDEX(智能流水!$L$2:$L$1001,MATCH($B748,智能流水!$B$2:$B$1001,0)),""))</f>
        <v/>
      </c>
      <c r="M748" s="19">
        <f>IF($B748="","",IFERROR(INDEX(智能流水!$M$2:$M$1001,MATCH($B748,智能流水!$B$2:$B$1001,0)),""))</f>
        <v/>
      </c>
      <c r="N748" s="19">
        <f>IF($B748="","",IFERROR(INDEX(智能流水!$N$2:$N$1001,MATCH($B748,智能流水!$B$2:$B$1001,0)),""))</f>
        <v/>
      </c>
      <c r="O748" s="19">
        <f>IF($B748="","",IFERROR(INDEX(智能流水!$O$2:$O$1001,MATCH($B748,智能流水!$B$2:$B$1001,0)),""))</f>
        <v/>
      </c>
    </row>
    <row r="749">
      <c r="A749" s="19">
        <f>IF($B749="","",748)</f>
        <v/>
      </c>
      <c r="B749" s="19">
        <f>IFERROR(LARGE(智能流水!$B$2:$B$1001,748),"")</f>
        <v/>
      </c>
      <c r="C749" s="19">
        <f>IF($B749="","",IFERROR(INDEX(智能流水!$C$2:$C$1001,MATCH($B749,智能流水!$B$2:$B$1001,0)),""))</f>
        <v/>
      </c>
      <c r="D749" s="19">
        <f>IF($B749="","",IFERROR(INDEX(智能流水!$D$2:$D$1001,MATCH($B749,智能流水!$B$2:$B$1001,0)),""))</f>
        <v/>
      </c>
      <c r="E749" s="19">
        <f>IF($B749="","",IFERROR(INDEX(智能流水!$E$2:$E$1001,MATCH($B749,智能流水!$B$2:$B$1001,0)),""))</f>
        <v/>
      </c>
      <c r="F749" s="19">
        <f>IF($B749="","",IFERROR(INDEX(智能流水!$F$2:$F$1001,MATCH($B749,智能流水!$B$2:$B$1001,0)),""))</f>
        <v/>
      </c>
      <c r="G749" s="19">
        <f>IF($B749="","",IFERROR(INDEX(智能流水!$G$2:$G$1001,MATCH($B749,智能流水!$B$2:$B$1001,0)),""))</f>
        <v/>
      </c>
      <c r="H749" s="19">
        <f>IF($B749="","",IFERROR(INDEX(智能流水!$H$2:$H$1001,MATCH($B749,智能流水!$B$2:$B$1001,0)),""))</f>
        <v/>
      </c>
      <c r="I749" s="19">
        <f>IF($B749="","",IFERROR(INDEX(智能流水!$I$2:$I$1001,MATCH($B749,智能流水!$B$2:$B$1001,0)),""))</f>
        <v/>
      </c>
      <c r="J749" s="19">
        <f>IF($B749="","",IFERROR(INDEX(智能流水!$J$2:$J$1001,MATCH($B749,智能流水!$B$2:$B$1001,0)),""))</f>
        <v/>
      </c>
      <c r="K749" s="19">
        <f>IF($B749="","",IFERROR(INDEX(智能流水!$K$2:$K$1001,MATCH($B749,智能流水!$B$2:$B$1001,0)),""))</f>
        <v/>
      </c>
      <c r="L749" s="19">
        <f>IF($B749="","",IFERROR(INDEX(智能流水!$L$2:$L$1001,MATCH($B749,智能流水!$B$2:$B$1001,0)),""))</f>
        <v/>
      </c>
      <c r="M749" s="19">
        <f>IF($B749="","",IFERROR(INDEX(智能流水!$M$2:$M$1001,MATCH($B749,智能流水!$B$2:$B$1001,0)),""))</f>
        <v/>
      </c>
      <c r="N749" s="19">
        <f>IF($B749="","",IFERROR(INDEX(智能流水!$N$2:$N$1001,MATCH($B749,智能流水!$B$2:$B$1001,0)),""))</f>
        <v/>
      </c>
      <c r="O749" s="19">
        <f>IF($B749="","",IFERROR(INDEX(智能流水!$O$2:$O$1001,MATCH($B749,智能流水!$B$2:$B$1001,0)),""))</f>
        <v/>
      </c>
    </row>
    <row r="750">
      <c r="A750" s="19">
        <f>IF($B750="","",749)</f>
        <v/>
      </c>
      <c r="B750" s="19">
        <f>IFERROR(LARGE(智能流水!$B$2:$B$1001,749),"")</f>
        <v/>
      </c>
      <c r="C750" s="19">
        <f>IF($B750="","",IFERROR(INDEX(智能流水!$C$2:$C$1001,MATCH($B750,智能流水!$B$2:$B$1001,0)),""))</f>
        <v/>
      </c>
      <c r="D750" s="19">
        <f>IF($B750="","",IFERROR(INDEX(智能流水!$D$2:$D$1001,MATCH($B750,智能流水!$B$2:$B$1001,0)),""))</f>
        <v/>
      </c>
      <c r="E750" s="19">
        <f>IF($B750="","",IFERROR(INDEX(智能流水!$E$2:$E$1001,MATCH($B750,智能流水!$B$2:$B$1001,0)),""))</f>
        <v/>
      </c>
      <c r="F750" s="19">
        <f>IF($B750="","",IFERROR(INDEX(智能流水!$F$2:$F$1001,MATCH($B750,智能流水!$B$2:$B$1001,0)),""))</f>
        <v/>
      </c>
      <c r="G750" s="19">
        <f>IF($B750="","",IFERROR(INDEX(智能流水!$G$2:$G$1001,MATCH($B750,智能流水!$B$2:$B$1001,0)),""))</f>
        <v/>
      </c>
      <c r="H750" s="19">
        <f>IF($B750="","",IFERROR(INDEX(智能流水!$H$2:$H$1001,MATCH($B750,智能流水!$B$2:$B$1001,0)),""))</f>
        <v/>
      </c>
      <c r="I750" s="19">
        <f>IF($B750="","",IFERROR(INDEX(智能流水!$I$2:$I$1001,MATCH($B750,智能流水!$B$2:$B$1001,0)),""))</f>
        <v/>
      </c>
      <c r="J750" s="19">
        <f>IF($B750="","",IFERROR(INDEX(智能流水!$J$2:$J$1001,MATCH($B750,智能流水!$B$2:$B$1001,0)),""))</f>
        <v/>
      </c>
      <c r="K750" s="19">
        <f>IF($B750="","",IFERROR(INDEX(智能流水!$K$2:$K$1001,MATCH($B750,智能流水!$B$2:$B$1001,0)),""))</f>
        <v/>
      </c>
      <c r="L750" s="19">
        <f>IF($B750="","",IFERROR(INDEX(智能流水!$L$2:$L$1001,MATCH($B750,智能流水!$B$2:$B$1001,0)),""))</f>
        <v/>
      </c>
      <c r="M750" s="19">
        <f>IF($B750="","",IFERROR(INDEX(智能流水!$M$2:$M$1001,MATCH($B750,智能流水!$B$2:$B$1001,0)),""))</f>
        <v/>
      </c>
      <c r="N750" s="19">
        <f>IF($B750="","",IFERROR(INDEX(智能流水!$N$2:$N$1001,MATCH($B750,智能流水!$B$2:$B$1001,0)),""))</f>
        <v/>
      </c>
      <c r="O750" s="19">
        <f>IF($B750="","",IFERROR(INDEX(智能流水!$O$2:$O$1001,MATCH($B750,智能流水!$B$2:$B$1001,0)),""))</f>
        <v/>
      </c>
    </row>
    <row r="751">
      <c r="A751" s="19">
        <f>IF($B751="","",750)</f>
        <v/>
      </c>
      <c r="B751" s="19">
        <f>IFERROR(LARGE(智能流水!$B$2:$B$1001,750),"")</f>
        <v/>
      </c>
      <c r="C751" s="19">
        <f>IF($B751="","",IFERROR(INDEX(智能流水!$C$2:$C$1001,MATCH($B751,智能流水!$B$2:$B$1001,0)),""))</f>
        <v/>
      </c>
      <c r="D751" s="19">
        <f>IF($B751="","",IFERROR(INDEX(智能流水!$D$2:$D$1001,MATCH($B751,智能流水!$B$2:$B$1001,0)),""))</f>
        <v/>
      </c>
      <c r="E751" s="19">
        <f>IF($B751="","",IFERROR(INDEX(智能流水!$E$2:$E$1001,MATCH($B751,智能流水!$B$2:$B$1001,0)),""))</f>
        <v/>
      </c>
      <c r="F751" s="19">
        <f>IF($B751="","",IFERROR(INDEX(智能流水!$F$2:$F$1001,MATCH($B751,智能流水!$B$2:$B$1001,0)),""))</f>
        <v/>
      </c>
      <c r="G751" s="19">
        <f>IF($B751="","",IFERROR(INDEX(智能流水!$G$2:$G$1001,MATCH($B751,智能流水!$B$2:$B$1001,0)),""))</f>
        <v/>
      </c>
      <c r="H751" s="19">
        <f>IF($B751="","",IFERROR(INDEX(智能流水!$H$2:$H$1001,MATCH($B751,智能流水!$B$2:$B$1001,0)),""))</f>
        <v/>
      </c>
      <c r="I751" s="19">
        <f>IF($B751="","",IFERROR(INDEX(智能流水!$I$2:$I$1001,MATCH($B751,智能流水!$B$2:$B$1001,0)),""))</f>
        <v/>
      </c>
      <c r="J751" s="19">
        <f>IF($B751="","",IFERROR(INDEX(智能流水!$J$2:$J$1001,MATCH($B751,智能流水!$B$2:$B$1001,0)),""))</f>
        <v/>
      </c>
      <c r="K751" s="19">
        <f>IF($B751="","",IFERROR(INDEX(智能流水!$K$2:$K$1001,MATCH($B751,智能流水!$B$2:$B$1001,0)),""))</f>
        <v/>
      </c>
      <c r="L751" s="19">
        <f>IF($B751="","",IFERROR(INDEX(智能流水!$L$2:$L$1001,MATCH($B751,智能流水!$B$2:$B$1001,0)),""))</f>
        <v/>
      </c>
      <c r="M751" s="19">
        <f>IF($B751="","",IFERROR(INDEX(智能流水!$M$2:$M$1001,MATCH($B751,智能流水!$B$2:$B$1001,0)),""))</f>
        <v/>
      </c>
      <c r="N751" s="19">
        <f>IF($B751="","",IFERROR(INDEX(智能流水!$N$2:$N$1001,MATCH($B751,智能流水!$B$2:$B$1001,0)),""))</f>
        <v/>
      </c>
      <c r="O751" s="19">
        <f>IF($B751="","",IFERROR(INDEX(智能流水!$O$2:$O$1001,MATCH($B751,智能流水!$B$2:$B$1001,0)),""))</f>
        <v/>
      </c>
    </row>
    <row r="752">
      <c r="A752" s="19">
        <f>IF($B752="","",751)</f>
        <v/>
      </c>
      <c r="B752" s="19">
        <f>IFERROR(LARGE(智能流水!$B$2:$B$1001,751),"")</f>
        <v/>
      </c>
      <c r="C752" s="19">
        <f>IF($B752="","",IFERROR(INDEX(智能流水!$C$2:$C$1001,MATCH($B752,智能流水!$B$2:$B$1001,0)),""))</f>
        <v/>
      </c>
      <c r="D752" s="19">
        <f>IF($B752="","",IFERROR(INDEX(智能流水!$D$2:$D$1001,MATCH($B752,智能流水!$B$2:$B$1001,0)),""))</f>
        <v/>
      </c>
      <c r="E752" s="19">
        <f>IF($B752="","",IFERROR(INDEX(智能流水!$E$2:$E$1001,MATCH($B752,智能流水!$B$2:$B$1001,0)),""))</f>
        <v/>
      </c>
      <c r="F752" s="19">
        <f>IF($B752="","",IFERROR(INDEX(智能流水!$F$2:$F$1001,MATCH($B752,智能流水!$B$2:$B$1001,0)),""))</f>
        <v/>
      </c>
      <c r="G752" s="19">
        <f>IF($B752="","",IFERROR(INDEX(智能流水!$G$2:$G$1001,MATCH($B752,智能流水!$B$2:$B$1001,0)),""))</f>
        <v/>
      </c>
      <c r="H752" s="19">
        <f>IF($B752="","",IFERROR(INDEX(智能流水!$H$2:$H$1001,MATCH($B752,智能流水!$B$2:$B$1001,0)),""))</f>
        <v/>
      </c>
      <c r="I752" s="19">
        <f>IF($B752="","",IFERROR(INDEX(智能流水!$I$2:$I$1001,MATCH($B752,智能流水!$B$2:$B$1001,0)),""))</f>
        <v/>
      </c>
      <c r="J752" s="19">
        <f>IF($B752="","",IFERROR(INDEX(智能流水!$J$2:$J$1001,MATCH($B752,智能流水!$B$2:$B$1001,0)),""))</f>
        <v/>
      </c>
      <c r="K752" s="19">
        <f>IF($B752="","",IFERROR(INDEX(智能流水!$K$2:$K$1001,MATCH($B752,智能流水!$B$2:$B$1001,0)),""))</f>
        <v/>
      </c>
      <c r="L752" s="19">
        <f>IF($B752="","",IFERROR(INDEX(智能流水!$L$2:$L$1001,MATCH($B752,智能流水!$B$2:$B$1001,0)),""))</f>
        <v/>
      </c>
      <c r="M752" s="19">
        <f>IF($B752="","",IFERROR(INDEX(智能流水!$M$2:$M$1001,MATCH($B752,智能流水!$B$2:$B$1001,0)),""))</f>
        <v/>
      </c>
      <c r="N752" s="19">
        <f>IF($B752="","",IFERROR(INDEX(智能流水!$N$2:$N$1001,MATCH($B752,智能流水!$B$2:$B$1001,0)),""))</f>
        <v/>
      </c>
      <c r="O752" s="19">
        <f>IF($B752="","",IFERROR(INDEX(智能流水!$O$2:$O$1001,MATCH($B752,智能流水!$B$2:$B$1001,0)),""))</f>
        <v/>
      </c>
    </row>
    <row r="753">
      <c r="A753" s="19">
        <f>IF($B753="","",752)</f>
        <v/>
      </c>
      <c r="B753" s="19">
        <f>IFERROR(LARGE(智能流水!$B$2:$B$1001,752),"")</f>
        <v/>
      </c>
      <c r="C753" s="19">
        <f>IF($B753="","",IFERROR(INDEX(智能流水!$C$2:$C$1001,MATCH($B753,智能流水!$B$2:$B$1001,0)),""))</f>
        <v/>
      </c>
      <c r="D753" s="19">
        <f>IF($B753="","",IFERROR(INDEX(智能流水!$D$2:$D$1001,MATCH($B753,智能流水!$B$2:$B$1001,0)),""))</f>
        <v/>
      </c>
      <c r="E753" s="19">
        <f>IF($B753="","",IFERROR(INDEX(智能流水!$E$2:$E$1001,MATCH($B753,智能流水!$B$2:$B$1001,0)),""))</f>
        <v/>
      </c>
      <c r="F753" s="19">
        <f>IF($B753="","",IFERROR(INDEX(智能流水!$F$2:$F$1001,MATCH($B753,智能流水!$B$2:$B$1001,0)),""))</f>
        <v/>
      </c>
      <c r="G753" s="19">
        <f>IF($B753="","",IFERROR(INDEX(智能流水!$G$2:$G$1001,MATCH($B753,智能流水!$B$2:$B$1001,0)),""))</f>
        <v/>
      </c>
      <c r="H753" s="19">
        <f>IF($B753="","",IFERROR(INDEX(智能流水!$H$2:$H$1001,MATCH($B753,智能流水!$B$2:$B$1001,0)),""))</f>
        <v/>
      </c>
      <c r="I753" s="19">
        <f>IF($B753="","",IFERROR(INDEX(智能流水!$I$2:$I$1001,MATCH($B753,智能流水!$B$2:$B$1001,0)),""))</f>
        <v/>
      </c>
      <c r="J753" s="19">
        <f>IF($B753="","",IFERROR(INDEX(智能流水!$J$2:$J$1001,MATCH($B753,智能流水!$B$2:$B$1001,0)),""))</f>
        <v/>
      </c>
      <c r="K753" s="19">
        <f>IF($B753="","",IFERROR(INDEX(智能流水!$K$2:$K$1001,MATCH($B753,智能流水!$B$2:$B$1001,0)),""))</f>
        <v/>
      </c>
      <c r="L753" s="19">
        <f>IF($B753="","",IFERROR(INDEX(智能流水!$L$2:$L$1001,MATCH($B753,智能流水!$B$2:$B$1001,0)),""))</f>
        <v/>
      </c>
      <c r="M753" s="19">
        <f>IF($B753="","",IFERROR(INDEX(智能流水!$M$2:$M$1001,MATCH($B753,智能流水!$B$2:$B$1001,0)),""))</f>
        <v/>
      </c>
      <c r="N753" s="19">
        <f>IF($B753="","",IFERROR(INDEX(智能流水!$N$2:$N$1001,MATCH($B753,智能流水!$B$2:$B$1001,0)),""))</f>
        <v/>
      </c>
      <c r="O753" s="19">
        <f>IF($B753="","",IFERROR(INDEX(智能流水!$O$2:$O$1001,MATCH($B753,智能流水!$B$2:$B$1001,0)),""))</f>
        <v/>
      </c>
    </row>
    <row r="754">
      <c r="A754" s="19">
        <f>IF($B754="","",753)</f>
        <v/>
      </c>
      <c r="B754" s="19">
        <f>IFERROR(LARGE(智能流水!$B$2:$B$1001,753),"")</f>
        <v/>
      </c>
      <c r="C754" s="19">
        <f>IF($B754="","",IFERROR(INDEX(智能流水!$C$2:$C$1001,MATCH($B754,智能流水!$B$2:$B$1001,0)),""))</f>
        <v/>
      </c>
      <c r="D754" s="19">
        <f>IF($B754="","",IFERROR(INDEX(智能流水!$D$2:$D$1001,MATCH($B754,智能流水!$B$2:$B$1001,0)),""))</f>
        <v/>
      </c>
      <c r="E754" s="19">
        <f>IF($B754="","",IFERROR(INDEX(智能流水!$E$2:$E$1001,MATCH($B754,智能流水!$B$2:$B$1001,0)),""))</f>
        <v/>
      </c>
      <c r="F754" s="19">
        <f>IF($B754="","",IFERROR(INDEX(智能流水!$F$2:$F$1001,MATCH($B754,智能流水!$B$2:$B$1001,0)),""))</f>
        <v/>
      </c>
      <c r="G754" s="19">
        <f>IF($B754="","",IFERROR(INDEX(智能流水!$G$2:$G$1001,MATCH($B754,智能流水!$B$2:$B$1001,0)),""))</f>
        <v/>
      </c>
      <c r="H754" s="19">
        <f>IF($B754="","",IFERROR(INDEX(智能流水!$H$2:$H$1001,MATCH($B754,智能流水!$B$2:$B$1001,0)),""))</f>
        <v/>
      </c>
      <c r="I754" s="19">
        <f>IF($B754="","",IFERROR(INDEX(智能流水!$I$2:$I$1001,MATCH($B754,智能流水!$B$2:$B$1001,0)),""))</f>
        <v/>
      </c>
      <c r="J754" s="19">
        <f>IF($B754="","",IFERROR(INDEX(智能流水!$J$2:$J$1001,MATCH($B754,智能流水!$B$2:$B$1001,0)),""))</f>
        <v/>
      </c>
      <c r="K754" s="19">
        <f>IF($B754="","",IFERROR(INDEX(智能流水!$K$2:$K$1001,MATCH($B754,智能流水!$B$2:$B$1001,0)),""))</f>
        <v/>
      </c>
      <c r="L754" s="19">
        <f>IF($B754="","",IFERROR(INDEX(智能流水!$L$2:$L$1001,MATCH($B754,智能流水!$B$2:$B$1001,0)),""))</f>
        <v/>
      </c>
      <c r="M754" s="19">
        <f>IF($B754="","",IFERROR(INDEX(智能流水!$M$2:$M$1001,MATCH($B754,智能流水!$B$2:$B$1001,0)),""))</f>
        <v/>
      </c>
      <c r="N754" s="19">
        <f>IF($B754="","",IFERROR(INDEX(智能流水!$N$2:$N$1001,MATCH($B754,智能流水!$B$2:$B$1001,0)),""))</f>
        <v/>
      </c>
      <c r="O754" s="19">
        <f>IF($B754="","",IFERROR(INDEX(智能流水!$O$2:$O$1001,MATCH($B754,智能流水!$B$2:$B$1001,0)),""))</f>
        <v/>
      </c>
    </row>
    <row r="755">
      <c r="A755" s="19">
        <f>IF($B755="","",754)</f>
        <v/>
      </c>
      <c r="B755" s="19">
        <f>IFERROR(LARGE(智能流水!$B$2:$B$1001,754),"")</f>
        <v/>
      </c>
      <c r="C755" s="19">
        <f>IF($B755="","",IFERROR(INDEX(智能流水!$C$2:$C$1001,MATCH($B755,智能流水!$B$2:$B$1001,0)),""))</f>
        <v/>
      </c>
      <c r="D755" s="19">
        <f>IF($B755="","",IFERROR(INDEX(智能流水!$D$2:$D$1001,MATCH($B755,智能流水!$B$2:$B$1001,0)),""))</f>
        <v/>
      </c>
      <c r="E755" s="19">
        <f>IF($B755="","",IFERROR(INDEX(智能流水!$E$2:$E$1001,MATCH($B755,智能流水!$B$2:$B$1001,0)),""))</f>
        <v/>
      </c>
      <c r="F755" s="19">
        <f>IF($B755="","",IFERROR(INDEX(智能流水!$F$2:$F$1001,MATCH($B755,智能流水!$B$2:$B$1001,0)),""))</f>
        <v/>
      </c>
      <c r="G755" s="19">
        <f>IF($B755="","",IFERROR(INDEX(智能流水!$G$2:$G$1001,MATCH($B755,智能流水!$B$2:$B$1001,0)),""))</f>
        <v/>
      </c>
      <c r="H755" s="19">
        <f>IF($B755="","",IFERROR(INDEX(智能流水!$H$2:$H$1001,MATCH($B755,智能流水!$B$2:$B$1001,0)),""))</f>
        <v/>
      </c>
      <c r="I755" s="19">
        <f>IF($B755="","",IFERROR(INDEX(智能流水!$I$2:$I$1001,MATCH($B755,智能流水!$B$2:$B$1001,0)),""))</f>
        <v/>
      </c>
      <c r="J755" s="19">
        <f>IF($B755="","",IFERROR(INDEX(智能流水!$J$2:$J$1001,MATCH($B755,智能流水!$B$2:$B$1001,0)),""))</f>
        <v/>
      </c>
      <c r="K755" s="19">
        <f>IF($B755="","",IFERROR(INDEX(智能流水!$K$2:$K$1001,MATCH($B755,智能流水!$B$2:$B$1001,0)),""))</f>
        <v/>
      </c>
      <c r="L755" s="19">
        <f>IF($B755="","",IFERROR(INDEX(智能流水!$L$2:$L$1001,MATCH($B755,智能流水!$B$2:$B$1001,0)),""))</f>
        <v/>
      </c>
      <c r="M755" s="19">
        <f>IF($B755="","",IFERROR(INDEX(智能流水!$M$2:$M$1001,MATCH($B755,智能流水!$B$2:$B$1001,0)),""))</f>
        <v/>
      </c>
      <c r="N755" s="19">
        <f>IF($B755="","",IFERROR(INDEX(智能流水!$N$2:$N$1001,MATCH($B755,智能流水!$B$2:$B$1001,0)),""))</f>
        <v/>
      </c>
      <c r="O755" s="19">
        <f>IF($B755="","",IFERROR(INDEX(智能流水!$O$2:$O$1001,MATCH($B755,智能流水!$B$2:$B$1001,0)),""))</f>
        <v/>
      </c>
    </row>
    <row r="756">
      <c r="A756" s="19">
        <f>IF($B756="","",755)</f>
        <v/>
      </c>
      <c r="B756" s="19">
        <f>IFERROR(LARGE(智能流水!$B$2:$B$1001,755),"")</f>
        <v/>
      </c>
      <c r="C756" s="19">
        <f>IF($B756="","",IFERROR(INDEX(智能流水!$C$2:$C$1001,MATCH($B756,智能流水!$B$2:$B$1001,0)),""))</f>
        <v/>
      </c>
      <c r="D756" s="19">
        <f>IF($B756="","",IFERROR(INDEX(智能流水!$D$2:$D$1001,MATCH($B756,智能流水!$B$2:$B$1001,0)),""))</f>
        <v/>
      </c>
      <c r="E756" s="19">
        <f>IF($B756="","",IFERROR(INDEX(智能流水!$E$2:$E$1001,MATCH($B756,智能流水!$B$2:$B$1001,0)),""))</f>
        <v/>
      </c>
      <c r="F756" s="19">
        <f>IF($B756="","",IFERROR(INDEX(智能流水!$F$2:$F$1001,MATCH($B756,智能流水!$B$2:$B$1001,0)),""))</f>
        <v/>
      </c>
      <c r="G756" s="19">
        <f>IF($B756="","",IFERROR(INDEX(智能流水!$G$2:$G$1001,MATCH($B756,智能流水!$B$2:$B$1001,0)),""))</f>
        <v/>
      </c>
      <c r="H756" s="19">
        <f>IF($B756="","",IFERROR(INDEX(智能流水!$H$2:$H$1001,MATCH($B756,智能流水!$B$2:$B$1001,0)),""))</f>
        <v/>
      </c>
      <c r="I756" s="19">
        <f>IF($B756="","",IFERROR(INDEX(智能流水!$I$2:$I$1001,MATCH($B756,智能流水!$B$2:$B$1001,0)),""))</f>
        <v/>
      </c>
      <c r="J756" s="19">
        <f>IF($B756="","",IFERROR(INDEX(智能流水!$J$2:$J$1001,MATCH($B756,智能流水!$B$2:$B$1001,0)),""))</f>
        <v/>
      </c>
      <c r="K756" s="19">
        <f>IF($B756="","",IFERROR(INDEX(智能流水!$K$2:$K$1001,MATCH($B756,智能流水!$B$2:$B$1001,0)),""))</f>
        <v/>
      </c>
      <c r="L756" s="19">
        <f>IF($B756="","",IFERROR(INDEX(智能流水!$L$2:$L$1001,MATCH($B756,智能流水!$B$2:$B$1001,0)),""))</f>
        <v/>
      </c>
      <c r="M756" s="19">
        <f>IF($B756="","",IFERROR(INDEX(智能流水!$M$2:$M$1001,MATCH($B756,智能流水!$B$2:$B$1001,0)),""))</f>
        <v/>
      </c>
      <c r="N756" s="19">
        <f>IF($B756="","",IFERROR(INDEX(智能流水!$N$2:$N$1001,MATCH($B756,智能流水!$B$2:$B$1001,0)),""))</f>
        <v/>
      </c>
      <c r="O756" s="19">
        <f>IF($B756="","",IFERROR(INDEX(智能流水!$O$2:$O$1001,MATCH($B756,智能流水!$B$2:$B$1001,0)),""))</f>
        <v/>
      </c>
    </row>
    <row r="757">
      <c r="A757" s="19">
        <f>IF($B757="","",756)</f>
        <v/>
      </c>
      <c r="B757" s="19">
        <f>IFERROR(LARGE(智能流水!$B$2:$B$1001,756),"")</f>
        <v/>
      </c>
      <c r="C757" s="19">
        <f>IF($B757="","",IFERROR(INDEX(智能流水!$C$2:$C$1001,MATCH($B757,智能流水!$B$2:$B$1001,0)),""))</f>
        <v/>
      </c>
      <c r="D757" s="19">
        <f>IF($B757="","",IFERROR(INDEX(智能流水!$D$2:$D$1001,MATCH($B757,智能流水!$B$2:$B$1001,0)),""))</f>
        <v/>
      </c>
      <c r="E757" s="19">
        <f>IF($B757="","",IFERROR(INDEX(智能流水!$E$2:$E$1001,MATCH($B757,智能流水!$B$2:$B$1001,0)),""))</f>
        <v/>
      </c>
      <c r="F757" s="19">
        <f>IF($B757="","",IFERROR(INDEX(智能流水!$F$2:$F$1001,MATCH($B757,智能流水!$B$2:$B$1001,0)),""))</f>
        <v/>
      </c>
      <c r="G757" s="19">
        <f>IF($B757="","",IFERROR(INDEX(智能流水!$G$2:$G$1001,MATCH($B757,智能流水!$B$2:$B$1001,0)),""))</f>
        <v/>
      </c>
      <c r="H757" s="19">
        <f>IF($B757="","",IFERROR(INDEX(智能流水!$H$2:$H$1001,MATCH($B757,智能流水!$B$2:$B$1001,0)),""))</f>
        <v/>
      </c>
      <c r="I757" s="19">
        <f>IF($B757="","",IFERROR(INDEX(智能流水!$I$2:$I$1001,MATCH($B757,智能流水!$B$2:$B$1001,0)),""))</f>
        <v/>
      </c>
      <c r="J757" s="19">
        <f>IF($B757="","",IFERROR(INDEX(智能流水!$J$2:$J$1001,MATCH($B757,智能流水!$B$2:$B$1001,0)),""))</f>
        <v/>
      </c>
      <c r="K757" s="19">
        <f>IF($B757="","",IFERROR(INDEX(智能流水!$K$2:$K$1001,MATCH($B757,智能流水!$B$2:$B$1001,0)),""))</f>
        <v/>
      </c>
      <c r="L757" s="19">
        <f>IF($B757="","",IFERROR(INDEX(智能流水!$L$2:$L$1001,MATCH($B757,智能流水!$B$2:$B$1001,0)),""))</f>
        <v/>
      </c>
      <c r="M757" s="19">
        <f>IF($B757="","",IFERROR(INDEX(智能流水!$M$2:$M$1001,MATCH($B757,智能流水!$B$2:$B$1001,0)),""))</f>
        <v/>
      </c>
      <c r="N757" s="19">
        <f>IF($B757="","",IFERROR(INDEX(智能流水!$N$2:$N$1001,MATCH($B757,智能流水!$B$2:$B$1001,0)),""))</f>
        <v/>
      </c>
      <c r="O757" s="19">
        <f>IF($B757="","",IFERROR(INDEX(智能流水!$O$2:$O$1001,MATCH($B757,智能流水!$B$2:$B$1001,0)),""))</f>
        <v/>
      </c>
    </row>
    <row r="758">
      <c r="A758" s="19">
        <f>IF($B758="","",757)</f>
        <v/>
      </c>
      <c r="B758" s="19">
        <f>IFERROR(LARGE(智能流水!$B$2:$B$1001,757),"")</f>
        <v/>
      </c>
      <c r="C758" s="19">
        <f>IF($B758="","",IFERROR(INDEX(智能流水!$C$2:$C$1001,MATCH($B758,智能流水!$B$2:$B$1001,0)),""))</f>
        <v/>
      </c>
      <c r="D758" s="19">
        <f>IF($B758="","",IFERROR(INDEX(智能流水!$D$2:$D$1001,MATCH($B758,智能流水!$B$2:$B$1001,0)),""))</f>
        <v/>
      </c>
      <c r="E758" s="19">
        <f>IF($B758="","",IFERROR(INDEX(智能流水!$E$2:$E$1001,MATCH($B758,智能流水!$B$2:$B$1001,0)),""))</f>
        <v/>
      </c>
      <c r="F758" s="19">
        <f>IF($B758="","",IFERROR(INDEX(智能流水!$F$2:$F$1001,MATCH($B758,智能流水!$B$2:$B$1001,0)),""))</f>
        <v/>
      </c>
      <c r="G758" s="19">
        <f>IF($B758="","",IFERROR(INDEX(智能流水!$G$2:$G$1001,MATCH($B758,智能流水!$B$2:$B$1001,0)),""))</f>
        <v/>
      </c>
      <c r="H758" s="19">
        <f>IF($B758="","",IFERROR(INDEX(智能流水!$H$2:$H$1001,MATCH($B758,智能流水!$B$2:$B$1001,0)),""))</f>
        <v/>
      </c>
      <c r="I758" s="19">
        <f>IF($B758="","",IFERROR(INDEX(智能流水!$I$2:$I$1001,MATCH($B758,智能流水!$B$2:$B$1001,0)),""))</f>
        <v/>
      </c>
      <c r="J758" s="19">
        <f>IF($B758="","",IFERROR(INDEX(智能流水!$J$2:$J$1001,MATCH($B758,智能流水!$B$2:$B$1001,0)),""))</f>
        <v/>
      </c>
      <c r="K758" s="19">
        <f>IF($B758="","",IFERROR(INDEX(智能流水!$K$2:$K$1001,MATCH($B758,智能流水!$B$2:$B$1001,0)),""))</f>
        <v/>
      </c>
      <c r="L758" s="19">
        <f>IF($B758="","",IFERROR(INDEX(智能流水!$L$2:$L$1001,MATCH($B758,智能流水!$B$2:$B$1001,0)),""))</f>
        <v/>
      </c>
      <c r="M758" s="19">
        <f>IF($B758="","",IFERROR(INDEX(智能流水!$M$2:$M$1001,MATCH($B758,智能流水!$B$2:$B$1001,0)),""))</f>
        <v/>
      </c>
      <c r="N758" s="19">
        <f>IF($B758="","",IFERROR(INDEX(智能流水!$N$2:$N$1001,MATCH($B758,智能流水!$B$2:$B$1001,0)),""))</f>
        <v/>
      </c>
      <c r="O758" s="19">
        <f>IF($B758="","",IFERROR(INDEX(智能流水!$O$2:$O$1001,MATCH($B758,智能流水!$B$2:$B$1001,0)),""))</f>
        <v/>
      </c>
    </row>
    <row r="759">
      <c r="A759" s="19">
        <f>IF($B759="","",758)</f>
        <v/>
      </c>
      <c r="B759" s="19">
        <f>IFERROR(LARGE(智能流水!$B$2:$B$1001,758),"")</f>
        <v/>
      </c>
      <c r="C759" s="19">
        <f>IF($B759="","",IFERROR(INDEX(智能流水!$C$2:$C$1001,MATCH($B759,智能流水!$B$2:$B$1001,0)),""))</f>
        <v/>
      </c>
      <c r="D759" s="19">
        <f>IF($B759="","",IFERROR(INDEX(智能流水!$D$2:$D$1001,MATCH($B759,智能流水!$B$2:$B$1001,0)),""))</f>
        <v/>
      </c>
      <c r="E759" s="19">
        <f>IF($B759="","",IFERROR(INDEX(智能流水!$E$2:$E$1001,MATCH($B759,智能流水!$B$2:$B$1001,0)),""))</f>
        <v/>
      </c>
      <c r="F759" s="19">
        <f>IF($B759="","",IFERROR(INDEX(智能流水!$F$2:$F$1001,MATCH($B759,智能流水!$B$2:$B$1001,0)),""))</f>
        <v/>
      </c>
      <c r="G759" s="19">
        <f>IF($B759="","",IFERROR(INDEX(智能流水!$G$2:$G$1001,MATCH($B759,智能流水!$B$2:$B$1001,0)),""))</f>
        <v/>
      </c>
      <c r="H759" s="19">
        <f>IF($B759="","",IFERROR(INDEX(智能流水!$H$2:$H$1001,MATCH($B759,智能流水!$B$2:$B$1001,0)),""))</f>
        <v/>
      </c>
      <c r="I759" s="19">
        <f>IF($B759="","",IFERROR(INDEX(智能流水!$I$2:$I$1001,MATCH($B759,智能流水!$B$2:$B$1001,0)),""))</f>
        <v/>
      </c>
      <c r="J759" s="19">
        <f>IF($B759="","",IFERROR(INDEX(智能流水!$J$2:$J$1001,MATCH($B759,智能流水!$B$2:$B$1001,0)),""))</f>
        <v/>
      </c>
      <c r="K759" s="19">
        <f>IF($B759="","",IFERROR(INDEX(智能流水!$K$2:$K$1001,MATCH($B759,智能流水!$B$2:$B$1001,0)),""))</f>
        <v/>
      </c>
      <c r="L759" s="19">
        <f>IF($B759="","",IFERROR(INDEX(智能流水!$L$2:$L$1001,MATCH($B759,智能流水!$B$2:$B$1001,0)),""))</f>
        <v/>
      </c>
      <c r="M759" s="19">
        <f>IF($B759="","",IFERROR(INDEX(智能流水!$M$2:$M$1001,MATCH($B759,智能流水!$B$2:$B$1001,0)),""))</f>
        <v/>
      </c>
      <c r="N759" s="19">
        <f>IF($B759="","",IFERROR(INDEX(智能流水!$N$2:$N$1001,MATCH($B759,智能流水!$B$2:$B$1001,0)),""))</f>
        <v/>
      </c>
      <c r="O759" s="19">
        <f>IF($B759="","",IFERROR(INDEX(智能流水!$O$2:$O$1001,MATCH($B759,智能流水!$B$2:$B$1001,0)),""))</f>
        <v/>
      </c>
    </row>
    <row r="760">
      <c r="A760" s="19">
        <f>IF($B760="","",759)</f>
        <v/>
      </c>
      <c r="B760" s="19">
        <f>IFERROR(LARGE(智能流水!$B$2:$B$1001,759),"")</f>
        <v/>
      </c>
      <c r="C760" s="19">
        <f>IF($B760="","",IFERROR(INDEX(智能流水!$C$2:$C$1001,MATCH($B760,智能流水!$B$2:$B$1001,0)),""))</f>
        <v/>
      </c>
      <c r="D760" s="19">
        <f>IF($B760="","",IFERROR(INDEX(智能流水!$D$2:$D$1001,MATCH($B760,智能流水!$B$2:$B$1001,0)),""))</f>
        <v/>
      </c>
      <c r="E760" s="19">
        <f>IF($B760="","",IFERROR(INDEX(智能流水!$E$2:$E$1001,MATCH($B760,智能流水!$B$2:$B$1001,0)),""))</f>
        <v/>
      </c>
      <c r="F760" s="19">
        <f>IF($B760="","",IFERROR(INDEX(智能流水!$F$2:$F$1001,MATCH($B760,智能流水!$B$2:$B$1001,0)),""))</f>
        <v/>
      </c>
      <c r="G760" s="19">
        <f>IF($B760="","",IFERROR(INDEX(智能流水!$G$2:$G$1001,MATCH($B760,智能流水!$B$2:$B$1001,0)),""))</f>
        <v/>
      </c>
      <c r="H760" s="19">
        <f>IF($B760="","",IFERROR(INDEX(智能流水!$H$2:$H$1001,MATCH($B760,智能流水!$B$2:$B$1001,0)),""))</f>
        <v/>
      </c>
      <c r="I760" s="19">
        <f>IF($B760="","",IFERROR(INDEX(智能流水!$I$2:$I$1001,MATCH($B760,智能流水!$B$2:$B$1001,0)),""))</f>
        <v/>
      </c>
      <c r="J760" s="19">
        <f>IF($B760="","",IFERROR(INDEX(智能流水!$J$2:$J$1001,MATCH($B760,智能流水!$B$2:$B$1001,0)),""))</f>
        <v/>
      </c>
      <c r="K760" s="19">
        <f>IF($B760="","",IFERROR(INDEX(智能流水!$K$2:$K$1001,MATCH($B760,智能流水!$B$2:$B$1001,0)),""))</f>
        <v/>
      </c>
      <c r="L760" s="19">
        <f>IF($B760="","",IFERROR(INDEX(智能流水!$L$2:$L$1001,MATCH($B760,智能流水!$B$2:$B$1001,0)),""))</f>
        <v/>
      </c>
      <c r="M760" s="19">
        <f>IF($B760="","",IFERROR(INDEX(智能流水!$M$2:$M$1001,MATCH($B760,智能流水!$B$2:$B$1001,0)),""))</f>
        <v/>
      </c>
      <c r="N760" s="19">
        <f>IF($B760="","",IFERROR(INDEX(智能流水!$N$2:$N$1001,MATCH($B760,智能流水!$B$2:$B$1001,0)),""))</f>
        <v/>
      </c>
      <c r="O760" s="19">
        <f>IF($B760="","",IFERROR(INDEX(智能流水!$O$2:$O$1001,MATCH($B760,智能流水!$B$2:$B$1001,0)),""))</f>
        <v/>
      </c>
    </row>
    <row r="761">
      <c r="A761" s="19">
        <f>IF($B761="","",760)</f>
        <v/>
      </c>
      <c r="B761" s="19">
        <f>IFERROR(LARGE(智能流水!$B$2:$B$1001,760),"")</f>
        <v/>
      </c>
      <c r="C761" s="19">
        <f>IF($B761="","",IFERROR(INDEX(智能流水!$C$2:$C$1001,MATCH($B761,智能流水!$B$2:$B$1001,0)),""))</f>
        <v/>
      </c>
      <c r="D761" s="19">
        <f>IF($B761="","",IFERROR(INDEX(智能流水!$D$2:$D$1001,MATCH($B761,智能流水!$B$2:$B$1001,0)),""))</f>
        <v/>
      </c>
      <c r="E761" s="19">
        <f>IF($B761="","",IFERROR(INDEX(智能流水!$E$2:$E$1001,MATCH($B761,智能流水!$B$2:$B$1001,0)),""))</f>
        <v/>
      </c>
      <c r="F761" s="19">
        <f>IF($B761="","",IFERROR(INDEX(智能流水!$F$2:$F$1001,MATCH($B761,智能流水!$B$2:$B$1001,0)),""))</f>
        <v/>
      </c>
      <c r="G761" s="19">
        <f>IF($B761="","",IFERROR(INDEX(智能流水!$G$2:$G$1001,MATCH($B761,智能流水!$B$2:$B$1001,0)),""))</f>
        <v/>
      </c>
      <c r="H761" s="19">
        <f>IF($B761="","",IFERROR(INDEX(智能流水!$H$2:$H$1001,MATCH($B761,智能流水!$B$2:$B$1001,0)),""))</f>
        <v/>
      </c>
      <c r="I761" s="19">
        <f>IF($B761="","",IFERROR(INDEX(智能流水!$I$2:$I$1001,MATCH($B761,智能流水!$B$2:$B$1001,0)),""))</f>
        <v/>
      </c>
      <c r="J761" s="19">
        <f>IF($B761="","",IFERROR(INDEX(智能流水!$J$2:$J$1001,MATCH($B761,智能流水!$B$2:$B$1001,0)),""))</f>
        <v/>
      </c>
      <c r="K761" s="19">
        <f>IF($B761="","",IFERROR(INDEX(智能流水!$K$2:$K$1001,MATCH($B761,智能流水!$B$2:$B$1001,0)),""))</f>
        <v/>
      </c>
      <c r="L761" s="19">
        <f>IF($B761="","",IFERROR(INDEX(智能流水!$L$2:$L$1001,MATCH($B761,智能流水!$B$2:$B$1001,0)),""))</f>
        <v/>
      </c>
      <c r="M761" s="19">
        <f>IF($B761="","",IFERROR(INDEX(智能流水!$M$2:$M$1001,MATCH($B761,智能流水!$B$2:$B$1001,0)),""))</f>
        <v/>
      </c>
      <c r="N761" s="19">
        <f>IF($B761="","",IFERROR(INDEX(智能流水!$N$2:$N$1001,MATCH($B761,智能流水!$B$2:$B$1001,0)),""))</f>
        <v/>
      </c>
      <c r="O761" s="19">
        <f>IF($B761="","",IFERROR(INDEX(智能流水!$O$2:$O$1001,MATCH($B761,智能流水!$B$2:$B$1001,0)),""))</f>
        <v/>
      </c>
    </row>
    <row r="762">
      <c r="A762" s="19">
        <f>IF($B762="","",761)</f>
        <v/>
      </c>
      <c r="B762" s="19">
        <f>IFERROR(LARGE(智能流水!$B$2:$B$1001,761),"")</f>
        <v/>
      </c>
      <c r="C762" s="19">
        <f>IF($B762="","",IFERROR(INDEX(智能流水!$C$2:$C$1001,MATCH($B762,智能流水!$B$2:$B$1001,0)),""))</f>
        <v/>
      </c>
      <c r="D762" s="19">
        <f>IF($B762="","",IFERROR(INDEX(智能流水!$D$2:$D$1001,MATCH($B762,智能流水!$B$2:$B$1001,0)),""))</f>
        <v/>
      </c>
      <c r="E762" s="19">
        <f>IF($B762="","",IFERROR(INDEX(智能流水!$E$2:$E$1001,MATCH($B762,智能流水!$B$2:$B$1001,0)),""))</f>
        <v/>
      </c>
      <c r="F762" s="19">
        <f>IF($B762="","",IFERROR(INDEX(智能流水!$F$2:$F$1001,MATCH($B762,智能流水!$B$2:$B$1001,0)),""))</f>
        <v/>
      </c>
      <c r="G762" s="19">
        <f>IF($B762="","",IFERROR(INDEX(智能流水!$G$2:$G$1001,MATCH($B762,智能流水!$B$2:$B$1001,0)),""))</f>
        <v/>
      </c>
      <c r="H762" s="19">
        <f>IF($B762="","",IFERROR(INDEX(智能流水!$H$2:$H$1001,MATCH($B762,智能流水!$B$2:$B$1001,0)),""))</f>
        <v/>
      </c>
      <c r="I762" s="19">
        <f>IF($B762="","",IFERROR(INDEX(智能流水!$I$2:$I$1001,MATCH($B762,智能流水!$B$2:$B$1001,0)),""))</f>
        <v/>
      </c>
      <c r="J762" s="19">
        <f>IF($B762="","",IFERROR(INDEX(智能流水!$J$2:$J$1001,MATCH($B762,智能流水!$B$2:$B$1001,0)),""))</f>
        <v/>
      </c>
      <c r="K762" s="19">
        <f>IF($B762="","",IFERROR(INDEX(智能流水!$K$2:$K$1001,MATCH($B762,智能流水!$B$2:$B$1001,0)),""))</f>
        <v/>
      </c>
      <c r="L762" s="19">
        <f>IF($B762="","",IFERROR(INDEX(智能流水!$L$2:$L$1001,MATCH($B762,智能流水!$B$2:$B$1001,0)),""))</f>
        <v/>
      </c>
      <c r="M762" s="19">
        <f>IF($B762="","",IFERROR(INDEX(智能流水!$M$2:$M$1001,MATCH($B762,智能流水!$B$2:$B$1001,0)),""))</f>
        <v/>
      </c>
      <c r="N762" s="19">
        <f>IF($B762="","",IFERROR(INDEX(智能流水!$N$2:$N$1001,MATCH($B762,智能流水!$B$2:$B$1001,0)),""))</f>
        <v/>
      </c>
      <c r="O762" s="19">
        <f>IF($B762="","",IFERROR(INDEX(智能流水!$O$2:$O$1001,MATCH($B762,智能流水!$B$2:$B$1001,0)),""))</f>
        <v/>
      </c>
    </row>
    <row r="763">
      <c r="A763" s="19">
        <f>IF($B763="","",762)</f>
        <v/>
      </c>
      <c r="B763" s="19">
        <f>IFERROR(LARGE(智能流水!$B$2:$B$1001,762),"")</f>
        <v/>
      </c>
      <c r="C763" s="19">
        <f>IF($B763="","",IFERROR(INDEX(智能流水!$C$2:$C$1001,MATCH($B763,智能流水!$B$2:$B$1001,0)),""))</f>
        <v/>
      </c>
      <c r="D763" s="19">
        <f>IF($B763="","",IFERROR(INDEX(智能流水!$D$2:$D$1001,MATCH($B763,智能流水!$B$2:$B$1001,0)),""))</f>
        <v/>
      </c>
      <c r="E763" s="19">
        <f>IF($B763="","",IFERROR(INDEX(智能流水!$E$2:$E$1001,MATCH($B763,智能流水!$B$2:$B$1001,0)),""))</f>
        <v/>
      </c>
      <c r="F763" s="19">
        <f>IF($B763="","",IFERROR(INDEX(智能流水!$F$2:$F$1001,MATCH($B763,智能流水!$B$2:$B$1001,0)),""))</f>
        <v/>
      </c>
      <c r="G763" s="19">
        <f>IF($B763="","",IFERROR(INDEX(智能流水!$G$2:$G$1001,MATCH($B763,智能流水!$B$2:$B$1001,0)),""))</f>
        <v/>
      </c>
      <c r="H763" s="19">
        <f>IF($B763="","",IFERROR(INDEX(智能流水!$H$2:$H$1001,MATCH($B763,智能流水!$B$2:$B$1001,0)),""))</f>
        <v/>
      </c>
      <c r="I763" s="19">
        <f>IF($B763="","",IFERROR(INDEX(智能流水!$I$2:$I$1001,MATCH($B763,智能流水!$B$2:$B$1001,0)),""))</f>
        <v/>
      </c>
      <c r="J763" s="19">
        <f>IF($B763="","",IFERROR(INDEX(智能流水!$J$2:$J$1001,MATCH($B763,智能流水!$B$2:$B$1001,0)),""))</f>
        <v/>
      </c>
      <c r="K763" s="19">
        <f>IF($B763="","",IFERROR(INDEX(智能流水!$K$2:$K$1001,MATCH($B763,智能流水!$B$2:$B$1001,0)),""))</f>
        <v/>
      </c>
      <c r="L763" s="19">
        <f>IF($B763="","",IFERROR(INDEX(智能流水!$L$2:$L$1001,MATCH($B763,智能流水!$B$2:$B$1001,0)),""))</f>
        <v/>
      </c>
      <c r="M763" s="19">
        <f>IF($B763="","",IFERROR(INDEX(智能流水!$M$2:$M$1001,MATCH($B763,智能流水!$B$2:$B$1001,0)),""))</f>
        <v/>
      </c>
      <c r="N763" s="19">
        <f>IF($B763="","",IFERROR(INDEX(智能流水!$N$2:$N$1001,MATCH($B763,智能流水!$B$2:$B$1001,0)),""))</f>
        <v/>
      </c>
      <c r="O763" s="19">
        <f>IF($B763="","",IFERROR(INDEX(智能流水!$O$2:$O$1001,MATCH($B763,智能流水!$B$2:$B$1001,0)),""))</f>
        <v/>
      </c>
    </row>
    <row r="764">
      <c r="A764" s="19">
        <f>IF($B764="","",763)</f>
        <v/>
      </c>
      <c r="B764" s="19">
        <f>IFERROR(LARGE(智能流水!$B$2:$B$1001,763),"")</f>
        <v/>
      </c>
      <c r="C764" s="19">
        <f>IF($B764="","",IFERROR(INDEX(智能流水!$C$2:$C$1001,MATCH($B764,智能流水!$B$2:$B$1001,0)),""))</f>
        <v/>
      </c>
      <c r="D764" s="19">
        <f>IF($B764="","",IFERROR(INDEX(智能流水!$D$2:$D$1001,MATCH($B764,智能流水!$B$2:$B$1001,0)),""))</f>
        <v/>
      </c>
      <c r="E764" s="19">
        <f>IF($B764="","",IFERROR(INDEX(智能流水!$E$2:$E$1001,MATCH($B764,智能流水!$B$2:$B$1001,0)),""))</f>
        <v/>
      </c>
      <c r="F764" s="19">
        <f>IF($B764="","",IFERROR(INDEX(智能流水!$F$2:$F$1001,MATCH($B764,智能流水!$B$2:$B$1001,0)),""))</f>
        <v/>
      </c>
      <c r="G764" s="19">
        <f>IF($B764="","",IFERROR(INDEX(智能流水!$G$2:$G$1001,MATCH($B764,智能流水!$B$2:$B$1001,0)),""))</f>
        <v/>
      </c>
      <c r="H764" s="19">
        <f>IF($B764="","",IFERROR(INDEX(智能流水!$H$2:$H$1001,MATCH($B764,智能流水!$B$2:$B$1001,0)),""))</f>
        <v/>
      </c>
      <c r="I764" s="19">
        <f>IF($B764="","",IFERROR(INDEX(智能流水!$I$2:$I$1001,MATCH($B764,智能流水!$B$2:$B$1001,0)),""))</f>
        <v/>
      </c>
      <c r="J764" s="19">
        <f>IF($B764="","",IFERROR(INDEX(智能流水!$J$2:$J$1001,MATCH($B764,智能流水!$B$2:$B$1001,0)),""))</f>
        <v/>
      </c>
      <c r="K764" s="19">
        <f>IF($B764="","",IFERROR(INDEX(智能流水!$K$2:$K$1001,MATCH($B764,智能流水!$B$2:$B$1001,0)),""))</f>
        <v/>
      </c>
      <c r="L764" s="19">
        <f>IF($B764="","",IFERROR(INDEX(智能流水!$L$2:$L$1001,MATCH($B764,智能流水!$B$2:$B$1001,0)),""))</f>
        <v/>
      </c>
      <c r="M764" s="19">
        <f>IF($B764="","",IFERROR(INDEX(智能流水!$M$2:$M$1001,MATCH($B764,智能流水!$B$2:$B$1001,0)),""))</f>
        <v/>
      </c>
      <c r="N764" s="19">
        <f>IF($B764="","",IFERROR(INDEX(智能流水!$N$2:$N$1001,MATCH($B764,智能流水!$B$2:$B$1001,0)),""))</f>
        <v/>
      </c>
      <c r="O764" s="19">
        <f>IF($B764="","",IFERROR(INDEX(智能流水!$O$2:$O$1001,MATCH($B764,智能流水!$B$2:$B$1001,0)),""))</f>
        <v/>
      </c>
    </row>
    <row r="765">
      <c r="A765" s="19">
        <f>IF($B765="","",764)</f>
        <v/>
      </c>
      <c r="B765" s="19">
        <f>IFERROR(LARGE(智能流水!$B$2:$B$1001,764),"")</f>
        <v/>
      </c>
      <c r="C765" s="19">
        <f>IF($B765="","",IFERROR(INDEX(智能流水!$C$2:$C$1001,MATCH($B765,智能流水!$B$2:$B$1001,0)),""))</f>
        <v/>
      </c>
      <c r="D765" s="19">
        <f>IF($B765="","",IFERROR(INDEX(智能流水!$D$2:$D$1001,MATCH($B765,智能流水!$B$2:$B$1001,0)),""))</f>
        <v/>
      </c>
      <c r="E765" s="19">
        <f>IF($B765="","",IFERROR(INDEX(智能流水!$E$2:$E$1001,MATCH($B765,智能流水!$B$2:$B$1001,0)),""))</f>
        <v/>
      </c>
      <c r="F765" s="19">
        <f>IF($B765="","",IFERROR(INDEX(智能流水!$F$2:$F$1001,MATCH($B765,智能流水!$B$2:$B$1001,0)),""))</f>
        <v/>
      </c>
      <c r="G765" s="19">
        <f>IF($B765="","",IFERROR(INDEX(智能流水!$G$2:$G$1001,MATCH($B765,智能流水!$B$2:$B$1001,0)),""))</f>
        <v/>
      </c>
      <c r="H765" s="19">
        <f>IF($B765="","",IFERROR(INDEX(智能流水!$H$2:$H$1001,MATCH($B765,智能流水!$B$2:$B$1001,0)),""))</f>
        <v/>
      </c>
      <c r="I765" s="19">
        <f>IF($B765="","",IFERROR(INDEX(智能流水!$I$2:$I$1001,MATCH($B765,智能流水!$B$2:$B$1001,0)),""))</f>
        <v/>
      </c>
      <c r="J765" s="19">
        <f>IF($B765="","",IFERROR(INDEX(智能流水!$J$2:$J$1001,MATCH($B765,智能流水!$B$2:$B$1001,0)),""))</f>
        <v/>
      </c>
      <c r="K765" s="19">
        <f>IF($B765="","",IFERROR(INDEX(智能流水!$K$2:$K$1001,MATCH($B765,智能流水!$B$2:$B$1001,0)),""))</f>
        <v/>
      </c>
      <c r="L765" s="19">
        <f>IF($B765="","",IFERROR(INDEX(智能流水!$L$2:$L$1001,MATCH($B765,智能流水!$B$2:$B$1001,0)),""))</f>
        <v/>
      </c>
      <c r="M765" s="19">
        <f>IF($B765="","",IFERROR(INDEX(智能流水!$M$2:$M$1001,MATCH($B765,智能流水!$B$2:$B$1001,0)),""))</f>
        <v/>
      </c>
      <c r="N765" s="19">
        <f>IF($B765="","",IFERROR(INDEX(智能流水!$N$2:$N$1001,MATCH($B765,智能流水!$B$2:$B$1001,0)),""))</f>
        <v/>
      </c>
      <c r="O765" s="19">
        <f>IF($B765="","",IFERROR(INDEX(智能流水!$O$2:$O$1001,MATCH($B765,智能流水!$B$2:$B$1001,0)),""))</f>
        <v/>
      </c>
    </row>
    <row r="766">
      <c r="A766" s="19">
        <f>IF($B766="","",765)</f>
        <v/>
      </c>
      <c r="B766" s="19">
        <f>IFERROR(LARGE(智能流水!$B$2:$B$1001,765),"")</f>
        <v/>
      </c>
      <c r="C766" s="19">
        <f>IF($B766="","",IFERROR(INDEX(智能流水!$C$2:$C$1001,MATCH($B766,智能流水!$B$2:$B$1001,0)),""))</f>
        <v/>
      </c>
      <c r="D766" s="19">
        <f>IF($B766="","",IFERROR(INDEX(智能流水!$D$2:$D$1001,MATCH($B766,智能流水!$B$2:$B$1001,0)),""))</f>
        <v/>
      </c>
      <c r="E766" s="19">
        <f>IF($B766="","",IFERROR(INDEX(智能流水!$E$2:$E$1001,MATCH($B766,智能流水!$B$2:$B$1001,0)),""))</f>
        <v/>
      </c>
      <c r="F766" s="19">
        <f>IF($B766="","",IFERROR(INDEX(智能流水!$F$2:$F$1001,MATCH($B766,智能流水!$B$2:$B$1001,0)),""))</f>
        <v/>
      </c>
      <c r="G766" s="19">
        <f>IF($B766="","",IFERROR(INDEX(智能流水!$G$2:$G$1001,MATCH($B766,智能流水!$B$2:$B$1001,0)),""))</f>
        <v/>
      </c>
      <c r="H766" s="19">
        <f>IF($B766="","",IFERROR(INDEX(智能流水!$H$2:$H$1001,MATCH($B766,智能流水!$B$2:$B$1001,0)),""))</f>
        <v/>
      </c>
      <c r="I766" s="19">
        <f>IF($B766="","",IFERROR(INDEX(智能流水!$I$2:$I$1001,MATCH($B766,智能流水!$B$2:$B$1001,0)),""))</f>
        <v/>
      </c>
      <c r="J766" s="19">
        <f>IF($B766="","",IFERROR(INDEX(智能流水!$J$2:$J$1001,MATCH($B766,智能流水!$B$2:$B$1001,0)),""))</f>
        <v/>
      </c>
      <c r="K766" s="19">
        <f>IF($B766="","",IFERROR(INDEX(智能流水!$K$2:$K$1001,MATCH($B766,智能流水!$B$2:$B$1001,0)),""))</f>
        <v/>
      </c>
      <c r="L766" s="19">
        <f>IF($B766="","",IFERROR(INDEX(智能流水!$L$2:$L$1001,MATCH($B766,智能流水!$B$2:$B$1001,0)),""))</f>
        <v/>
      </c>
      <c r="M766" s="19">
        <f>IF($B766="","",IFERROR(INDEX(智能流水!$M$2:$M$1001,MATCH($B766,智能流水!$B$2:$B$1001,0)),""))</f>
        <v/>
      </c>
      <c r="N766" s="19">
        <f>IF($B766="","",IFERROR(INDEX(智能流水!$N$2:$N$1001,MATCH($B766,智能流水!$B$2:$B$1001,0)),""))</f>
        <v/>
      </c>
      <c r="O766" s="19">
        <f>IF($B766="","",IFERROR(INDEX(智能流水!$O$2:$O$1001,MATCH($B766,智能流水!$B$2:$B$1001,0)),""))</f>
        <v/>
      </c>
    </row>
    <row r="767">
      <c r="A767" s="19">
        <f>IF($B767="","",766)</f>
        <v/>
      </c>
      <c r="B767" s="19">
        <f>IFERROR(LARGE(智能流水!$B$2:$B$1001,766),"")</f>
        <v/>
      </c>
      <c r="C767" s="19">
        <f>IF($B767="","",IFERROR(INDEX(智能流水!$C$2:$C$1001,MATCH($B767,智能流水!$B$2:$B$1001,0)),""))</f>
        <v/>
      </c>
      <c r="D767" s="19">
        <f>IF($B767="","",IFERROR(INDEX(智能流水!$D$2:$D$1001,MATCH($B767,智能流水!$B$2:$B$1001,0)),""))</f>
        <v/>
      </c>
      <c r="E767" s="19">
        <f>IF($B767="","",IFERROR(INDEX(智能流水!$E$2:$E$1001,MATCH($B767,智能流水!$B$2:$B$1001,0)),""))</f>
        <v/>
      </c>
      <c r="F767" s="19">
        <f>IF($B767="","",IFERROR(INDEX(智能流水!$F$2:$F$1001,MATCH($B767,智能流水!$B$2:$B$1001,0)),""))</f>
        <v/>
      </c>
      <c r="G767" s="19">
        <f>IF($B767="","",IFERROR(INDEX(智能流水!$G$2:$G$1001,MATCH($B767,智能流水!$B$2:$B$1001,0)),""))</f>
        <v/>
      </c>
      <c r="H767" s="19">
        <f>IF($B767="","",IFERROR(INDEX(智能流水!$H$2:$H$1001,MATCH($B767,智能流水!$B$2:$B$1001,0)),""))</f>
        <v/>
      </c>
      <c r="I767" s="19">
        <f>IF($B767="","",IFERROR(INDEX(智能流水!$I$2:$I$1001,MATCH($B767,智能流水!$B$2:$B$1001,0)),""))</f>
        <v/>
      </c>
      <c r="J767" s="19">
        <f>IF($B767="","",IFERROR(INDEX(智能流水!$J$2:$J$1001,MATCH($B767,智能流水!$B$2:$B$1001,0)),""))</f>
        <v/>
      </c>
      <c r="K767" s="19">
        <f>IF($B767="","",IFERROR(INDEX(智能流水!$K$2:$K$1001,MATCH($B767,智能流水!$B$2:$B$1001,0)),""))</f>
        <v/>
      </c>
      <c r="L767" s="19">
        <f>IF($B767="","",IFERROR(INDEX(智能流水!$L$2:$L$1001,MATCH($B767,智能流水!$B$2:$B$1001,0)),""))</f>
        <v/>
      </c>
      <c r="M767" s="19">
        <f>IF($B767="","",IFERROR(INDEX(智能流水!$M$2:$M$1001,MATCH($B767,智能流水!$B$2:$B$1001,0)),""))</f>
        <v/>
      </c>
      <c r="N767" s="19">
        <f>IF($B767="","",IFERROR(INDEX(智能流水!$N$2:$N$1001,MATCH($B767,智能流水!$B$2:$B$1001,0)),""))</f>
        <v/>
      </c>
      <c r="O767" s="19">
        <f>IF($B767="","",IFERROR(INDEX(智能流水!$O$2:$O$1001,MATCH($B767,智能流水!$B$2:$B$1001,0)),""))</f>
        <v/>
      </c>
    </row>
    <row r="768">
      <c r="A768" s="19">
        <f>IF($B768="","",767)</f>
        <v/>
      </c>
      <c r="B768" s="19">
        <f>IFERROR(LARGE(智能流水!$B$2:$B$1001,767),"")</f>
        <v/>
      </c>
      <c r="C768" s="19">
        <f>IF($B768="","",IFERROR(INDEX(智能流水!$C$2:$C$1001,MATCH($B768,智能流水!$B$2:$B$1001,0)),""))</f>
        <v/>
      </c>
      <c r="D768" s="19">
        <f>IF($B768="","",IFERROR(INDEX(智能流水!$D$2:$D$1001,MATCH($B768,智能流水!$B$2:$B$1001,0)),""))</f>
        <v/>
      </c>
      <c r="E768" s="19">
        <f>IF($B768="","",IFERROR(INDEX(智能流水!$E$2:$E$1001,MATCH($B768,智能流水!$B$2:$B$1001,0)),""))</f>
        <v/>
      </c>
      <c r="F768" s="19">
        <f>IF($B768="","",IFERROR(INDEX(智能流水!$F$2:$F$1001,MATCH($B768,智能流水!$B$2:$B$1001,0)),""))</f>
        <v/>
      </c>
      <c r="G768" s="19">
        <f>IF($B768="","",IFERROR(INDEX(智能流水!$G$2:$G$1001,MATCH($B768,智能流水!$B$2:$B$1001,0)),""))</f>
        <v/>
      </c>
      <c r="H768" s="19">
        <f>IF($B768="","",IFERROR(INDEX(智能流水!$H$2:$H$1001,MATCH($B768,智能流水!$B$2:$B$1001,0)),""))</f>
        <v/>
      </c>
      <c r="I768" s="19">
        <f>IF($B768="","",IFERROR(INDEX(智能流水!$I$2:$I$1001,MATCH($B768,智能流水!$B$2:$B$1001,0)),""))</f>
        <v/>
      </c>
      <c r="J768" s="19">
        <f>IF($B768="","",IFERROR(INDEX(智能流水!$J$2:$J$1001,MATCH($B768,智能流水!$B$2:$B$1001,0)),""))</f>
        <v/>
      </c>
      <c r="K768" s="19">
        <f>IF($B768="","",IFERROR(INDEX(智能流水!$K$2:$K$1001,MATCH($B768,智能流水!$B$2:$B$1001,0)),""))</f>
        <v/>
      </c>
      <c r="L768" s="19">
        <f>IF($B768="","",IFERROR(INDEX(智能流水!$L$2:$L$1001,MATCH($B768,智能流水!$B$2:$B$1001,0)),""))</f>
        <v/>
      </c>
      <c r="M768" s="19">
        <f>IF($B768="","",IFERROR(INDEX(智能流水!$M$2:$M$1001,MATCH($B768,智能流水!$B$2:$B$1001,0)),""))</f>
        <v/>
      </c>
      <c r="N768" s="19">
        <f>IF($B768="","",IFERROR(INDEX(智能流水!$N$2:$N$1001,MATCH($B768,智能流水!$B$2:$B$1001,0)),""))</f>
        <v/>
      </c>
      <c r="O768" s="19">
        <f>IF($B768="","",IFERROR(INDEX(智能流水!$O$2:$O$1001,MATCH($B768,智能流水!$B$2:$B$1001,0)),""))</f>
        <v/>
      </c>
    </row>
    <row r="769">
      <c r="A769" s="19">
        <f>IF($B769="","",768)</f>
        <v/>
      </c>
      <c r="B769" s="19">
        <f>IFERROR(LARGE(智能流水!$B$2:$B$1001,768),"")</f>
        <v/>
      </c>
      <c r="C769" s="19">
        <f>IF($B769="","",IFERROR(INDEX(智能流水!$C$2:$C$1001,MATCH($B769,智能流水!$B$2:$B$1001,0)),""))</f>
        <v/>
      </c>
      <c r="D769" s="19">
        <f>IF($B769="","",IFERROR(INDEX(智能流水!$D$2:$D$1001,MATCH($B769,智能流水!$B$2:$B$1001,0)),""))</f>
        <v/>
      </c>
      <c r="E769" s="19">
        <f>IF($B769="","",IFERROR(INDEX(智能流水!$E$2:$E$1001,MATCH($B769,智能流水!$B$2:$B$1001,0)),""))</f>
        <v/>
      </c>
      <c r="F769" s="19">
        <f>IF($B769="","",IFERROR(INDEX(智能流水!$F$2:$F$1001,MATCH($B769,智能流水!$B$2:$B$1001,0)),""))</f>
        <v/>
      </c>
      <c r="G769" s="19">
        <f>IF($B769="","",IFERROR(INDEX(智能流水!$G$2:$G$1001,MATCH($B769,智能流水!$B$2:$B$1001,0)),""))</f>
        <v/>
      </c>
      <c r="H769" s="19">
        <f>IF($B769="","",IFERROR(INDEX(智能流水!$H$2:$H$1001,MATCH($B769,智能流水!$B$2:$B$1001,0)),""))</f>
        <v/>
      </c>
      <c r="I769" s="19">
        <f>IF($B769="","",IFERROR(INDEX(智能流水!$I$2:$I$1001,MATCH($B769,智能流水!$B$2:$B$1001,0)),""))</f>
        <v/>
      </c>
      <c r="J769" s="19">
        <f>IF($B769="","",IFERROR(INDEX(智能流水!$J$2:$J$1001,MATCH($B769,智能流水!$B$2:$B$1001,0)),""))</f>
        <v/>
      </c>
      <c r="K769" s="19">
        <f>IF($B769="","",IFERROR(INDEX(智能流水!$K$2:$K$1001,MATCH($B769,智能流水!$B$2:$B$1001,0)),""))</f>
        <v/>
      </c>
      <c r="L769" s="19">
        <f>IF($B769="","",IFERROR(INDEX(智能流水!$L$2:$L$1001,MATCH($B769,智能流水!$B$2:$B$1001,0)),""))</f>
        <v/>
      </c>
      <c r="M769" s="19">
        <f>IF($B769="","",IFERROR(INDEX(智能流水!$M$2:$M$1001,MATCH($B769,智能流水!$B$2:$B$1001,0)),""))</f>
        <v/>
      </c>
      <c r="N769" s="19">
        <f>IF($B769="","",IFERROR(INDEX(智能流水!$N$2:$N$1001,MATCH($B769,智能流水!$B$2:$B$1001,0)),""))</f>
        <v/>
      </c>
      <c r="O769" s="19">
        <f>IF($B769="","",IFERROR(INDEX(智能流水!$O$2:$O$1001,MATCH($B769,智能流水!$B$2:$B$1001,0)),""))</f>
        <v/>
      </c>
    </row>
    <row r="770">
      <c r="A770" s="19">
        <f>IF($B770="","",769)</f>
        <v/>
      </c>
      <c r="B770" s="19">
        <f>IFERROR(LARGE(智能流水!$B$2:$B$1001,769),"")</f>
        <v/>
      </c>
      <c r="C770" s="19">
        <f>IF($B770="","",IFERROR(INDEX(智能流水!$C$2:$C$1001,MATCH($B770,智能流水!$B$2:$B$1001,0)),""))</f>
        <v/>
      </c>
      <c r="D770" s="19">
        <f>IF($B770="","",IFERROR(INDEX(智能流水!$D$2:$D$1001,MATCH($B770,智能流水!$B$2:$B$1001,0)),""))</f>
        <v/>
      </c>
      <c r="E770" s="19">
        <f>IF($B770="","",IFERROR(INDEX(智能流水!$E$2:$E$1001,MATCH($B770,智能流水!$B$2:$B$1001,0)),""))</f>
        <v/>
      </c>
      <c r="F770" s="19">
        <f>IF($B770="","",IFERROR(INDEX(智能流水!$F$2:$F$1001,MATCH($B770,智能流水!$B$2:$B$1001,0)),""))</f>
        <v/>
      </c>
      <c r="G770" s="19">
        <f>IF($B770="","",IFERROR(INDEX(智能流水!$G$2:$G$1001,MATCH($B770,智能流水!$B$2:$B$1001,0)),""))</f>
        <v/>
      </c>
      <c r="H770" s="19">
        <f>IF($B770="","",IFERROR(INDEX(智能流水!$H$2:$H$1001,MATCH($B770,智能流水!$B$2:$B$1001,0)),""))</f>
        <v/>
      </c>
      <c r="I770" s="19">
        <f>IF($B770="","",IFERROR(INDEX(智能流水!$I$2:$I$1001,MATCH($B770,智能流水!$B$2:$B$1001,0)),""))</f>
        <v/>
      </c>
      <c r="J770" s="19">
        <f>IF($B770="","",IFERROR(INDEX(智能流水!$J$2:$J$1001,MATCH($B770,智能流水!$B$2:$B$1001,0)),""))</f>
        <v/>
      </c>
      <c r="K770" s="19">
        <f>IF($B770="","",IFERROR(INDEX(智能流水!$K$2:$K$1001,MATCH($B770,智能流水!$B$2:$B$1001,0)),""))</f>
        <v/>
      </c>
      <c r="L770" s="19">
        <f>IF($B770="","",IFERROR(INDEX(智能流水!$L$2:$L$1001,MATCH($B770,智能流水!$B$2:$B$1001,0)),""))</f>
        <v/>
      </c>
      <c r="M770" s="19">
        <f>IF($B770="","",IFERROR(INDEX(智能流水!$M$2:$M$1001,MATCH($B770,智能流水!$B$2:$B$1001,0)),""))</f>
        <v/>
      </c>
      <c r="N770" s="19">
        <f>IF($B770="","",IFERROR(INDEX(智能流水!$N$2:$N$1001,MATCH($B770,智能流水!$B$2:$B$1001,0)),""))</f>
        <v/>
      </c>
      <c r="O770" s="19">
        <f>IF($B770="","",IFERROR(INDEX(智能流水!$O$2:$O$1001,MATCH($B770,智能流水!$B$2:$B$1001,0)),""))</f>
        <v/>
      </c>
    </row>
    <row r="771">
      <c r="A771" s="19">
        <f>IF($B771="","",770)</f>
        <v/>
      </c>
      <c r="B771" s="19">
        <f>IFERROR(LARGE(智能流水!$B$2:$B$1001,770),"")</f>
        <v/>
      </c>
      <c r="C771" s="19">
        <f>IF($B771="","",IFERROR(INDEX(智能流水!$C$2:$C$1001,MATCH($B771,智能流水!$B$2:$B$1001,0)),""))</f>
        <v/>
      </c>
      <c r="D771" s="19">
        <f>IF($B771="","",IFERROR(INDEX(智能流水!$D$2:$D$1001,MATCH($B771,智能流水!$B$2:$B$1001,0)),""))</f>
        <v/>
      </c>
      <c r="E771" s="19">
        <f>IF($B771="","",IFERROR(INDEX(智能流水!$E$2:$E$1001,MATCH($B771,智能流水!$B$2:$B$1001,0)),""))</f>
        <v/>
      </c>
      <c r="F771" s="19">
        <f>IF($B771="","",IFERROR(INDEX(智能流水!$F$2:$F$1001,MATCH($B771,智能流水!$B$2:$B$1001,0)),""))</f>
        <v/>
      </c>
      <c r="G771" s="19">
        <f>IF($B771="","",IFERROR(INDEX(智能流水!$G$2:$G$1001,MATCH($B771,智能流水!$B$2:$B$1001,0)),""))</f>
        <v/>
      </c>
      <c r="H771" s="19">
        <f>IF($B771="","",IFERROR(INDEX(智能流水!$H$2:$H$1001,MATCH($B771,智能流水!$B$2:$B$1001,0)),""))</f>
        <v/>
      </c>
      <c r="I771" s="19">
        <f>IF($B771="","",IFERROR(INDEX(智能流水!$I$2:$I$1001,MATCH($B771,智能流水!$B$2:$B$1001,0)),""))</f>
        <v/>
      </c>
      <c r="J771" s="19">
        <f>IF($B771="","",IFERROR(INDEX(智能流水!$J$2:$J$1001,MATCH($B771,智能流水!$B$2:$B$1001,0)),""))</f>
        <v/>
      </c>
      <c r="K771" s="19">
        <f>IF($B771="","",IFERROR(INDEX(智能流水!$K$2:$K$1001,MATCH($B771,智能流水!$B$2:$B$1001,0)),""))</f>
        <v/>
      </c>
      <c r="L771" s="19">
        <f>IF($B771="","",IFERROR(INDEX(智能流水!$L$2:$L$1001,MATCH($B771,智能流水!$B$2:$B$1001,0)),""))</f>
        <v/>
      </c>
      <c r="M771" s="19">
        <f>IF($B771="","",IFERROR(INDEX(智能流水!$M$2:$M$1001,MATCH($B771,智能流水!$B$2:$B$1001,0)),""))</f>
        <v/>
      </c>
      <c r="N771" s="19">
        <f>IF($B771="","",IFERROR(INDEX(智能流水!$N$2:$N$1001,MATCH($B771,智能流水!$B$2:$B$1001,0)),""))</f>
        <v/>
      </c>
      <c r="O771" s="19">
        <f>IF($B771="","",IFERROR(INDEX(智能流水!$O$2:$O$1001,MATCH($B771,智能流水!$B$2:$B$1001,0)),""))</f>
        <v/>
      </c>
    </row>
    <row r="772">
      <c r="A772" s="19">
        <f>IF($B772="","",771)</f>
        <v/>
      </c>
      <c r="B772" s="19">
        <f>IFERROR(LARGE(智能流水!$B$2:$B$1001,771),"")</f>
        <v/>
      </c>
      <c r="C772" s="19">
        <f>IF($B772="","",IFERROR(INDEX(智能流水!$C$2:$C$1001,MATCH($B772,智能流水!$B$2:$B$1001,0)),""))</f>
        <v/>
      </c>
      <c r="D772" s="19">
        <f>IF($B772="","",IFERROR(INDEX(智能流水!$D$2:$D$1001,MATCH($B772,智能流水!$B$2:$B$1001,0)),""))</f>
        <v/>
      </c>
      <c r="E772" s="19">
        <f>IF($B772="","",IFERROR(INDEX(智能流水!$E$2:$E$1001,MATCH($B772,智能流水!$B$2:$B$1001,0)),""))</f>
        <v/>
      </c>
      <c r="F772" s="19">
        <f>IF($B772="","",IFERROR(INDEX(智能流水!$F$2:$F$1001,MATCH($B772,智能流水!$B$2:$B$1001,0)),""))</f>
        <v/>
      </c>
      <c r="G772" s="19">
        <f>IF($B772="","",IFERROR(INDEX(智能流水!$G$2:$G$1001,MATCH($B772,智能流水!$B$2:$B$1001,0)),""))</f>
        <v/>
      </c>
      <c r="H772" s="19">
        <f>IF($B772="","",IFERROR(INDEX(智能流水!$H$2:$H$1001,MATCH($B772,智能流水!$B$2:$B$1001,0)),""))</f>
        <v/>
      </c>
      <c r="I772" s="19">
        <f>IF($B772="","",IFERROR(INDEX(智能流水!$I$2:$I$1001,MATCH($B772,智能流水!$B$2:$B$1001,0)),""))</f>
        <v/>
      </c>
      <c r="J772" s="19">
        <f>IF($B772="","",IFERROR(INDEX(智能流水!$J$2:$J$1001,MATCH($B772,智能流水!$B$2:$B$1001,0)),""))</f>
        <v/>
      </c>
      <c r="K772" s="19">
        <f>IF($B772="","",IFERROR(INDEX(智能流水!$K$2:$K$1001,MATCH($B772,智能流水!$B$2:$B$1001,0)),""))</f>
        <v/>
      </c>
      <c r="L772" s="19">
        <f>IF($B772="","",IFERROR(INDEX(智能流水!$L$2:$L$1001,MATCH($B772,智能流水!$B$2:$B$1001,0)),""))</f>
        <v/>
      </c>
      <c r="M772" s="19">
        <f>IF($B772="","",IFERROR(INDEX(智能流水!$M$2:$M$1001,MATCH($B772,智能流水!$B$2:$B$1001,0)),""))</f>
        <v/>
      </c>
      <c r="N772" s="19">
        <f>IF($B772="","",IFERROR(INDEX(智能流水!$N$2:$N$1001,MATCH($B772,智能流水!$B$2:$B$1001,0)),""))</f>
        <v/>
      </c>
      <c r="O772" s="19">
        <f>IF($B772="","",IFERROR(INDEX(智能流水!$O$2:$O$1001,MATCH($B772,智能流水!$B$2:$B$1001,0)),""))</f>
        <v/>
      </c>
    </row>
    <row r="773">
      <c r="A773" s="19">
        <f>IF($B773="","",772)</f>
        <v/>
      </c>
      <c r="B773" s="19">
        <f>IFERROR(LARGE(智能流水!$B$2:$B$1001,772),"")</f>
        <v/>
      </c>
      <c r="C773" s="19">
        <f>IF($B773="","",IFERROR(INDEX(智能流水!$C$2:$C$1001,MATCH($B773,智能流水!$B$2:$B$1001,0)),""))</f>
        <v/>
      </c>
      <c r="D773" s="19">
        <f>IF($B773="","",IFERROR(INDEX(智能流水!$D$2:$D$1001,MATCH($B773,智能流水!$B$2:$B$1001,0)),""))</f>
        <v/>
      </c>
      <c r="E773" s="19">
        <f>IF($B773="","",IFERROR(INDEX(智能流水!$E$2:$E$1001,MATCH($B773,智能流水!$B$2:$B$1001,0)),""))</f>
        <v/>
      </c>
      <c r="F773" s="19">
        <f>IF($B773="","",IFERROR(INDEX(智能流水!$F$2:$F$1001,MATCH($B773,智能流水!$B$2:$B$1001,0)),""))</f>
        <v/>
      </c>
      <c r="G773" s="19">
        <f>IF($B773="","",IFERROR(INDEX(智能流水!$G$2:$G$1001,MATCH($B773,智能流水!$B$2:$B$1001,0)),""))</f>
        <v/>
      </c>
      <c r="H773" s="19">
        <f>IF($B773="","",IFERROR(INDEX(智能流水!$H$2:$H$1001,MATCH($B773,智能流水!$B$2:$B$1001,0)),""))</f>
        <v/>
      </c>
      <c r="I773" s="19">
        <f>IF($B773="","",IFERROR(INDEX(智能流水!$I$2:$I$1001,MATCH($B773,智能流水!$B$2:$B$1001,0)),""))</f>
        <v/>
      </c>
      <c r="J773" s="19">
        <f>IF($B773="","",IFERROR(INDEX(智能流水!$J$2:$J$1001,MATCH($B773,智能流水!$B$2:$B$1001,0)),""))</f>
        <v/>
      </c>
      <c r="K773" s="19">
        <f>IF($B773="","",IFERROR(INDEX(智能流水!$K$2:$K$1001,MATCH($B773,智能流水!$B$2:$B$1001,0)),""))</f>
        <v/>
      </c>
      <c r="L773" s="19">
        <f>IF($B773="","",IFERROR(INDEX(智能流水!$L$2:$L$1001,MATCH($B773,智能流水!$B$2:$B$1001,0)),""))</f>
        <v/>
      </c>
      <c r="M773" s="19">
        <f>IF($B773="","",IFERROR(INDEX(智能流水!$M$2:$M$1001,MATCH($B773,智能流水!$B$2:$B$1001,0)),""))</f>
        <v/>
      </c>
      <c r="N773" s="19">
        <f>IF($B773="","",IFERROR(INDEX(智能流水!$N$2:$N$1001,MATCH($B773,智能流水!$B$2:$B$1001,0)),""))</f>
        <v/>
      </c>
      <c r="O773" s="19">
        <f>IF($B773="","",IFERROR(INDEX(智能流水!$O$2:$O$1001,MATCH($B773,智能流水!$B$2:$B$1001,0)),""))</f>
        <v/>
      </c>
    </row>
    <row r="774">
      <c r="A774" s="19">
        <f>IF($B774="","",773)</f>
        <v/>
      </c>
      <c r="B774" s="19">
        <f>IFERROR(LARGE(智能流水!$B$2:$B$1001,773),"")</f>
        <v/>
      </c>
      <c r="C774" s="19">
        <f>IF($B774="","",IFERROR(INDEX(智能流水!$C$2:$C$1001,MATCH($B774,智能流水!$B$2:$B$1001,0)),""))</f>
        <v/>
      </c>
      <c r="D774" s="19">
        <f>IF($B774="","",IFERROR(INDEX(智能流水!$D$2:$D$1001,MATCH($B774,智能流水!$B$2:$B$1001,0)),""))</f>
        <v/>
      </c>
      <c r="E774" s="19">
        <f>IF($B774="","",IFERROR(INDEX(智能流水!$E$2:$E$1001,MATCH($B774,智能流水!$B$2:$B$1001,0)),""))</f>
        <v/>
      </c>
      <c r="F774" s="19">
        <f>IF($B774="","",IFERROR(INDEX(智能流水!$F$2:$F$1001,MATCH($B774,智能流水!$B$2:$B$1001,0)),""))</f>
        <v/>
      </c>
      <c r="G774" s="19">
        <f>IF($B774="","",IFERROR(INDEX(智能流水!$G$2:$G$1001,MATCH($B774,智能流水!$B$2:$B$1001,0)),""))</f>
        <v/>
      </c>
      <c r="H774" s="19">
        <f>IF($B774="","",IFERROR(INDEX(智能流水!$H$2:$H$1001,MATCH($B774,智能流水!$B$2:$B$1001,0)),""))</f>
        <v/>
      </c>
      <c r="I774" s="19">
        <f>IF($B774="","",IFERROR(INDEX(智能流水!$I$2:$I$1001,MATCH($B774,智能流水!$B$2:$B$1001,0)),""))</f>
        <v/>
      </c>
      <c r="J774" s="19">
        <f>IF($B774="","",IFERROR(INDEX(智能流水!$J$2:$J$1001,MATCH($B774,智能流水!$B$2:$B$1001,0)),""))</f>
        <v/>
      </c>
      <c r="K774" s="19">
        <f>IF($B774="","",IFERROR(INDEX(智能流水!$K$2:$K$1001,MATCH($B774,智能流水!$B$2:$B$1001,0)),""))</f>
        <v/>
      </c>
      <c r="L774" s="19">
        <f>IF($B774="","",IFERROR(INDEX(智能流水!$L$2:$L$1001,MATCH($B774,智能流水!$B$2:$B$1001,0)),""))</f>
        <v/>
      </c>
      <c r="M774" s="19">
        <f>IF($B774="","",IFERROR(INDEX(智能流水!$M$2:$M$1001,MATCH($B774,智能流水!$B$2:$B$1001,0)),""))</f>
        <v/>
      </c>
      <c r="N774" s="19">
        <f>IF($B774="","",IFERROR(INDEX(智能流水!$N$2:$N$1001,MATCH($B774,智能流水!$B$2:$B$1001,0)),""))</f>
        <v/>
      </c>
      <c r="O774" s="19">
        <f>IF($B774="","",IFERROR(INDEX(智能流水!$O$2:$O$1001,MATCH($B774,智能流水!$B$2:$B$1001,0)),""))</f>
        <v/>
      </c>
    </row>
    <row r="775">
      <c r="A775" s="19">
        <f>IF($B775="","",774)</f>
        <v/>
      </c>
      <c r="B775" s="19">
        <f>IFERROR(LARGE(智能流水!$B$2:$B$1001,774),"")</f>
        <v/>
      </c>
      <c r="C775" s="19">
        <f>IF($B775="","",IFERROR(INDEX(智能流水!$C$2:$C$1001,MATCH($B775,智能流水!$B$2:$B$1001,0)),""))</f>
        <v/>
      </c>
      <c r="D775" s="19">
        <f>IF($B775="","",IFERROR(INDEX(智能流水!$D$2:$D$1001,MATCH($B775,智能流水!$B$2:$B$1001,0)),""))</f>
        <v/>
      </c>
      <c r="E775" s="19">
        <f>IF($B775="","",IFERROR(INDEX(智能流水!$E$2:$E$1001,MATCH($B775,智能流水!$B$2:$B$1001,0)),""))</f>
        <v/>
      </c>
      <c r="F775" s="19">
        <f>IF($B775="","",IFERROR(INDEX(智能流水!$F$2:$F$1001,MATCH($B775,智能流水!$B$2:$B$1001,0)),""))</f>
        <v/>
      </c>
      <c r="G775" s="19">
        <f>IF($B775="","",IFERROR(INDEX(智能流水!$G$2:$G$1001,MATCH($B775,智能流水!$B$2:$B$1001,0)),""))</f>
        <v/>
      </c>
      <c r="H775" s="19">
        <f>IF($B775="","",IFERROR(INDEX(智能流水!$H$2:$H$1001,MATCH($B775,智能流水!$B$2:$B$1001,0)),""))</f>
        <v/>
      </c>
      <c r="I775" s="19">
        <f>IF($B775="","",IFERROR(INDEX(智能流水!$I$2:$I$1001,MATCH($B775,智能流水!$B$2:$B$1001,0)),""))</f>
        <v/>
      </c>
      <c r="J775" s="19">
        <f>IF($B775="","",IFERROR(INDEX(智能流水!$J$2:$J$1001,MATCH($B775,智能流水!$B$2:$B$1001,0)),""))</f>
        <v/>
      </c>
      <c r="K775" s="19">
        <f>IF($B775="","",IFERROR(INDEX(智能流水!$K$2:$K$1001,MATCH($B775,智能流水!$B$2:$B$1001,0)),""))</f>
        <v/>
      </c>
      <c r="L775" s="19">
        <f>IF($B775="","",IFERROR(INDEX(智能流水!$L$2:$L$1001,MATCH($B775,智能流水!$B$2:$B$1001,0)),""))</f>
        <v/>
      </c>
      <c r="M775" s="19">
        <f>IF($B775="","",IFERROR(INDEX(智能流水!$M$2:$M$1001,MATCH($B775,智能流水!$B$2:$B$1001,0)),""))</f>
        <v/>
      </c>
      <c r="N775" s="19">
        <f>IF($B775="","",IFERROR(INDEX(智能流水!$N$2:$N$1001,MATCH($B775,智能流水!$B$2:$B$1001,0)),""))</f>
        <v/>
      </c>
      <c r="O775" s="19">
        <f>IF($B775="","",IFERROR(INDEX(智能流水!$O$2:$O$1001,MATCH($B775,智能流水!$B$2:$B$1001,0)),""))</f>
        <v/>
      </c>
    </row>
    <row r="776">
      <c r="A776" s="19">
        <f>IF($B776="","",775)</f>
        <v/>
      </c>
      <c r="B776" s="19">
        <f>IFERROR(LARGE(智能流水!$B$2:$B$1001,775),"")</f>
        <v/>
      </c>
      <c r="C776" s="19">
        <f>IF($B776="","",IFERROR(INDEX(智能流水!$C$2:$C$1001,MATCH($B776,智能流水!$B$2:$B$1001,0)),""))</f>
        <v/>
      </c>
      <c r="D776" s="19">
        <f>IF($B776="","",IFERROR(INDEX(智能流水!$D$2:$D$1001,MATCH($B776,智能流水!$B$2:$B$1001,0)),""))</f>
        <v/>
      </c>
      <c r="E776" s="19">
        <f>IF($B776="","",IFERROR(INDEX(智能流水!$E$2:$E$1001,MATCH($B776,智能流水!$B$2:$B$1001,0)),""))</f>
        <v/>
      </c>
      <c r="F776" s="19">
        <f>IF($B776="","",IFERROR(INDEX(智能流水!$F$2:$F$1001,MATCH($B776,智能流水!$B$2:$B$1001,0)),""))</f>
        <v/>
      </c>
      <c r="G776" s="19">
        <f>IF($B776="","",IFERROR(INDEX(智能流水!$G$2:$G$1001,MATCH($B776,智能流水!$B$2:$B$1001,0)),""))</f>
        <v/>
      </c>
      <c r="H776" s="19">
        <f>IF($B776="","",IFERROR(INDEX(智能流水!$H$2:$H$1001,MATCH($B776,智能流水!$B$2:$B$1001,0)),""))</f>
        <v/>
      </c>
      <c r="I776" s="19">
        <f>IF($B776="","",IFERROR(INDEX(智能流水!$I$2:$I$1001,MATCH($B776,智能流水!$B$2:$B$1001,0)),""))</f>
        <v/>
      </c>
      <c r="J776" s="19">
        <f>IF($B776="","",IFERROR(INDEX(智能流水!$J$2:$J$1001,MATCH($B776,智能流水!$B$2:$B$1001,0)),""))</f>
        <v/>
      </c>
      <c r="K776" s="19">
        <f>IF($B776="","",IFERROR(INDEX(智能流水!$K$2:$K$1001,MATCH($B776,智能流水!$B$2:$B$1001,0)),""))</f>
        <v/>
      </c>
      <c r="L776" s="19">
        <f>IF($B776="","",IFERROR(INDEX(智能流水!$L$2:$L$1001,MATCH($B776,智能流水!$B$2:$B$1001,0)),""))</f>
        <v/>
      </c>
      <c r="M776" s="19">
        <f>IF($B776="","",IFERROR(INDEX(智能流水!$M$2:$M$1001,MATCH($B776,智能流水!$B$2:$B$1001,0)),""))</f>
        <v/>
      </c>
      <c r="N776" s="19">
        <f>IF($B776="","",IFERROR(INDEX(智能流水!$N$2:$N$1001,MATCH($B776,智能流水!$B$2:$B$1001,0)),""))</f>
        <v/>
      </c>
      <c r="O776" s="19">
        <f>IF($B776="","",IFERROR(INDEX(智能流水!$O$2:$O$1001,MATCH($B776,智能流水!$B$2:$B$1001,0)),""))</f>
        <v/>
      </c>
    </row>
    <row r="777">
      <c r="A777" s="19">
        <f>IF($B777="","",776)</f>
        <v/>
      </c>
      <c r="B777" s="19">
        <f>IFERROR(LARGE(智能流水!$B$2:$B$1001,776),"")</f>
        <v/>
      </c>
      <c r="C777" s="19">
        <f>IF($B777="","",IFERROR(INDEX(智能流水!$C$2:$C$1001,MATCH($B777,智能流水!$B$2:$B$1001,0)),""))</f>
        <v/>
      </c>
      <c r="D777" s="19">
        <f>IF($B777="","",IFERROR(INDEX(智能流水!$D$2:$D$1001,MATCH($B777,智能流水!$B$2:$B$1001,0)),""))</f>
        <v/>
      </c>
      <c r="E777" s="19">
        <f>IF($B777="","",IFERROR(INDEX(智能流水!$E$2:$E$1001,MATCH($B777,智能流水!$B$2:$B$1001,0)),""))</f>
        <v/>
      </c>
      <c r="F777" s="19">
        <f>IF($B777="","",IFERROR(INDEX(智能流水!$F$2:$F$1001,MATCH($B777,智能流水!$B$2:$B$1001,0)),""))</f>
        <v/>
      </c>
      <c r="G777" s="19">
        <f>IF($B777="","",IFERROR(INDEX(智能流水!$G$2:$G$1001,MATCH($B777,智能流水!$B$2:$B$1001,0)),""))</f>
        <v/>
      </c>
      <c r="H777" s="19">
        <f>IF($B777="","",IFERROR(INDEX(智能流水!$H$2:$H$1001,MATCH($B777,智能流水!$B$2:$B$1001,0)),""))</f>
        <v/>
      </c>
      <c r="I777" s="19">
        <f>IF($B777="","",IFERROR(INDEX(智能流水!$I$2:$I$1001,MATCH($B777,智能流水!$B$2:$B$1001,0)),""))</f>
        <v/>
      </c>
      <c r="J777" s="19">
        <f>IF($B777="","",IFERROR(INDEX(智能流水!$J$2:$J$1001,MATCH($B777,智能流水!$B$2:$B$1001,0)),""))</f>
        <v/>
      </c>
      <c r="K777" s="19">
        <f>IF($B777="","",IFERROR(INDEX(智能流水!$K$2:$K$1001,MATCH($B777,智能流水!$B$2:$B$1001,0)),""))</f>
        <v/>
      </c>
      <c r="L777" s="19">
        <f>IF($B777="","",IFERROR(INDEX(智能流水!$L$2:$L$1001,MATCH($B777,智能流水!$B$2:$B$1001,0)),""))</f>
        <v/>
      </c>
      <c r="M777" s="19">
        <f>IF($B777="","",IFERROR(INDEX(智能流水!$M$2:$M$1001,MATCH($B777,智能流水!$B$2:$B$1001,0)),""))</f>
        <v/>
      </c>
      <c r="N777" s="19">
        <f>IF($B777="","",IFERROR(INDEX(智能流水!$N$2:$N$1001,MATCH($B777,智能流水!$B$2:$B$1001,0)),""))</f>
        <v/>
      </c>
      <c r="O777" s="19">
        <f>IF($B777="","",IFERROR(INDEX(智能流水!$O$2:$O$1001,MATCH($B777,智能流水!$B$2:$B$1001,0)),""))</f>
        <v/>
      </c>
    </row>
    <row r="778">
      <c r="A778" s="19">
        <f>IF($B778="","",777)</f>
        <v/>
      </c>
      <c r="B778" s="19">
        <f>IFERROR(LARGE(智能流水!$B$2:$B$1001,777),"")</f>
        <v/>
      </c>
      <c r="C778" s="19">
        <f>IF($B778="","",IFERROR(INDEX(智能流水!$C$2:$C$1001,MATCH($B778,智能流水!$B$2:$B$1001,0)),""))</f>
        <v/>
      </c>
      <c r="D778" s="19">
        <f>IF($B778="","",IFERROR(INDEX(智能流水!$D$2:$D$1001,MATCH($B778,智能流水!$B$2:$B$1001,0)),""))</f>
        <v/>
      </c>
      <c r="E778" s="19">
        <f>IF($B778="","",IFERROR(INDEX(智能流水!$E$2:$E$1001,MATCH($B778,智能流水!$B$2:$B$1001,0)),""))</f>
        <v/>
      </c>
      <c r="F778" s="19">
        <f>IF($B778="","",IFERROR(INDEX(智能流水!$F$2:$F$1001,MATCH($B778,智能流水!$B$2:$B$1001,0)),""))</f>
        <v/>
      </c>
      <c r="G778" s="19">
        <f>IF($B778="","",IFERROR(INDEX(智能流水!$G$2:$G$1001,MATCH($B778,智能流水!$B$2:$B$1001,0)),""))</f>
        <v/>
      </c>
      <c r="H778" s="19">
        <f>IF($B778="","",IFERROR(INDEX(智能流水!$H$2:$H$1001,MATCH($B778,智能流水!$B$2:$B$1001,0)),""))</f>
        <v/>
      </c>
      <c r="I778" s="19">
        <f>IF($B778="","",IFERROR(INDEX(智能流水!$I$2:$I$1001,MATCH($B778,智能流水!$B$2:$B$1001,0)),""))</f>
        <v/>
      </c>
      <c r="J778" s="19">
        <f>IF($B778="","",IFERROR(INDEX(智能流水!$J$2:$J$1001,MATCH($B778,智能流水!$B$2:$B$1001,0)),""))</f>
        <v/>
      </c>
      <c r="K778" s="19">
        <f>IF($B778="","",IFERROR(INDEX(智能流水!$K$2:$K$1001,MATCH($B778,智能流水!$B$2:$B$1001,0)),""))</f>
        <v/>
      </c>
      <c r="L778" s="19">
        <f>IF($B778="","",IFERROR(INDEX(智能流水!$L$2:$L$1001,MATCH($B778,智能流水!$B$2:$B$1001,0)),""))</f>
        <v/>
      </c>
      <c r="M778" s="19">
        <f>IF($B778="","",IFERROR(INDEX(智能流水!$M$2:$M$1001,MATCH($B778,智能流水!$B$2:$B$1001,0)),""))</f>
        <v/>
      </c>
      <c r="N778" s="19">
        <f>IF($B778="","",IFERROR(INDEX(智能流水!$N$2:$N$1001,MATCH($B778,智能流水!$B$2:$B$1001,0)),""))</f>
        <v/>
      </c>
      <c r="O778" s="19">
        <f>IF($B778="","",IFERROR(INDEX(智能流水!$O$2:$O$1001,MATCH($B778,智能流水!$B$2:$B$1001,0)),""))</f>
        <v/>
      </c>
    </row>
    <row r="779">
      <c r="A779" s="19">
        <f>IF($B779="","",778)</f>
        <v/>
      </c>
      <c r="B779" s="19">
        <f>IFERROR(LARGE(智能流水!$B$2:$B$1001,778),"")</f>
        <v/>
      </c>
      <c r="C779" s="19">
        <f>IF($B779="","",IFERROR(INDEX(智能流水!$C$2:$C$1001,MATCH($B779,智能流水!$B$2:$B$1001,0)),""))</f>
        <v/>
      </c>
      <c r="D779" s="19">
        <f>IF($B779="","",IFERROR(INDEX(智能流水!$D$2:$D$1001,MATCH($B779,智能流水!$B$2:$B$1001,0)),""))</f>
        <v/>
      </c>
      <c r="E779" s="19">
        <f>IF($B779="","",IFERROR(INDEX(智能流水!$E$2:$E$1001,MATCH($B779,智能流水!$B$2:$B$1001,0)),""))</f>
        <v/>
      </c>
      <c r="F779" s="19">
        <f>IF($B779="","",IFERROR(INDEX(智能流水!$F$2:$F$1001,MATCH($B779,智能流水!$B$2:$B$1001,0)),""))</f>
        <v/>
      </c>
      <c r="G779" s="19">
        <f>IF($B779="","",IFERROR(INDEX(智能流水!$G$2:$G$1001,MATCH($B779,智能流水!$B$2:$B$1001,0)),""))</f>
        <v/>
      </c>
      <c r="H779" s="19">
        <f>IF($B779="","",IFERROR(INDEX(智能流水!$H$2:$H$1001,MATCH($B779,智能流水!$B$2:$B$1001,0)),""))</f>
        <v/>
      </c>
      <c r="I779" s="19">
        <f>IF($B779="","",IFERROR(INDEX(智能流水!$I$2:$I$1001,MATCH($B779,智能流水!$B$2:$B$1001,0)),""))</f>
        <v/>
      </c>
      <c r="J779" s="19">
        <f>IF($B779="","",IFERROR(INDEX(智能流水!$J$2:$J$1001,MATCH($B779,智能流水!$B$2:$B$1001,0)),""))</f>
        <v/>
      </c>
      <c r="K779" s="19">
        <f>IF($B779="","",IFERROR(INDEX(智能流水!$K$2:$K$1001,MATCH($B779,智能流水!$B$2:$B$1001,0)),""))</f>
        <v/>
      </c>
      <c r="L779" s="19">
        <f>IF($B779="","",IFERROR(INDEX(智能流水!$L$2:$L$1001,MATCH($B779,智能流水!$B$2:$B$1001,0)),""))</f>
        <v/>
      </c>
      <c r="M779" s="19">
        <f>IF($B779="","",IFERROR(INDEX(智能流水!$M$2:$M$1001,MATCH($B779,智能流水!$B$2:$B$1001,0)),""))</f>
        <v/>
      </c>
      <c r="N779" s="19">
        <f>IF($B779="","",IFERROR(INDEX(智能流水!$N$2:$N$1001,MATCH($B779,智能流水!$B$2:$B$1001,0)),""))</f>
        <v/>
      </c>
      <c r="O779" s="19">
        <f>IF($B779="","",IFERROR(INDEX(智能流水!$O$2:$O$1001,MATCH($B779,智能流水!$B$2:$B$1001,0)),""))</f>
        <v/>
      </c>
    </row>
    <row r="780">
      <c r="A780" s="19">
        <f>IF($B780="","",779)</f>
        <v/>
      </c>
      <c r="B780" s="19">
        <f>IFERROR(LARGE(智能流水!$B$2:$B$1001,779),"")</f>
        <v/>
      </c>
      <c r="C780" s="19">
        <f>IF($B780="","",IFERROR(INDEX(智能流水!$C$2:$C$1001,MATCH($B780,智能流水!$B$2:$B$1001,0)),""))</f>
        <v/>
      </c>
      <c r="D780" s="19">
        <f>IF($B780="","",IFERROR(INDEX(智能流水!$D$2:$D$1001,MATCH($B780,智能流水!$B$2:$B$1001,0)),""))</f>
        <v/>
      </c>
      <c r="E780" s="19">
        <f>IF($B780="","",IFERROR(INDEX(智能流水!$E$2:$E$1001,MATCH($B780,智能流水!$B$2:$B$1001,0)),""))</f>
        <v/>
      </c>
      <c r="F780" s="19">
        <f>IF($B780="","",IFERROR(INDEX(智能流水!$F$2:$F$1001,MATCH($B780,智能流水!$B$2:$B$1001,0)),""))</f>
        <v/>
      </c>
      <c r="G780" s="19">
        <f>IF($B780="","",IFERROR(INDEX(智能流水!$G$2:$G$1001,MATCH($B780,智能流水!$B$2:$B$1001,0)),""))</f>
        <v/>
      </c>
      <c r="H780" s="19">
        <f>IF($B780="","",IFERROR(INDEX(智能流水!$H$2:$H$1001,MATCH($B780,智能流水!$B$2:$B$1001,0)),""))</f>
        <v/>
      </c>
      <c r="I780" s="19">
        <f>IF($B780="","",IFERROR(INDEX(智能流水!$I$2:$I$1001,MATCH($B780,智能流水!$B$2:$B$1001,0)),""))</f>
        <v/>
      </c>
      <c r="J780" s="19">
        <f>IF($B780="","",IFERROR(INDEX(智能流水!$J$2:$J$1001,MATCH($B780,智能流水!$B$2:$B$1001,0)),""))</f>
        <v/>
      </c>
      <c r="K780" s="19">
        <f>IF($B780="","",IFERROR(INDEX(智能流水!$K$2:$K$1001,MATCH($B780,智能流水!$B$2:$B$1001,0)),""))</f>
        <v/>
      </c>
      <c r="L780" s="19">
        <f>IF($B780="","",IFERROR(INDEX(智能流水!$L$2:$L$1001,MATCH($B780,智能流水!$B$2:$B$1001,0)),""))</f>
        <v/>
      </c>
      <c r="M780" s="19">
        <f>IF($B780="","",IFERROR(INDEX(智能流水!$M$2:$M$1001,MATCH($B780,智能流水!$B$2:$B$1001,0)),""))</f>
        <v/>
      </c>
      <c r="N780" s="19">
        <f>IF($B780="","",IFERROR(INDEX(智能流水!$N$2:$N$1001,MATCH($B780,智能流水!$B$2:$B$1001,0)),""))</f>
        <v/>
      </c>
      <c r="O780" s="19">
        <f>IF($B780="","",IFERROR(INDEX(智能流水!$O$2:$O$1001,MATCH($B780,智能流水!$B$2:$B$1001,0)),""))</f>
        <v/>
      </c>
    </row>
    <row r="781">
      <c r="A781" s="19">
        <f>IF($B781="","",780)</f>
        <v/>
      </c>
      <c r="B781" s="19">
        <f>IFERROR(LARGE(智能流水!$B$2:$B$1001,780),"")</f>
        <v/>
      </c>
      <c r="C781" s="19">
        <f>IF($B781="","",IFERROR(INDEX(智能流水!$C$2:$C$1001,MATCH($B781,智能流水!$B$2:$B$1001,0)),""))</f>
        <v/>
      </c>
      <c r="D781" s="19">
        <f>IF($B781="","",IFERROR(INDEX(智能流水!$D$2:$D$1001,MATCH($B781,智能流水!$B$2:$B$1001,0)),""))</f>
        <v/>
      </c>
      <c r="E781" s="19">
        <f>IF($B781="","",IFERROR(INDEX(智能流水!$E$2:$E$1001,MATCH($B781,智能流水!$B$2:$B$1001,0)),""))</f>
        <v/>
      </c>
      <c r="F781" s="19">
        <f>IF($B781="","",IFERROR(INDEX(智能流水!$F$2:$F$1001,MATCH($B781,智能流水!$B$2:$B$1001,0)),""))</f>
        <v/>
      </c>
      <c r="G781" s="19">
        <f>IF($B781="","",IFERROR(INDEX(智能流水!$G$2:$G$1001,MATCH($B781,智能流水!$B$2:$B$1001,0)),""))</f>
        <v/>
      </c>
      <c r="H781" s="19">
        <f>IF($B781="","",IFERROR(INDEX(智能流水!$H$2:$H$1001,MATCH($B781,智能流水!$B$2:$B$1001,0)),""))</f>
        <v/>
      </c>
      <c r="I781" s="19">
        <f>IF($B781="","",IFERROR(INDEX(智能流水!$I$2:$I$1001,MATCH($B781,智能流水!$B$2:$B$1001,0)),""))</f>
        <v/>
      </c>
      <c r="J781" s="19">
        <f>IF($B781="","",IFERROR(INDEX(智能流水!$J$2:$J$1001,MATCH($B781,智能流水!$B$2:$B$1001,0)),""))</f>
        <v/>
      </c>
      <c r="K781" s="19">
        <f>IF($B781="","",IFERROR(INDEX(智能流水!$K$2:$K$1001,MATCH($B781,智能流水!$B$2:$B$1001,0)),""))</f>
        <v/>
      </c>
      <c r="L781" s="19">
        <f>IF($B781="","",IFERROR(INDEX(智能流水!$L$2:$L$1001,MATCH($B781,智能流水!$B$2:$B$1001,0)),""))</f>
        <v/>
      </c>
      <c r="M781" s="19">
        <f>IF($B781="","",IFERROR(INDEX(智能流水!$M$2:$M$1001,MATCH($B781,智能流水!$B$2:$B$1001,0)),""))</f>
        <v/>
      </c>
      <c r="N781" s="19">
        <f>IF($B781="","",IFERROR(INDEX(智能流水!$N$2:$N$1001,MATCH($B781,智能流水!$B$2:$B$1001,0)),""))</f>
        <v/>
      </c>
      <c r="O781" s="19">
        <f>IF($B781="","",IFERROR(INDEX(智能流水!$O$2:$O$1001,MATCH($B781,智能流水!$B$2:$B$1001,0)),""))</f>
        <v/>
      </c>
    </row>
    <row r="782">
      <c r="A782" s="19">
        <f>IF($B782="","",781)</f>
        <v/>
      </c>
      <c r="B782" s="19">
        <f>IFERROR(LARGE(智能流水!$B$2:$B$1001,781),"")</f>
        <v/>
      </c>
      <c r="C782" s="19">
        <f>IF($B782="","",IFERROR(INDEX(智能流水!$C$2:$C$1001,MATCH($B782,智能流水!$B$2:$B$1001,0)),""))</f>
        <v/>
      </c>
      <c r="D782" s="19">
        <f>IF($B782="","",IFERROR(INDEX(智能流水!$D$2:$D$1001,MATCH($B782,智能流水!$B$2:$B$1001,0)),""))</f>
        <v/>
      </c>
      <c r="E782" s="19">
        <f>IF($B782="","",IFERROR(INDEX(智能流水!$E$2:$E$1001,MATCH($B782,智能流水!$B$2:$B$1001,0)),""))</f>
        <v/>
      </c>
      <c r="F782" s="19">
        <f>IF($B782="","",IFERROR(INDEX(智能流水!$F$2:$F$1001,MATCH($B782,智能流水!$B$2:$B$1001,0)),""))</f>
        <v/>
      </c>
      <c r="G782" s="19">
        <f>IF($B782="","",IFERROR(INDEX(智能流水!$G$2:$G$1001,MATCH($B782,智能流水!$B$2:$B$1001,0)),""))</f>
        <v/>
      </c>
      <c r="H782" s="19">
        <f>IF($B782="","",IFERROR(INDEX(智能流水!$H$2:$H$1001,MATCH($B782,智能流水!$B$2:$B$1001,0)),""))</f>
        <v/>
      </c>
      <c r="I782" s="19">
        <f>IF($B782="","",IFERROR(INDEX(智能流水!$I$2:$I$1001,MATCH($B782,智能流水!$B$2:$B$1001,0)),""))</f>
        <v/>
      </c>
      <c r="J782" s="19">
        <f>IF($B782="","",IFERROR(INDEX(智能流水!$J$2:$J$1001,MATCH($B782,智能流水!$B$2:$B$1001,0)),""))</f>
        <v/>
      </c>
      <c r="K782" s="19">
        <f>IF($B782="","",IFERROR(INDEX(智能流水!$K$2:$K$1001,MATCH($B782,智能流水!$B$2:$B$1001,0)),""))</f>
        <v/>
      </c>
      <c r="L782" s="19">
        <f>IF($B782="","",IFERROR(INDEX(智能流水!$L$2:$L$1001,MATCH($B782,智能流水!$B$2:$B$1001,0)),""))</f>
        <v/>
      </c>
      <c r="M782" s="19">
        <f>IF($B782="","",IFERROR(INDEX(智能流水!$M$2:$M$1001,MATCH($B782,智能流水!$B$2:$B$1001,0)),""))</f>
        <v/>
      </c>
      <c r="N782" s="19">
        <f>IF($B782="","",IFERROR(INDEX(智能流水!$N$2:$N$1001,MATCH($B782,智能流水!$B$2:$B$1001,0)),""))</f>
        <v/>
      </c>
      <c r="O782" s="19">
        <f>IF($B782="","",IFERROR(INDEX(智能流水!$O$2:$O$1001,MATCH($B782,智能流水!$B$2:$B$1001,0)),""))</f>
        <v/>
      </c>
    </row>
    <row r="783">
      <c r="A783" s="19">
        <f>IF($B783="","",782)</f>
        <v/>
      </c>
      <c r="B783" s="19">
        <f>IFERROR(LARGE(智能流水!$B$2:$B$1001,782),"")</f>
        <v/>
      </c>
      <c r="C783" s="19">
        <f>IF($B783="","",IFERROR(INDEX(智能流水!$C$2:$C$1001,MATCH($B783,智能流水!$B$2:$B$1001,0)),""))</f>
        <v/>
      </c>
      <c r="D783" s="19">
        <f>IF($B783="","",IFERROR(INDEX(智能流水!$D$2:$D$1001,MATCH($B783,智能流水!$B$2:$B$1001,0)),""))</f>
        <v/>
      </c>
      <c r="E783" s="19">
        <f>IF($B783="","",IFERROR(INDEX(智能流水!$E$2:$E$1001,MATCH($B783,智能流水!$B$2:$B$1001,0)),""))</f>
        <v/>
      </c>
      <c r="F783" s="19">
        <f>IF($B783="","",IFERROR(INDEX(智能流水!$F$2:$F$1001,MATCH($B783,智能流水!$B$2:$B$1001,0)),""))</f>
        <v/>
      </c>
      <c r="G783" s="19">
        <f>IF($B783="","",IFERROR(INDEX(智能流水!$G$2:$G$1001,MATCH($B783,智能流水!$B$2:$B$1001,0)),""))</f>
        <v/>
      </c>
      <c r="H783" s="19">
        <f>IF($B783="","",IFERROR(INDEX(智能流水!$H$2:$H$1001,MATCH($B783,智能流水!$B$2:$B$1001,0)),""))</f>
        <v/>
      </c>
      <c r="I783" s="19">
        <f>IF($B783="","",IFERROR(INDEX(智能流水!$I$2:$I$1001,MATCH($B783,智能流水!$B$2:$B$1001,0)),""))</f>
        <v/>
      </c>
      <c r="J783" s="19">
        <f>IF($B783="","",IFERROR(INDEX(智能流水!$J$2:$J$1001,MATCH($B783,智能流水!$B$2:$B$1001,0)),""))</f>
        <v/>
      </c>
      <c r="K783" s="19">
        <f>IF($B783="","",IFERROR(INDEX(智能流水!$K$2:$K$1001,MATCH($B783,智能流水!$B$2:$B$1001,0)),""))</f>
        <v/>
      </c>
      <c r="L783" s="19">
        <f>IF($B783="","",IFERROR(INDEX(智能流水!$L$2:$L$1001,MATCH($B783,智能流水!$B$2:$B$1001,0)),""))</f>
        <v/>
      </c>
      <c r="M783" s="19">
        <f>IF($B783="","",IFERROR(INDEX(智能流水!$M$2:$M$1001,MATCH($B783,智能流水!$B$2:$B$1001,0)),""))</f>
        <v/>
      </c>
      <c r="N783" s="19">
        <f>IF($B783="","",IFERROR(INDEX(智能流水!$N$2:$N$1001,MATCH($B783,智能流水!$B$2:$B$1001,0)),""))</f>
        <v/>
      </c>
      <c r="O783" s="19">
        <f>IF($B783="","",IFERROR(INDEX(智能流水!$O$2:$O$1001,MATCH($B783,智能流水!$B$2:$B$1001,0)),""))</f>
        <v/>
      </c>
    </row>
    <row r="784">
      <c r="A784" s="19">
        <f>IF($B784="","",783)</f>
        <v/>
      </c>
      <c r="B784" s="19">
        <f>IFERROR(LARGE(智能流水!$B$2:$B$1001,783),"")</f>
        <v/>
      </c>
      <c r="C784" s="19">
        <f>IF($B784="","",IFERROR(INDEX(智能流水!$C$2:$C$1001,MATCH($B784,智能流水!$B$2:$B$1001,0)),""))</f>
        <v/>
      </c>
      <c r="D784" s="19">
        <f>IF($B784="","",IFERROR(INDEX(智能流水!$D$2:$D$1001,MATCH($B784,智能流水!$B$2:$B$1001,0)),""))</f>
        <v/>
      </c>
      <c r="E784" s="19">
        <f>IF($B784="","",IFERROR(INDEX(智能流水!$E$2:$E$1001,MATCH($B784,智能流水!$B$2:$B$1001,0)),""))</f>
        <v/>
      </c>
      <c r="F784" s="19">
        <f>IF($B784="","",IFERROR(INDEX(智能流水!$F$2:$F$1001,MATCH($B784,智能流水!$B$2:$B$1001,0)),""))</f>
        <v/>
      </c>
      <c r="G784" s="19">
        <f>IF($B784="","",IFERROR(INDEX(智能流水!$G$2:$G$1001,MATCH($B784,智能流水!$B$2:$B$1001,0)),""))</f>
        <v/>
      </c>
      <c r="H784" s="19">
        <f>IF($B784="","",IFERROR(INDEX(智能流水!$H$2:$H$1001,MATCH($B784,智能流水!$B$2:$B$1001,0)),""))</f>
        <v/>
      </c>
      <c r="I784" s="19">
        <f>IF($B784="","",IFERROR(INDEX(智能流水!$I$2:$I$1001,MATCH($B784,智能流水!$B$2:$B$1001,0)),""))</f>
        <v/>
      </c>
      <c r="J784" s="19">
        <f>IF($B784="","",IFERROR(INDEX(智能流水!$J$2:$J$1001,MATCH($B784,智能流水!$B$2:$B$1001,0)),""))</f>
        <v/>
      </c>
      <c r="K784" s="19">
        <f>IF($B784="","",IFERROR(INDEX(智能流水!$K$2:$K$1001,MATCH($B784,智能流水!$B$2:$B$1001,0)),""))</f>
        <v/>
      </c>
      <c r="L784" s="19">
        <f>IF($B784="","",IFERROR(INDEX(智能流水!$L$2:$L$1001,MATCH($B784,智能流水!$B$2:$B$1001,0)),""))</f>
        <v/>
      </c>
      <c r="M784" s="19">
        <f>IF($B784="","",IFERROR(INDEX(智能流水!$M$2:$M$1001,MATCH($B784,智能流水!$B$2:$B$1001,0)),""))</f>
        <v/>
      </c>
      <c r="N784" s="19">
        <f>IF($B784="","",IFERROR(INDEX(智能流水!$N$2:$N$1001,MATCH($B784,智能流水!$B$2:$B$1001,0)),""))</f>
        <v/>
      </c>
      <c r="O784" s="19">
        <f>IF($B784="","",IFERROR(INDEX(智能流水!$O$2:$O$1001,MATCH($B784,智能流水!$B$2:$B$1001,0)),""))</f>
        <v/>
      </c>
    </row>
    <row r="785">
      <c r="A785" s="19">
        <f>IF($B785="","",784)</f>
        <v/>
      </c>
      <c r="B785" s="19">
        <f>IFERROR(LARGE(智能流水!$B$2:$B$1001,784),"")</f>
        <v/>
      </c>
      <c r="C785" s="19">
        <f>IF($B785="","",IFERROR(INDEX(智能流水!$C$2:$C$1001,MATCH($B785,智能流水!$B$2:$B$1001,0)),""))</f>
        <v/>
      </c>
      <c r="D785" s="19">
        <f>IF($B785="","",IFERROR(INDEX(智能流水!$D$2:$D$1001,MATCH($B785,智能流水!$B$2:$B$1001,0)),""))</f>
        <v/>
      </c>
      <c r="E785" s="19">
        <f>IF($B785="","",IFERROR(INDEX(智能流水!$E$2:$E$1001,MATCH($B785,智能流水!$B$2:$B$1001,0)),""))</f>
        <v/>
      </c>
      <c r="F785" s="19">
        <f>IF($B785="","",IFERROR(INDEX(智能流水!$F$2:$F$1001,MATCH($B785,智能流水!$B$2:$B$1001,0)),""))</f>
        <v/>
      </c>
      <c r="G785" s="19">
        <f>IF($B785="","",IFERROR(INDEX(智能流水!$G$2:$G$1001,MATCH($B785,智能流水!$B$2:$B$1001,0)),""))</f>
        <v/>
      </c>
      <c r="H785" s="19">
        <f>IF($B785="","",IFERROR(INDEX(智能流水!$H$2:$H$1001,MATCH($B785,智能流水!$B$2:$B$1001,0)),""))</f>
        <v/>
      </c>
      <c r="I785" s="19">
        <f>IF($B785="","",IFERROR(INDEX(智能流水!$I$2:$I$1001,MATCH($B785,智能流水!$B$2:$B$1001,0)),""))</f>
        <v/>
      </c>
      <c r="J785" s="19">
        <f>IF($B785="","",IFERROR(INDEX(智能流水!$J$2:$J$1001,MATCH($B785,智能流水!$B$2:$B$1001,0)),""))</f>
        <v/>
      </c>
      <c r="K785" s="19">
        <f>IF($B785="","",IFERROR(INDEX(智能流水!$K$2:$K$1001,MATCH($B785,智能流水!$B$2:$B$1001,0)),""))</f>
        <v/>
      </c>
      <c r="L785" s="19">
        <f>IF($B785="","",IFERROR(INDEX(智能流水!$L$2:$L$1001,MATCH($B785,智能流水!$B$2:$B$1001,0)),""))</f>
        <v/>
      </c>
      <c r="M785" s="19">
        <f>IF($B785="","",IFERROR(INDEX(智能流水!$M$2:$M$1001,MATCH($B785,智能流水!$B$2:$B$1001,0)),""))</f>
        <v/>
      </c>
      <c r="N785" s="19">
        <f>IF($B785="","",IFERROR(INDEX(智能流水!$N$2:$N$1001,MATCH($B785,智能流水!$B$2:$B$1001,0)),""))</f>
        <v/>
      </c>
      <c r="O785" s="19">
        <f>IF($B785="","",IFERROR(INDEX(智能流水!$O$2:$O$1001,MATCH($B785,智能流水!$B$2:$B$1001,0)),""))</f>
        <v/>
      </c>
    </row>
    <row r="786">
      <c r="A786" s="19">
        <f>IF($B786="","",785)</f>
        <v/>
      </c>
      <c r="B786" s="19">
        <f>IFERROR(LARGE(智能流水!$B$2:$B$1001,785),"")</f>
        <v/>
      </c>
      <c r="C786" s="19">
        <f>IF($B786="","",IFERROR(INDEX(智能流水!$C$2:$C$1001,MATCH($B786,智能流水!$B$2:$B$1001,0)),""))</f>
        <v/>
      </c>
      <c r="D786" s="19">
        <f>IF($B786="","",IFERROR(INDEX(智能流水!$D$2:$D$1001,MATCH($B786,智能流水!$B$2:$B$1001,0)),""))</f>
        <v/>
      </c>
      <c r="E786" s="19">
        <f>IF($B786="","",IFERROR(INDEX(智能流水!$E$2:$E$1001,MATCH($B786,智能流水!$B$2:$B$1001,0)),""))</f>
        <v/>
      </c>
      <c r="F786" s="19">
        <f>IF($B786="","",IFERROR(INDEX(智能流水!$F$2:$F$1001,MATCH($B786,智能流水!$B$2:$B$1001,0)),""))</f>
        <v/>
      </c>
      <c r="G786" s="19">
        <f>IF($B786="","",IFERROR(INDEX(智能流水!$G$2:$G$1001,MATCH($B786,智能流水!$B$2:$B$1001,0)),""))</f>
        <v/>
      </c>
      <c r="H786" s="19">
        <f>IF($B786="","",IFERROR(INDEX(智能流水!$H$2:$H$1001,MATCH($B786,智能流水!$B$2:$B$1001,0)),""))</f>
        <v/>
      </c>
      <c r="I786" s="19">
        <f>IF($B786="","",IFERROR(INDEX(智能流水!$I$2:$I$1001,MATCH($B786,智能流水!$B$2:$B$1001,0)),""))</f>
        <v/>
      </c>
      <c r="J786" s="19">
        <f>IF($B786="","",IFERROR(INDEX(智能流水!$J$2:$J$1001,MATCH($B786,智能流水!$B$2:$B$1001,0)),""))</f>
        <v/>
      </c>
      <c r="K786" s="19">
        <f>IF($B786="","",IFERROR(INDEX(智能流水!$K$2:$K$1001,MATCH($B786,智能流水!$B$2:$B$1001,0)),""))</f>
        <v/>
      </c>
      <c r="L786" s="19">
        <f>IF($B786="","",IFERROR(INDEX(智能流水!$L$2:$L$1001,MATCH($B786,智能流水!$B$2:$B$1001,0)),""))</f>
        <v/>
      </c>
      <c r="M786" s="19">
        <f>IF($B786="","",IFERROR(INDEX(智能流水!$M$2:$M$1001,MATCH($B786,智能流水!$B$2:$B$1001,0)),""))</f>
        <v/>
      </c>
      <c r="N786" s="19">
        <f>IF($B786="","",IFERROR(INDEX(智能流水!$N$2:$N$1001,MATCH($B786,智能流水!$B$2:$B$1001,0)),""))</f>
        <v/>
      </c>
      <c r="O786" s="19">
        <f>IF($B786="","",IFERROR(INDEX(智能流水!$O$2:$O$1001,MATCH($B786,智能流水!$B$2:$B$1001,0)),""))</f>
        <v/>
      </c>
    </row>
    <row r="787">
      <c r="A787" s="19">
        <f>IF($B787="","",786)</f>
        <v/>
      </c>
      <c r="B787" s="19">
        <f>IFERROR(LARGE(智能流水!$B$2:$B$1001,786),"")</f>
        <v/>
      </c>
      <c r="C787" s="19">
        <f>IF($B787="","",IFERROR(INDEX(智能流水!$C$2:$C$1001,MATCH($B787,智能流水!$B$2:$B$1001,0)),""))</f>
        <v/>
      </c>
      <c r="D787" s="19">
        <f>IF($B787="","",IFERROR(INDEX(智能流水!$D$2:$D$1001,MATCH($B787,智能流水!$B$2:$B$1001,0)),""))</f>
        <v/>
      </c>
      <c r="E787" s="19">
        <f>IF($B787="","",IFERROR(INDEX(智能流水!$E$2:$E$1001,MATCH($B787,智能流水!$B$2:$B$1001,0)),""))</f>
        <v/>
      </c>
      <c r="F787" s="19">
        <f>IF($B787="","",IFERROR(INDEX(智能流水!$F$2:$F$1001,MATCH($B787,智能流水!$B$2:$B$1001,0)),""))</f>
        <v/>
      </c>
      <c r="G787" s="19">
        <f>IF($B787="","",IFERROR(INDEX(智能流水!$G$2:$G$1001,MATCH($B787,智能流水!$B$2:$B$1001,0)),""))</f>
        <v/>
      </c>
      <c r="H787" s="19">
        <f>IF($B787="","",IFERROR(INDEX(智能流水!$H$2:$H$1001,MATCH($B787,智能流水!$B$2:$B$1001,0)),""))</f>
        <v/>
      </c>
      <c r="I787" s="19">
        <f>IF($B787="","",IFERROR(INDEX(智能流水!$I$2:$I$1001,MATCH($B787,智能流水!$B$2:$B$1001,0)),""))</f>
        <v/>
      </c>
      <c r="J787" s="19">
        <f>IF($B787="","",IFERROR(INDEX(智能流水!$J$2:$J$1001,MATCH($B787,智能流水!$B$2:$B$1001,0)),""))</f>
        <v/>
      </c>
      <c r="K787" s="19">
        <f>IF($B787="","",IFERROR(INDEX(智能流水!$K$2:$K$1001,MATCH($B787,智能流水!$B$2:$B$1001,0)),""))</f>
        <v/>
      </c>
      <c r="L787" s="19">
        <f>IF($B787="","",IFERROR(INDEX(智能流水!$L$2:$L$1001,MATCH($B787,智能流水!$B$2:$B$1001,0)),""))</f>
        <v/>
      </c>
      <c r="M787" s="19">
        <f>IF($B787="","",IFERROR(INDEX(智能流水!$M$2:$M$1001,MATCH($B787,智能流水!$B$2:$B$1001,0)),""))</f>
        <v/>
      </c>
      <c r="N787" s="19">
        <f>IF($B787="","",IFERROR(INDEX(智能流水!$N$2:$N$1001,MATCH($B787,智能流水!$B$2:$B$1001,0)),""))</f>
        <v/>
      </c>
      <c r="O787" s="19">
        <f>IF($B787="","",IFERROR(INDEX(智能流水!$O$2:$O$1001,MATCH($B787,智能流水!$B$2:$B$1001,0)),""))</f>
        <v/>
      </c>
    </row>
    <row r="788">
      <c r="A788" s="19">
        <f>IF($B788="","",787)</f>
        <v/>
      </c>
      <c r="B788" s="19">
        <f>IFERROR(LARGE(智能流水!$B$2:$B$1001,787),"")</f>
        <v/>
      </c>
      <c r="C788" s="19">
        <f>IF($B788="","",IFERROR(INDEX(智能流水!$C$2:$C$1001,MATCH($B788,智能流水!$B$2:$B$1001,0)),""))</f>
        <v/>
      </c>
      <c r="D788" s="19">
        <f>IF($B788="","",IFERROR(INDEX(智能流水!$D$2:$D$1001,MATCH($B788,智能流水!$B$2:$B$1001,0)),""))</f>
        <v/>
      </c>
      <c r="E788" s="19">
        <f>IF($B788="","",IFERROR(INDEX(智能流水!$E$2:$E$1001,MATCH($B788,智能流水!$B$2:$B$1001,0)),""))</f>
        <v/>
      </c>
      <c r="F788" s="19">
        <f>IF($B788="","",IFERROR(INDEX(智能流水!$F$2:$F$1001,MATCH($B788,智能流水!$B$2:$B$1001,0)),""))</f>
        <v/>
      </c>
      <c r="G788" s="19">
        <f>IF($B788="","",IFERROR(INDEX(智能流水!$G$2:$G$1001,MATCH($B788,智能流水!$B$2:$B$1001,0)),""))</f>
        <v/>
      </c>
      <c r="H788" s="19">
        <f>IF($B788="","",IFERROR(INDEX(智能流水!$H$2:$H$1001,MATCH($B788,智能流水!$B$2:$B$1001,0)),""))</f>
        <v/>
      </c>
      <c r="I788" s="19">
        <f>IF($B788="","",IFERROR(INDEX(智能流水!$I$2:$I$1001,MATCH($B788,智能流水!$B$2:$B$1001,0)),""))</f>
        <v/>
      </c>
      <c r="J788" s="19">
        <f>IF($B788="","",IFERROR(INDEX(智能流水!$J$2:$J$1001,MATCH($B788,智能流水!$B$2:$B$1001,0)),""))</f>
        <v/>
      </c>
      <c r="K788" s="19">
        <f>IF($B788="","",IFERROR(INDEX(智能流水!$K$2:$K$1001,MATCH($B788,智能流水!$B$2:$B$1001,0)),""))</f>
        <v/>
      </c>
      <c r="L788" s="19">
        <f>IF($B788="","",IFERROR(INDEX(智能流水!$L$2:$L$1001,MATCH($B788,智能流水!$B$2:$B$1001,0)),""))</f>
        <v/>
      </c>
      <c r="M788" s="19">
        <f>IF($B788="","",IFERROR(INDEX(智能流水!$M$2:$M$1001,MATCH($B788,智能流水!$B$2:$B$1001,0)),""))</f>
        <v/>
      </c>
      <c r="N788" s="19">
        <f>IF($B788="","",IFERROR(INDEX(智能流水!$N$2:$N$1001,MATCH($B788,智能流水!$B$2:$B$1001,0)),""))</f>
        <v/>
      </c>
      <c r="O788" s="19">
        <f>IF($B788="","",IFERROR(INDEX(智能流水!$O$2:$O$1001,MATCH($B788,智能流水!$B$2:$B$1001,0)),""))</f>
        <v/>
      </c>
    </row>
    <row r="789">
      <c r="A789" s="19">
        <f>IF($B789="","",788)</f>
        <v/>
      </c>
      <c r="B789" s="19">
        <f>IFERROR(LARGE(智能流水!$B$2:$B$1001,788),"")</f>
        <v/>
      </c>
      <c r="C789" s="19">
        <f>IF($B789="","",IFERROR(INDEX(智能流水!$C$2:$C$1001,MATCH($B789,智能流水!$B$2:$B$1001,0)),""))</f>
        <v/>
      </c>
      <c r="D789" s="19">
        <f>IF($B789="","",IFERROR(INDEX(智能流水!$D$2:$D$1001,MATCH($B789,智能流水!$B$2:$B$1001,0)),""))</f>
        <v/>
      </c>
      <c r="E789" s="19">
        <f>IF($B789="","",IFERROR(INDEX(智能流水!$E$2:$E$1001,MATCH($B789,智能流水!$B$2:$B$1001,0)),""))</f>
        <v/>
      </c>
      <c r="F789" s="19">
        <f>IF($B789="","",IFERROR(INDEX(智能流水!$F$2:$F$1001,MATCH($B789,智能流水!$B$2:$B$1001,0)),""))</f>
        <v/>
      </c>
      <c r="G789" s="19">
        <f>IF($B789="","",IFERROR(INDEX(智能流水!$G$2:$G$1001,MATCH($B789,智能流水!$B$2:$B$1001,0)),""))</f>
        <v/>
      </c>
      <c r="H789" s="19">
        <f>IF($B789="","",IFERROR(INDEX(智能流水!$H$2:$H$1001,MATCH($B789,智能流水!$B$2:$B$1001,0)),""))</f>
        <v/>
      </c>
      <c r="I789" s="19">
        <f>IF($B789="","",IFERROR(INDEX(智能流水!$I$2:$I$1001,MATCH($B789,智能流水!$B$2:$B$1001,0)),""))</f>
        <v/>
      </c>
      <c r="J789" s="19">
        <f>IF($B789="","",IFERROR(INDEX(智能流水!$J$2:$J$1001,MATCH($B789,智能流水!$B$2:$B$1001,0)),""))</f>
        <v/>
      </c>
      <c r="K789" s="19">
        <f>IF($B789="","",IFERROR(INDEX(智能流水!$K$2:$K$1001,MATCH($B789,智能流水!$B$2:$B$1001,0)),""))</f>
        <v/>
      </c>
      <c r="L789" s="19">
        <f>IF($B789="","",IFERROR(INDEX(智能流水!$L$2:$L$1001,MATCH($B789,智能流水!$B$2:$B$1001,0)),""))</f>
        <v/>
      </c>
      <c r="M789" s="19">
        <f>IF($B789="","",IFERROR(INDEX(智能流水!$M$2:$M$1001,MATCH($B789,智能流水!$B$2:$B$1001,0)),""))</f>
        <v/>
      </c>
      <c r="N789" s="19">
        <f>IF($B789="","",IFERROR(INDEX(智能流水!$N$2:$N$1001,MATCH($B789,智能流水!$B$2:$B$1001,0)),""))</f>
        <v/>
      </c>
      <c r="O789" s="19">
        <f>IF($B789="","",IFERROR(INDEX(智能流水!$O$2:$O$1001,MATCH($B789,智能流水!$B$2:$B$1001,0)),""))</f>
        <v/>
      </c>
    </row>
    <row r="790">
      <c r="A790" s="19">
        <f>IF($B790="","",789)</f>
        <v/>
      </c>
      <c r="B790" s="19">
        <f>IFERROR(LARGE(智能流水!$B$2:$B$1001,789),"")</f>
        <v/>
      </c>
      <c r="C790" s="19">
        <f>IF($B790="","",IFERROR(INDEX(智能流水!$C$2:$C$1001,MATCH($B790,智能流水!$B$2:$B$1001,0)),""))</f>
        <v/>
      </c>
      <c r="D790" s="19">
        <f>IF($B790="","",IFERROR(INDEX(智能流水!$D$2:$D$1001,MATCH($B790,智能流水!$B$2:$B$1001,0)),""))</f>
        <v/>
      </c>
      <c r="E790" s="19">
        <f>IF($B790="","",IFERROR(INDEX(智能流水!$E$2:$E$1001,MATCH($B790,智能流水!$B$2:$B$1001,0)),""))</f>
        <v/>
      </c>
      <c r="F790" s="19">
        <f>IF($B790="","",IFERROR(INDEX(智能流水!$F$2:$F$1001,MATCH($B790,智能流水!$B$2:$B$1001,0)),""))</f>
        <v/>
      </c>
      <c r="G790" s="19">
        <f>IF($B790="","",IFERROR(INDEX(智能流水!$G$2:$G$1001,MATCH($B790,智能流水!$B$2:$B$1001,0)),""))</f>
        <v/>
      </c>
      <c r="H790" s="19">
        <f>IF($B790="","",IFERROR(INDEX(智能流水!$H$2:$H$1001,MATCH($B790,智能流水!$B$2:$B$1001,0)),""))</f>
        <v/>
      </c>
      <c r="I790" s="19">
        <f>IF($B790="","",IFERROR(INDEX(智能流水!$I$2:$I$1001,MATCH($B790,智能流水!$B$2:$B$1001,0)),""))</f>
        <v/>
      </c>
      <c r="J790" s="19">
        <f>IF($B790="","",IFERROR(INDEX(智能流水!$J$2:$J$1001,MATCH($B790,智能流水!$B$2:$B$1001,0)),""))</f>
        <v/>
      </c>
      <c r="K790" s="19">
        <f>IF($B790="","",IFERROR(INDEX(智能流水!$K$2:$K$1001,MATCH($B790,智能流水!$B$2:$B$1001,0)),""))</f>
        <v/>
      </c>
      <c r="L790" s="19">
        <f>IF($B790="","",IFERROR(INDEX(智能流水!$L$2:$L$1001,MATCH($B790,智能流水!$B$2:$B$1001,0)),""))</f>
        <v/>
      </c>
      <c r="M790" s="19">
        <f>IF($B790="","",IFERROR(INDEX(智能流水!$M$2:$M$1001,MATCH($B790,智能流水!$B$2:$B$1001,0)),""))</f>
        <v/>
      </c>
      <c r="N790" s="19">
        <f>IF($B790="","",IFERROR(INDEX(智能流水!$N$2:$N$1001,MATCH($B790,智能流水!$B$2:$B$1001,0)),""))</f>
        <v/>
      </c>
      <c r="O790" s="19">
        <f>IF($B790="","",IFERROR(INDEX(智能流水!$O$2:$O$1001,MATCH($B790,智能流水!$B$2:$B$1001,0)),""))</f>
        <v/>
      </c>
    </row>
    <row r="791">
      <c r="A791" s="19">
        <f>IF($B791="","",790)</f>
        <v/>
      </c>
      <c r="B791" s="19">
        <f>IFERROR(LARGE(智能流水!$B$2:$B$1001,790),"")</f>
        <v/>
      </c>
      <c r="C791" s="19">
        <f>IF($B791="","",IFERROR(INDEX(智能流水!$C$2:$C$1001,MATCH($B791,智能流水!$B$2:$B$1001,0)),""))</f>
        <v/>
      </c>
      <c r="D791" s="19">
        <f>IF($B791="","",IFERROR(INDEX(智能流水!$D$2:$D$1001,MATCH($B791,智能流水!$B$2:$B$1001,0)),""))</f>
        <v/>
      </c>
      <c r="E791" s="19">
        <f>IF($B791="","",IFERROR(INDEX(智能流水!$E$2:$E$1001,MATCH($B791,智能流水!$B$2:$B$1001,0)),""))</f>
        <v/>
      </c>
      <c r="F791" s="19">
        <f>IF($B791="","",IFERROR(INDEX(智能流水!$F$2:$F$1001,MATCH($B791,智能流水!$B$2:$B$1001,0)),""))</f>
        <v/>
      </c>
      <c r="G791" s="19">
        <f>IF($B791="","",IFERROR(INDEX(智能流水!$G$2:$G$1001,MATCH($B791,智能流水!$B$2:$B$1001,0)),""))</f>
        <v/>
      </c>
      <c r="H791" s="19">
        <f>IF($B791="","",IFERROR(INDEX(智能流水!$H$2:$H$1001,MATCH($B791,智能流水!$B$2:$B$1001,0)),""))</f>
        <v/>
      </c>
      <c r="I791" s="19">
        <f>IF($B791="","",IFERROR(INDEX(智能流水!$I$2:$I$1001,MATCH($B791,智能流水!$B$2:$B$1001,0)),""))</f>
        <v/>
      </c>
      <c r="J791" s="19">
        <f>IF($B791="","",IFERROR(INDEX(智能流水!$J$2:$J$1001,MATCH($B791,智能流水!$B$2:$B$1001,0)),""))</f>
        <v/>
      </c>
      <c r="K791" s="19">
        <f>IF($B791="","",IFERROR(INDEX(智能流水!$K$2:$K$1001,MATCH($B791,智能流水!$B$2:$B$1001,0)),""))</f>
        <v/>
      </c>
      <c r="L791" s="19">
        <f>IF($B791="","",IFERROR(INDEX(智能流水!$L$2:$L$1001,MATCH($B791,智能流水!$B$2:$B$1001,0)),""))</f>
        <v/>
      </c>
      <c r="M791" s="19">
        <f>IF($B791="","",IFERROR(INDEX(智能流水!$M$2:$M$1001,MATCH($B791,智能流水!$B$2:$B$1001,0)),""))</f>
        <v/>
      </c>
      <c r="N791" s="19">
        <f>IF($B791="","",IFERROR(INDEX(智能流水!$N$2:$N$1001,MATCH($B791,智能流水!$B$2:$B$1001,0)),""))</f>
        <v/>
      </c>
      <c r="O791" s="19">
        <f>IF($B791="","",IFERROR(INDEX(智能流水!$O$2:$O$1001,MATCH($B791,智能流水!$B$2:$B$1001,0)),""))</f>
        <v/>
      </c>
    </row>
    <row r="792">
      <c r="A792" s="19">
        <f>IF($B792="","",791)</f>
        <v/>
      </c>
      <c r="B792" s="19">
        <f>IFERROR(LARGE(智能流水!$B$2:$B$1001,791),"")</f>
        <v/>
      </c>
      <c r="C792" s="19">
        <f>IF($B792="","",IFERROR(INDEX(智能流水!$C$2:$C$1001,MATCH($B792,智能流水!$B$2:$B$1001,0)),""))</f>
        <v/>
      </c>
      <c r="D792" s="19">
        <f>IF($B792="","",IFERROR(INDEX(智能流水!$D$2:$D$1001,MATCH($B792,智能流水!$B$2:$B$1001,0)),""))</f>
        <v/>
      </c>
      <c r="E792" s="19">
        <f>IF($B792="","",IFERROR(INDEX(智能流水!$E$2:$E$1001,MATCH($B792,智能流水!$B$2:$B$1001,0)),""))</f>
        <v/>
      </c>
      <c r="F792" s="19">
        <f>IF($B792="","",IFERROR(INDEX(智能流水!$F$2:$F$1001,MATCH($B792,智能流水!$B$2:$B$1001,0)),""))</f>
        <v/>
      </c>
      <c r="G792" s="19">
        <f>IF($B792="","",IFERROR(INDEX(智能流水!$G$2:$G$1001,MATCH($B792,智能流水!$B$2:$B$1001,0)),""))</f>
        <v/>
      </c>
      <c r="H792" s="19">
        <f>IF($B792="","",IFERROR(INDEX(智能流水!$H$2:$H$1001,MATCH($B792,智能流水!$B$2:$B$1001,0)),""))</f>
        <v/>
      </c>
      <c r="I792" s="19">
        <f>IF($B792="","",IFERROR(INDEX(智能流水!$I$2:$I$1001,MATCH($B792,智能流水!$B$2:$B$1001,0)),""))</f>
        <v/>
      </c>
      <c r="J792" s="19">
        <f>IF($B792="","",IFERROR(INDEX(智能流水!$J$2:$J$1001,MATCH($B792,智能流水!$B$2:$B$1001,0)),""))</f>
        <v/>
      </c>
      <c r="K792" s="19">
        <f>IF($B792="","",IFERROR(INDEX(智能流水!$K$2:$K$1001,MATCH($B792,智能流水!$B$2:$B$1001,0)),""))</f>
        <v/>
      </c>
      <c r="L792" s="19">
        <f>IF($B792="","",IFERROR(INDEX(智能流水!$L$2:$L$1001,MATCH($B792,智能流水!$B$2:$B$1001,0)),""))</f>
        <v/>
      </c>
      <c r="M792" s="19">
        <f>IF($B792="","",IFERROR(INDEX(智能流水!$M$2:$M$1001,MATCH($B792,智能流水!$B$2:$B$1001,0)),""))</f>
        <v/>
      </c>
      <c r="N792" s="19">
        <f>IF($B792="","",IFERROR(INDEX(智能流水!$N$2:$N$1001,MATCH($B792,智能流水!$B$2:$B$1001,0)),""))</f>
        <v/>
      </c>
      <c r="O792" s="19">
        <f>IF($B792="","",IFERROR(INDEX(智能流水!$O$2:$O$1001,MATCH($B792,智能流水!$B$2:$B$1001,0)),""))</f>
        <v/>
      </c>
    </row>
    <row r="793">
      <c r="A793" s="19">
        <f>IF($B793="","",792)</f>
        <v/>
      </c>
      <c r="B793" s="19">
        <f>IFERROR(LARGE(智能流水!$B$2:$B$1001,792),"")</f>
        <v/>
      </c>
      <c r="C793" s="19">
        <f>IF($B793="","",IFERROR(INDEX(智能流水!$C$2:$C$1001,MATCH($B793,智能流水!$B$2:$B$1001,0)),""))</f>
        <v/>
      </c>
      <c r="D793" s="19">
        <f>IF($B793="","",IFERROR(INDEX(智能流水!$D$2:$D$1001,MATCH($B793,智能流水!$B$2:$B$1001,0)),""))</f>
        <v/>
      </c>
      <c r="E793" s="19">
        <f>IF($B793="","",IFERROR(INDEX(智能流水!$E$2:$E$1001,MATCH($B793,智能流水!$B$2:$B$1001,0)),""))</f>
        <v/>
      </c>
      <c r="F793" s="19">
        <f>IF($B793="","",IFERROR(INDEX(智能流水!$F$2:$F$1001,MATCH($B793,智能流水!$B$2:$B$1001,0)),""))</f>
        <v/>
      </c>
      <c r="G793" s="19">
        <f>IF($B793="","",IFERROR(INDEX(智能流水!$G$2:$G$1001,MATCH($B793,智能流水!$B$2:$B$1001,0)),""))</f>
        <v/>
      </c>
      <c r="H793" s="19">
        <f>IF($B793="","",IFERROR(INDEX(智能流水!$H$2:$H$1001,MATCH($B793,智能流水!$B$2:$B$1001,0)),""))</f>
        <v/>
      </c>
      <c r="I793" s="19">
        <f>IF($B793="","",IFERROR(INDEX(智能流水!$I$2:$I$1001,MATCH($B793,智能流水!$B$2:$B$1001,0)),""))</f>
        <v/>
      </c>
      <c r="J793" s="19">
        <f>IF($B793="","",IFERROR(INDEX(智能流水!$J$2:$J$1001,MATCH($B793,智能流水!$B$2:$B$1001,0)),""))</f>
        <v/>
      </c>
      <c r="K793" s="19">
        <f>IF($B793="","",IFERROR(INDEX(智能流水!$K$2:$K$1001,MATCH($B793,智能流水!$B$2:$B$1001,0)),""))</f>
        <v/>
      </c>
      <c r="L793" s="19">
        <f>IF($B793="","",IFERROR(INDEX(智能流水!$L$2:$L$1001,MATCH($B793,智能流水!$B$2:$B$1001,0)),""))</f>
        <v/>
      </c>
      <c r="M793" s="19">
        <f>IF($B793="","",IFERROR(INDEX(智能流水!$M$2:$M$1001,MATCH($B793,智能流水!$B$2:$B$1001,0)),""))</f>
        <v/>
      </c>
      <c r="N793" s="19">
        <f>IF($B793="","",IFERROR(INDEX(智能流水!$N$2:$N$1001,MATCH($B793,智能流水!$B$2:$B$1001,0)),""))</f>
        <v/>
      </c>
      <c r="O793" s="19">
        <f>IF($B793="","",IFERROR(INDEX(智能流水!$O$2:$O$1001,MATCH($B793,智能流水!$B$2:$B$1001,0)),""))</f>
        <v/>
      </c>
    </row>
    <row r="794">
      <c r="A794" s="19">
        <f>IF($B794="","",793)</f>
        <v/>
      </c>
      <c r="B794" s="19">
        <f>IFERROR(LARGE(智能流水!$B$2:$B$1001,793),"")</f>
        <v/>
      </c>
      <c r="C794" s="19">
        <f>IF($B794="","",IFERROR(INDEX(智能流水!$C$2:$C$1001,MATCH($B794,智能流水!$B$2:$B$1001,0)),""))</f>
        <v/>
      </c>
      <c r="D794" s="19">
        <f>IF($B794="","",IFERROR(INDEX(智能流水!$D$2:$D$1001,MATCH($B794,智能流水!$B$2:$B$1001,0)),""))</f>
        <v/>
      </c>
      <c r="E794" s="19">
        <f>IF($B794="","",IFERROR(INDEX(智能流水!$E$2:$E$1001,MATCH($B794,智能流水!$B$2:$B$1001,0)),""))</f>
        <v/>
      </c>
      <c r="F794" s="19">
        <f>IF($B794="","",IFERROR(INDEX(智能流水!$F$2:$F$1001,MATCH($B794,智能流水!$B$2:$B$1001,0)),""))</f>
        <v/>
      </c>
      <c r="G794" s="19">
        <f>IF($B794="","",IFERROR(INDEX(智能流水!$G$2:$G$1001,MATCH($B794,智能流水!$B$2:$B$1001,0)),""))</f>
        <v/>
      </c>
      <c r="H794" s="19">
        <f>IF($B794="","",IFERROR(INDEX(智能流水!$H$2:$H$1001,MATCH($B794,智能流水!$B$2:$B$1001,0)),""))</f>
        <v/>
      </c>
      <c r="I794" s="19">
        <f>IF($B794="","",IFERROR(INDEX(智能流水!$I$2:$I$1001,MATCH($B794,智能流水!$B$2:$B$1001,0)),""))</f>
        <v/>
      </c>
      <c r="J794" s="19">
        <f>IF($B794="","",IFERROR(INDEX(智能流水!$J$2:$J$1001,MATCH($B794,智能流水!$B$2:$B$1001,0)),""))</f>
        <v/>
      </c>
      <c r="K794" s="19">
        <f>IF($B794="","",IFERROR(INDEX(智能流水!$K$2:$K$1001,MATCH($B794,智能流水!$B$2:$B$1001,0)),""))</f>
        <v/>
      </c>
      <c r="L794" s="19">
        <f>IF($B794="","",IFERROR(INDEX(智能流水!$L$2:$L$1001,MATCH($B794,智能流水!$B$2:$B$1001,0)),""))</f>
        <v/>
      </c>
      <c r="M794" s="19">
        <f>IF($B794="","",IFERROR(INDEX(智能流水!$M$2:$M$1001,MATCH($B794,智能流水!$B$2:$B$1001,0)),""))</f>
        <v/>
      </c>
      <c r="N794" s="19">
        <f>IF($B794="","",IFERROR(INDEX(智能流水!$N$2:$N$1001,MATCH($B794,智能流水!$B$2:$B$1001,0)),""))</f>
        <v/>
      </c>
      <c r="O794" s="19">
        <f>IF($B794="","",IFERROR(INDEX(智能流水!$O$2:$O$1001,MATCH($B794,智能流水!$B$2:$B$1001,0)),""))</f>
        <v/>
      </c>
    </row>
    <row r="795">
      <c r="A795" s="19">
        <f>IF($B795="","",794)</f>
        <v/>
      </c>
      <c r="B795" s="19">
        <f>IFERROR(LARGE(智能流水!$B$2:$B$1001,794),"")</f>
        <v/>
      </c>
      <c r="C795" s="19">
        <f>IF($B795="","",IFERROR(INDEX(智能流水!$C$2:$C$1001,MATCH($B795,智能流水!$B$2:$B$1001,0)),""))</f>
        <v/>
      </c>
      <c r="D795" s="19">
        <f>IF($B795="","",IFERROR(INDEX(智能流水!$D$2:$D$1001,MATCH($B795,智能流水!$B$2:$B$1001,0)),""))</f>
        <v/>
      </c>
      <c r="E795" s="19">
        <f>IF($B795="","",IFERROR(INDEX(智能流水!$E$2:$E$1001,MATCH($B795,智能流水!$B$2:$B$1001,0)),""))</f>
        <v/>
      </c>
      <c r="F795" s="19">
        <f>IF($B795="","",IFERROR(INDEX(智能流水!$F$2:$F$1001,MATCH($B795,智能流水!$B$2:$B$1001,0)),""))</f>
        <v/>
      </c>
      <c r="G795" s="19">
        <f>IF($B795="","",IFERROR(INDEX(智能流水!$G$2:$G$1001,MATCH($B795,智能流水!$B$2:$B$1001,0)),""))</f>
        <v/>
      </c>
      <c r="H795" s="19">
        <f>IF($B795="","",IFERROR(INDEX(智能流水!$H$2:$H$1001,MATCH($B795,智能流水!$B$2:$B$1001,0)),""))</f>
        <v/>
      </c>
      <c r="I795" s="19">
        <f>IF($B795="","",IFERROR(INDEX(智能流水!$I$2:$I$1001,MATCH($B795,智能流水!$B$2:$B$1001,0)),""))</f>
        <v/>
      </c>
      <c r="J795" s="19">
        <f>IF($B795="","",IFERROR(INDEX(智能流水!$J$2:$J$1001,MATCH($B795,智能流水!$B$2:$B$1001,0)),""))</f>
        <v/>
      </c>
      <c r="K795" s="19">
        <f>IF($B795="","",IFERROR(INDEX(智能流水!$K$2:$K$1001,MATCH($B795,智能流水!$B$2:$B$1001,0)),""))</f>
        <v/>
      </c>
      <c r="L795" s="19">
        <f>IF($B795="","",IFERROR(INDEX(智能流水!$L$2:$L$1001,MATCH($B795,智能流水!$B$2:$B$1001,0)),""))</f>
        <v/>
      </c>
      <c r="M795" s="19">
        <f>IF($B795="","",IFERROR(INDEX(智能流水!$M$2:$M$1001,MATCH($B795,智能流水!$B$2:$B$1001,0)),""))</f>
        <v/>
      </c>
      <c r="N795" s="19">
        <f>IF($B795="","",IFERROR(INDEX(智能流水!$N$2:$N$1001,MATCH($B795,智能流水!$B$2:$B$1001,0)),""))</f>
        <v/>
      </c>
      <c r="O795" s="19">
        <f>IF($B795="","",IFERROR(INDEX(智能流水!$O$2:$O$1001,MATCH($B795,智能流水!$B$2:$B$1001,0)),""))</f>
        <v/>
      </c>
    </row>
    <row r="796">
      <c r="A796" s="19">
        <f>IF($B796="","",795)</f>
        <v/>
      </c>
      <c r="B796" s="19">
        <f>IFERROR(LARGE(智能流水!$B$2:$B$1001,795),"")</f>
        <v/>
      </c>
      <c r="C796" s="19">
        <f>IF($B796="","",IFERROR(INDEX(智能流水!$C$2:$C$1001,MATCH($B796,智能流水!$B$2:$B$1001,0)),""))</f>
        <v/>
      </c>
      <c r="D796" s="19">
        <f>IF($B796="","",IFERROR(INDEX(智能流水!$D$2:$D$1001,MATCH($B796,智能流水!$B$2:$B$1001,0)),""))</f>
        <v/>
      </c>
      <c r="E796" s="19">
        <f>IF($B796="","",IFERROR(INDEX(智能流水!$E$2:$E$1001,MATCH($B796,智能流水!$B$2:$B$1001,0)),""))</f>
        <v/>
      </c>
      <c r="F796" s="19">
        <f>IF($B796="","",IFERROR(INDEX(智能流水!$F$2:$F$1001,MATCH($B796,智能流水!$B$2:$B$1001,0)),""))</f>
        <v/>
      </c>
      <c r="G796" s="19">
        <f>IF($B796="","",IFERROR(INDEX(智能流水!$G$2:$G$1001,MATCH($B796,智能流水!$B$2:$B$1001,0)),""))</f>
        <v/>
      </c>
      <c r="H796" s="19">
        <f>IF($B796="","",IFERROR(INDEX(智能流水!$H$2:$H$1001,MATCH($B796,智能流水!$B$2:$B$1001,0)),""))</f>
        <v/>
      </c>
      <c r="I796" s="19">
        <f>IF($B796="","",IFERROR(INDEX(智能流水!$I$2:$I$1001,MATCH($B796,智能流水!$B$2:$B$1001,0)),""))</f>
        <v/>
      </c>
      <c r="J796" s="19">
        <f>IF($B796="","",IFERROR(INDEX(智能流水!$J$2:$J$1001,MATCH($B796,智能流水!$B$2:$B$1001,0)),""))</f>
        <v/>
      </c>
      <c r="K796" s="19">
        <f>IF($B796="","",IFERROR(INDEX(智能流水!$K$2:$K$1001,MATCH($B796,智能流水!$B$2:$B$1001,0)),""))</f>
        <v/>
      </c>
      <c r="L796" s="19">
        <f>IF($B796="","",IFERROR(INDEX(智能流水!$L$2:$L$1001,MATCH($B796,智能流水!$B$2:$B$1001,0)),""))</f>
        <v/>
      </c>
      <c r="M796" s="19">
        <f>IF($B796="","",IFERROR(INDEX(智能流水!$M$2:$M$1001,MATCH($B796,智能流水!$B$2:$B$1001,0)),""))</f>
        <v/>
      </c>
      <c r="N796" s="19">
        <f>IF($B796="","",IFERROR(INDEX(智能流水!$N$2:$N$1001,MATCH($B796,智能流水!$B$2:$B$1001,0)),""))</f>
        <v/>
      </c>
      <c r="O796" s="19">
        <f>IF($B796="","",IFERROR(INDEX(智能流水!$O$2:$O$1001,MATCH($B796,智能流水!$B$2:$B$1001,0)),""))</f>
        <v/>
      </c>
    </row>
    <row r="797">
      <c r="A797" s="19">
        <f>IF($B797="","",796)</f>
        <v/>
      </c>
      <c r="B797" s="19">
        <f>IFERROR(LARGE(智能流水!$B$2:$B$1001,796),"")</f>
        <v/>
      </c>
      <c r="C797" s="19">
        <f>IF($B797="","",IFERROR(INDEX(智能流水!$C$2:$C$1001,MATCH($B797,智能流水!$B$2:$B$1001,0)),""))</f>
        <v/>
      </c>
      <c r="D797" s="19">
        <f>IF($B797="","",IFERROR(INDEX(智能流水!$D$2:$D$1001,MATCH($B797,智能流水!$B$2:$B$1001,0)),""))</f>
        <v/>
      </c>
      <c r="E797" s="19">
        <f>IF($B797="","",IFERROR(INDEX(智能流水!$E$2:$E$1001,MATCH($B797,智能流水!$B$2:$B$1001,0)),""))</f>
        <v/>
      </c>
      <c r="F797" s="19">
        <f>IF($B797="","",IFERROR(INDEX(智能流水!$F$2:$F$1001,MATCH($B797,智能流水!$B$2:$B$1001,0)),""))</f>
        <v/>
      </c>
      <c r="G797" s="19">
        <f>IF($B797="","",IFERROR(INDEX(智能流水!$G$2:$G$1001,MATCH($B797,智能流水!$B$2:$B$1001,0)),""))</f>
        <v/>
      </c>
      <c r="H797" s="19">
        <f>IF($B797="","",IFERROR(INDEX(智能流水!$H$2:$H$1001,MATCH($B797,智能流水!$B$2:$B$1001,0)),""))</f>
        <v/>
      </c>
      <c r="I797" s="19">
        <f>IF($B797="","",IFERROR(INDEX(智能流水!$I$2:$I$1001,MATCH($B797,智能流水!$B$2:$B$1001,0)),""))</f>
        <v/>
      </c>
      <c r="J797" s="19">
        <f>IF($B797="","",IFERROR(INDEX(智能流水!$J$2:$J$1001,MATCH($B797,智能流水!$B$2:$B$1001,0)),""))</f>
        <v/>
      </c>
      <c r="K797" s="19">
        <f>IF($B797="","",IFERROR(INDEX(智能流水!$K$2:$K$1001,MATCH($B797,智能流水!$B$2:$B$1001,0)),""))</f>
        <v/>
      </c>
      <c r="L797" s="19">
        <f>IF($B797="","",IFERROR(INDEX(智能流水!$L$2:$L$1001,MATCH($B797,智能流水!$B$2:$B$1001,0)),""))</f>
        <v/>
      </c>
      <c r="M797" s="19">
        <f>IF($B797="","",IFERROR(INDEX(智能流水!$M$2:$M$1001,MATCH($B797,智能流水!$B$2:$B$1001,0)),""))</f>
        <v/>
      </c>
      <c r="N797" s="19">
        <f>IF($B797="","",IFERROR(INDEX(智能流水!$N$2:$N$1001,MATCH($B797,智能流水!$B$2:$B$1001,0)),""))</f>
        <v/>
      </c>
      <c r="O797" s="19">
        <f>IF($B797="","",IFERROR(INDEX(智能流水!$O$2:$O$1001,MATCH($B797,智能流水!$B$2:$B$1001,0)),""))</f>
        <v/>
      </c>
    </row>
    <row r="798">
      <c r="A798" s="19">
        <f>IF($B798="","",797)</f>
        <v/>
      </c>
      <c r="B798" s="19">
        <f>IFERROR(LARGE(智能流水!$B$2:$B$1001,797),"")</f>
        <v/>
      </c>
      <c r="C798" s="19">
        <f>IF($B798="","",IFERROR(INDEX(智能流水!$C$2:$C$1001,MATCH($B798,智能流水!$B$2:$B$1001,0)),""))</f>
        <v/>
      </c>
      <c r="D798" s="19">
        <f>IF($B798="","",IFERROR(INDEX(智能流水!$D$2:$D$1001,MATCH($B798,智能流水!$B$2:$B$1001,0)),""))</f>
        <v/>
      </c>
      <c r="E798" s="19">
        <f>IF($B798="","",IFERROR(INDEX(智能流水!$E$2:$E$1001,MATCH($B798,智能流水!$B$2:$B$1001,0)),""))</f>
        <v/>
      </c>
      <c r="F798" s="19">
        <f>IF($B798="","",IFERROR(INDEX(智能流水!$F$2:$F$1001,MATCH($B798,智能流水!$B$2:$B$1001,0)),""))</f>
        <v/>
      </c>
      <c r="G798" s="19">
        <f>IF($B798="","",IFERROR(INDEX(智能流水!$G$2:$G$1001,MATCH($B798,智能流水!$B$2:$B$1001,0)),""))</f>
        <v/>
      </c>
      <c r="H798" s="19">
        <f>IF($B798="","",IFERROR(INDEX(智能流水!$H$2:$H$1001,MATCH($B798,智能流水!$B$2:$B$1001,0)),""))</f>
        <v/>
      </c>
      <c r="I798" s="19">
        <f>IF($B798="","",IFERROR(INDEX(智能流水!$I$2:$I$1001,MATCH($B798,智能流水!$B$2:$B$1001,0)),""))</f>
        <v/>
      </c>
      <c r="J798" s="19">
        <f>IF($B798="","",IFERROR(INDEX(智能流水!$J$2:$J$1001,MATCH($B798,智能流水!$B$2:$B$1001,0)),""))</f>
        <v/>
      </c>
      <c r="K798" s="19">
        <f>IF($B798="","",IFERROR(INDEX(智能流水!$K$2:$K$1001,MATCH($B798,智能流水!$B$2:$B$1001,0)),""))</f>
        <v/>
      </c>
      <c r="L798" s="19">
        <f>IF($B798="","",IFERROR(INDEX(智能流水!$L$2:$L$1001,MATCH($B798,智能流水!$B$2:$B$1001,0)),""))</f>
        <v/>
      </c>
      <c r="M798" s="19">
        <f>IF($B798="","",IFERROR(INDEX(智能流水!$M$2:$M$1001,MATCH($B798,智能流水!$B$2:$B$1001,0)),""))</f>
        <v/>
      </c>
      <c r="N798" s="19">
        <f>IF($B798="","",IFERROR(INDEX(智能流水!$N$2:$N$1001,MATCH($B798,智能流水!$B$2:$B$1001,0)),""))</f>
        <v/>
      </c>
      <c r="O798" s="19">
        <f>IF($B798="","",IFERROR(INDEX(智能流水!$O$2:$O$1001,MATCH($B798,智能流水!$B$2:$B$1001,0)),""))</f>
        <v/>
      </c>
    </row>
    <row r="799">
      <c r="A799" s="19">
        <f>IF($B799="","",798)</f>
        <v/>
      </c>
      <c r="B799" s="19">
        <f>IFERROR(LARGE(智能流水!$B$2:$B$1001,798),"")</f>
        <v/>
      </c>
      <c r="C799" s="19">
        <f>IF($B799="","",IFERROR(INDEX(智能流水!$C$2:$C$1001,MATCH($B799,智能流水!$B$2:$B$1001,0)),""))</f>
        <v/>
      </c>
      <c r="D799" s="19">
        <f>IF($B799="","",IFERROR(INDEX(智能流水!$D$2:$D$1001,MATCH($B799,智能流水!$B$2:$B$1001,0)),""))</f>
        <v/>
      </c>
      <c r="E799" s="19">
        <f>IF($B799="","",IFERROR(INDEX(智能流水!$E$2:$E$1001,MATCH($B799,智能流水!$B$2:$B$1001,0)),""))</f>
        <v/>
      </c>
      <c r="F799" s="19">
        <f>IF($B799="","",IFERROR(INDEX(智能流水!$F$2:$F$1001,MATCH($B799,智能流水!$B$2:$B$1001,0)),""))</f>
        <v/>
      </c>
      <c r="G799" s="19">
        <f>IF($B799="","",IFERROR(INDEX(智能流水!$G$2:$G$1001,MATCH($B799,智能流水!$B$2:$B$1001,0)),""))</f>
        <v/>
      </c>
      <c r="H799" s="19">
        <f>IF($B799="","",IFERROR(INDEX(智能流水!$H$2:$H$1001,MATCH($B799,智能流水!$B$2:$B$1001,0)),""))</f>
        <v/>
      </c>
      <c r="I799" s="19">
        <f>IF($B799="","",IFERROR(INDEX(智能流水!$I$2:$I$1001,MATCH($B799,智能流水!$B$2:$B$1001,0)),""))</f>
        <v/>
      </c>
      <c r="J799" s="19">
        <f>IF($B799="","",IFERROR(INDEX(智能流水!$J$2:$J$1001,MATCH($B799,智能流水!$B$2:$B$1001,0)),""))</f>
        <v/>
      </c>
      <c r="K799" s="19">
        <f>IF($B799="","",IFERROR(INDEX(智能流水!$K$2:$K$1001,MATCH($B799,智能流水!$B$2:$B$1001,0)),""))</f>
        <v/>
      </c>
      <c r="L799" s="19">
        <f>IF($B799="","",IFERROR(INDEX(智能流水!$L$2:$L$1001,MATCH($B799,智能流水!$B$2:$B$1001,0)),""))</f>
        <v/>
      </c>
      <c r="M799" s="19">
        <f>IF($B799="","",IFERROR(INDEX(智能流水!$M$2:$M$1001,MATCH($B799,智能流水!$B$2:$B$1001,0)),""))</f>
        <v/>
      </c>
      <c r="N799" s="19">
        <f>IF($B799="","",IFERROR(INDEX(智能流水!$N$2:$N$1001,MATCH($B799,智能流水!$B$2:$B$1001,0)),""))</f>
        <v/>
      </c>
      <c r="O799" s="19">
        <f>IF($B799="","",IFERROR(INDEX(智能流水!$O$2:$O$1001,MATCH($B799,智能流水!$B$2:$B$1001,0)),""))</f>
        <v/>
      </c>
    </row>
    <row r="800">
      <c r="A800" s="19">
        <f>IF($B800="","",799)</f>
        <v/>
      </c>
      <c r="B800" s="19">
        <f>IFERROR(LARGE(智能流水!$B$2:$B$1001,799),"")</f>
        <v/>
      </c>
      <c r="C800" s="19">
        <f>IF($B800="","",IFERROR(INDEX(智能流水!$C$2:$C$1001,MATCH($B800,智能流水!$B$2:$B$1001,0)),""))</f>
        <v/>
      </c>
      <c r="D800" s="19">
        <f>IF($B800="","",IFERROR(INDEX(智能流水!$D$2:$D$1001,MATCH($B800,智能流水!$B$2:$B$1001,0)),""))</f>
        <v/>
      </c>
      <c r="E800" s="19">
        <f>IF($B800="","",IFERROR(INDEX(智能流水!$E$2:$E$1001,MATCH($B800,智能流水!$B$2:$B$1001,0)),""))</f>
        <v/>
      </c>
      <c r="F800" s="19">
        <f>IF($B800="","",IFERROR(INDEX(智能流水!$F$2:$F$1001,MATCH($B800,智能流水!$B$2:$B$1001,0)),""))</f>
        <v/>
      </c>
      <c r="G800" s="19">
        <f>IF($B800="","",IFERROR(INDEX(智能流水!$G$2:$G$1001,MATCH($B800,智能流水!$B$2:$B$1001,0)),""))</f>
        <v/>
      </c>
      <c r="H800" s="19">
        <f>IF($B800="","",IFERROR(INDEX(智能流水!$H$2:$H$1001,MATCH($B800,智能流水!$B$2:$B$1001,0)),""))</f>
        <v/>
      </c>
      <c r="I800" s="19">
        <f>IF($B800="","",IFERROR(INDEX(智能流水!$I$2:$I$1001,MATCH($B800,智能流水!$B$2:$B$1001,0)),""))</f>
        <v/>
      </c>
      <c r="J800" s="19">
        <f>IF($B800="","",IFERROR(INDEX(智能流水!$J$2:$J$1001,MATCH($B800,智能流水!$B$2:$B$1001,0)),""))</f>
        <v/>
      </c>
      <c r="K800" s="19">
        <f>IF($B800="","",IFERROR(INDEX(智能流水!$K$2:$K$1001,MATCH($B800,智能流水!$B$2:$B$1001,0)),""))</f>
        <v/>
      </c>
      <c r="L800" s="19">
        <f>IF($B800="","",IFERROR(INDEX(智能流水!$L$2:$L$1001,MATCH($B800,智能流水!$B$2:$B$1001,0)),""))</f>
        <v/>
      </c>
      <c r="M800" s="19">
        <f>IF($B800="","",IFERROR(INDEX(智能流水!$M$2:$M$1001,MATCH($B800,智能流水!$B$2:$B$1001,0)),""))</f>
        <v/>
      </c>
      <c r="N800" s="19">
        <f>IF($B800="","",IFERROR(INDEX(智能流水!$N$2:$N$1001,MATCH($B800,智能流水!$B$2:$B$1001,0)),""))</f>
        <v/>
      </c>
      <c r="O800" s="19">
        <f>IF($B800="","",IFERROR(INDEX(智能流水!$O$2:$O$1001,MATCH($B800,智能流水!$B$2:$B$1001,0)),""))</f>
        <v/>
      </c>
    </row>
    <row r="801">
      <c r="A801" s="19">
        <f>IF($B801="","",800)</f>
        <v/>
      </c>
      <c r="B801" s="19">
        <f>IFERROR(LARGE(智能流水!$B$2:$B$1001,800),"")</f>
        <v/>
      </c>
      <c r="C801" s="19">
        <f>IF($B801="","",IFERROR(INDEX(智能流水!$C$2:$C$1001,MATCH($B801,智能流水!$B$2:$B$1001,0)),""))</f>
        <v/>
      </c>
      <c r="D801" s="19">
        <f>IF($B801="","",IFERROR(INDEX(智能流水!$D$2:$D$1001,MATCH($B801,智能流水!$B$2:$B$1001,0)),""))</f>
        <v/>
      </c>
      <c r="E801" s="19">
        <f>IF($B801="","",IFERROR(INDEX(智能流水!$E$2:$E$1001,MATCH($B801,智能流水!$B$2:$B$1001,0)),""))</f>
        <v/>
      </c>
      <c r="F801" s="19">
        <f>IF($B801="","",IFERROR(INDEX(智能流水!$F$2:$F$1001,MATCH($B801,智能流水!$B$2:$B$1001,0)),""))</f>
        <v/>
      </c>
      <c r="G801" s="19">
        <f>IF($B801="","",IFERROR(INDEX(智能流水!$G$2:$G$1001,MATCH($B801,智能流水!$B$2:$B$1001,0)),""))</f>
        <v/>
      </c>
      <c r="H801" s="19">
        <f>IF($B801="","",IFERROR(INDEX(智能流水!$H$2:$H$1001,MATCH($B801,智能流水!$B$2:$B$1001,0)),""))</f>
        <v/>
      </c>
      <c r="I801" s="19">
        <f>IF($B801="","",IFERROR(INDEX(智能流水!$I$2:$I$1001,MATCH($B801,智能流水!$B$2:$B$1001,0)),""))</f>
        <v/>
      </c>
      <c r="J801" s="19">
        <f>IF($B801="","",IFERROR(INDEX(智能流水!$J$2:$J$1001,MATCH($B801,智能流水!$B$2:$B$1001,0)),""))</f>
        <v/>
      </c>
      <c r="K801" s="19">
        <f>IF($B801="","",IFERROR(INDEX(智能流水!$K$2:$K$1001,MATCH($B801,智能流水!$B$2:$B$1001,0)),""))</f>
        <v/>
      </c>
      <c r="L801" s="19">
        <f>IF($B801="","",IFERROR(INDEX(智能流水!$L$2:$L$1001,MATCH($B801,智能流水!$B$2:$B$1001,0)),""))</f>
        <v/>
      </c>
      <c r="M801" s="19">
        <f>IF($B801="","",IFERROR(INDEX(智能流水!$M$2:$M$1001,MATCH($B801,智能流水!$B$2:$B$1001,0)),""))</f>
        <v/>
      </c>
      <c r="N801" s="19">
        <f>IF($B801="","",IFERROR(INDEX(智能流水!$N$2:$N$1001,MATCH($B801,智能流水!$B$2:$B$1001,0)),""))</f>
        <v/>
      </c>
      <c r="O801" s="19">
        <f>IF($B801="","",IFERROR(INDEX(智能流水!$O$2:$O$1001,MATCH($B801,智能流水!$B$2:$B$1001,0)),""))</f>
        <v/>
      </c>
    </row>
    <row r="802">
      <c r="A802" s="19">
        <f>IF($B802="","",801)</f>
        <v/>
      </c>
      <c r="B802" s="19">
        <f>IFERROR(LARGE(智能流水!$B$2:$B$1001,801),"")</f>
        <v/>
      </c>
      <c r="C802" s="19">
        <f>IF($B802="","",IFERROR(INDEX(智能流水!$C$2:$C$1001,MATCH($B802,智能流水!$B$2:$B$1001,0)),""))</f>
        <v/>
      </c>
      <c r="D802" s="19">
        <f>IF($B802="","",IFERROR(INDEX(智能流水!$D$2:$D$1001,MATCH($B802,智能流水!$B$2:$B$1001,0)),""))</f>
        <v/>
      </c>
      <c r="E802" s="19">
        <f>IF($B802="","",IFERROR(INDEX(智能流水!$E$2:$E$1001,MATCH($B802,智能流水!$B$2:$B$1001,0)),""))</f>
        <v/>
      </c>
      <c r="F802" s="19">
        <f>IF($B802="","",IFERROR(INDEX(智能流水!$F$2:$F$1001,MATCH($B802,智能流水!$B$2:$B$1001,0)),""))</f>
        <v/>
      </c>
      <c r="G802" s="19">
        <f>IF($B802="","",IFERROR(INDEX(智能流水!$G$2:$G$1001,MATCH($B802,智能流水!$B$2:$B$1001,0)),""))</f>
        <v/>
      </c>
      <c r="H802" s="19">
        <f>IF($B802="","",IFERROR(INDEX(智能流水!$H$2:$H$1001,MATCH($B802,智能流水!$B$2:$B$1001,0)),""))</f>
        <v/>
      </c>
      <c r="I802" s="19">
        <f>IF($B802="","",IFERROR(INDEX(智能流水!$I$2:$I$1001,MATCH($B802,智能流水!$B$2:$B$1001,0)),""))</f>
        <v/>
      </c>
      <c r="J802" s="19">
        <f>IF($B802="","",IFERROR(INDEX(智能流水!$J$2:$J$1001,MATCH($B802,智能流水!$B$2:$B$1001,0)),""))</f>
        <v/>
      </c>
      <c r="K802" s="19">
        <f>IF($B802="","",IFERROR(INDEX(智能流水!$K$2:$K$1001,MATCH($B802,智能流水!$B$2:$B$1001,0)),""))</f>
        <v/>
      </c>
      <c r="L802" s="19">
        <f>IF($B802="","",IFERROR(INDEX(智能流水!$L$2:$L$1001,MATCH($B802,智能流水!$B$2:$B$1001,0)),""))</f>
        <v/>
      </c>
      <c r="M802" s="19">
        <f>IF($B802="","",IFERROR(INDEX(智能流水!$M$2:$M$1001,MATCH($B802,智能流水!$B$2:$B$1001,0)),""))</f>
        <v/>
      </c>
      <c r="N802" s="19">
        <f>IF($B802="","",IFERROR(INDEX(智能流水!$N$2:$N$1001,MATCH($B802,智能流水!$B$2:$B$1001,0)),""))</f>
        <v/>
      </c>
      <c r="O802" s="19">
        <f>IF($B802="","",IFERROR(INDEX(智能流水!$O$2:$O$1001,MATCH($B802,智能流水!$B$2:$B$1001,0)),""))</f>
        <v/>
      </c>
    </row>
    <row r="803">
      <c r="A803" s="19">
        <f>IF($B803="","",802)</f>
        <v/>
      </c>
      <c r="B803" s="19">
        <f>IFERROR(LARGE(智能流水!$B$2:$B$1001,802),"")</f>
        <v/>
      </c>
      <c r="C803" s="19">
        <f>IF($B803="","",IFERROR(INDEX(智能流水!$C$2:$C$1001,MATCH($B803,智能流水!$B$2:$B$1001,0)),""))</f>
        <v/>
      </c>
      <c r="D803" s="19">
        <f>IF($B803="","",IFERROR(INDEX(智能流水!$D$2:$D$1001,MATCH($B803,智能流水!$B$2:$B$1001,0)),""))</f>
        <v/>
      </c>
      <c r="E803" s="19">
        <f>IF($B803="","",IFERROR(INDEX(智能流水!$E$2:$E$1001,MATCH($B803,智能流水!$B$2:$B$1001,0)),""))</f>
        <v/>
      </c>
      <c r="F803" s="19">
        <f>IF($B803="","",IFERROR(INDEX(智能流水!$F$2:$F$1001,MATCH($B803,智能流水!$B$2:$B$1001,0)),""))</f>
        <v/>
      </c>
      <c r="G803" s="19">
        <f>IF($B803="","",IFERROR(INDEX(智能流水!$G$2:$G$1001,MATCH($B803,智能流水!$B$2:$B$1001,0)),""))</f>
        <v/>
      </c>
      <c r="H803" s="19">
        <f>IF($B803="","",IFERROR(INDEX(智能流水!$H$2:$H$1001,MATCH($B803,智能流水!$B$2:$B$1001,0)),""))</f>
        <v/>
      </c>
      <c r="I803" s="19">
        <f>IF($B803="","",IFERROR(INDEX(智能流水!$I$2:$I$1001,MATCH($B803,智能流水!$B$2:$B$1001,0)),""))</f>
        <v/>
      </c>
      <c r="J803" s="19">
        <f>IF($B803="","",IFERROR(INDEX(智能流水!$J$2:$J$1001,MATCH($B803,智能流水!$B$2:$B$1001,0)),""))</f>
        <v/>
      </c>
      <c r="K803" s="19">
        <f>IF($B803="","",IFERROR(INDEX(智能流水!$K$2:$K$1001,MATCH($B803,智能流水!$B$2:$B$1001,0)),""))</f>
        <v/>
      </c>
      <c r="L803" s="19">
        <f>IF($B803="","",IFERROR(INDEX(智能流水!$L$2:$L$1001,MATCH($B803,智能流水!$B$2:$B$1001,0)),""))</f>
        <v/>
      </c>
      <c r="M803" s="19">
        <f>IF($B803="","",IFERROR(INDEX(智能流水!$M$2:$M$1001,MATCH($B803,智能流水!$B$2:$B$1001,0)),""))</f>
        <v/>
      </c>
      <c r="N803" s="19">
        <f>IF($B803="","",IFERROR(INDEX(智能流水!$N$2:$N$1001,MATCH($B803,智能流水!$B$2:$B$1001,0)),""))</f>
        <v/>
      </c>
      <c r="O803" s="19">
        <f>IF($B803="","",IFERROR(INDEX(智能流水!$O$2:$O$1001,MATCH($B803,智能流水!$B$2:$B$1001,0)),""))</f>
        <v/>
      </c>
    </row>
    <row r="804">
      <c r="A804" s="19">
        <f>IF($B804="","",803)</f>
        <v/>
      </c>
      <c r="B804" s="19">
        <f>IFERROR(LARGE(智能流水!$B$2:$B$1001,803),"")</f>
        <v/>
      </c>
      <c r="C804" s="19">
        <f>IF($B804="","",IFERROR(INDEX(智能流水!$C$2:$C$1001,MATCH($B804,智能流水!$B$2:$B$1001,0)),""))</f>
        <v/>
      </c>
      <c r="D804" s="19">
        <f>IF($B804="","",IFERROR(INDEX(智能流水!$D$2:$D$1001,MATCH($B804,智能流水!$B$2:$B$1001,0)),""))</f>
        <v/>
      </c>
      <c r="E804" s="19">
        <f>IF($B804="","",IFERROR(INDEX(智能流水!$E$2:$E$1001,MATCH($B804,智能流水!$B$2:$B$1001,0)),""))</f>
        <v/>
      </c>
      <c r="F804" s="19">
        <f>IF($B804="","",IFERROR(INDEX(智能流水!$F$2:$F$1001,MATCH($B804,智能流水!$B$2:$B$1001,0)),""))</f>
        <v/>
      </c>
      <c r="G804" s="19">
        <f>IF($B804="","",IFERROR(INDEX(智能流水!$G$2:$G$1001,MATCH($B804,智能流水!$B$2:$B$1001,0)),""))</f>
        <v/>
      </c>
      <c r="H804" s="19">
        <f>IF($B804="","",IFERROR(INDEX(智能流水!$H$2:$H$1001,MATCH($B804,智能流水!$B$2:$B$1001,0)),""))</f>
        <v/>
      </c>
      <c r="I804" s="19">
        <f>IF($B804="","",IFERROR(INDEX(智能流水!$I$2:$I$1001,MATCH($B804,智能流水!$B$2:$B$1001,0)),""))</f>
        <v/>
      </c>
      <c r="J804" s="19">
        <f>IF($B804="","",IFERROR(INDEX(智能流水!$J$2:$J$1001,MATCH($B804,智能流水!$B$2:$B$1001,0)),""))</f>
        <v/>
      </c>
      <c r="K804" s="19">
        <f>IF($B804="","",IFERROR(INDEX(智能流水!$K$2:$K$1001,MATCH($B804,智能流水!$B$2:$B$1001,0)),""))</f>
        <v/>
      </c>
      <c r="L804" s="19">
        <f>IF($B804="","",IFERROR(INDEX(智能流水!$L$2:$L$1001,MATCH($B804,智能流水!$B$2:$B$1001,0)),""))</f>
        <v/>
      </c>
      <c r="M804" s="19">
        <f>IF($B804="","",IFERROR(INDEX(智能流水!$M$2:$M$1001,MATCH($B804,智能流水!$B$2:$B$1001,0)),""))</f>
        <v/>
      </c>
      <c r="N804" s="19">
        <f>IF($B804="","",IFERROR(INDEX(智能流水!$N$2:$N$1001,MATCH($B804,智能流水!$B$2:$B$1001,0)),""))</f>
        <v/>
      </c>
      <c r="O804" s="19">
        <f>IF($B804="","",IFERROR(INDEX(智能流水!$O$2:$O$1001,MATCH($B804,智能流水!$B$2:$B$1001,0)),""))</f>
        <v/>
      </c>
    </row>
    <row r="805">
      <c r="A805" s="19">
        <f>IF($B805="","",804)</f>
        <v/>
      </c>
      <c r="B805" s="19">
        <f>IFERROR(LARGE(智能流水!$B$2:$B$1001,804),"")</f>
        <v/>
      </c>
      <c r="C805" s="19">
        <f>IF($B805="","",IFERROR(INDEX(智能流水!$C$2:$C$1001,MATCH($B805,智能流水!$B$2:$B$1001,0)),""))</f>
        <v/>
      </c>
      <c r="D805" s="19">
        <f>IF($B805="","",IFERROR(INDEX(智能流水!$D$2:$D$1001,MATCH($B805,智能流水!$B$2:$B$1001,0)),""))</f>
        <v/>
      </c>
      <c r="E805" s="19">
        <f>IF($B805="","",IFERROR(INDEX(智能流水!$E$2:$E$1001,MATCH($B805,智能流水!$B$2:$B$1001,0)),""))</f>
        <v/>
      </c>
      <c r="F805" s="19">
        <f>IF($B805="","",IFERROR(INDEX(智能流水!$F$2:$F$1001,MATCH($B805,智能流水!$B$2:$B$1001,0)),""))</f>
        <v/>
      </c>
      <c r="G805" s="19">
        <f>IF($B805="","",IFERROR(INDEX(智能流水!$G$2:$G$1001,MATCH($B805,智能流水!$B$2:$B$1001,0)),""))</f>
        <v/>
      </c>
      <c r="H805" s="19">
        <f>IF($B805="","",IFERROR(INDEX(智能流水!$H$2:$H$1001,MATCH($B805,智能流水!$B$2:$B$1001,0)),""))</f>
        <v/>
      </c>
      <c r="I805" s="19">
        <f>IF($B805="","",IFERROR(INDEX(智能流水!$I$2:$I$1001,MATCH($B805,智能流水!$B$2:$B$1001,0)),""))</f>
        <v/>
      </c>
      <c r="J805" s="19">
        <f>IF($B805="","",IFERROR(INDEX(智能流水!$J$2:$J$1001,MATCH($B805,智能流水!$B$2:$B$1001,0)),""))</f>
        <v/>
      </c>
      <c r="K805" s="19">
        <f>IF($B805="","",IFERROR(INDEX(智能流水!$K$2:$K$1001,MATCH($B805,智能流水!$B$2:$B$1001,0)),""))</f>
        <v/>
      </c>
      <c r="L805" s="19">
        <f>IF($B805="","",IFERROR(INDEX(智能流水!$L$2:$L$1001,MATCH($B805,智能流水!$B$2:$B$1001,0)),""))</f>
        <v/>
      </c>
      <c r="M805" s="19">
        <f>IF($B805="","",IFERROR(INDEX(智能流水!$M$2:$M$1001,MATCH($B805,智能流水!$B$2:$B$1001,0)),""))</f>
        <v/>
      </c>
      <c r="N805" s="19">
        <f>IF($B805="","",IFERROR(INDEX(智能流水!$N$2:$N$1001,MATCH($B805,智能流水!$B$2:$B$1001,0)),""))</f>
        <v/>
      </c>
      <c r="O805" s="19">
        <f>IF($B805="","",IFERROR(INDEX(智能流水!$O$2:$O$1001,MATCH($B805,智能流水!$B$2:$B$1001,0)),""))</f>
        <v/>
      </c>
    </row>
    <row r="806">
      <c r="A806" s="19">
        <f>IF($B806="","",805)</f>
        <v/>
      </c>
      <c r="B806" s="19">
        <f>IFERROR(LARGE(智能流水!$B$2:$B$1001,805),"")</f>
        <v/>
      </c>
      <c r="C806" s="19">
        <f>IF($B806="","",IFERROR(INDEX(智能流水!$C$2:$C$1001,MATCH($B806,智能流水!$B$2:$B$1001,0)),""))</f>
        <v/>
      </c>
      <c r="D806" s="19">
        <f>IF($B806="","",IFERROR(INDEX(智能流水!$D$2:$D$1001,MATCH($B806,智能流水!$B$2:$B$1001,0)),""))</f>
        <v/>
      </c>
      <c r="E806" s="19">
        <f>IF($B806="","",IFERROR(INDEX(智能流水!$E$2:$E$1001,MATCH($B806,智能流水!$B$2:$B$1001,0)),""))</f>
        <v/>
      </c>
      <c r="F806" s="19">
        <f>IF($B806="","",IFERROR(INDEX(智能流水!$F$2:$F$1001,MATCH($B806,智能流水!$B$2:$B$1001,0)),""))</f>
        <v/>
      </c>
      <c r="G806" s="19">
        <f>IF($B806="","",IFERROR(INDEX(智能流水!$G$2:$G$1001,MATCH($B806,智能流水!$B$2:$B$1001,0)),""))</f>
        <v/>
      </c>
      <c r="H806" s="19">
        <f>IF($B806="","",IFERROR(INDEX(智能流水!$H$2:$H$1001,MATCH($B806,智能流水!$B$2:$B$1001,0)),""))</f>
        <v/>
      </c>
      <c r="I806" s="19">
        <f>IF($B806="","",IFERROR(INDEX(智能流水!$I$2:$I$1001,MATCH($B806,智能流水!$B$2:$B$1001,0)),""))</f>
        <v/>
      </c>
      <c r="J806" s="19">
        <f>IF($B806="","",IFERROR(INDEX(智能流水!$J$2:$J$1001,MATCH($B806,智能流水!$B$2:$B$1001,0)),""))</f>
        <v/>
      </c>
      <c r="K806" s="19">
        <f>IF($B806="","",IFERROR(INDEX(智能流水!$K$2:$K$1001,MATCH($B806,智能流水!$B$2:$B$1001,0)),""))</f>
        <v/>
      </c>
      <c r="L806" s="19">
        <f>IF($B806="","",IFERROR(INDEX(智能流水!$L$2:$L$1001,MATCH($B806,智能流水!$B$2:$B$1001,0)),""))</f>
        <v/>
      </c>
      <c r="M806" s="19">
        <f>IF($B806="","",IFERROR(INDEX(智能流水!$M$2:$M$1001,MATCH($B806,智能流水!$B$2:$B$1001,0)),""))</f>
        <v/>
      </c>
      <c r="N806" s="19">
        <f>IF($B806="","",IFERROR(INDEX(智能流水!$N$2:$N$1001,MATCH($B806,智能流水!$B$2:$B$1001,0)),""))</f>
        <v/>
      </c>
      <c r="O806" s="19">
        <f>IF($B806="","",IFERROR(INDEX(智能流水!$O$2:$O$1001,MATCH($B806,智能流水!$B$2:$B$1001,0)),""))</f>
        <v/>
      </c>
    </row>
    <row r="807">
      <c r="A807" s="19">
        <f>IF($B807="","",806)</f>
        <v/>
      </c>
      <c r="B807" s="19">
        <f>IFERROR(LARGE(智能流水!$B$2:$B$1001,806),"")</f>
        <v/>
      </c>
      <c r="C807" s="19">
        <f>IF($B807="","",IFERROR(INDEX(智能流水!$C$2:$C$1001,MATCH($B807,智能流水!$B$2:$B$1001,0)),""))</f>
        <v/>
      </c>
      <c r="D807" s="19">
        <f>IF($B807="","",IFERROR(INDEX(智能流水!$D$2:$D$1001,MATCH($B807,智能流水!$B$2:$B$1001,0)),""))</f>
        <v/>
      </c>
      <c r="E807" s="19">
        <f>IF($B807="","",IFERROR(INDEX(智能流水!$E$2:$E$1001,MATCH($B807,智能流水!$B$2:$B$1001,0)),""))</f>
        <v/>
      </c>
      <c r="F807" s="19">
        <f>IF($B807="","",IFERROR(INDEX(智能流水!$F$2:$F$1001,MATCH($B807,智能流水!$B$2:$B$1001,0)),""))</f>
        <v/>
      </c>
      <c r="G807" s="19">
        <f>IF($B807="","",IFERROR(INDEX(智能流水!$G$2:$G$1001,MATCH($B807,智能流水!$B$2:$B$1001,0)),""))</f>
        <v/>
      </c>
      <c r="H807" s="19">
        <f>IF($B807="","",IFERROR(INDEX(智能流水!$H$2:$H$1001,MATCH($B807,智能流水!$B$2:$B$1001,0)),""))</f>
        <v/>
      </c>
      <c r="I807" s="19">
        <f>IF($B807="","",IFERROR(INDEX(智能流水!$I$2:$I$1001,MATCH($B807,智能流水!$B$2:$B$1001,0)),""))</f>
        <v/>
      </c>
      <c r="J807" s="19">
        <f>IF($B807="","",IFERROR(INDEX(智能流水!$J$2:$J$1001,MATCH($B807,智能流水!$B$2:$B$1001,0)),""))</f>
        <v/>
      </c>
      <c r="K807" s="19">
        <f>IF($B807="","",IFERROR(INDEX(智能流水!$K$2:$K$1001,MATCH($B807,智能流水!$B$2:$B$1001,0)),""))</f>
        <v/>
      </c>
      <c r="L807" s="19">
        <f>IF($B807="","",IFERROR(INDEX(智能流水!$L$2:$L$1001,MATCH($B807,智能流水!$B$2:$B$1001,0)),""))</f>
        <v/>
      </c>
      <c r="M807" s="19">
        <f>IF($B807="","",IFERROR(INDEX(智能流水!$M$2:$M$1001,MATCH($B807,智能流水!$B$2:$B$1001,0)),""))</f>
        <v/>
      </c>
      <c r="N807" s="19">
        <f>IF($B807="","",IFERROR(INDEX(智能流水!$N$2:$N$1001,MATCH($B807,智能流水!$B$2:$B$1001,0)),""))</f>
        <v/>
      </c>
      <c r="O807" s="19">
        <f>IF($B807="","",IFERROR(INDEX(智能流水!$O$2:$O$1001,MATCH($B807,智能流水!$B$2:$B$1001,0)),""))</f>
        <v/>
      </c>
    </row>
    <row r="808">
      <c r="A808" s="19">
        <f>IF($B808="","",807)</f>
        <v/>
      </c>
      <c r="B808" s="19">
        <f>IFERROR(LARGE(智能流水!$B$2:$B$1001,807),"")</f>
        <v/>
      </c>
      <c r="C808" s="19">
        <f>IF($B808="","",IFERROR(INDEX(智能流水!$C$2:$C$1001,MATCH($B808,智能流水!$B$2:$B$1001,0)),""))</f>
        <v/>
      </c>
      <c r="D808" s="19">
        <f>IF($B808="","",IFERROR(INDEX(智能流水!$D$2:$D$1001,MATCH($B808,智能流水!$B$2:$B$1001,0)),""))</f>
        <v/>
      </c>
      <c r="E808" s="19">
        <f>IF($B808="","",IFERROR(INDEX(智能流水!$E$2:$E$1001,MATCH($B808,智能流水!$B$2:$B$1001,0)),""))</f>
        <v/>
      </c>
      <c r="F808" s="19">
        <f>IF($B808="","",IFERROR(INDEX(智能流水!$F$2:$F$1001,MATCH($B808,智能流水!$B$2:$B$1001,0)),""))</f>
        <v/>
      </c>
      <c r="G808" s="19">
        <f>IF($B808="","",IFERROR(INDEX(智能流水!$G$2:$G$1001,MATCH($B808,智能流水!$B$2:$B$1001,0)),""))</f>
        <v/>
      </c>
      <c r="H808" s="19">
        <f>IF($B808="","",IFERROR(INDEX(智能流水!$H$2:$H$1001,MATCH($B808,智能流水!$B$2:$B$1001,0)),""))</f>
        <v/>
      </c>
      <c r="I808" s="19">
        <f>IF($B808="","",IFERROR(INDEX(智能流水!$I$2:$I$1001,MATCH($B808,智能流水!$B$2:$B$1001,0)),""))</f>
        <v/>
      </c>
      <c r="J808" s="19">
        <f>IF($B808="","",IFERROR(INDEX(智能流水!$J$2:$J$1001,MATCH($B808,智能流水!$B$2:$B$1001,0)),""))</f>
        <v/>
      </c>
      <c r="K808" s="19">
        <f>IF($B808="","",IFERROR(INDEX(智能流水!$K$2:$K$1001,MATCH($B808,智能流水!$B$2:$B$1001,0)),""))</f>
        <v/>
      </c>
      <c r="L808" s="19">
        <f>IF($B808="","",IFERROR(INDEX(智能流水!$L$2:$L$1001,MATCH($B808,智能流水!$B$2:$B$1001,0)),""))</f>
        <v/>
      </c>
      <c r="M808" s="19">
        <f>IF($B808="","",IFERROR(INDEX(智能流水!$M$2:$M$1001,MATCH($B808,智能流水!$B$2:$B$1001,0)),""))</f>
        <v/>
      </c>
      <c r="N808" s="19">
        <f>IF($B808="","",IFERROR(INDEX(智能流水!$N$2:$N$1001,MATCH($B808,智能流水!$B$2:$B$1001,0)),""))</f>
        <v/>
      </c>
      <c r="O808" s="19">
        <f>IF($B808="","",IFERROR(INDEX(智能流水!$O$2:$O$1001,MATCH($B808,智能流水!$B$2:$B$1001,0)),""))</f>
        <v/>
      </c>
    </row>
    <row r="809">
      <c r="A809" s="19">
        <f>IF($B809="","",808)</f>
        <v/>
      </c>
      <c r="B809" s="19">
        <f>IFERROR(LARGE(智能流水!$B$2:$B$1001,808),"")</f>
        <v/>
      </c>
      <c r="C809" s="19">
        <f>IF($B809="","",IFERROR(INDEX(智能流水!$C$2:$C$1001,MATCH($B809,智能流水!$B$2:$B$1001,0)),""))</f>
        <v/>
      </c>
      <c r="D809" s="19">
        <f>IF($B809="","",IFERROR(INDEX(智能流水!$D$2:$D$1001,MATCH($B809,智能流水!$B$2:$B$1001,0)),""))</f>
        <v/>
      </c>
      <c r="E809" s="19">
        <f>IF($B809="","",IFERROR(INDEX(智能流水!$E$2:$E$1001,MATCH($B809,智能流水!$B$2:$B$1001,0)),""))</f>
        <v/>
      </c>
      <c r="F809" s="19">
        <f>IF($B809="","",IFERROR(INDEX(智能流水!$F$2:$F$1001,MATCH($B809,智能流水!$B$2:$B$1001,0)),""))</f>
        <v/>
      </c>
      <c r="G809" s="19">
        <f>IF($B809="","",IFERROR(INDEX(智能流水!$G$2:$G$1001,MATCH($B809,智能流水!$B$2:$B$1001,0)),""))</f>
        <v/>
      </c>
      <c r="H809" s="19">
        <f>IF($B809="","",IFERROR(INDEX(智能流水!$H$2:$H$1001,MATCH($B809,智能流水!$B$2:$B$1001,0)),""))</f>
        <v/>
      </c>
      <c r="I809" s="19">
        <f>IF($B809="","",IFERROR(INDEX(智能流水!$I$2:$I$1001,MATCH($B809,智能流水!$B$2:$B$1001,0)),""))</f>
        <v/>
      </c>
      <c r="J809" s="19">
        <f>IF($B809="","",IFERROR(INDEX(智能流水!$J$2:$J$1001,MATCH($B809,智能流水!$B$2:$B$1001,0)),""))</f>
        <v/>
      </c>
      <c r="K809" s="19">
        <f>IF($B809="","",IFERROR(INDEX(智能流水!$K$2:$K$1001,MATCH($B809,智能流水!$B$2:$B$1001,0)),""))</f>
        <v/>
      </c>
      <c r="L809" s="19">
        <f>IF($B809="","",IFERROR(INDEX(智能流水!$L$2:$L$1001,MATCH($B809,智能流水!$B$2:$B$1001,0)),""))</f>
        <v/>
      </c>
      <c r="M809" s="19">
        <f>IF($B809="","",IFERROR(INDEX(智能流水!$M$2:$M$1001,MATCH($B809,智能流水!$B$2:$B$1001,0)),""))</f>
        <v/>
      </c>
      <c r="N809" s="19">
        <f>IF($B809="","",IFERROR(INDEX(智能流水!$N$2:$N$1001,MATCH($B809,智能流水!$B$2:$B$1001,0)),""))</f>
        <v/>
      </c>
      <c r="O809" s="19">
        <f>IF($B809="","",IFERROR(INDEX(智能流水!$O$2:$O$1001,MATCH($B809,智能流水!$B$2:$B$1001,0)),""))</f>
        <v/>
      </c>
    </row>
    <row r="810">
      <c r="A810" s="19">
        <f>IF($B810="","",809)</f>
        <v/>
      </c>
      <c r="B810" s="19">
        <f>IFERROR(LARGE(智能流水!$B$2:$B$1001,809),"")</f>
        <v/>
      </c>
      <c r="C810" s="19">
        <f>IF($B810="","",IFERROR(INDEX(智能流水!$C$2:$C$1001,MATCH($B810,智能流水!$B$2:$B$1001,0)),""))</f>
        <v/>
      </c>
      <c r="D810" s="19">
        <f>IF($B810="","",IFERROR(INDEX(智能流水!$D$2:$D$1001,MATCH($B810,智能流水!$B$2:$B$1001,0)),""))</f>
        <v/>
      </c>
      <c r="E810" s="19">
        <f>IF($B810="","",IFERROR(INDEX(智能流水!$E$2:$E$1001,MATCH($B810,智能流水!$B$2:$B$1001,0)),""))</f>
        <v/>
      </c>
      <c r="F810" s="19">
        <f>IF($B810="","",IFERROR(INDEX(智能流水!$F$2:$F$1001,MATCH($B810,智能流水!$B$2:$B$1001,0)),""))</f>
        <v/>
      </c>
      <c r="G810" s="19">
        <f>IF($B810="","",IFERROR(INDEX(智能流水!$G$2:$G$1001,MATCH($B810,智能流水!$B$2:$B$1001,0)),""))</f>
        <v/>
      </c>
      <c r="H810" s="19">
        <f>IF($B810="","",IFERROR(INDEX(智能流水!$H$2:$H$1001,MATCH($B810,智能流水!$B$2:$B$1001,0)),""))</f>
        <v/>
      </c>
      <c r="I810" s="19">
        <f>IF($B810="","",IFERROR(INDEX(智能流水!$I$2:$I$1001,MATCH($B810,智能流水!$B$2:$B$1001,0)),""))</f>
        <v/>
      </c>
      <c r="J810" s="19">
        <f>IF($B810="","",IFERROR(INDEX(智能流水!$J$2:$J$1001,MATCH($B810,智能流水!$B$2:$B$1001,0)),""))</f>
        <v/>
      </c>
      <c r="K810" s="19">
        <f>IF($B810="","",IFERROR(INDEX(智能流水!$K$2:$K$1001,MATCH($B810,智能流水!$B$2:$B$1001,0)),""))</f>
        <v/>
      </c>
      <c r="L810" s="19">
        <f>IF($B810="","",IFERROR(INDEX(智能流水!$L$2:$L$1001,MATCH($B810,智能流水!$B$2:$B$1001,0)),""))</f>
        <v/>
      </c>
      <c r="M810" s="19">
        <f>IF($B810="","",IFERROR(INDEX(智能流水!$M$2:$M$1001,MATCH($B810,智能流水!$B$2:$B$1001,0)),""))</f>
        <v/>
      </c>
      <c r="N810" s="19">
        <f>IF($B810="","",IFERROR(INDEX(智能流水!$N$2:$N$1001,MATCH($B810,智能流水!$B$2:$B$1001,0)),""))</f>
        <v/>
      </c>
      <c r="O810" s="19">
        <f>IF($B810="","",IFERROR(INDEX(智能流水!$O$2:$O$1001,MATCH($B810,智能流水!$B$2:$B$1001,0)),""))</f>
        <v/>
      </c>
    </row>
    <row r="811">
      <c r="A811" s="19">
        <f>IF($B811="","",810)</f>
        <v/>
      </c>
      <c r="B811" s="19">
        <f>IFERROR(LARGE(智能流水!$B$2:$B$1001,810),"")</f>
        <v/>
      </c>
      <c r="C811" s="19">
        <f>IF($B811="","",IFERROR(INDEX(智能流水!$C$2:$C$1001,MATCH($B811,智能流水!$B$2:$B$1001,0)),""))</f>
        <v/>
      </c>
      <c r="D811" s="19">
        <f>IF($B811="","",IFERROR(INDEX(智能流水!$D$2:$D$1001,MATCH($B811,智能流水!$B$2:$B$1001,0)),""))</f>
        <v/>
      </c>
      <c r="E811" s="19">
        <f>IF($B811="","",IFERROR(INDEX(智能流水!$E$2:$E$1001,MATCH($B811,智能流水!$B$2:$B$1001,0)),""))</f>
        <v/>
      </c>
      <c r="F811" s="19">
        <f>IF($B811="","",IFERROR(INDEX(智能流水!$F$2:$F$1001,MATCH($B811,智能流水!$B$2:$B$1001,0)),""))</f>
        <v/>
      </c>
      <c r="G811" s="19">
        <f>IF($B811="","",IFERROR(INDEX(智能流水!$G$2:$G$1001,MATCH($B811,智能流水!$B$2:$B$1001,0)),""))</f>
        <v/>
      </c>
      <c r="H811" s="19">
        <f>IF($B811="","",IFERROR(INDEX(智能流水!$H$2:$H$1001,MATCH($B811,智能流水!$B$2:$B$1001,0)),""))</f>
        <v/>
      </c>
      <c r="I811" s="19">
        <f>IF($B811="","",IFERROR(INDEX(智能流水!$I$2:$I$1001,MATCH($B811,智能流水!$B$2:$B$1001,0)),""))</f>
        <v/>
      </c>
      <c r="J811" s="19">
        <f>IF($B811="","",IFERROR(INDEX(智能流水!$J$2:$J$1001,MATCH($B811,智能流水!$B$2:$B$1001,0)),""))</f>
        <v/>
      </c>
      <c r="K811" s="19">
        <f>IF($B811="","",IFERROR(INDEX(智能流水!$K$2:$K$1001,MATCH($B811,智能流水!$B$2:$B$1001,0)),""))</f>
        <v/>
      </c>
      <c r="L811" s="19">
        <f>IF($B811="","",IFERROR(INDEX(智能流水!$L$2:$L$1001,MATCH($B811,智能流水!$B$2:$B$1001,0)),""))</f>
        <v/>
      </c>
      <c r="M811" s="19">
        <f>IF($B811="","",IFERROR(INDEX(智能流水!$M$2:$M$1001,MATCH($B811,智能流水!$B$2:$B$1001,0)),""))</f>
        <v/>
      </c>
      <c r="N811" s="19">
        <f>IF($B811="","",IFERROR(INDEX(智能流水!$N$2:$N$1001,MATCH($B811,智能流水!$B$2:$B$1001,0)),""))</f>
        <v/>
      </c>
      <c r="O811" s="19">
        <f>IF($B811="","",IFERROR(INDEX(智能流水!$O$2:$O$1001,MATCH($B811,智能流水!$B$2:$B$1001,0)),""))</f>
        <v/>
      </c>
    </row>
    <row r="812">
      <c r="A812" s="19">
        <f>IF($B812="","",811)</f>
        <v/>
      </c>
      <c r="B812" s="19">
        <f>IFERROR(LARGE(智能流水!$B$2:$B$1001,811),"")</f>
        <v/>
      </c>
      <c r="C812" s="19">
        <f>IF($B812="","",IFERROR(INDEX(智能流水!$C$2:$C$1001,MATCH($B812,智能流水!$B$2:$B$1001,0)),""))</f>
        <v/>
      </c>
      <c r="D812" s="19">
        <f>IF($B812="","",IFERROR(INDEX(智能流水!$D$2:$D$1001,MATCH($B812,智能流水!$B$2:$B$1001,0)),""))</f>
        <v/>
      </c>
      <c r="E812" s="19">
        <f>IF($B812="","",IFERROR(INDEX(智能流水!$E$2:$E$1001,MATCH($B812,智能流水!$B$2:$B$1001,0)),""))</f>
        <v/>
      </c>
      <c r="F812" s="19">
        <f>IF($B812="","",IFERROR(INDEX(智能流水!$F$2:$F$1001,MATCH($B812,智能流水!$B$2:$B$1001,0)),""))</f>
        <v/>
      </c>
      <c r="G812" s="19">
        <f>IF($B812="","",IFERROR(INDEX(智能流水!$G$2:$G$1001,MATCH($B812,智能流水!$B$2:$B$1001,0)),""))</f>
        <v/>
      </c>
      <c r="H812" s="19">
        <f>IF($B812="","",IFERROR(INDEX(智能流水!$H$2:$H$1001,MATCH($B812,智能流水!$B$2:$B$1001,0)),""))</f>
        <v/>
      </c>
      <c r="I812" s="19">
        <f>IF($B812="","",IFERROR(INDEX(智能流水!$I$2:$I$1001,MATCH($B812,智能流水!$B$2:$B$1001,0)),""))</f>
        <v/>
      </c>
      <c r="J812" s="19">
        <f>IF($B812="","",IFERROR(INDEX(智能流水!$J$2:$J$1001,MATCH($B812,智能流水!$B$2:$B$1001,0)),""))</f>
        <v/>
      </c>
      <c r="K812" s="19">
        <f>IF($B812="","",IFERROR(INDEX(智能流水!$K$2:$K$1001,MATCH($B812,智能流水!$B$2:$B$1001,0)),""))</f>
        <v/>
      </c>
      <c r="L812" s="19">
        <f>IF($B812="","",IFERROR(INDEX(智能流水!$L$2:$L$1001,MATCH($B812,智能流水!$B$2:$B$1001,0)),""))</f>
        <v/>
      </c>
      <c r="M812" s="19">
        <f>IF($B812="","",IFERROR(INDEX(智能流水!$M$2:$M$1001,MATCH($B812,智能流水!$B$2:$B$1001,0)),""))</f>
        <v/>
      </c>
      <c r="N812" s="19">
        <f>IF($B812="","",IFERROR(INDEX(智能流水!$N$2:$N$1001,MATCH($B812,智能流水!$B$2:$B$1001,0)),""))</f>
        <v/>
      </c>
      <c r="O812" s="19">
        <f>IF($B812="","",IFERROR(INDEX(智能流水!$O$2:$O$1001,MATCH($B812,智能流水!$B$2:$B$1001,0)),""))</f>
        <v/>
      </c>
    </row>
    <row r="813">
      <c r="A813" s="19">
        <f>IF($B813="","",812)</f>
        <v/>
      </c>
      <c r="B813" s="19">
        <f>IFERROR(LARGE(智能流水!$B$2:$B$1001,812),"")</f>
        <v/>
      </c>
      <c r="C813" s="19">
        <f>IF($B813="","",IFERROR(INDEX(智能流水!$C$2:$C$1001,MATCH($B813,智能流水!$B$2:$B$1001,0)),""))</f>
        <v/>
      </c>
      <c r="D813" s="19">
        <f>IF($B813="","",IFERROR(INDEX(智能流水!$D$2:$D$1001,MATCH($B813,智能流水!$B$2:$B$1001,0)),""))</f>
        <v/>
      </c>
      <c r="E813" s="19">
        <f>IF($B813="","",IFERROR(INDEX(智能流水!$E$2:$E$1001,MATCH($B813,智能流水!$B$2:$B$1001,0)),""))</f>
        <v/>
      </c>
      <c r="F813" s="19">
        <f>IF($B813="","",IFERROR(INDEX(智能流水!$F$2:$F$1001,MATCH($B813,智能流水!$B$2:$B$1001,0)),""))</f>
        <v/>
      </c>
      <c r="G813" s="19">
        <f>IF($B813="","",IFERROR(INDEX(智能流水!$G$2:$G$1001,MATCH($B813,智能流水!$B$2:$B$1001,0)),""))</f>
        <v/>
      </c>
      <c r="H813" s="19">
        <f>IF($B813="","",IFERROR(INDEX(智能流水!$H$2:$H$1001,MATCH($B813,智能流水!$B$2:$B$1001,0)),""))</f>
        <v/>
      </c>
      <c r="I813" s="19">
        <f>IF($B813="","",IFERROR(INDEX(智能流水!$I$2:$I$1001,MATCH($B813,智能流水!$B$2:$B$1001,0)),""))</f>
        <v/>
      </c>
      <c r="J813" s="19">
        <f>IF($B813="","",IFERROR(INDEX(智能流水!$J$2:$J$1001,MATCH($B813,智能流水!$B$2:$B$1001,0)),""))</f>
        <v/>
      </c>
      <c r="K813" s="19">
        <f>IF($B813="","",IFERROR(INDEX(智能流水!$K$2:$K$1001,MATCH($B813,智能流水!$B$2:$B$1001,0)),""))</f>
        <v/>
      </c>
      <c r="L813" s="19">
        <f>IF($B813="","",IFERROR(INDEX(智能流水!$L$2:$L$1001,MATCH($B813,智能流水!$B$2:$B$1001,0)),""))</f>
        <v/>
      </c>
      <c r="M813" s="19">
        <f>IF($B813="","",IFERROR(INDEX(智能流水!$M$2:$M$1001,MATCH($B813,智能流水!$B$2:$B$1001,0)),""))</f>
        <v/>
      </c>
      <c r="N813" s="19">
        <f>IF($B813="","",IFERROR(INDEX(智能流水!$N$2:$N$1001,MATCH($B813,智能流水!$B$2:$B$1001,0)),""))</f>
        <v/>
      </c>
      <c r="O813" s="19">
        <f>IF($B813="","",IFERROR(INDEX(智能流水!$O$2:$O$1001,MATCH($B813,智能流水!$B$2:$B$1001,0)),""))</f>
        <v/>
      </c>
    </row>
    <row r="814">
      <c r="A814" s="19">
        <f>IF($B814="","",813)</f>
        <v/>
      </c>
      <c r="B814" s="19">
        <f>IFERROR(LARGE(智能流水!$B$2:$B$1001,813),"")</f>
        <v/>
      </c>
      <c r="C814" s="19">
        <f>IF($B814="","",IFERROR(INDEX(智能流水!$C$2:$C$1001,MATCH($B814,智能流水!$B$2:$B$1001,0)),""))</f>
        <v/>
      </c>
      <c r="D814" s="19">
        <f>IF($B814="","",IFERROR(INDEX(智能流水!$D$2:$D$1001,MATCH($B814,智能流水!$B$2:$B$1001,0)),""))</f>
        <v/>
      </c>
      <c r="E814" s="19">
        <f>IF($B814="","",IFERROR(INDEX(智能流水!$E$2:$E$1001,MATCH($B814,智能流水!$B$2:$B$1001,0)),""))</f>
        <v/>
      </c>
      <c r="F814" s="19">
        <f>IF($B814="","",IFERROR(INDEX(智能流水!$F$2:$F$1001,MATCH($B814,智能流水!$B$2:$B$1001,0)),""))</f>
        <v/>
      </c>
      <c r="G814" s="19">
        <f>IF($B814="","",IFERROR(INDEX(智能流水!$G$2:$G$1001,MATCH($B814,智能流水!$B$2:$B$1001,0)),""))</f>
        <v/>
      </c>
      <c r="H814" s="19">
        <f>IF($B814="","",IFERROR(INDEX(智能流水!$H$2:$H$1001,MATCH($B814,智能流水!$B$2:$B$1001,0)),""))</f>
        <v/>
      </c>
      <c r="I814" s="19">
        <f>IF($B814="","",IFERROR(INDEX(智能流水!$I$2:$I$1001,MATCH($B814,智能流水!$B$2:$B$1001,0)),""))</f>
        <v/>
      </c>
      <c r="J814" s="19">
        <f>IF($B814="","",IFERROR(INDEX(智能流水!$J$2:$J$1001,MATCH($B814,智能流水!$B$2:$B$1001,0)),""))</f>
        <v/>
      </c>
      <c r="K814" s="19">
        <f>IF($B814="","",IFERROR(INDEX(智能流水!$K$2:$K$1001,MATCH($B814,智能流水!$B$2:$B$1001,0)),""))</f>
        <v/>
      </c>
      <c r="L814" s="19">
        <f>IF($B814="","",IFERROR(INDEX(智能流水!$L$2:$L$1001,MATCH($B814,智能流水!$B$2:$B$1001,0)),""))</f>
        <v/>
      </c>
      <c r="M814" s="19">
        <f>IF($B814="","",IFERROR(INDEX(智能流水!$M$2:$M$1001,MATCH($B814,智能流水!$B$2:$B$1001,0)),""))</f>
        <v/>
      </c>
      <c r="N814" s="19">
        <f>IF($B814="","",IFERROR(INDEX(智能流水!$N$2:$N$1001,MATCH($B814,智能流水!$B$2:$B$1001,0)),""))</f>
        <v/>
      </c>
      <c r="O814" s="19">
        <f>IF($B814="","",IFERROR(INDEX(智能流水!$O$2:$O$1001,MATCH($B814,智能流水!$B$2:$B$1001,0)),""))</f>
        <v/>
      </c>
    </row>
    <row r="815">
      <c r="A815" s="19">
        <f>IF($B815="","",814)</f>
        <v/>
      </c>
      <c r="B815" s="19">
        <f>IFERROR(LARGE(智能流水!$B$2:$B$1001,814),"")</f>
        <v/>
      </c>
      <c r="C815" s="19">
        <f>IF($B815="","",IFERROR(INDEX(智能流水!$C$2:$C$1001,MATCH($B815,智能流水!$B$2:$B$1001,0)),""))</f>
        <v/>
      </c>
      <c r="D815" s="19">
        <f>IF($B815="","",IFERROR(INDEX(智能流水!$D$2:$D$1001,MATCH($B815,智能流水!$B$2:$B$1001,0)),""))</f>
        <v/>
      </c>
      <c r="E815" s="19">
        <f>IF($B815="","",IFERROR(INDEX(智能流水!$E$2:$E$1001,MATCH($B815,智能流水!$B$2:$B$1001,0)),""))</f>
        <v/>
      </c>
      <c r="F815" s="19">
        <f>IF($B815="","",IFERROR(INDEX(智能流水!$F$2:$F$1001,MATCH($B815,智能流水!$B$2:$B$1001,0)),""))</f>
        <v/>
      </c>
      <c r="G815" s="19">
        <f>IF($B815="","",IFERROR(INDEX(智能流水!$G$2:$G$1001,MATCH($B815,智能流水!$B$2:$B$1001,0)),""))</f>
        <v/>
      </c>
      <c r="H815" s="19">
        <f>IF($B815="","",IFERROR(INDEX(智能流水!$H$2:$H$1001,MATCH($B815,智能流水!$B$2:$B$1001,0)),""))</f>
        <v/>
      </c>
      <c r="I815" s="19">
        <f>IF($B815="","",IFERROR(INDEX(智能流水!$I$2:$I$1001,MATCH($B815,智能流水!$B$2:$B$1001,0)),""))</f>
        <v/>
      </c>
      <c r="J815" s="19">
        <f>IF($B815="","",IFERROR(INDEX(智能流水!$J$2:$J$1001,MATCH($B815,智能流水!$B$2:$B$1001,0)),""))</f>
        <v/>
      </c>
      <c r="K815" s="19">
        <f>IF($B815="","",IFERROR(INDEX(智能流水!$K$2:$K$1001,MATCH($B815,智能流水!$B$2:$B$1001,0)),""))</f>
        <v/>
      </c>
      <c r="L815" s="19">
        <f>IF($B815="","",IFERROR(INDEX(智能流水!$L$2:$L$1001,MATCH($B815,智能流水!$B$2:$B$1001,0)),""))</f>
        <v/>
      </c>
      <c r="M815" s="19">
        <f>IF($B815="","",IFERROR(INDEX(智能流水!$M$2:$M$1001,MATCH($B815,智能流水!$B$2:$B$1001,0)),""))</f>
        <v/>
      </c>
      <c r="N815" s="19">
        <f>IF($B815="","",IFERROR(INDEX(智能流水!$N$2:$N$1001,MATCH($B815,智能流水!$B$2:$B$1001,0)),""))</f>
        <v/>
      </c>
      <c r="O815" s="19">
        <f>IF($B815="","",IFERROR(INDEX(智能流水!$O$2:$O$1001,MATCH($B815,智能流水!$B$2:$B$1001,0)),""))</f>
        <v/>
      </c>
    </row>
    <row r="816">
      <c r="A816" s="19">
        <f>IF($B816="","",815)</f>
        <v/>
      </c>
      <c r="B816" s="19">
        <f>IFERROR(LARGE(智能流水!$B$2:$B$1001,815),"")</f>
        <v/>
      </c>
      <c r="C816" s="19">
        <f>IF($B816="","",IFERROR(INDEX(智能流水!$C$2:$C$1001,MATCH($B816,智能流水!$B$2:$B$1001,0)),""))</f>
        <v/>
      </c>
      <c r="D816" s="19">
        <f>IF($B816="","",IFERROR(INDEX(智能流水!$D$2:$D$1001,MATCH($B816,智能流水!$B$2:$B$1001,0)),""))</f>
        <v/>
      </c>
      <c r="E816" s="19">
        <f>IF($B816="","",IFERROR(INDEX(智能流水!$E$2:$E$1001,MATCH($B816,智能流水!$B$2:$B$1001,0)),""))</f>
        <v/>
      </c>
      <c r="F816" s="19">
        <f>IF($B816="","",IFERROR(INDEX(智能流水!$F$2:$F$1001,MATCH($B816,智能流水!$B$2:$B$1001,0)),""))</f>
        <v/>
      </c>
      <c r="G816" s="19">
        <f>IF($B816="","",IFERROR(INDEX(智能流水!$G$2:$G$1001,MATCH($B816,智能流水!$B$2:$B$1001,0)),""))</f>
        <v/>
      </c>
      <c r="H816" s="19">
        <f>IF($B816="","",IFERROR(INDEX(智能流水!$H$2:$H$1001,MATCH($B816,智能流水!$B$2:$B$1001,0)),""))</f>
        <v/>
      </c>
      <c r="I816" s="19">
        <f>IF($B816="","",IFERROR(INDEX(智能流水!$I$2:$I$1001,MATCH($B816,智能流水!$B$2:$B$1001,0)),""))</f>
        <v/>
      </c>
      <c r="J816" s="19">
        <f>IF($B816="","",IFERROR(INDEX(智能流水!$J$2:$J$1001,MATCH($B816,智能流水!$B$2:$B$1001,0)),""))</f>
        <v/>
      </c>
      <c r="K816" s="19">
        <f>IF($B816="","",IFERROR(INDEX(智能流水!$K$2:$K$1001,MATCH($B816,智能流水!$B$2:$B$1001,0)),""))</f>
        <v/>
      </c>
      <c r="L816" s="19">
        <f>IF($B816="","",IFERROR(INDEX(智能流水!$L$2:$L$1001,MATCH($B816,智能流水!$B$2:$B$1001,0)),""))</f>
        <v/>
      </c>
      <c r="M816" s="19">
        <f>IF($B816="","",IFERROR(INDEX(智能流水!$M$2:$M$1001,MATCH($B816,智能流水!$B$2:$B$1001,0)),""))</f>
        <v/>
      </c>
      <c r="N816" s="19">
        <f>IF($B816="","",IFERROR(INDEX(智能流水!$N$2:$N$1001,MATCH($B816,智能流水!$B$2:$B$1001,0)),""))</f>
        <v/>
      </c>
      <c r="O816" s="19">
        <f>IF($B816="","",IFERROR(INDEX(智能流水!$O$2:$O$1001,MATCH($B816,智能流水!$B$2:$B$1001,0)),""))</f>
        <v/>
      </c>
    </row>
    <row r="817">
      <c r="A817" s="19">
        <f>IF($B817="","",816)</f>
        <v/>
      </c>
      <c r="B817" s="19">
        <f>IFERROR(LARGE(智能流水!$B$2:$B$1001,816),"")</f>
        <v/>
      </c>
      <c r="C817" s="19">
        <f>IF($B817="","",IFERROR(INDEX(智能流水!$C$2:$C$1001,MATCH($B817,智能流水!$B$2:$B$1001,0)),""))</f>
        <v/>
      </c>
      <c r="D817" s="19">
        <f>IF($B817="","",IFERROR(INDEX(智能流水!$D$2:$D$1001,MATCH($B817,智能流水!$B$2:$B$1001,0)),""))</f>
        <v/>
      </c>
      <c r="E817" s="19">
        <f>IF($B817="","",IFERROR(INDEX(智能流水!$E$2:$E$1001,MATCH($B817,智能流水!$B$2:$B$1001,0)),""))</f>
        <v/>
      </c>
      <c r="F817" s="19">
        <f>IF($B817="","",IFERROR(INDEX(智能流水!$F$2:$F$1001,MATCH($B817,智能流水!$B$2:$B$1001,0)),""))</f>
        <v/>
      </c>
      <c r="G817" s="19">
        <f>IF($B817="","",IFERROR(INDEX(智能流水!$G$2:$G$1001,MATCH($B817,智能流水!$B$2:$B$1001,0)),""))</f>
        <v/>
      </c>
      <c r="H817" s="19">
        <f>IF($B817="","",IFERROR(INDEX(智能流水!$H$2:$H$1001,MATCH($B817,智能流水!$B$2:$B$1001,0)),""))</f>
        <v/>
      </c>
      <c r="I817" s="19">
        <f>IF($B817="","",IFERROR(INDEX(智能流水!$I$2:$I$1001,MATCH($B817,智能流水!$B$2:$B$1001,0)),""))</f>
        <v/>
      </c>
      <c r="J817" s="19">
        <f>IF($B817="","",IFERROR(INDEX(智能流水!$J$2:$J$1001,MATCH($B817,智能流水!$B$2:$B$1001,0)),""))</f>
        <v/>
      </c>
      <c r="K817" s="19">
        <f>IF($B817="","",IFERROR(INDEX(智能流水!$K$2:$K$1001,MATCH($B817,智能流水!$B$2:$B$1001,0)),""))</f>
        <v/>
      </c>
      <c r="L817" s="19">
        <f>IF($B817="","",IFERROR(INDEX(智能流水!$L$2:$L$1001,MATCH($B817,智能流水!$B$2:$B$1001,0)),""))</f>
        <v/>
      </c>
      <c r="M817" s="19">
        <f>IF($B817="","",IFERROR(INDEX(智能流水!$M$2:$M$1001,MATCH($B817,智能流水!$B$2:$B$1001,0)),""))</f>
        <v/>
      </c>
      <c r="N817" s="19">
        <f>IF($B817="","",IFERROR(INDEX(智能流水!$N$2:$N$1001,MATCH($B817,智能流水!$B$2:$B$1001,0)),""))</f>
        <v/>
      </c>
      <c r="O817" s="19">
        <f>IF($B817="","",IFERROR(INDEX(智能流水!$O$2:$O$1001,MATCH($B817,智能流水!$B$2:$B$1001,0)),""))</f>
        <v/>
      </c>
    </row>
    <row r="818">
      <c r="A818" s="19">
        <f>IF($B818="","",817)</f>
        <v/>
      </c>
      <c r="B818" s="19">
        <f>IFERROR(LARGE(智能流水!$B$2:$B$1001,817),"")</f>
        <v/>
      </c>
      <c r="C818" s="19">
        <f>IF($B818="","",IFERROR(INDEX(智能流水!$C$2:$C$1001,MATCH($B818,智能流水!$B$2:$B$1001,0)),""))</f>
        <v/>
      </c>
      <c r="D818" s="19">
        <f>IF($B818="","",IFERROR(INDEX(智能流水!$D$2:$D$1001,MATCH($B818,智能流水!$B$2:$B$1001,0)),""))</f>
        <v/>
      </c>
      <c r="E818" s="19">
        <f>IF($B818="","",IFERROR(INDEX(智能流水!$E$2:$E$1001,MATCH($B818,智能流水!$B$2:$B$1001,0)),""))</f>
        <v/>
      </c>
      <c r="F818" s="19">
        <f>IF($B818="","",IFERROR(INDEX(智能流水!$F$2:$F$1001,MATCH($B818,智能流水!$B$2:$B$1001,0)),""))</f>
        <v/>
      </c>
      <c r="G818" s="19">
        <f>IF($B818="","",IFERROR(INDEX(智能流水!$G$2:$G$1001,MATCH($B818,智能流水!$B$2:$B$1001,0)),""))</f>
        <v/>
      </c>
      <c r="H818" s="19">
        <f>IF($B818="","",IFERROR(INDEX(智能流水!$H$2:$H$1001,MATCH($B818,智能流水!$B$2:$B$1001,0)),""))</f>
        <v/>
      </c>
      <c r="I818" s="19">
        <f>IF($B818="","",IFERROR(INDEX(智能流水!$I$2:$I$1001,MATCH($B818,智能流水!$B$2:$B$1001,0)),""))</f>
        <v/>
      </c>
      <c r="J818" s="19">
        <f>IF($B818="","",IFERROR(INDEX(智能流水!$J$2:$J$1001,MATCH($B818,智能流水!$B$2:$B$1001,0)),""))</f>
        <v/>
      </c>
      <c r="K818" s="19">
        <f>IF($B818="","",IFERROR(INDEX(智能流水!$K$2:$K$1001,MATCH($B818,智能流水!$B$2:$B$1001,0)),""))</f>
        <v/>
      </c>
      <c r="L818" s="19">
        <f>IF($B818="","",IFERROR(INDEX(智能流水!$L$2:$L$1001,MATCH($B818,智能流水!$B$2:$B$1001,0)),""))</f>
        <v/>
      </c>
      <c r="M818" s="19">
        <f>IF($B818="","",IFERROR(INDEX(智能流水!$M$2:$M$1001,MATCH($B818,智能流水!$B$2:$B$1001,0)),""))</f>
        <v/>
      </c>
      <c r="N818" s="19">
        <f>IF($B818="","",IFERROR(INDEX(智能流水!$N$2:$N$1001,MATCH($B818,智能流水!$B$2:$B$1001,0)),""))</f>
        <v/>
      </c>
      <c r="O818" s="19">
        <f>IF($B818="","",IFERROR(INDEX(智能流水!$O$2:$O$1001,MATCH($B818,智能流水!$B$2:$B$1001,0)),""))</f>
        <v/>
      </c>
    </row>
    <row r="819">
      <c r="A819" s="19">
        <f>IF($B819="","",818)</f>
        <v/>
      </c>
      <c r="B819" s="19">
        <f>IFERROR(LARGE(智能流水!$B$2:$B$1001,818),"")</f>
        <v/>
      </c>
      <c r="C819" s="19">
        <f>IF($B819="","",IFERROR(INDEX(智能流水!$C$2:$C$1001,MATCH($B819,智能流水!$B$2:$B$1001,0)),""))</f>
        <v/>
      </c>
      <c r="D819" s="19">
        <f>IF($B819="","",IFERROR(INDEX(智能流水!$D$2:$D$1001,MATCH($B819,智能流水!$B$2:$B$1001,0)),""))</f>
        <v/>
      </c>
      <c r="E819" s="19">
        <f>IF($B819="","",IFERROR(INDEX(智能流水!$E$2:$E$1001,MATCH($B819,智能流水!$B$2:$B$1001,0)),""))</f>
        <v/>
      </c>
      <c r="F819" s="19">
        <f>IF($B819="","",IFERROR(INDEX(智能流水!$F$2:$F$1001,MATCH($B819,智能流水!$B$2:$B$1001,0)),""))</f>
        <v/>
      </c>
      <c r="G819" s="19">
        <f>IF($B819="","",IFERROR(INDEX(智能流水!$G$2:$G$1001,MATCH($B819,智能流水!$B$2:$B$1001,0)),""))</f>
        <v/>
      </c>
      <c r="H819" s="19">
        <f>IF($B819="","",IFERROR(INDEX(智能流水!$H$2:$H$1001,MATCH($B819,智能流水!$B$2:$B$1001,0)),""))</f>
        <v/>
      </c>
      <c r="I819" s="19">
        <f>IF($B819="","",IFERROR(INDEX(智能流水!$I$2:$I$1001,MATCH($B819,智能流水!$B$2:$B$1001,0)),""))</f>
        <v/>
      </c>
      <c r="J819" s="19">
        <f>IF($B819="","",IFERROR(INDEX(智能流水!$J$2:$J$1001,MATCH($B819,智能流水!$B$2:$B$1001,0)),""))</f>
        <v/>
      </c>
      <c r="K819" s="19">
        <f>IF($B819="","",IFERROR(INDEX(智能流水!$K$2:$K$1001,MATCH($B819,智能流水!$B$2:$B$1001,0)),""))</f>
        <v/>
      </c>
      <c r="L819" s="19">
        <f>IF($B819="","",IFERROR(INDEX(智能流水!$L$2:$L$1001,MATCH($B819,智能流水!$B$2:$B$1001,0)),""))</f>
        <v/>
      </c>
      <c r="M819" s="19">
        <f>IF($B819="","",IFERROR(INDEX(智能流水!$M$2:$M$1001,MATCH($B819,智能流水!$B$2:$B$1001,0)),""))</f>
        <v/>
      </c>
      <c r="N819" s="19">
        <f>IF($B819="","",IFERROR(INDEX(智能流水!$N$2:$N$1001,MATCH($B819,智能流水!$B$2:$B$1001,0)),""))</f>
        <v/>
      </c>
      <c r="O819" s="19">
        <f>IF($B819="","",IFERROR(INDEX(智能流水!$O$2:$O$1001,MATCH($B819,智能流水!$B$2:$B$1001,0)),""))</f>
        <v/>
      </c>
    </row>
    <row r="820">
      <c r="A820" s="19">
        <f>IF($B820="","",819)</f>
        <v/>
      </c>
      <c r="B820" s="19">
        <f>IFERROR(LARGE(智能流水!$B$2:$B$1001,819),"")</f>
        <v/>
      </c>
      <c r="C820" s="19">
        <f>IF($B820="","",IFERROR(INDEX(智能流水!$C$2:$C$1001,MATCH($B820,智能流水!$B$2:$B$1001,0)),""))</f>
        <v/>
      </c>
      <c r="D820" s="19">
        <f>IF($B820="","",IFERROR(INDEX(智能流水!$D$2:$D$1001,MATCH($B820,智能流水!$B$2:$B$1001,0)),""))</f>
        <v/>
      </c>
      <c r="E820" s="19">
        <f>IF($B820="","",IFERROR(INDEX(智能流水!$E$2:$E$1001,MATCH($B820,智能流水!$B$2:$B$1001,0)),""))</f>
        <v/>
      </c>
      <c r="F820" s="19">
        <f>IF($B820="","",IFERROR(INDEX(智能流水!$F$2:$F$1001,MATCH($B820,智能流水!$B$2:$B$1001,0)),""))</f>
        <v/>
      </c>
      <c r="G820" s="19">
        <f>IF($B820="","",IFERROR(INDEX(智能流水!$G$2:$G$1001,MATCH($B820,智能流水!$B$2:$B$1001,0)),""))</f>
        <v/>
      </c>
      <c r="H820" s="19">
        <f>IF($B820="","",IFERROR(INDEX(智能流水!$H$2:$H$1001,MATCH($B820,智能流水!$B$2:$B$1001,0)),""))</f>
        <v/>
      </c>
      <c r="I820" s="19">
        <f>IF($B820="","",IFERROR(INDEX(智能流水!$I$2:$I$1001,MATCH($B820,智能流水!$B$2:$B$1001,0)),""))</f>
        <v/>
      </c>
      <c r="J820" s="19">
        <f>IF($B820="","",IFERROR(INDEX(智能流水!$J$2:$J$1001,MATCH($B820,智能流水!$B$2:$B$1001,0)),""))</f>
        <v/>
      </c>
      <c r="K820" s="19">
        <f>IF($B820="","",IFERROR(INDEX(智能流水!$K$2:$K$1001,MATCH($B820,智能流水!$B$2:$B$1001,0)),""))</f>
        <v/>
      </c>
      <c r="L820" s="19">
        <f>IF($B820="","",IFERROR(INDEX(智能流水!$L$2:$L$1001,MATCH($B820,智能流水!$B$2:$B$1001,0)),""))</f>
        <v/>
      </c>
      <c r="M820" s="19">
        <f>IF($B820="","",IFERROR(INDEX(智能流水!$M$2:$M$1001,MATCH($B820,智能流水!$B$2:$B$1001,0)),""))</f>
        <v/>
      </c>
      <c r="N820" s="19">
        <f>IF($B820="","",IFERROR(INDEX(智能流水!$N$2:$N$1001,MATCH($B820,智能流水!$B$2:$B$1001,0)),""))</f>
        <v/>
      </c>
      <c r="O820" s="19">
        <f>IF($B820="","",IFERROR(INDEX(智能流水!$O$2:$O$1001,MATCH($B820,智能流水!$B$2:$B$1001,0)),""))</f>
        <v/>
      </c>
    </row>
    <row r="821">
      <c r="A821" s="19">
        <f>IF($B821="","",820)</f>
        <v/>
      </c>
      <c r="B821" s="19">
        <f>IFERROR(LARGE(智能流水!$B$2:$B$1001,820),"")</f>
        <v/>
      </c>
      <c r="C821" s="19">
        <f>IF($B821="","",IFERROR(INDEX(智能流水!$C$2:$C$1001,MATCH($B821,智能流水!$B$2:$B$1001,0)),""))</f>
        <v/>
      </c>
      <c r="D821" s="19">
        <f>IF($B821="","",IFERROR(INDEX(智能流水!$D$2:$D$1001,MATCH($B821,智能流水!$B$2:$B$1001,0)),""))</f>
        <v/>
      </c>
      <c r="E821" s="19">
        <f>IF($B821="","",IFERROR(INDEX(智能流水!$E$2:$E$1001,MATCH($B821,智能流水!$B$2:$B$1001,0)),""))</f>
        <v/>
      </c>
      <c r="F821" s="19">
        <f>IF($B821="","",IFERROR(INDEX(智能流水!$F$2:$F$1001,MATCH($B821,智能流水!$B$2:$B$1001,0)),""))</f>
        <v/>
      </c>
      <c r="G821" s="19">
        <f>IF($B821="","",IFERROR(INDEX(智能流水!$G$2:$G$1001,MATCH($B821,智能流水!$B$2:$B$1001,0)),""))</f>
        <v/>
      </c>
      <c r="H821" s="19">
        <f>IF($B821="","",IFERROR(INDEX(智能流水!$H$2:$H$1001,MATCH($B821,智能流水!$B$2:$B$1001,0)),""))</f>
        <v/>
      </c>
      <c r="I821" s="19">
        <f>IF($B821="","",IFERROR(INDEX(智能流水!$I$2:$I$1001,MATCH($B821,智能流水!$B$2:$B$1001,0)),""))</f>
        <v/>
      </c>
      <c r="J821" s="19">
        <f>IF($B821="","",IFERROR(INDEX(智能流水!$J$2:$J$1001,MATCH($B821,智能流水!$B$2:$B$1001,0)),""))</f>
        <v/>
      </c>
      <c r="K821" s="19">
        <f>IF($B821="","",IFERROR(INDEX(智能流水!$K$2:$K$1001,MATCH($B821,智能流水!$B$2:$B$1001,0)),""))</f>
        <v/>
      </c>
      <c r="L821" s="19">
        <f>IF($B821="","",IFERROR(INDEX(智能流水!$L$2:$L$1001,MATCH($B821,智能流水!$B$2:$B$1001,0)),""))</f>
        <v/>
      </c>
      <c r="M821" s="19">
        <f>IF($B821="","",IFERROR(INDEX(智能流水!$M$2:$M$1001,MATCH($B821,智能流水!$B$2:$B$1001,0)),""))</f>
        <v/>
      </c>
      <c r="N821" s="19">
        <f>IF($B821="","",IFERROR(INDEX(智能流水!$N$2:$N$1001,MATCH($B821,智能流水!$B$2:$B$1001,0)),""))</f>
        <v/>
      </c>
      <c r="O821" s="19">
        <f>IF($B821="","",IFERROR(INDEX(智能流水!$O$2:$O$1001,MATCH($B821,智能流水!$B$2:$B$1001,0)),""))</f>
        <v/>
      </c>
    </row>
    <row r="822">
      <c r="A822" s="19">
        <f>IF($B822="","",821)</f>
        <v/>
      </c>
      <c r="B822" s="19">
        <f>IFERROR(LARGE(智能流水!$B$2:$B$1001,821),"")</f>
        <v/>
      </c>
      <c r="C822" s="19">
        <f>IF($B822="","",IFERROR(INDEX(智能流水!$C$2:$C$1001,MATCH($B822,智能流水!$B$2:$B$1001,0)),""))</f>
        <v/>
      </c>
      <c r="D822" s="19">
        <f>IF($B822="","",IFERROR(INDEX(智能流水!$D$2:$D$1001,MATCH($B822,智能流水!$B$2:$B$1001,0)),""))</f>
        <v/>
      </c>
      <c r="E822" s="19">
        <f>IF($B822="","",IFERROR(INDEX(智能流水!$E$2:$E$1001,MATCH($B822,智能流水!$B$2:$B$1001,0)),""))</f>
        <v/>
      </c>
      <c r="F822" s="19">
        <f>IF($B822="","",IFERROR(INDEX(智能流水!$F$2:$F$1001,MATCH($B822,智能流水!$B$2:$B$1001,0)),""))</f>
        <v/>
      </c>
      <c r="G822" s="19">
        <f>IF($B822="","",IFERROR(INDEX(智能流水!$G$2:$G$1001,MATCH($B822,智能流水!$B$2:$B$1001,0)),""))</f>
        <v/>
      </c>
      <c r="H822" s="19">
        <f>IF($B822="","",IFERROR(INDEX(智能流水!$H$2:$H$1001,MATCH($B822,智能流水!$B$2:$B$1001,0)),""))</f>
        <v/>
      </c>
      <c r="I822" s="19">
        <f>IF($B822="","",IFERROR(INDEX(智能流水!$I$2:$I$1001,MATCH($B822,智能流水!$B$2:$B$1001,0)),""))</f>
        <v/>
      </c>
      <c r="J822" s="19">
        <f>IF($B822="","",IFERROR(INDEX(智能流水!$J$2:$J$1001,MATCH($B822,智能流水!$B$2:$B$1001,0)),""))</f>
        <v/>
      </c>
      <c r="K822" s="19">
        <f>IF($B822="","",IFERROR(INDEX(智能流水!$K$2:$K$1001,MATCH($B822,智能流水!$B$2:$B$1001,0)),""))</f>
        <v/>
      </c>
      <c r="L822" s="19">
        <f>IF($B822="","",IFERROR(INDEX(智能流水!$L$2:$L$1001,MATCH($B822,智能流水!$B$2:$B$1001,0)),""))</f>
        <v/>
      </c>
      <c r="M822" s="19">
        <f>IF($B822="","",IFERROR(INDEX(智能流水!$M$2:$M$1001,MATCH($B822,智能流水!$B$2:$B$1001,0)),""))</f>
        <v/>
      </c>
      <c r="N822" s="19">
        <f>IF($B822="","",IFERROR(INDEX(智能流水!$N$2:$N$1001,MATCH($B822,智能流水!$B$2:$B$1001,0)),""))</f>
        <v/>
      </c>
      <c r="O822" s="19">
        <f>IF($B822="","",IFERROR(INDEX(智能流水!$O$2:$O$1001,MATCH($B822,智能流水!$B$2:$B$1001,0)),""))</f>
        <v/>
      </c>
    </row>
    <row r="823">
      <c r="A823" s="19">
        <f>IF($B823="","",822)</f>
        <v/>
      </c>
      <c r="B823" s="19">
        <f>IFERROR(LARGE(智能流水!$B$2:$B$1001,822),"")</f>
        <v/>
      </c>
      <c r="C823" s="19">
        <f>IF($B823="","",IFERROR(INDEX(智能流水!$C$2:$C$1001,MATCH($B823,智能流水!$B$2:$B$1001,0)),""))</f>
        <v/>
      </c>
      <c r="D823" s="19">
        <f>IF($B823="","",IFERROR(INDEX(智能流水!$D$2:$D$1001,MATCH($B823,智能流水!$B$2:$B$1001,0)),""))</f>
        <v/>
      </c>
      <c r="E823" s="19">
        <f>IF($B823="","",IFERROR(INDEX(智能流水!$E$2:$E$1001,MATCH($B823,智能流水!$B$2:$B$1001,0)),""))</f>
        <v/>
      </c>
      <c r="F823" s="19">
        <f>IF($B823="","",IFERROR(INDEX(智能流水!$F$2:$F$1001,MATCH($B823,智能流水!$B$2:$B$1001,0)),""))</f>
        <v/>
      </c>
      <c r="G823" s="19">
        <f>IF($B823="","",IFERROR(INDEX(智能流水!$G$2:$G$1001,MATCH($B823,智能流水!$B$2:$B$1001,0)),""))</f>
        <v/>
      </c>
      <c r="H823" s="19">
        <f>IF($B823="","",IFERROR(INDEX(智能流水!$H$2:$H$1001,MATCH($B823,智能流水!$B$2:$B$1001,0)),""))</f>
        <v/>
      </c>
      <c r="I823" s="19">
        <f>IF($B823="","",IFERROR(INDEX(智能流水!$I$2:$I$1001,MATCH($B823,智能流水!$B$2:$B$1001,0)),""))</f>
        <v/>
      </c>
      <c r="J823" s="19">
        <f>IF($B823="","",IFERROR(INDEX(智能流水!$J$2:$J$1001,MATCH($B823,智能流水!$B$2:$B$1001,0)),""))</f>
        <v/>
      </c>
      <c r="K823" s="19">
        <f>IF($B823="","",IFERROR(INDEX(智能流水!$K$2:$K$1001,MATCH($B823,智能流水!$B$2:$B$1001,0)),""))</f>
        <v/>
      </c>
      <c r="L823" s="19">
        <f>IF($B823="","",IFERROR(INDEX(智能流水!$L$2:$L$1001,MATCH($B823,智能流水!$B$2:$B$1001,0)),""))</f>
        <v/>
      </c>
      <c r="M823" s="19">
        <f>IF($B823="","",IFERROR(INDEX(智能流水!$M$2:$M$1001,MATCH($B823,智能流水!$B$2:$B$1001,0)),""))</f>
        <v/>
      </c>
      <c r="N823" s="19">
        <f>IF($B823="","",IFERROR(INDEX(智能流水!$N$2:$N$1001,MATCH($B823,智能流水!$B$2:$B$1001,0)),""))</f>
        <v/>
      </c>
      <c r="O823" s="19">
        <f>IF($B823="","",IFERROR(INDEX(智能流水!$O$2:$O$1001,MATCH($B823,智能流水!$B$2:$B$1001,0)),""))</f>
        <v/>
      </c>
    </row>
    <row r="824">
      <c r="A824" s="19">
        <f>IF($B824="","",823)</f>
        <v/>
      </c>
      <c r="B824" s="19">
        <f>IFERROR(LARGE(智能流水!$B$2:$B$1001,823),"")</f>
        <v/>
      </c>
      <c r="C824" s="19">
        <f>IF($B824="","",IFERROR(INDEX(智能流水!$C$2:$C$1001,MATCH($B824,智能流水!$B$2:$B$1001,0)),""))</f>
        <v/>
      </c>
      <c r="D824" s="19">
        <f>IF($B824="","",IFERROR(INDEX(智能流水!$D$2:$D$1001,MATCH($B824,智能流水!$B$2:$B$1001,0)),""))</f>
        <v/>
      </c>
      <c r="E824" s="19">
        <f>IF($B824="","",IFERROR(INDEX(智能流水!$E$2:$E$1001,MATCH($B824,智能流水!$B$2:$B$1001,0)),""))</f>
        <v/>
      </c>
      <c r="F824" s="19">
        <f>IF($B824="","",IFERROR(INDEX(智能流水!$F$2:$F$1001,MATCH($B824,智能流水!$B$2:$B$1001,0)),""))</f>
        <v/>
      </c>
      <c r="G824" s="19">
        <f>IF($B824="","",IFERROR(INDEX(智能流水!$G$2:$G$1001,MATCH($B824,智能流水!$B$2:$B$1001,0)),""))</f>
        <v/>
      </c>
      <c r="H824" s="19">
        <f>IF($B824="","",IFERROR(INDEX(智能流水!$H$2:$H$1001,MATCH($B824,智能流水!$B$2:$B$1001,0)),""))</f>
        <v/>
      </c>
      <c r="I824" s="19">
        <f>IF($B824="","",IFERROR(INDEX(智能流水!$I$2:$I$1001,MATCH($B824,智能流水!$B$2:$B$1001,0)),""))</f>
        <v/>
      </c>
      <c r="J824" s="19">
        <f>IF($B824="","",IFERROR(INDEX(智能流水!$J$2:$J$1001,MATCH($B824,智能流水!$B$2:$B$1001,0)),""))</f>
        <v/>
      </c>
      <c r="K824" s="19">
        <f>IF($B824="","",IFERROR(INDEX(智能流水!$K$2:$K$1001,MATCH($B824,智能流水!$B$2:$B$1001,0)),""))</f>
        <v/>
      </c>
      <c r="L824" s="19">
        <f>IF($B824="","",IFERROR(INDEX(智能流水!$L$2:$L$1001,MATCH($B824,智能流水!$B$2:$B$1001,0)),""))</f>
        <v/>
      </c>
      <c r="M824" s="19">
        <f>IF($B824="","",IFERROR(INDEX(智能流水!$M$2:$M$1001,MATCH($B824,智能流水!$B$2:$B$1001,0)),""))</f>
        <v/>
      </c>
      <c r="N824" s="19">
        <f>IF($B824="","",IFERROR(INDEX(智能流水!$N$2:$N$1001,MATCH($B824,智能流水!$B$2:$B$1001,0)),""))</f>
        <v/>
      </c>
      <c r="O824" s="19">
        <f>IF($B824="","",IFERROR(INDEX(智能流水!$O$2:$O$1001,MATCH($B824,智能流水!$B$2:$B$1001,0)),""))</f>
        <v/>
      </c>
    </row>
    <row r="825">
      <c r="A825" s="19">
        <f>IF($B825="","",824)</f>
        <v/>
      </c>
      <c r="B825" s="19">
        <f>IFERROR(LARGE(智能流水!$B$2:$B$1001,824),"")</f>
        <v/>
      </c>
      <c r="C825" s="19">
        <f>IF($B825="","",IFERROR(INDEX(智能流水!$C$2:$C$1001,MATCH($B825,智能流水!$B$2:$B$1001,0)),""))</f>
        <v/>
      </c>
      <c r="D825" s="19">
        <f>IF($B825="","",IFERROR(INDEX(智能流水!$D$2:$D$1001,MATCH($B825,智能流水!$B$2:$B$1001,0)),""))</f>
        <v/>
      </c>
      <c r="E825" s="19">
        <f>IF($B825="","",IFERROR(INDEX(智能流水!$E$2:$E$1001,MATCH($B825,智能流水!$B$2:$B$1001,0)),""))</f>
        <v/>
      </c>
      <c r="F825" s="19">
        <f>IF($B825="","",IFERROR(INDEX(智能流水!$F$2:$F$1001,MATCH($B825,智能流水!$B$2:$B$1001,0)),""))</f>
        <v/>
      </c>
      <c r="G825" s="19">
        <f>IF($B825="","",IFERROR(INDEX(智能流水!$G$2:$G$1001,MATCH($B825,智能流水!$B$2:$B$1001,0)),""))</f>
        <v/>
      </c>
      <c r="H825" s="19">
        <f>IF($B825="","",IFERROR(INDEX(智能流水!$H$2:$H$1001,MATCH($B825,智能流水!$B$2:$B$1001,0)),""))</f>
        <v/>
      </c>
      <c r="I825" s="19">
        <f>IF($B825="","",IFERROR(INDEX(智能流水!$I$2:$I$1001,MATCH($B825,智能流水!$B$2:$B$1001,0)),""))</f>
        <v/>
      </c>
      <c r="J825" s="19">
        <f>IF($B825="","",IFERROR(INDEX(智能流水!$J$2:$J$1001,MATCH($B825,智能流水!$B$2:$B$1001,0)),""))</f>
        <v/>
      </c>
      <c r="K825" s="19">
        <f>IF($B825="","",IFERROR(INDEX(智能流水!$K$2:$K$1001,MATCH($B825,智能流水!$B$2:$B$1001,0)),""))</f>
        <v/>
      </c>
      <c r="L825" s="19">
        <f>IF($B825="","",IFERROR(INDEX(智能流水!$L$2:$L$1001,MATCH($B825,智能流水!$B$2:$B$1001,0)),""))</f>
        <v/>
      </c>
      <c r="M825" s="19">
        <f>IF($B825="","",IFERROR(INDEX(智能流水!$M$2:$M$1001,MATCH($B825,智能流水!$B$2:$B$1001,0)),""))</f>
        <v/>
      </c>
      <c r="N825" s="19">
        <f>IF($B825="","",IFERROR(INDEX(智能流水!$N$2:$N$1001,MATCH($B825,智能流水!$B$2:$B$1001,0)),""))</f>
        <v/>
      </c>
      <c r="O825" s="19">
        <f>IF($B825="","",IFERROR(INDEX(智能流水!$O$2:$O$1001,MATCH($B825,智能流水!$B$2:$B$1001,0)),""))</f>
        <v/>
      </c>
    </row>
    <row r="826">
      <c r="A826" s="19">
        <f>IF($B826="","",825)</f>
        <v/>
      </c>
      <c r="B826" s="19">
        <f>IFERROR(LARGE(智能流水!$B$2:$B$1001,825),"")</f>
        <v/>
      </c>
      <c r="C826" s="19">
        <f>IF($B826="","",IFERROR(INDEX(智能流水!$C$2:$C$1001,MATCH($B826,智能流水!$B$2:$B$1001,0)),""))</f>
        <v/>
      </c>
      <c r="D826" s="19">
        <f>IF($B826="","",IFERROR(INDEX(智能流水!$D$2:$D$1001,MATCH($B826,智能流水!$B$2:$B$1001,0)),""))</f>
        <v/>
      </c>
      <c r="E826" s="19">
        <f>IF($B826="","",IFERROR(INDEX(智能流水!$E$2:$E$1001,MATCH($B826,智能流水!$B$2:$B$1001,0)),""))</f>
        <v/>
      </c>
      <c r="F826" s="19">
        <f>IF($B826="","",IFERROR(INDEX(智能流水!$F$2:$F$1001,MATCH($B826,智能流水!$B$2:$B$1001,0)),""))</f>
        <v/>
      </c>
      <c r="G826" s="19">
        <f>IF($B826="","",IFERROR(INDEX(智能流水!$G$2:$G$1001,MATCH($B826,智能流水!$B$2:$B$1001,0)),""))</f>
        <v/>
      </c>
      <c r="H826" s="19">
        <f>IF($B826="","",IFERROR(INDEX(智能流水!$H$2:$H$1001,MATCH($B826,智能流水!$B$2:$B$1001,0)),""))</f>
        <v/>
      </c>
      <c r="I826" s="19">
        <f>IF($B826="","",IFERROR(INDEX(智能流水!$I$2:$I$1001,MATCH($B826,智能流水!$B$2:$B$1001,0)),""))</f>
        <v/>
      </c>
      <c r="J826" s="19">
        <f>IF($B826="","",IFERROR(INDEX(智能流水!$J$2:$J$1001,MATCH($B826,智能流水!$B$2:$B$1001,0)),""))</f>
        <v/>
      </c>
      <c r="K826" s="19">
        <f>IF($B826="","",IFERROR(INDEX(智能流水!$K$2:$K$1001,MATCH($B826,智能流水!$B$2:$B$1001,0)),""))</f>
        <v/>
      </c>
      <c r="L826" s="19">
        <f>IF($B826="","",IFERROR(INDEX(智能流水!$L$2:$L$1001,MATCH($B826,智能流水!$B$2:$B$1001,0)),""))</f>
        <v/>
      </c>
      <c r="M826" s="19">
        <f>IF($B826="","",IFERROR(INDEX(智能流水!$M$2:$M$1001,MATCH($B826,智能流水!$B$2:$B$1001,0)),""))</f>
        <v/>
      </c>
      <c r="N826" s="19">
        <f>IF($B826="","",IFERROR(INDEX(智能流水!$N$2:$N$1001,MATCH($B826,智能流水!$B$2:$B$1001,0)),""))</f>
        <v/>
      </c>
      <c r="O826" s="19">
        <f>IF($B826="","",IFERROR(INDEX(智能流水!$O$2:$O$1001,MATCH($B826,智能流水!$B$2:$B$1001,0)),""))</f>
        <v/>
      </c>
    </row>
    <row r="827">
      <c r="A827" s="19">
        <f>IF($B827="","",826)</f>
        <v/>
      </c>
      <c r="B827" s="19">
        <f>IFERROR(LARGE(智能流水!$B$2:$B$1001,826),"")</f>
        <v/>
      </c>
      <c r="C827" s="19">
        <f>IF($B827="","",IFERROR(INDEX(智能流水!$C$2:$C$1001,MATCH($B827,智能流水!$B$2:$B$1001,0)),""))</f>
        <v/>
      </c>
      <c r="D827" s="19">
        <f>IF($B827="","",IFERROR(INDEX(智能流水!$D$2:$D$1001,MATCH($B827,智能流水!$B$2:$B$1001,0)),""))</f>
        <v/>
      </c>
      <c r="E827" s="19">
        <f>IF($B827="","",IFERROR(INDEX(智能流水!$E$2:$E$1001,MATCH($B827,智能流水!$B$2:$B$1001,0)),""))</f>
        <v/>
      </c>
      <c r="F827" s="19">
        <f>IF($B827="","",IFERROR(INDEX(智能流水!$F$2:$F$1001,MATCH($B827,智能流水!$B$2:$B$1001,0)),""))</f>
        <v/>
      </c>
      <c r="G827" s="19">
        <f>IF($B827="","",IFERROR(INDEX(智能流水!$G$2:$G$1001,MATCH($B827,智能流水!$B$2:$B$1001,0)),""))</f>
        <v/>
      </c>
      <c r="H827" s="19">
        <f>IF($B827="","",IFERROR(INDEX(智能流水!$H$2:$H$1001,MATCH($B827,智能流水!$B$2:$B$1001,0)),""))</f>
        <v/>
      </c>
      <c r="I827" s="19">
        <f>IF($B827="","",IFERROR(INDEX(智能流水!$I$2:$I$1001,MATCH($B827,智能流水!$B$2:$B$1001,0)),""))</f>
        <v/>
      </c>
      <c r="J827" s="19">
        <f>IF($B827="","",IFERROR(INDEX(智能流水!$J$2:$J$1001,MATCH($B827,智能流水!$B$2:$B$1001,0)),""))</f>
        <v/>
      </c>
      <c r="K827" s="19">
        <f>IF($B827="","",IFERROR(INDEX(智能流水!$K$2:$K$1001,MATCH($B827,智能流水!$B$2:$B$1001,0)),""))</f>
        <v/>
      </c>
      <c r="L827" s="19">
        <f>IF($B827="","",IFERROR(INDEX(智能流水!$L$2:$L$1001,MATCH($B827,智能流水!$B$2:$B$1001,0)),""))</f>
        <v/>
      </c>
      <c r="M827" s="19">
        <f>IF($B827="","",IFERROR(INDEX(智能流水!$M$2:$M$1001,MATCH($B827,智能流水!$B$2:$B$1001,0)),""))</f>
        <v/>
      </c>
      <c r="N827" s="19">
        <f>IF($B827="","",IFERROR(INDEX(智能流水!$N$2:$N$1001,MATCH($B827,智能流水!$B$2:$B$1001,0)),""))</f>
        <v/>
      </c>
      <c r="O827" s="19">
        <f>IF($B827="","",IFERROR(INDEX(智能流水!$O$2:$O$1001,MATCH($B827,智能流水!$B$2:$B$1001,0)),""))</f>
        <v/>
      </c>
    </row>
    <row r="828">
      <c r="A828" s="19">
        <f>IF($B828="","",827)</f>
        <v/>
      </c>
      <c r="B828" s="19">
        <f>IFERROR(LARGE(智能流水!$B$2:$B$1001,827),"")</f>
        <v/>
      </c>
      <c r="C828" s="19">
        <f>IF($B828="","",IFERROR(INDEX(智能流水!$C$2:$C$1001,MATCH($B828,智能流水!$B$2:$B$1001,0)),""))</f>
        <v/>
      </c>
      <c r="D828" s="19">
        <f>IF($B828="","",IFERROR(INDEX(智能流水!$D$2:$D$1001,MATCH($B828,智能流水!$B$2:$B$1001,0)),""))</f>
        <v/>
      </c>
      <c r="E828" s="19">
        <f>IF($B828="","",IFERROR(INDEX(智能流水!$E$2:$E$1001,MATCH($B828,智能流水!$B$2:$B$1001,0)),""))</f>
        <v/>
      </c>
      <c r="F828" s="19">
        <f>IF($B828="","",IFERROR(INDEX(智能流水!$F$2:$F$1001,MATCH($B828,智能流水!$B$2:$B$1001,0)),""))</f>
        <v/>
      </c>
      <c r="G828" s="19">
        <f>IF($B828="","",IFERROR(INDEX(智能流水!$G$2:$G$1001,MATCH($B828,智能流水!$B$2:$B$1001,0)),""))</f>
        <v/>
      </c>
      <c r="H828" s="19">
        <f>IF($B828="","",IFERROR(INDEX(智能流水!$H$2:$H$1001,MATCH($B828,智能流水!$B$2:$B$1001,0)),""))</f>
        <v/>
      </c>
      <c r="I828" s="19">
        <f>IF($B828="","",IFERROR(INDEX(智能流水!$I$2:$I$1001,MATCH($B828,智能流水!$B$2:$B$1001,0)),""))</f>
        <v/>
      </c>
      <c r="J828" s="19">
        <f>IF($B828="","",IFERROR(INDEX(智能流水!$J$2:$J$1001,MATCH($B828,智能流水!$B$2:$B$1001,0)),""))</f>
        <v/>
      </c>
      <c r="K828" s="19">
        <f>IF($B828="","",IFERROR(INDEX(智能流水!$K$2:$K$1001,MATCH($B828,智能流水!$B$2:$B$1001,0)),""))</f>
        <v/>
      </c>
      <c r="L828" s="19">
        <f>IF($B828="","",IFERROR(INDEX(智能流水!$L$2:$L$1001,MATCH($B828,智能流水!$B$2:$B$1001,0)),""))</f>
        <v/>
      </c>
      <c r="M828" s="19">
        <f>IF($B828="","",IFERROR(INDEX(智能流水!$M$2:$M$1001,MATCH($B828,智能流水!$B$2:$B$1001,0)),""))</f>
        <v/>
      </c>
      <c r="N828" s="19">
        <f>IF($B828="","",IFERROR(INDEX(智能流水!$N$2:$N$1001,MATCH($B828,智能流水!$B$2:$B$1001,0)),""))</f>
        <v/>
      </c>
      <c r="O828" s="19">
        <f>IF($B828="","",IFERROR(INDEX(智能流水!$O$2:$O$1001,MATCH($B828,智能流水!$B$2:$B$1001,0)),""))</f>
        <v/>
      </c>
    </row>
    <row r="829">
      <c r="A829" s="19">
        <f>IF($B829="","",828)</f>
        <v/>
      </c>
      <c r="B829" s="19">
        <f>IFERROR(LARGE(智能流水!$B$2:$B$1001,828),"")</f>
        <v/>
      </c>
      <c r="C829" s="19">
        <f>IF($B829="","",IFERROR(INDEX(智能流水!$C$2:$C$1001,MATCH($B829,智能流水!$B$2:$B$1001,0)),""))</f>
        <v/>
      </c>
      <c r="D829" s="19">
        <f>IF($B829="","",IFERROR(INDEX(智能流水!$D$2:$D$1001,MATCH($B829,智能流水!$B$2:$B$1001,0)),""))</f>
        <v/>
      </c>
      <c r="E829" s="19">
        <f>IF($B829="","",IFERROR(INDEX(智能流水!$E$2:$E$1001,MATCH($B829,智能流水!$B$2:$B$1001,0)),""))</f>
        <v/>
      </c>
      <c r="F829" s="19">
        <f>IF($B829="","",IFERROR(INDEX(智能流水!$F$2:$F$1001,MATCH($B829,智能流水!$B$2:$B$1001,0)),""))</f>
        <v/>
      </c>
      <c r="G829" s="19">
        <f>IF($B829="","",IFERROR(INDEX(智能流水!$G$2:$G$1001,MATCH($B829,智能流水!$B$2:$B$1001,0)),""))</f>
        <v/>
      </c>
      <c r="H829" s="19">
        <f>IF($B829="","",IFERROR(INDEX(智能流水!$H$2:$H$1001,MATCH($B829,智能流水!$B$2:$B$1001,0)),""))</f>
        <v/>
      </c>
      <c r="I829" s="19">
        <f>IF($B829="","",IFERROR(INDEX(智能流水!$I$2:$I$1001,MATCH($B829,智能流水!$B$2:$B$1001,0)),""))</f>
        <v/>
      </c>
      <c r="J829" s="19">
        <f>IF($B829="","",IFERROR(INDEX(智能流水!$J$2:$J$1001,MATCH($B829,智能流水!$B$2:$B$1001,0)),""))</f>
        <v/>
      </c>
      <c r="K829" s="19">
        <f>IF($B829="","",IFERROR(INDEX(智能流水!$K$2:$K$1001,MATCH($B829,智能流水!$B$2:$B$1001,0)),""))</f>
        <v/>
      </c>
      <c r="L829" s="19">
        <f>IF($B829="","",IFERROR(INDEX(智能流水!$L$2:$L$1001,MATCH($B829,智能流水!$B$2:$B$1001,0)),""))</f>
        <v/>
      </c>
      <c r="M829" s="19">
        <f>IF($B829="","",IFERROR(INDEX(智能流水!$M$2:$M$1001,MATCH($B829,智能流水!$B$2:$B$1001,0)),""))</f>
        <v/>
      </c>
      <c r="N829" s="19">
        <f>IF($B829="","",IFERROR(INDEX(智能流水!$N$2:$N$1001,MATCH($B829,智能流水!$B$2:$B$1001,0)),""))</f>
        <v/>
      </c>
      <c r="O829" s="19">
        <f>IF($B829="","",IFERROR(INDEX(智能流水!$O$2:$O$1001,MATCH($B829,智能流水!$B$2:$B$1001,0)),""))</f>
        <v/>
      </c>
    </row>
    <row r="830">
      <c r="A830" s="19">
        <f>IF($B830="","",829)</f>
        <v/>
      </c>
      <c r="B830" s="19">
        <f>IFERROR(LARGE(智能流水!$B$2:$B$1001,829),"")</f>
        <v/>
      </c>
      <c r="C830" s="19">
        <f>IF($B830="","",IFERROR(INDEX(智能流水!$C$2:$C$1001,MATCH($B830,智能流水!$B$2:$B$1001,0)),""))</f>
        <v/>
      </c>
      <c r="D830" s="19">
        <f>IF($B830="","",IFERROR(INDEX(智能流水!$D$2:$D$1001,MATCH($B830,智能流水!$B$2:$B$1001,0)),""))</f>
        <v/>
      </c>
      <c r="E830" s="19">
        <f>IF($B830="","",IFERROR(INDEX(智能流水!$E$2:$E$1001,MATCH($B830,智能流水!$B$2:$B$1001,0)),""))</f>
        <v/>
      </c>
      <c r="F830" s="19">
        <f>IF($B830="","",IFERROR(INDEX(智能流水!$F$2:$F$1001,MATCH($B830,智能流水!$B$2:$B$1001,0)),""))</f>
        <v/>
      </c>
      <c r="G830" s="19">
        <f>IF($B830="","",IFERROR(INDEX(智能流水!$G$2:$G$1001,MATCH($B830,智能流水!$B$2:$B$1001,0)),""))</f>
        <v/>
      </c>
      <c r="H830" s="19">
        <f>IF($B830="","",IFERROR(INDEX(智能流水!$H$2:$H$1001,MATCH($B830,智能流水!$B$2:$B$1001,0)),""))</f>
        <v/>
      </c>
      <c r="I830" s="19">
        <f>IF($B830="","",IFERROR(INDEX(智能流水!$I$2:$I$1001,MATCH($B830,智能流水!$B$2:$B$1001,0)),""))</f>
        <v/>
      </c>
      <c r="J830" s="19">
        <f>IF($B830="","",IFERROR(INDEX(智能流水!$J$2:$J$1001,MATCH($B830,智能流水!$B$2:$B$1001,0)),""))</f>
        <v/>
      </c>
      <c r="K830" s="19">
        <f>IF($B830="","",IFERROR(INDEX(智能流水!$K$2:$K$1001,MATCH($B830,智能流水!$B$2:$B$1001,0)),""))</f>
        <v/>
      </c>
      <c r="L830" s="19">
        <f>IF($B830="","",IFERROR(INDEX(智能流水!$L$2:$L$1001,MATCH($B830,智能流水!$B$2:$B$1001,0)),""))</f>
        <v/>
      </c>
      <c r="M830" s="19">
        <f>IF($B830="","",IFERROR(INDEX(智能流水!$M$2:$M$1001,MATCH($B830,智能流水!$B$2:$B$1001,0)),""))</f>
        <v/>
      </c>
      <c r="N830" s="19">
        <f>IF($B830="","",IFERROR(INDEX(智能流水!$N$2:$N$1001,MATCH($B830,智能流水!$B$2:$B$1001,0)),""))</f>
        <v/>
      </c>
      <c r="O830" s="19">
        <f>IF($B830="","",IFERROR(INDEX(智能流水!$O$2:$O$1001,MATCH($B830,智能流水!$B$2:$B$1001,0)),""))</f>
        <v/>
      </c>
    </row>
    <row r="831">
      <c r="A831" s="19">
        <f>IF($B831="","",830)</f>
        <v/>
      </c>
      <c r="B831" s="19">
        <f>IFERROR(LARGE(智能流水!$B$2:$B$1001,830),"")</f>
        <v/>
      </c>
      <c r="C831" s="19">
        <f>IF($B831="","",IFERROR(INDEX(智能流水!$C$2:$C$1001,MATCH($B831,智能流水!$B$2:$B$1001,0)),""))</f>
        <v/>
      </c>
      <c r="D831" s="19">
        <f>IF($B831="","",IFERROR(INDEX(智能流水!$D$2:$D$1001,MATCH($B831,智能流水!$B$2:$B$1001,0)),""))</f>
        <v/>
      </c>
      <c r="E831" s="19">
        <f>IF($B831="","",IFERROR(INDEX(智能流水!$E$2:$E$1001,MATCH($B831,智能流水!$B$2:$B$1001,0)),""))</f>
        <v/>
      </c>
      <c r="F831" s="19">
        <f>IF($B831="","",IFERROR(INDEX(智能流水!$F$2:$F$1001,MATCH($B831,智能流水!$B$2:$B$1001,0)),""))</f>
        <v/>
      </c>
      <c r="G831" s="19">
        <f>IF($B831="","",IFERROR(INDEX(智能流水!$G$2:$G$1001,MATCH($B831,智能流水!$B$2:$B$1001,0)),""))</f>
        <v/>
      </c>
      <c r="H831" s="19">
        <f>IF($B831="","",IFERROR(INDEX(智能流水!$H$2:$H$1001,MATCH($B831,智能流水!$B$2:$B$1001,0)),""))</f>
        <v/>
      </c>
      <c r="I831" s="19">
        <f>IF($B831="","",IFERROR(INDEX(智能流水!$I$2:$I$1001,MATCH($B831,智能流水!$B$2:$B$1001,0)),""))</f>
        <v/>
      </c>
      <c r="J831" s="19">
        <f>IF($B831="","",IFERROR(INDEX(智能流水!$J$2:$J$1001,MATCH($B831,智能流水!$B$2:$B$1001,0)),""))</f>
        <v/>
      </c>
      <c r="K831" s="19">
        <f>IF($B831="","",IFERROR(INDEX(智能流水!$K$2:$K$1001,MATCH($B831,智能流水!$B$2:$B$1001,0)),""))</f>
        <v/>
      </c>
      <c r="L831" s="19">
        <f>IF($B831="","",IFERROR(INDEX(智能流水!$L$2:$L$1001,MATCH($B831,智能流水!$B$2:$B$1001,0)),""))</f>
        <v/>
      </c>
      <c r="M831" s="19">
        <f>IF($B831="","",IFERROR(INDEX(智能流水!$M$2:$M$1001,MATCH($B831,智能流水!$B$2:$B$1001,0)),""))</f>
        <v/>
      </c>
      <c r="N831" s="19">
        <f>IF($B831="","",IFERROR(INDEX(智能流水!$N$2:$N$1001,MATCH($B831,智能流水!$B$2:$B$1001,0)),""))</f>
        <v/>
      </c>
      <c r="O831" s="19">
        <f>IF($B831="","",IFERROR(INDEX(智能流水!$O$2:$O$1001,MATCH($B831,智能流水!$B$2:$B$1001,0)),""))</f>
        <v/>
      </c>
    </row>
    <row r="832">
      <c r="A832" s="19">
        <f>IF($B832="","",831)</f>
        <v/>
      </c>
      <c r="B832" s="19">
        <f>IFERROR(LARGE(智能流水!$B$2:$B$1001,831),"")</f>
        <v/>
      </c>
      <c r="C832" s="19">
        <f>IF($B832="","",IFERROR(INDEX(智能流水!$C$2:$C$1001,MATCH($B832,智能流水!$B$2:$B$1001,0)),""))</f>
        <v/>
      </c>
      <c r="D832" s="19">
        <f>IF($B832="","",IFERROR(INDEX(智能流水!$D$2:$D$1001,MATCH($B832,智能流水!$B$2:$B$1001,0)),""))</f>
        <v/>
      </c>
      <c r="E832" s="19">
        <f>IF($B832="","",IFERROR(INDEX(智能流水!$E$2:$E$1001,MATCH($B832,智能流水!$B$2:$B$1001,0)),""))</f>
        <v/>
      </c>
      <c r="F832" s="19">
        <f>IF($B832="","",IFERROR(INDEX(智能流水!$F$2:$F$1001,MATCH($B832,智能流水!$B$2:$B$1001,0)),""))</f>
        <v/>
      </c>
      <c r="G832" s="19">
        <f>IF($B832="","",IFERROR(INDEX(智能流水!$G$2:$G$1001,MATCH($B832,智能流水!$B$2:$B$1001,0)),""))</f>
        <v/>
      </c>
      <c r="H832" s="19">
        <f>IF($B832="","",IFERROR(INDEX(智能流水!$H$2:$H$1001,MATCH($B832,智能流水!$B$2:$B$1001,0)),""))</f>
        <v/>
      </c>
      <c r="I832" s="19">
        <f>IF($B832="","",IFERROR(INDEX(智能流水!$I$2:$I$1001,MATCH($B832,智能流水!$B$2:$B$1001,0)),""))</f>
        <v/>
      </c>
      <c r="J832" s="19">
        <f>IF($B832="","",IFERROR(INDEX(智能流水!$J$2:$J$1001,MATCH($B832,智能流水!$B$2:$B$1001,0)),""))</f>
        <v/>
      </c>
      <c r="K832" s="19">
        <f>IF($B832="","",IFERROR(INDEX(智能流水!$K$2:$K$1001,MATCH($B832,智能流水!$B$2:$B$1001,0)),""))</f>
        <v/>
      </c>
      <c r="L832" s="19">
        <f>IF($B832="","",IFERROR(INDEX(智能流水!$L$2:$L$1001,MATCH($B832,智能流水!$B$2:$B$1001,0)),""))</f>
        <v/>
      </c>
      <c r="M832" s="19">
        <f>IF($B832="","",IFERROR(INDEX(智能流水!$M$2:$M$1001,MATCH($B832,智能流水!$B$2:$B$1001,0)),""))</f>
        <v/>
      </c>
      <c r="N832" s="19">
        <f>IF($B832="","",IFERROR(INDEX(智能流水!$N$2:$N$1001,MATCH($B832,智能流水!$B$2:$B$1001,0)),""))</f>
        <v/>
      </c>
      <c r="O832" s="19">
        <f>IF($B832="","",IFERROR(INDEX(智能流水!$O$2:$O$1001,MATCH($B832,智能流水!$B$2:$B$1001,0)),""))</f>
        <v/>
      </c>
    </row>
    <row r="833">
      <c r="A833" s="19">
        <f>IF($B833="","",832)</f>
        <v/>
      </c>
      <c r="B833" s="19">
        <f>IFERROR(LARGE(智能流水!$B$2:$B$1001,832),"")</f>
        <v/>
      </c>
      <c r="C833" s="19">
        <f>IF($B833="","",IFERROR(INDEX(智能流水!$C$2:$C$1001,MATCH($B833,智能流水!$B$2:$B$1001,0)),""))</f>
        <v/>
      </c>
      <c r="D833" s="19">
        <f>IF($B833="","",IFERROR(INDEX(智能流水!$D$2:$D$1001,MATCH($B833,智能流水!$B$2:$B$1001,0)),""))</f>
        <v/>
      </c>
      <c r="E833" s="19">
        <f>IF($B833="","",IFERROR(INDEX(智能流水!$E$2:$E$1001,MATCH($B833,智能流水!$B$2:$B$1001,0)),""))</f>
        <v/>
      </c>
      <c r="F833" s="19">
        <f>IF($B833="","",IFERROR(INDEX(智能流水!$F$2:$F$1001,MATCH($B833,智能流水!$B$2:$B$1001,0)),""))</f>
        <v/>
      </c>
      <c r="G833" s="19">
        <f>IF($B833="","",IFERROR(INDEX(智能流水!$G$2:$G$1001,MATCH($B833,智能流水!$B$2:$B$1001,0)),""))</f>
        <v/>
      </c>
      <c r="H833" s="19">
        <f>IF($B833="","",IFERROR(INDEX(智能流水!$H$2:$H$1001,MATCH($B833,智能流水!$B$2:$B$1001,0)),""))</f>
        <v/>
      </c>
      <c r="I833" s="19">
        <f>IF($B833="","",IFERROR(INDEX(智能流水!$I$2:$I$1001,MATCH($B833,智能流水!$B$2:$B$1001,0)),""))</f>
        <v/>
      </c>
      <c r="J833" s="19">
        <f>IF($B833="","",IFERROR(INDEX(智能流水!$J$2:$J$1001,MATCH($B833,智能流水!$B$2:$B$1001,0)),""))</f>
        <v/>
      </c>
      <c r="K833" s="19">
        <f>IF($B833="","",IFERROR(INDEX(智能流水!$K$2:$K$1001,MATCH($B833,智能流水!$B$2:$B$1001,0)),""))</f>
        <v/>
      </c>
      <c r="L833" s="19">
        <f>IF($B833="","",IFERROR(INDEX(智能流水!$L$2:$L$1001,MATCH($B833,智能流水!$B$2:$B$1001,0)),""))</f>
        <v/>
      </c>
      <c r="M833" s="19">
        <f>IF($B833="","",IFERROR(INDEX(智能流水!$M$2:$M$1001,MATCH($B833,智能流水!$B$2:$B$1001,0)),""))</f>
        <v/>
      </c>
      <c r="N833" s="19">
        <f>IF($B833="","",IFERROR(INDEX(智能流水!$N$2:$N$1001,MATCH($B833,智能流水!$B$2:$B$1001,0)),""))</f>
        <v/>
      </c>
      <c r="O833" s="19">
        <f>IF($B833="","",IFERROR(INDEX(智能流水!$O$2:$O$1001,MATCH($B833,智能流水!$B$2:$B$1001,0)),""))</f>
        <v/>
      </c>
    </row>
    <row r="834">
      <c r="A834" s="19">
        <f>IF($B834="","",833)</f>
        <v/>
      </c>
      <c r="B834" s="19">
        <f>IFERROR(LARGE(智能流水!$B$2:$B$1001,833),"")</f>
        <v/>
      </c>
      <c r="C834" s="19">
        <f>IF($B834="","",IFERROR(INDEX(智能流水!$C$2:$C$1001,MATCH($B834,智能流水!$B$2:$B$1001,0)),""))</f>
        <v/>
      </c>
      <c r="D834" s="19">
        <f>IF($B834="","",IFERROR(INDEX(智能流水!$D$2:$D$1001,MATCH($B834,智能流水!$B$2:$B$1001,0)),""))</f>
        <v/>
      </c>
      <c r="E834" s="19">
        <f>IF($B834="","",IFERROR(INDEX(智能流水!$E$2:$E$1001,MATCH($B834,智能流水!$B$2:$B$1001,0)),""))</f>
        <v/>
      </c>
      <c r="F834" s="19">
        <f>IF($B834="","",IFERROR(INDEX(智能流水!$F$2:$F$1001,MATCH($B834,智能流水!$B$2:$B$1001,0)),""))</f>
        <v/>
      </c>
      <c r="G834" s="19">
        <f>IF($B834="","",IFERROR(INDEX(智能流水!$G$2:$G$1001,MATCH($B834,智能流水!$B$2:$B$1001,0)),""))</f>
        <v/>
      </c>
      <c r="H834" s="19">
        <f>IF($B834="","",IFERROR(INDEX(智能流水!$H$2:$H$1001,MATCH($B834,智能流水!$B$2:$B$1001,0)),""))</f>
        <v/>
      </c>
      <c r="I834" s="19">
        <f>IF($B834="","",IFERROR(INDEX(智能流水!$I$2:$I$1001,MATCH($B834,智能流水!$B$2:$B$1001,0)),""))</f>
        <v/>
      </c>
      <c r="J834" s="19">
        <f>IF($B834="","",IFERROR(INDEX(智能流水!$J$2:$J$1001,MATCH($B834,智能流水!$B$2:$B$1001,0)),""))</f>
        <v/>
      </c>
      <c r="K834" s="19">
        <f>IF($B834="","",IFERROR(INDEX(智能流水!$K$2:$K$1001,MATCH($B834,智能流水!$B$2:$B$1001,0)),""))</f>
        <v/>
      </c>
      <c r="L834" s="19">
        <f>IF($B834="","",IFERROR(INDEX(智能流水!$L$2:$L$1001,MATCH($B834,智能流水!$B$2:$B$1001,0)),""))</f>
        <v/>
      </c>
      <c r="M834" s="19">
        <f>IF($B834="","",IFERROR(INDEX(智能流水!$M$2:$M$1001,MATCH($B834,智能流水!$B$2:$B$1001,0)),""))</f>
        <v/>
      </c>
      <c r="N834" s="19">
        <f>IF($B834="","",IFERROR(INDEX(智能流水!$N$2:$N$1001,MATCH($B834,智能流水!$B$2:$B$1001,0)),""))</f>
        <v/>
      </c>
      <c r="O834" s="19">
        <f>IF($B834="","",IFERROR(INDEX(智能流水!$O$2:$O$1001,MATCH($B834,智能流水!$B$2:$B$1001,0)),""))</f>
        <v/>
      </c>
    </row>
    <row r="835">
      <c r="A835" s="19">
        <f>IF($B835="","",834)</f>
        <v/>
      </c>
      <c r="B835" s="19">
        <f>IFERROR(LARGE(智能流水!$B$2:$B$1001,834),"")</f>
        <v/>
      </c>
      <c r="C835" s="19">
        <f>IF($B835="","",IFERROR(INDEX(智能流水!$C$2:$C$1001,MATCH($B835,智能流水!$B$2:$B$1001,0)),""))</f>
        <v/>
      </c>
      <c r="D835" s="19">
        <f>IF($B835="","",IFERROR(INDEX(智能流水!$D$2:$D$1001,MATCH($B835,智能流水!$B$2:$B$1001,0)),""))</f>
        <v/>
      </c>
      <c r="E835" s="19">
        <f>IF($B835="","",IFERROR(INDEX(智能流水!$E$2:$E$1001,MATCH($B835,智能流水!$B$2:$B$1001,0)),""))</f>
        <v/>
      </c>
      <c r="F835" s="19">
        <f>IF($B835="","",IFERROR(INDEX(智能流水!$F$2:$F$1001,MATCH($B835,智能流水!$B$2:$B$1001,0)),""))</f>
        <v/>
      </c>
      <c r="G835" s="19">
        <f>IF($B835="","",IFERROR(INDEX(智能流水!$G$2:$G$1001,MATCH($B835,智能流水!$B$2:$B$1001,0)),""))</f>
        <v/>
      </c>
      <c r="H835" s="19">
        <f>IF($B835="","",IFERROR(INDEX(智能流水!$H$2:$H$1001,MATCH($B835,智能流水!$B$2:$B$1001,0)),""))</f>
        <v/>
      </c>
      <c r="I835" s="19">
        <f>IF($B835="","",IFERROR(INDEX(智能流水!$I$2:$I$1001,MATCH($B835,智能流水!$B$2:$B$1001,0)),""))</f>
        <v/>
      </c>
      <c r="J835" s="19">
        <f>IF($B835="","",IFERROR(INDEX(智能流水!$J$2:$J$1001,MATCH($B835,智能流水!$B$2:$B$1001,0)),""))</f>
        <v/>
      </c>
      <c r="K835" s="19">
        <f>IF($B835="","",IFERROR(INDEX(智能流水!$K$2:$K$1001,MATCH($B835,智能流水!$B$2:$B$1001,0)),""))</f>
        <v/>
      </c>
      <c r="L835" s="19">
        <f>IF($B835="","",IFERROR(INDEX(智能流水!$L$2:$L$1001,MATCH($B835,智能流水!$B$2:$B$1001,0)),""))</f>
        <v/>
      </c>
      <c r="M835" s="19">
        <f>IF($B835="","",IFERROR(INDEX(智能流水!$M$2:$M$1001,MATCH($B835,智能流水!$B$2:$B$1001,0)),""))</f>
        <v/>
      </c>
      <c r="N835" s="19">
        <f>IF($B835="","",IFERROR(INDEX(智能流水!$N$2:$N$1001,MATCH($B835,智能流水!$B$2:$B$1001,0)),""))</f>
        <v/>
      </c>
      <c r="O835" s="19">
        <f>IF($B835="","",IFERROR(INDEX(智能流水!$O$2:$O$1001,MATCH($B835,智能流水!$B$2:$B$1001,0)),""))</f>
        <v/>
      </c>
    </row>
    <row r="836">
      <c r="A836" s="19">
        <f>IF($B836="","",835)</f>
        <v/>
      </c>
      <c r="B836" s="19">
        <f>IFERROR(LARGE(智能流水!$B$2:$B$1001,835),"")</f>
        <v/>
      </c>
      <c r="C836" s="19">
        <f>IF($B836="","",IFERROR(INDEX(智能流水!$C$2:$C$1001,MATCH($B836,智能流水!$B$2:$B$1001,0)),""))</f>
        <v/>
      </c>
      <c r="D836" s="19">
        <f>IF($B836="","",IFERROR(INDEX(智能流水!$D$2:$D$1001,MATCH($B836,智能流水!$B$2:$B$1001,0)),""))</f>
        <v/>
      </c>
      <c r="E836" s="19">
        <f>IF($B836="","",IFERROR(INDEX(智能流水!$E$2:$E$1001,MATCH($B836,智能流水!$B$2:$B$1001,0)),""))</f>
        <v/>
      </c>
      <c r="F836" s="19">
        <f>IF($B836="","",IFERROR(INDEX(智能流水!$F$2:$F$1001,MATCH($B836,智能流水!$B$2:$B$1001,0)),""))</f>
        <v/>
      </c>
      <c r="G836" s="19">
        <f>IF($B836="","",IFERROR(INDEX(智能流水!$G$2:$G$1001,MATCH($B836,智能流水!$B$2:$B$1001,0)),""))</f>
        <v/>
      </c>
      <c r="H836" s="19">
        <f>IF($B836="","",IFERROR(INDEX(智能流水!$H$2:$H$1001,MATCH($B836,智能流水!$B$2:$B$1001,0)),""))</f>
        <v/>
      </c>
      <c r="I836" s="19">
        <f>IF($B836="","",IFERROR(INDEX(智能流水!$I$2:$I$1001,MATCH($B836,智能流水!$B$2:$B$1001,0)),""))</f>
        <v/>
      </c>
      <c r="J836" s="19">
        <f>IF($B836="","",IFERROR(INDEX(智能流水!$J$2:$J$1001,MATCH($B836,智能流水!$B$2:$B$1001,0)),""))</f>
        <v/>
      </c>
      <c r="K836" s="19">
        <f>IF($B836="","",IFERROR(INDEX(智能流水!$K$2:$K$1001,MATCH($B836,智能流水!$B$2:$B$1001,0)),""))</f>
        <v/>
      </c>
      <c r="L836" s="19">
        <f>IF($B836="","",IFERROR(INDEX(智能流水!$L$2:$L$1001,MATCH($B836,智能流水!$B$2:$B$1001,0)),""))</f>
        <v/>
      </c>
      <c r="M836" s="19">
        <f>IF($B836="","",IFERROR(INDEX(智能流水!$M$2:$M$1001,MATCH($B836,智能流水!$B$2:$B$1001,0)),""))</f>
        <v/>
      </c>
      <c r="N836" s="19">
        <f>IF($B836="","",IFERROR(INDEX(智能流水!$N$2:$N$1001,MATCH($B836,智能流水!$B$2:$B$1001,0)),""))</f>
        <v/>
      </c>
      <c r="O836" s="19">
        <f>IF($B836="","",IFERROR(INDEX(智能流水!$O$2:$O$1001,MATCH($B836,智能流水!$B$2:$B$1001,0)),""))</f>
        <v/>
      </c>
    </row>
    <row r="837">
      <c r="A837" s="19">
        <f>IF($B837="","",836)</f>
        <v/>
      </c>
      <c r="B837" s="19">
        <f>IFERROR(LARGE(智能流水!$B$2:$B$1001,836),"")</f>
        <v/>
      </c>
      <c r="C837" s="19">
        <f>IF($B837="","",IFERROR(INDEX(智能流水!$C$2:$C$1001,MATCH($B837,智能流水!$B$2:$B$1001,0)),""))</f>
        <v/>
      </c>
      <c r="D837" s="19">
        <f>IF($B837="","",IFERROR(INDEX(智能流水!$D$2:$D$1001,MATCH($B837,智能流水!$B$2:$B$1001,0)),""))</f>
        <v/>
      </c>
      <c r="E837" s="19">
        <f>IF($B837="","",IFERROR(INDEX(智能流水!$E$2:$E$1001,MATCH($B837,智能流水!$B$2:$B$1001,0)),""))</f>
        <v/>
      </c>
      <c r="F837" s="19">
        <f>IF($B837="","",IFERROR(INDEX(智能流水!$F$2:$F$1001,MATCH($B837,智能流水!$B$2:$B$1001,0)),""))</f>
        <v/>
      </c>
      <c r="G837" s="19">
        <f>IF($B837="","",IFERROR(INDEX(智能流水!$G$2:$G$1001,MATCH($B837,智能流水!$B$2:$B$1001,0)),""))</f>
        <v/>
      </c>
      <c r="H837" s="19">
        <f>IF($B837="","",IFERROR(INDEX(智能流水!$H$2:$H$1001,MATCH($B837,智能流水!$B$2:$B$1001,0)),""))</f>
        <v/>
      </c>
      <c r="I837" s="19">
        <f>IF($B837="","",IFERROR(INDEX(智能流水!$I$2:$I$1001,MATCH($B837,智能流水!$B$2:$B$1001,0)),""))</f>
        <v/>
      </c>
      <c r="J837" s="19">
        <f>IF($B837="","",IFERROR(INDEX(智能流水!$J$2:$J$1001,MATCH($B837,智能流水!$B$2:$B$1001,0)),""))</f>
        <v/>
      </c>
      <c r="K837" s="19">
        <f>IF($B837="","",IFERROR(INDEX(智能流水!$K$2:$K$1001,MATCH($B837,智能流水!$B$2:$B$1001,0)),""))</f>
        <v/>
      </c>
      <c r="L837" s="19">
        <f>IF($B837="","",IFERROR(INDEX(智能流水!$L$2:$L$1001,MATCH($B837,智能流水!$B$2:$B$1001,0)),""))</f>
        <v/>
      </c>
      <c r="M837" s="19">
        <f>IF($B837="","",IFERROR(INDEX(智能流水!$M$2:$M$1001,MATCH($B837,智能流水!$B$2:$B$1001,0)),""))</f>
        <v/>
      </c>
      <c r="N837" s="19">
        <f>IF($B837="","",IFERROR(INDEX(智能流水!$N$2:$N$1001,MATCH($B837,智能流水!$B$2:$B$1001,0)),""))</f>
        <v/>
      </c>
      <c r="O837" s="19">
        <f>IF($B837="","",IFERROR(INDEX(智能流水!$O$2:$O$1001,MATCH($B837,智能流水!$B$2:$B$1001,0)),""))</f>
        <v/>
      </c>
    </row>
    <row r="838">
      <c r="A838" s="19">
        <f>IF($B838="","",837)</f>
        <v/>
      </c>
      <c r="B838" s="19">
        <f>IFERROR(LARGE(智能流水!$B$2:$B$1001,837),"")</f>
        <v/>
      </c>
      <c r="C838" s="19">
        <f>IF($B838="","",IFERROR(INDEX(智能流水!$C$2:$C$1001,MATCH($B838,智能流水!$B$2:$B$1001,0)),""))</f>
        <v/>
      </c>
      <c r="D838" s="19">
        <f>IF($B838="","",IFERROR(INDEX(智能流水!$D$2:$D$1001,MATCH($B838,智能流水!$B$2:$B$1001,0)),""))</f>
        <v/>
      </c>
      <c r="E838" s="19">
        <f>IF($B838="","",IFERROR(INDEX(智能流水!$E$2:$E$1001,MATCH($B838,智能流水!$B$2:$B$1001,0)),""))</f>
        <v/>
      </c>
      <c r="F838" s="19">
        <f>IF($B838="","",IFERROR(INDEX(智能流水!$F$2:$F$1001,MATCH($B838,智能流水!$B$2:$B$1001,0)),""))</f>
        <v/>
      </c>
      <c r="G838" s="19">
        <f>IF($B838="","",IFERROR(INDEX(智能流水!$G$2:$G$1001,MATCH($B838,智能流水!$B$2:$B$1001,0)),""))</f>
        <v/>
      </c>
      <c r="H838" s="19">
        <f>IF($B838="","",IFERROR(INDEX(智能流水!$H$2:$H$1001,MATCH($B838,智能流水!$B$2:$B$1001,0)),""))</f>
        <v/>
      </c>
      <c r="I838" s="19">
        <f>IF($B838="","",IFERROR(INDEX(智能流水!$I$2:$I$1001,MATCH($B838,智能流水!$B$2:$B$1001,0)),""))</f>
        <v/>
      </c>
      <c r="J838" s="19">
        <f>IF($B838="","",IFERROR(INDEX(智能流水!$J$2:$J$1001,MATCH($B838,智能流水!$B$2:$B$1001,0)),""))</f>
        <v/>
      </c>
      <c r="K838" s="19">
        <f>IF($B838="","",IFERROR(INDEX(智能流水!$K$2:$K$1001,MATCH($B838,智能流水!$B$2:$B$1001,0)),""))</f>
        <v/>
      </c>
      <c r="L838" s="19">
        <f>IF($B838="","",IFERROR(INDEX(智能流水!$L$2:$L$1001,MATCH($B838,智能流水!$B$2:$B$1001,0)),""))</f>
        <v/>
      </c>
      <c r="M838" s="19">
        <f>IF($B838="","",IFERROR(INDEX(智能流水!$M$2:$M$1001,MATCH($B838,智能流水!$B$2:$B$1001,0)),""))</f>
        <v/>
      </c>
      <c r="N838" s="19">
        <f>IF($B838="","",IFERROR(INDEX(智能流水!$N$2:$N$1001,MATCH($B838,智能流水!$B$2:$B$1001,0)),""))</f>
        <v/>
      </c>
      <c r="O838" s="19">
        <f>IF($B838="","",IFERROR(INDEX(智能流水!$O$2:$O$1001,MATCH($B838,智能流水!$B$2:$B$1001,0)),""))</f>
        <v/>
      </c>
    </row>
    <row r="839">
      <c r="A839" s="19">
        <f>IF($B839="","",838)</f>
        <v/>
      </c>
      <c r="B839" s="19">
        <f>IFERROR(LARGE(智能流水!$B$2:$B$1001,838),"")</f>
        <v/>
      </c>
      <c r="C839" s="19">
        <f>IF($B839="","",IFERROR(INDEX(智能流水!$C$2:$C$1001,MATCH($B839,智能流水!$B$2:$B$1001,0)),""))</f>
        <v/>
      </c>
      <c r="D839" s="19">
        <f>IF($B839="","",IFERROR(INDEX(智能流水!$D$2:$D$1001,MATCH($B839,智能流水!$B$2:$B$1001,0)),""))</f>
        <v/>
      </c>
      <c r="E839" s="19">
        <f>IF($B839="","",IFERROR(INDEX(智能流水!$E$2:$E$1001,MATCH($B839,智能流水!$B$2:$B$1001,0)),""))</f>
        <v/>
      </c>
      <c r="F839" s="19">
        <f>IF($B839="","",IFERROR(INDEX(智能流水!$F$2:$F$1001,MATCH($B839,智能流水!$B$2:$B$1001,0)),""))</f>
        <v/>
      </c>
      <c r="G839" s="19">
        <f>IF($B839="","",IFERROR(INDEX(智能流水!$G$2:$G$1001,MATCH($B839,智能流水!$B$2:$B$1001,0)),""))</f>
        <v/>
      </c>
      <c r="H839" s="19">
        <f>IF($B839="","",IFERROR(INDEX(智能流水!$H$2:$H$1001,MATCH($B839,智能流水!$B$2:$B$1001,0)),""))</f>
        <v/>
      </c>
      <c r="I839" s="19">
        <f>IF($B839="","",IFERROR(INDEX(智能流水!$I$2:$I$1001,MATCH($B839,智能流水!$B$2:$B$1001,0)),""))</f>
        <v/>
      </c>
      <c r="J839" s="19">
        <f>IF($B839="","",IFERROR(INDEX(智能流水!$J$2:$J$1001,MATCH($B839,智能流水!$B$2:$B$1001,0)),""))</f>
        <v/>
      </c>
      <c r="K839" s="19">
        <f>IF($B839="","",IFERROR(INDEX(智能流水!$K$2:$K$1001,MATCH($B839,智能流水!$B$2:$B$1001,0)),""))</f>
        <v/>
      </c>
      <c r="L839" s="19">
        <f>IF($B839="","",IFERROR(INDEX(智能流水!$L$2:$L$1001,MATCH($B839,智能流水!$B$2:$B$1001,0)),""))</f>
        <v/>
      </c>
      <c r="M839" s="19">
        <f>IF($B839="","",IFERROR(INDEX(智能流水!$M$2:$M$1001,MATCH($B839,智能流水!$B$2:$B$1001,0)),""))</f>
        <v/>
      </c>
      <c r="N839" s="19">
        <f>IF($B839="","",IFERROR(INDEX(智能流水!$N$2:$N$1001,MATCH($B839,智能流水!$B$2:$B$1001,0)),""))</f>
        <v/>
      </c>
      <c r="O839" s="19">
        <f>IF($B839="","",IFERROR(INDEX(智能流水!$O$2:$O$1001,MATCH($B839,智能流水!$B$2:$B$1001,0)),""))</f>
        <v/>
      </c>
    </row>
    <row r="840">
      <c r="A840" s="19">
        <f>IF($B840="","",839)</f>
        <v/>
      </c>
      <c r="B840" s="19">
        <f>IFERROR(LARGE(智能流水!$B$2:$B$1001,839),"")</f>
        <v/>
      </c>
      <c r="C840" s="19">
        <f>IF($B840="","",IFERROR(INDEX(智能流水!$C$2:$C$1001,MATCH($B840,智能流水!$B$2:$B$1001,0)),""))</f>
        <v/>
      </c>
      <c r="D840" s="19">
        <f>IF($B840="","",IFERROR(INDEX(智能流水!$D$2:$D$1001,MATCH($B840,智能流水!$B$2:$B$1001,0)),""))</f>
        <v/>
      </c>
      <c r="E840" s="19">
        <f>IF($B840="","",IFERROR(INDEX(智能流水!$E$2:$E$1001,MATCH($B840,智能流水!$B$2:$B$1001,0)),""))</f>
        <v/>
      </c>
      <c r="F840" s="19">
        <f>IF($B840="","",IFERROR(INDEX(智能流水!$F$2:$F$1001,MATCH($B840,智能流水!$B$2:$B$1001,0)),""))</f>
        <v/>
      </c>
      <c r="G840" s="19">
        <f>IF($B840="","",IFERROR(INDEX(智能流水!$G$2:$G$1001,MATCH($B840,智能流水!$B$2:$B$1001,0)),""))</f>
        <v/>
      </c>
      <c r="H840" s="19">
        <f>IF($B840="","",IFERROR(INDEX(智能流水!$H$2:$H$1001,MATCH($B840,智能流水!$B$2:$B$1001,0)),""))</f>
        <v/>
      </c>
      <c r="I840" s="19">
        <f>IF($B840="","",IFERROR(INDEX(智能流水!$I$2:$I$1001,MATCH($B840,智能流水!$B$2:$B$1001,0)),""))</f>
        <v/>
      </c>
      <c r="J840" s="19">
        <f>IF($B840="","",IFERROR(INDEX(智能流水!$J$2:$J$1001,MATCH($B840,智能流水!$B$2:$B$1001,0)),""))</f>
        <v/>
      </c>
      <c r="K840" s="19">
        <f>IF($B840="","",IFERROR(INDEX(智能流水!$K$2:$K$1001,MATCH($B840,智能流水!$B$2:$B$1001,0)),""))</f>
        <v/>
      </c>
      <c r="L840" s="19">
        <f>IF($B840="","",IFERROR(INDEX(智能流水!$L$2:$L$1001,MATCH($B840,智能流水!$B$2:$B$1001,0)),""))</f>
        <v/>
      </c>
      <c r="M840" s="19">
        <f>IF($B840="","",IFERROR(INDEX(智能流水!$M$2:$M$1001,MATCH($B840,智能流水!$B$2:$B$1001,0)),""))</f>
        <v/>
      </c>
      <c r="N840" s="19">
        <f>IF($B840="","",IFERROR(INDEX(智能流水!$N$2:$N$1001,MATCH($B840,智能流水!$B$2:$B$1001,0)),""))</f>
        <v/>
      </c>
      <c r="O840" s="19">
        <f>IF($B840="","",IFERROR(INDEX(智能流水!$O$2:$O$1001,MATCH($B840,智能流水!$B$2:$B$1001,0)),""))</f>
        <v/>
      </c>
    </row>
    <row r="841">
      <c r="A841" s="19">
        <f>IF($B841="","",840)</f>
        <v/>
      </c>
      <c r="B841" s="19">
        <f>IFERROR(LARGE(智能流水!$B$2:$B$1001,840),"")</f>
        <v/>
      </c>
      <c r="C841" s="19">
        <f>IF($B841="","",IFERROR(INDEX(智能流水!$C$2:$C$1001,MATCH($B841,智能流水!$B$2:$B$1001,0)),""))</f>
        <v/>
      </c>
      <c r="D841" s="19">
        <f>IF($B841="","",IFERROR(INDEX(智能流水!$D$2:$D$1001,MATCH($B841,智能流水!$B$2:$B$1001,0)),""))</f>
        <v/>
      </c>
      <c r="E841" s="19">
        <f>IF($B841="","",IFERROR(INDEX(智能流水!$E$2:$E$1001,MATCH($B841,智能流水!$B$2:$B$1001,0)),""))</f>
        <v/>
      </c>
      <c r="F841" s="19">
        <f>IF($B841="","",IFERROR(INDEX(智能流水!$F$2:$F$1001,MATCH($B841,智能流水!$B$2:$B$1001,0)),""))</f>
        <v/>
      </c>
      <c r="G841" s="19">
        <f>IF($B841="","",IFERROR(INDEX(智能流水!$G$2:$G$1001,MATCH($B841,智能流水!$B$2:$B$1001,0)),""))</f>
        <v/>
      </c>
      <c r="H841" s="19">
        <f>IF($B841="","",IFERROR(INDEX(智能流水!$H$2:$H$1001,MATCH($B841,智能流水!$B$2:$B$1001,0)),""))</f>
        <v/>
      </c>
      <c r="I841" s="19">
        <f>IF($B841="","",IFERROR(INDEX(智能流水!$I$2:$I$1001,MATCH($B841,智能流水!$B$2:$B$1001,0)),""))</f>
        <v/>
      </c>
      <c r="J841" s="19">
        <f>IF($B841="","",IFERROR(INDEX(智能流水!$J$2:$J$1001,MATCH($B841,智能流水!$B$2:$B$1001,0)),""))</f>
        <v/>
      </c>
      <c r="K841" s="19">
        <f>IF($B841="","",IFERROR(INDEX(智能流水!$K$2:$K$1001,MATCH($B841,智能流水!$B$2:$B$1001,0)),""))</f>
        <v/>
      </c>
      <c r="L841" s="19">
        <f>IF($B841="","",IFERROR(INDEX(智能流水!$L$2:$L$1001,MATCH($B841,智能流水!$B$2:$B$1001,0)),""))</f>
        <v/>
      </c>
      <c r="M841" s="19">
        <f>IF($B841="","",IFERROR(INDEX(智能流水!$M$2:$M$1001,MATCH($B841,智能流水!$B$2:$B$1001,0)),""))</f>
        <v/>
      </c>
      <c r="N841" s="19">
        <f>IF($B841="","",IFERROR(INDEX(智能流水!$N$2:$N$1001,MATCH($B841,智能流水!$B$2:$B$1001,0)),""))</f>
        <v/>
      </c>
      <c r="O841" s="19">
        <f>IF($B841="","",IFERROR(INDEX(智能流水!$O$2:$O$1001,MATCH($B841,智能流水!$B$2:$B$1001,0)),""))</f>
        <v/>
      </c>
    </row>
    <row r="842">
      <c r="A842" s="19">
        <f>IF($B842="","",841)</f>
        <v/>
      </c>
      <c r="B842" s="19">
        <f>IFERROR(LARGE(智能流水!$B$2:$B$1001,841),"")</f>
        <v/>
      </c>
      <c r="C842" s="19">
        <f>IF($B842="","",IFERROR(INDEX(智能流水!$C$2:$C$1001,MATCH($B842,智能流水!$B$2:$B$1001,0)),""))</f>
        <v/>
      </c>
      <c r="D842" s="19">
        <f>IF($B842="","",IFERROR(INDEX(智能流水!$D$2:$D$1001,MATCH($B842,智能流水!$B$2:$B$1001,0)),""))</f>
        <v/>
      </c>
      <c r="E842" s="19">
        <f>IF($B842="","",IFERROR(INDEX(智能流水!$E$2:$E$1001,MATCH($B842,智能流水!$B$2:$B$1001,0)),""))</f>
        <v/>
      </c>
      <c r="F842" s="19">
        <f>IF($B842="","",IFERROR(INDEX(智能流水!$F$2:$F$1001,MATCH($B842,智能流水!$B$2:$B$1001,0)),""))</f>
        <v/>
      </c>
      <c r="G842" s="19">
        <f>IF($B842="","",IFERROR(INDEX(智能流水!$G$2:$G$1001,MATCH($B842,智能流水!$B$2:$B$1001,0)),""))</f>
        <v/>
      </c>
      <c r="H842" s="19">
        <f>IF($B842="","",IFERROR(INDEX(智能流水!$H$2:$H$1001,MATCH($B842,智能流水!$B$2:$B$1001,0)),""))</f>
        <v/>
      </c>
      <c r="I842" s="19">
        <f>IF($B842="","",IFERROR(INDEX(智能流水!$I$2:$I$1001,MATCH($B842,智能流水!$B$2:$B$1001,0)),""))</f>
        <v/>
      </c>
      <c r="J842" s="19">
        <f>IF($B842="","",IFERROR(INDEX(智能流水!$J$2:$J$1001,MATCH($B842,智能流水!$B$2:$B$1001,0)),""))</f>
        <v/>
      </c>
      <c r="K842" s="19">
        <f>IF($B842="","",IFERROR(INDEX(智能流水!$K$2:$K$1001,MATCH($B842,智能流水!$B$2:$B$1001,0)),""))</f>
        <v/>
      </c>
      <c r="L842" s="19">
        <f>IF($B842="","",IFERROR(INDEX(智能流水!$L$2:$L$1001,MATCH($B842,智能流水!$B$2:$B$1001,0)),""))</f>
        <v/>
      </c>
      <c r="M842" s="19">
        <f>IF($B842="","",IFERROR(INDEX(智能流水!$M$2:$M$1001,MATCH($B842,智能流水!$B$2:$B$1001,0)),""))</f>
        <v/>
      </c>
      <c r="N842" s="19">
        <f>IF($B842="","",IFERROR(INDEX(智能流水!$N$2:$N$1001,MATCH($B842,智能流水!$B$2:$B$1001,0)),""))</f>
        <v/>
      </c>
      <c r="O842" s="19">
        <f>IF($B842="","",IFERROR(INDEX(智能流水!$O$2:$O$1001,MATCH($B842,智能流水!$B$2:$B$1001,0)),""))</f>
        <v/>
      </c>
    </row>
    <row r="843">
      <c r="A843" s="19">
        <f>IF($B843="","",842)</f>
        <v/>
      </c>
      <c r="B843" s="19">
        <f>IFERROR(LARGE(智能流水!$B$2:$B$1001,842),"")</f>
        <v/>
      </c>
      <c r="C843" s="19">
        <f>IF($B843="","",IFERROR(INDEX(智能流水!$C$2:$C$1001,MATCH($B843,智能流水!$B$2:$B$1001,0)),""))</f>
        <v/>
      </c>
      <c r="D843" s="19">
        <f>IF($B843="","",IFERROR(INDEX(智能流水!$D$2:$D$1001,MATCH($B843,智能流水!$B$2:$B$1001,0)),""))</f>
        <v/>
      </c>
      <c r="E843" s="19">
        <f>IF($B843="","",IFERROR(INDEX(智能流水!$E$2:$E$1001,MATCH($B843,智能流水!$B$2:$B$1001,0)),""))</f>
        <v/>
      </c>
      <c r="F843" s="19">
        <f>IF($B843="","",IFERROR(INDEX(智能流水!$F$2:$F$1001,MATCH($B843,智能流水!$B$2:$B$1001,0)),""))</f>
        <v/>
      </c>
      <c r="G843" s="19">
        <f>IF($B843="","",IFERROR(INDEX(智能流水!$G$2:$G$1001,MATCH($B843,智能流水!$B$2:$B$1001,0)),""))</f>
        <v/>
      </c>
      <c r="H843" s="19">
        <f>IF($B843="","",IFERROR(INDEX(智能流水!$H$2:$H$1001,MATCH($B843,智能流水!$B$2:$B$1001,0)),""))</f>
        <v/>
      </c>
      <c r="I843" s="19">
        <f>IF($B843="","",IFERROR(INDEX(智能流水!$I$2:$I$1001,MATCH($B843,智能流水!$B$2:$B$1001,0)),""))</f>
        <v/>
      </c>
      <c r="J843" s="19">
        <f>IF($B843="","",IFERROR(INDEX(智能流水!$J$2:$J$1001,MATCH($B843,智能流水!$B$2:$B$1001,0)),""))</f>
        <v/>
      </c>
      <c r="K843" s="19">
        <f>IF($B843="","",IFERROR(INDEX(智能流水!$K$2:$K$1001,MATCH($B843,智能流水!$B$2:$B$1001,0)),""))</f>
        <v/>
      </c>
      <c r="L843" s="19">
        <f>IF($B843="","",IFERROR(INDEX(智能流水!$L$2:$L$1001,MATCH($B843,智能流水!$B$2:$B$1001,0)),""))</f>
        <v/>
      </c>
      <c r="M843" s="19">
        <f>IF($B843="","",IFERROR(INDEX(智能流水!$M$2:$M$1001,MATCH($B843,智能流水!$B$2:$B$1001,0)),""))</f>
        <v/>
      </c>
      <c r="N843" s="19">
        <f>IF($B843="","",IFERROR(INDEX(智能流水!$N$2:$N$1001,MATCH($B843,智能流水!$B$2:$B$1001,0)),""))</f>
        <v/>
      </c>
      <c r="O843" s="19">
        <f>IF($B843="","",IFERROR(INDEX(智能流水!$O$2:$O$1001,MATCH($B843,智能流水!$B$2:$B$1001,0)),""))</f>
        <v/>
      </c>
    </row>
    <row r="844">
      <c r="A844" s="19">
        <f>IF($B844="","",843)</f>
        <v/>
      </c>
      <c r="B844" s="19">
        <f>IFERROR(LARGE(智能流水!$B$2:$B$1001,843),"")</f>
        <v/>
      </c>
      <c r="C844" s="19">
        <f>IF($B844="","",IFERROR(INDEX(智能流水!$C$2:$C$1001,MATCH($B844,智能流水!$B$2:$B$1001,0)),""))</f>
        <v/>
      </c>
      <c r="D844" s="19">
        <f>IF($B844="","",IFERROR(INDEX(智能流水!$D$2:$D$1001,MATCH($B844,智能流水!$B$2:$B$1001,0)),""))</f>
        <v/>
      </c>
      <c r="E844" s="19">
        <f>IF($B844="","",IFERROR(INDEX(智能流水!$E$2:$E$1001,MATCH($B844,智能流水!$B$2:$B$1001,0)),""))</f>
        <v/>
      </c>
      <c r="F844" s="19">
        <f>IF($B844="","",IFERROR(INDEX(智能流水!$F$2:$F$1001,MATCH($B844,智能流水!$B$2:$B$1001,0)),""))</f>
        <v/>
      </c>
      <c r="G844" s="19">
        <f>IF($B844="","",IFERROR(INDEX(智能流水!$G$2:$G$1001,MATCH($B844,智能流水!$B$2:$B$1001,0)),""))</f>
        <v/>
      </c>
      <c r="H844" s="19">
        <f>IF($B844="","",IFERROR(INDEX(智能流水!$H$2:$H$1001,MATCH($B844,智能流水!$B$2:$B$1001,0)),""))</f>
        <v/>
      </c>
      <c r="I844" s="19">
        <f>IF($B844="","",IFERROR(INDEX(智能流水!$I$2:$I$1001,MATCH($B844,智能流水!$B$2:$B$1001,0)),""))</f>
        <v/>
      </c>
      <c r="J844" s="19">
        <f>IF($B844="","",IFERROR(INDEX(智能流水!$J$2:$J$1001,MATCH($B844,智能流水!$B$2:$B$1001,0)),""))</f>
        <v/>
      </c>
      <c r="K844" s="19">
        <f>IF($B844="","",IFERROR(INDEX(智能流水!$K$2:$K$1001,MATCH($B844,智能流水!$B$2:$B$1001,0)),""))</f>
        <v/>
      </c>
      <c r="L844" s="19">
        <f>IF($B844="","",IFERROR(INDEX(智能流水!$L$2:$L$1001,MATCH($B844,智能流水!$B$2:$B$1001,0)),""))</f>
        <v/>
      </c>
      <c r="M844" s="19">
        <f>IF($B844="","",IFERROR(INDEX(智能流水!$M$2:$M$1001,MATCH($B844,智能流水!$B$2:$B$1001,0)),""))</f>
        <v/>
      </c>
      <c r="N844" s="19">
        <f>IF($B844="","",IFERROR(INDEX(智能流水!$N$2:$N$1001,MATCH($B844,智能流水!$B$2:$B$1001,0)),""))</f>
        <v/>
      </c>
      <c r="O844" s="19">
        <f>IF($B844="","",IFERROR(INDEX(智能流水!$O$2:$O$1001,MATCH($B844,智能流水!$B$2:$B$1001,0)),""))</f>
        <v/>
      </c>
    </row>
    <row r="845">
      <c r="A845" s="19">
        <f>IF($B845="","",844)</f>
        <v/>
      </c>
      <c r="B845" s="19">
        <f>IFERROR(LARGE(智能流水!$B$2:$B$1001,844),"")</f>
        <v/>
      </c>
      <c r="C845" s="19">
        <f>IF($B845="","",IFERROR(INDEX(智能流水!$C$2:$C$1001,MATCH($B845,智能流水!$B$2:$B$1001,0)),""))</f>
        <v/>
      </c>
      <c r="D845" s="19">
        <f>IF($B845="","",IFERROR(INDEX(智能流水!$D$2:$D$1001,MATCH($B845,智能流水!$B$2:$B$1001,0)),""))</f>
        <v/>
      </c>
      <c r="E845" s="19">
        <f>IF($B845="","",IFERROR(INDEX(智能流水!$E$2:$E$1001,MATCH($B845,智能流水!$B$2:$B$1001,0)),""))</f>
        <v/>
      </c>
      <c r="F845" s="19">
        <f>IF($B845="","",IFERROR(INDEX(智能流水!$F$2:$F$1001,MATCH($B845,智能流水!$B$2:$B$1001,0)),""))</f>
        <v/>
      </c>
      <c r="G845" s="19">
        <f>IF($B845="","",IFERROR(INDEX(智能流水!$G$2:$G$1001,MATCH($B845,智能流水!$B$2:$B$1001,0)),""))</f>
        <v/>
      </c>
      <c r="H845" s="19">
        <f>IF($B845="","",IFERROR(INDEX(智能流水!$H$2:$H$1001,MATCH($B845,智能流水!$B$2:$B$1001,0)),""))</f>
        <v/>
      </c>
      <c r="I845" s="19">
        <f>IF($B845="","",IFERROR(INDEX(智能流水!$I$2:$I$1001,MATCH($B845,智能流水!$B$2:$B$1001,0)),""))</f>
        <v/>
      </c>
      <c r="J845" s="19">
        <f>IF($B845="","",IFERROR(INDEX(智能流水!$J$2:$J$1001,MATCH($B845,智能流水!$B$2:$B$1001,0)),""))</f>
        <v/>
      </c>
      <c r="K845" s="19">
        <f>IF($B845="","",IFERROR(INDEX(智能流水!$K$2:$K$1001,MATCH($B845,智能流水!$B$2:$B$1001,0)),""))</f>
        <v/>
      </c>
      <c r="L845" s="19">
        <f>IF($B845="","",IFERROR(INDEX(智能流水!$L$2:$L$1001,MATCH($B845,智能流水!$B$2:$B$1001,0)),""))</f>
        <v/>
      </c>
      <c r="M845" s="19">
        <f>IF($B845="","",IFERROR(INDEX(智能流水!$M$2:$M$1001,MATCH($B845,智能流水!$B$2:$B$1001,0)),""))</f>
        <v/>
      </c>
      <c r="N845" s="19">
        <f>IF($B845="","",IFERROR(INDEX(智能流水!$N$2:$N$1001,MATCH($B845,智能流水!$B$2:$B$1001,0)),""))</f>
        <v/>
      </c>
      <c r="O845" s="19">
        <f>IF($B845="","",IFERROR(INDEX(智能流水!$O$2:$O$1001,MATCH($B845,智能流水!$B$2:$B$1001,0)),""))</f>
        <v/>
      </c>
    </row>
    <row r="846">
      <c r="A846" s="19">
        <f>IF($B846="","",845)</f>
        <v/>
      </c>
      <c r="B846" s="19">
        <f>IFERROR(LARGE(智能流水!$B$2:$B$1001,845),"")</f>
        <v/>
      </c>
      <c r="C846" s="19">
        <f>IF($B846="","",IFERROR(INDEX(智能流水!$C$2:$C$1001,MATCH($B846,智能流水!$B$2:$B$1001,0)),""))</f>
        <v/>
      </c>
      <c r="D846" s="19">
        <f>IF($B846="","",IFERROR(INDEX(智能流水!$D$2:$D$1001,MATCH($B846,智能流水!$B$2:$B$1001,0)),""))</f>
        <v/>
      </c>
      <c r="E846" s="19">
        <f>IF($B846="","",IFERROR(INDEX(智能流水!$E$2:$E$1001,MATCH($B846,智能流水!$B$2:$B$1001,0)),""))</f>
        <v/>
      </c>
      <c r="F846" s="19">
        <f>IF($B846="","",IFERROR(INDEX(智能流水!$F$2:$F$1001,MATCH($B846,智能流水!$B$2:$B$1001,0)),""))</f>
        <v/>
      </c>
      <c r="G846" s="19">
        <f>IF($B846="","",IFERROR(INDEX(智能流水!$G$2:$G$1001,MATCH($B846,智能流水!$B$2:$B$1001,0)),""))</f>
        <v/>
      </c>
      <c r="H846" s="19">
        <f>IF($B846="","",IFERROR(INDEX(智能流水!$H$2:$H$1001,MATCH($B846,智能流水!$B$2:$B$1001,0)),""))</f>
        <v/>
      </c>
      <c r="I846" s="19">
        <f>IF($B846="","",IFERROR(INDEX(智能流水!$I$2:$I$1001,MATCH($B846,智能流水!$B$2:$B$1001,0)),""))</f>
        <v/>
      </c>
      <c r="J846" s="19">
        <f>IF($B846="","",IFERROR(INDEX(智能流水!$J$2:$J$1001,MATCH($B846,智能流水!$B$2:$B$1001,0)),""))</f>
        <v/>
      </c>
      <c r="K846" s="19">
        <f>IF($B846="","",IFERROR(INDEX(智能流水!$K$2:$K$1001,MATCH($B846,智能流水!$B$2:$B$1001,0)),""))</f>
        <v/>
      </c>
      <c r="L846" s="19">
        <f>IF($B846="","",IFERROR(INDEX(智能流水!$L$2:$L$1001,MATCH($B846,智能流水!$B$2:$B$1001,0)),""))</f>
        <v/>
      </c>
      <c r="M846" s="19">
        <f>IF($B846="","",IFERROR(INDEX(智能流水!$M$2:$M$1001,MATCH($B846,智能流水!$B$2:$B$1001,0)),""))</f>
        <v/>
      </c>
      <c r="N846" s="19">
        <f>IF($B846="","",IFERROR(INDEX(智能流水!$N$2:$N$1001,MATCH($B846,智能流水!$B$2:$B$1001,0)),""))</f>
        <v/>
      </c>
      <c r="O846" s="19">
        <f>IF($B846="","",IFERROR(INDEX(智能流水!$O$2:$O$1001,MATCH($B846,智能流水!$B$2:$B$1001,0)),""))</f>
        <v/>
      </c>
    </row>
    <row r="847">
      <c r="A847" s="19">
        <f>IF($B847="","",846)</f>
        <v/>
      </c>
      <c r="B847" s="19">
        <f>IFERROR(LARGE(智能流水!$B$2:$B$1001,846),"")</f>
        <v/>
      </c>
      <c r="C847" s="19">
        <f>IF($B847="","",IFERROR(INDEX(智能流水!$C$2:$C$1001,MATCH($B847,智能流水!$B$2:$B$1001,0)),""))</f>
        <v/>
      </c>
      <c r="D847" s="19">
        <f>IF($B847="","",IFERROR(INDEX(智能流水!$D$2:$D$1001,MATCH($B847,智能流水!$B$2:$B$1001,0)),""))</f>
        <v/>
      </c>
      <c r="E847" s="19">
        <f>IF($B847="","",IFERROR(INDEX(智能流水!$E$2:$E$1001,MATCH($B847,智能流水!$B$2:$B$1001,0)),""))</f>
        <v/>
      </c>
      <c r="F847" s="19">
        <f>IF($B847="","",IFERROR(INDEX(智能流水!$F$2:$F$1001,MATCH($B847,智能流水!$B$2:$B$1001,0)),""))</f>
        <v/>
      </c>
      <c r="G847" s="19">
        <f>IF($B847="","",IFERROR(INDEX(智能流水!$G$2:$G$1001,MATCH($B847,智能流水!$B$2:$B$1001,0)),""))</f>
        <v/>
      </c>
      <c r="H847" s="19">
        <f>IF($B847="","",IFERROR(INDEX(智能流水!$H$2:$H$1001,MATCH($B847,智能流水!$B$2:$B$1001,0)),""))</f>
        <v/>
      </c>
      <c r="I847" s="19">
        <f>IF($B847="","",IFERROR(INDEX(智能流水!$I$2:$I$1001,MATCH($B847,智能流水!$B$2:$B$1001,0)),""))</f>
        <v/>
      </c>
      <c r="J847" s="19">
        <f>IF($B847="","",IFERROR(INDEX(智能流水!$J$2:$J$1001,MATCH($B847,智能流水!$B$2:$B$1001,0)),""))</f>
        <v/>
      </c>
      <c r="K847" s="19">
        <f>IF($B847="","",IFERROR(INDEX(智能流水!$K$2:$K$1001,MATCH($B847,智能流水!$B$2:$B$1001,0)),""))</f>
        <v/>
      </c>
      <c r="L847" s="19">
        <f>IF($B847="","",IFERROR(INDEX(智能流水!$L$2:$L$1001,MATCH($B847,智能流水!$B$2:$B$1001,0)),""))</f>
        <v/>
      </c>
      <c r="M847" s="19">
        <f>IF($B847="","",IFERROR(INDEX(智能流水!$M$2:$M$1001,MATCH($B847,智能流水!$B$2:$B$1001,0)),""))</f>
        <v/>
      </c>
      <c r="N847" s="19">
        <f>IF($B847="","",IFERROR(INDEX(智能流水!$N$2:$N$1001,MATCH($B847,智能流水!$B$2:$B$1001,0)),""))</f>
        <v/>
      </c>
      <c r="O847" s="19">
        <f>IF($B847="","",IFERROR(INDEX(智能流水!$O$2:$O$1001,MATCH($B847,智能流水!$B$2:$B$1001,0)),""))</f>
        <v/>
      </c>
    </row>
    <row r="848">
      <c r="A848" s="19">
        <f>IF($B848="","",847)</f>
        <v/>
      </c>
      <c r="B848" s="19">
        <f>IFERROR(LARGE(智能流水!$B$2:$B$1001,847),"")</f>
        <v/>
      </c>
      <c r="C848" s="19">
        <f>IF($B848="","",IFERROR(INDEX(智能流水!$C$2:$C$1001,MATCH($B848,智能流水!$B$2:$B$1001,0)),""))</f>
        <v/>
      </c>
      <c r="D848" s="19">
        <f>IF($B848="","",IFERROR(INDEX(智能流水!$D$2:$D$1001,MATCH($B848,智能流水!$B$2:$B$1001,0)),""))</f>
        <v/>
      </c>
      <c r="E848" s="19">
        <f>IF($B848="","",IFERROR(INDEX(智能流水!$E$2:$E$1001,MATCH($B848,智能流水!$B$2:$B$1001,0)),""))</f>
        <v/>
      </c>
      <c r="F848" s="19">
        <f>IF($B848="","",IFERROR(INDEX(智能流水!$F$2:$F$1001,MATCH($B848,智能流水!$B$2:$B$1001,0)),""))</f>
        <v/>
      </c>
      <c r="G848" s="19">
        <f>IF($B848="","",IFERROR(INDEX(智能流水!$G$2:$G$1001,MATCH($B848,智能流水!$B$2:$B$1001,0)),""))</f>
        <v/>
      </c>
      <c r="H848" s="19">
        <f>IF($B848="","",IFERROR(INDEX(智能流水!$H$2:$H$1001,MATCH($B848,智能流水!$B$2:$B$1001,0)),""))</f>
        <v/>
      </c>
      <c r="I848" s="19">
        <f>IF($B848="","",IFERROR(INDEX(智能流水!$I$2:$I$1001,MATCH($B848,智能流水!$B$2:$B$1001,0)),""))</f>
        <v/>
      </c>
      <c r="J848" s="19">
        <f>IF($B848="","",IFERROR(INDEX(智能流水!$J$2:$J$1001,MATCH($B848,智能流水!$B$2:$B$1001,0)),""))</f>
        <v/>
      </c>
      <c r="K848" s="19">
        <f>IF($B848="","",IFERROR(INDEX(智能流水!$K$2:$K$1001,MATCH($B848,智能流水!$B$2:$B$1001,0)),""))</f>
        <v/>
      </c>
      <c r="L848" s="19">
        <f>IF($B848="","",IFERROR(INDEX(智能流水!$L$2:$L$1001,MATCH($B848,智能流水!$B$2:$B$1001,0)),""))</f>
        <v/>
      </c>
      <c r="M848" s="19">
        <f>IF($B848="","",IFERROR(INDEX(智能流水!$M$2:$M$1001,MATCH($B848,智能流水!$B$2:$B$1001,0)),""))</f>
        <v/>
      </c>
      <c r="N848" s="19">
        <f>IF($B848="","",IFERROR(INDEX(智能流水!$N$2:$N$1001,MATCH($B848,智能流水!$B$2:$B$1001,0)),""))</f>
        <v/>
      </c>
      <c r="O848" s="19">
        <f>IF($B848="","",IFERROR(INDEX(智能流水!$O$2:$O$1001,MATCH($B848,智能流水!$B$2:$B$1001,0)),""))</f>
        <v/>
      </c>
    </row>
    <row r="849">
      <c r="A849" s="19">
        <f>IF($B849="","",848)</f>
        <v/>
      </c>
      <c r="B849" s="19">
        <f>IFERROR(LARGE(智能流水!$B$2:$B$1001,848),"")</f>
        <v/>
      </c>
      <c r="C849" s="19">
        <f>IF($B849="","",IFERROR(INDEX(智能流水!$C$2:$C$1001,MATCH($B849,智能流水!$B$2:$B$1001,0)),""))</f>
        <v/>
      </c>
      <c r="D849" s="19">
        <f>IF($B849="","",IFERROR(INDEX(智能流水!$D$2:$D$1001,MATCH($B849,智能流水!$B$2:$B$1001,0)),""))</f>
        <v/>
      </c>
      <c r="E849" s="19">
        <f>IF($B849="","",IFERROR(INDEX(智能流水!$E$2:$E$1001,MATCH($B849,智能流水!$B$2:$B$1001,0)),""))</f>
        <v/>
      </c>
      <c r="F849" s="19">
        <f>IF($B849="","",IFERROR(INDEX(智能流水!$F$2:$F$1001,MATCH($B849,智能流水!$B$2:$B$1001,0)),""))</f>
        <v/>
      </c>
      <c r="G849" s="19">
        <f>IF($B849="","",IFERROR(INDEX(智能流水!$G$2:$G$1001,MATCH($B849,智能流水!$B$2:$B$1001,0)),""))</f>
        <v/>
      </c>
      <c r="H849" s="19">
        <f>IF($B849="","",IFERROR(INDEX(智能流水!$H$2:$H$1001,MATCH($B849,智能流水!$B$2:$B$1001,0)),""))</f>
        <v/>
      </c>
      <c r="I849" s="19">
        <f>IF($B849="","",IFERROR(INDEX(智能流水!$I$2:$I$1001,MATCH($B849,智能流水!$B$2:$B$1001,0)),""))</f>
        <v/>
      </c>
      <c r="J849" s="19">
        <f>IF($B849="","",IFERROR(INDEX(智能流水!$J$2:$J$1001,MATCH($B849,智能流水!$B$2:$B$1001,0)),""))</f>
        <v/>
      </c>
      <c r="K849" s="19">
        <f>IF($B849="","",IFERROR(INDEX(智能流水!$K$2:$K$1001,MATCH($B849,智能流水!$B$2:$B$1001,0)),""))</f>
        <v/>
      </c>
      <c r="L849" s="19">
        <f>IF($B849="","",IFERROR(INDEX(智能流水!$L$2:$L$1001,MATCH($B849,智能流水!$B$2:$B$1001,0)),""))</f>
        <v/>
      </c>
      <c r="M849" s="19">
        <f>IF($B849="","",IFERROR(INDEX(智能流水!$M$2:$M$1001,MATCH($B849,智能流水!$B$2:$B$1001,0)),""))</f>
        <v/>
      </c>
      <c r="N849" s="19">
        <f>IF($B849="","",IFERROR(INDEX(智能流水!$N$2:$N$1001,MATCH($B849,智能流水!$B$2:$B$1001,0)),""))</f>
        <v/>
      </c>
      <c r="O849" s="19">
        <f>IF($B849="","",IFERROR(INDEX(智能流水!$O$2:$O$1001,MATCH($B849,智能流水!$B$2:$B$1001,0)),""))</f>
        <v/>
      </c>
    </row>
    <row r="850">
      <c r="A850" s="19">
        <f>IF($B850="","",849)</f>
        <v/>
      </c>
      <c r="B850" s="19">
        <f>IFERROR(LARGE(智能流水!$B$2:$B$1001,849),"")</f>
        <v/>
      </c>
      <c r="C850" s="19">
        <f>IF($B850="","",IFERROR(INDEX(智能流水!$C$2:$C$1001,MATCH($B850,智能流水!$B$2:$B$1001,0)),""))</f>
        <v/>
      </c>
      <c r="D850" s="19">
        <f>IF($B850="","",IFERROR(INDEX(智能流水!$D$2:$D$1001,MATCH($B850,智能流水!$B$2:$B$1001,0)),""))</f>
        <v/>
      </c>
      <c r="E850" s="19">
        <f>IF($B850="","",IFERROR(INDEX(智能流水!$E$2:$E$1001,MATCH($B850,智能流水!$B$2:$B$1001,0)),""))</f>
        <v/>
      </c>
      <c r="F850" s="19">
        <f>IF($B850="","",IFERROR(INDEX(智能流水!$F$2:$F$1001,MATCH($B850,智能流水!$B$2:$B$1001,0)),""))</f>
        <v/>
      </c>
      <c r="G850" s="19">
        <f>IF($B850="","",IFERROR(INDEX(智能流水!$G$2:$G$1001,MATCH($B850,智能流水!$B$2:$B$1001,0)),""))</f>
        <v/>
      </c>
      <c r="H850" s="19">
        <f>IF($B850="","",IFERROR(INDEX(智能流水!$H$2:$H$1001,MATCH($B850,智能流水!$B$2:$B$1001,0)),""))</f>
        <v/>
      </c>
      <c r="I850" s="19">
        <f>IF($B850="","",IFERROR(INDEX(智能流水!$I$2:$I$1001,MATCH($B850,智能流水!$B$2:$B$1001,0)),""))</f>
        <v/>
      </c>
      <c r="J850" s="19">
        <f>IF($B850="","",IFERROR(INDEX(智能流水!$J$2:$J$1001,MATCH($B850,智能流水!$B$2:$B$1001,0)),""))</f>
        <v/>
      </c>
      <c r="K850" s="19">
        <f>IF($B850="","",IFERROR(INDEX(智能流水!$K$2:$K$1001,MATCH($B850,智能流水!$B$2:$B$1001,0)),""))</f>
        <v/>
      </c>
      <c r="L850" s="19">
        <f>IF($B850="","",IFERROR(INDEX(智能流水!$L$2:$L$1001,MATCH($B850,智能流水!$B$2:$B$1001,0)),""))</f>
        <v/>
      </c>
      <c r="M850" s="19">
        <f>IF($B850="","",IFERROR(INDEX(智能流水!$M$2:$M$1001,MATCH($B850,智能流水!$B$2:$B$1001,0)),""))</f>
        <v/>
      </c>
      <c r="N850" s="19">
        <f>IF($B850="","",IFERROR(INDEX(智能流水!$N$2:$N$1001,MATCH($B850,智能流水!$B$2:$B$1001,0)),""))</f>
        <v/>
      </c>
      <c r="O850" s="19">
        <f>IF($B850="","",IFERROR(INDEX(智能流水!$O$2:$O$1001,MATCH($B850,智能流水!$B$2:$B$1001,0)),""))</f>
        <v/>
      </c>
    </row>
    <row r="851">
      <c r="A851" s="19">
        <f>IF($B851="","",850)</f>
        <v/>
      </c>
      <c r="B851" s="19">
        <f>IFERROR(LARGE(智能流水!$B$2:$B$1001,850),"")</f>
        <v/>
      </c>
      <c r="C851" s="19">
        <f>IF($B851="","",IFERROR(INDEX(智能流水!$C$2:$C$1001,MATCH($B851,智能流水!$B$2:$B$1001,0)),""))</f>
        <v/>
      </c>
      <c r="D851" s="19">
        <f>IF($B851="","",IFERROR(INDEX(智能流水!$D$2:$D$1001,MATCH($B851,智能流水!$B$2:$B$1001,0)),""))</f>
        <v/>
      </c>
      <c r="E851" s="19">
        <f>IF($B851="","",IFERROR(INDEX(智能流水!$E$2:$E$1001,MATCH($B851,智能流水!$B$2:$B$1001,0)),""))</f>
        <v/>
      </c>
      <c r="F851" s="19">
        <f>IF($B851="","",IFERROR(INDEX(智能流水!$F$2:$F$1001,MATCH($B851,智能流水!$B$2:$B$1001,0)),""))</f>
        <v/>
      </c>
      <c r="G851" s="19">
        <f>IF($B851="","",IFERROR(INDEX(智能流水!$G$2:$G$1001,MATCH($B851,智能流水!$B$2:$B$1001,0)),""))</f>
        <v/>
      </c>
      <c r="H851" s="19">
        <f>IF($B851="","",IFERROR(INDEX(智能流水!$H$2:$H$1001,MATCH($B851,智能流水!$B$2:$B$1001,0)),""))</f>
        <v/>
      </c>
      <c r="I851" s="19">
        <f>IF($B851="","",IFERROR(INDEX(智能流水!$I$2:$I$1001,MATCH($B851,智能流水!$B$2:$B$1001,0)),""))</f>
        <v/>
      </c>
      <c r="J851" s="19">
        <f>IF($B851="","",IFERROR(INDEX(智能流水!$J$2:$J$1001,MATCH($B851,智能流水!$B$2:$B$1001,0)),""))</f>
        <v/>
      </c>
      <c r="K851" s="19">
        <f>IF($B851="","",IFERROR(INDEX(智能流水!$K$2:$K$1001,MATCH($B851,智能流水!$B$2:$B$1001,0)),""))</f>
        <v/>
      </c>
      <c r="L851" s="19">
        <f>IF($B851="","",IFERROR(INDEX(智能流水!$L$2:$L$1001,MATCH($B851,智能流水!$B$2:$B$1001,0)),""))</f>
        <v/>
      </c>
      <c r="M851" s="19">
        <f>IF($B851="","",IFERROR(INDEX(智能流水!$M$2:$M$1001,MATCH($B851,智能流水!$B$2:$B$1001,0)),""))</f>
        <v/>
      </c>
      <c r="N851" s="19">
        <f>IF($B851="","",IFERROR(INDEX(智能流水!$N$2:$N$1001,MATCH($B851,智能流水!$B$2:$B$1001,0)),""))</f>
        <v/>
      </c>
      <c r="O851" s="19">
        <f>IF($B851="","",IFERROR(INDEX(智能流水!$O$2:$O$1001,MATCH($B851,智能流水!$B$2:$B$1001,0)),""))</f>
        <v/>
      </c>
    </row>
    <row r="852">
      <c r="A852" s="19">
        <f>IF($B852="","",851)</f>
        <v/>
      </c>
      <c r="B852" s="19">
        <f>IFERROR(LARGE(智能流水!$B$2:$B$1001,851),"")</f>
        <v/>
      </c>
      <c r="C852" s="19">
        <f>IF($B852="","",IFERROR(INDEX(智能流水!$C$2:$C$1001,MATCH($B852,智能流水!$B$2:$B$1001,0)),""))</f>
        <v/>
      </c>
      <c r="D852" s="19">
        <f>IF($B852="","",IFERROR(INDEX(智能流水!$D$2:$D$1001,MATCH($B852,智能流水!$B$2:$B$1001,0)),""))</f>
        <v/>
      </c>
      <c r="E852" s="19">
        <f>IF($B852="","",IFERROR(INDEX(智能流水!$E$2:$E$1001,MATCH($B852,智能流水!$B$2:$B$1001,0)),""))</f>
        <v/>
      </c>
      <c r="F852" s="19">
        <f>IF($B852="","",IFERROR(INDEX(智能流水!$F$2:$F$1001,MATCH($B852,智能流水!$B$2:$B$1001,0)),""))</f>
        <v/>
      </c>
      <c r="G852" s="19">
        <f>IF($B852="","",IFERROR(INDEX(智能流水!$G$2:$G$1001,MATCH($B852,智能流水!$B$2:$B$1001,0)),""))</f>
        <v/>
      </c>
      <c r="H852" s="19">
        <f>IF($B852="","",IFERROR(INDEX(智能流水!$H$2:$H$1001,MATCH($B852,智能流水!$B$2:$B$1001,0)),""))</f>
        <v/>
      </c>
      <c r="I852" s="19">
        <f>IF($B852="","",IFERROR(INDEX(智能流水!$I$2:$I$1001,MATCH($B852,智能流水!$B$2:$B$1001,0)),""))</f>
        <v/>
      </c>
      <c r="J852" s="19">
        <f>IF($B852="","",IFERROR(INDEX(智能流水!$J$2:$J$1001,MATCH($B852,智能流水!$B$2:$B$1001,0)),""))</f>
        <v/>
      </c>
      <c r="K852" s="19">
        <f>IF($B852="","",IFERROR(INDEX(智能流水!$K$2:$K$1001,MATCH($B852,智能流水!$B$2:$B$1001,0)),""))</f>
        <v/>
      </c>
      <c r="L852" s="19">
        <f>IF($B852="","",IFERROR(INDEX(智能流水!$L$2:$L$1001,MATCH($B852,智能流水!$B$2:$B$1001,0)),""))</f>
        <v/>
      </c>
      <c r="M852" s="19">
        <f>IF($B852="","",IFERROR(INDEX(智能流水!$M$2:$M$1001,MATCH($B852,智能流水!$B$2:$B$1001,0)),""))</f>
        <v/>
      </c>
      <c r="N852" s="19">
        <f>IF($B852="","",IFERROR(INDEX(智能流水!$N$2:$N$1001,MATCH($B852,智能流水!$B$2:$B$1001,0)),""))</f>
        <v/>
      </c>
      <c r="O852" s="19">
        <f>IF($B852="","",IFERROR(INDEX(智能流水!$O$2:$O$1001,MATCH($B852,智能流水!$B$2:$B$1001,0)),""))</f>
        <v/>
      </c>
    </row>
    <row r="853">
      <c r="A853" s="19">
        <f>IF($B853="","",852)</f>
        <v/>
      </c>
      <c r="B853" s="19">
        <f>IFERROR(LARGE(智能流水!$B$2:$B$1001,852),"")</f>
        <v/>
      </c>
      <c r="C853" s="19">
        <f>IF($B853="","",IFERROR(INDEX(智能流水!$C$2:$C$1001,MATCH($B853,智能流水!$B$2:$B$1001,0)),""))</f>
        <v/>
      </c>
      <c r="D853" s="19">
        <f>IF($B853="","",IFERROR(INDEX(智能流水!$D$2:$D$1001,MATCH($B853,智能流水!$B$2:$B$1001,0)),""))</f>
        <v/>
      </c>
      <c r="E853" s="19">
        <f>IF($B853="","",IFERROR(INDEX(智能流水!$E$2:$E$1001,MATCH($B853,智能流水!$B$2:$B$1001,0)),""))</f>
        <v/>
      </c>
      <c r="F853" s="19">
        <f>IF($B853="","",IFERROR(INDEX(智能流水!$F$2:$F$1001,MATCH($B853,智能流水!$B$2:$B$1001,0)),""))</f>
        <v/>
      </c>
      <c r="G853" s="19">
        <f>IF($B853="","",IFERROR(INDEX(智能流水!$G$2:$G$1001,MATCH($B853,智能流水!$B$2:$B$1001,0)),""))</f>
        <v/>
      </c>
      <c r="H853" s="19">
        <f>IF($B853="","",IFERROR(INDEX(智能流水!$H$2:$H$1001,MATCH($B853,智能流水!$B$2:$B$1001,0)),""))</f>
        <v/>
      </c>
      <c r="I853" s="19">
        <f>IF($B853="","",IFERROR(INDEX(智能流水!$I$2:$I$1001,MATCH($B853,智能流水!$B$2:$B$1001,0)),""))</f>
        <v/>
      </c>
      <c r="J853" s="19">
        <f>IF($B853="","",IFERROR(INDEX(智能流水!$J$2:$J$1001,MATCH($B853,智能流水!$B$2:$B$1001,0)),""))</f>
        <v/>
      </c>
      <c r="K853" s="19">
        <f>IF($B853="","",IFERROR(INDEX(智能流水!$K$2:$K$1001,MATCH($B853,智能流水!$B$2:$B$1001,0)),""))</f>
        <v/>
      </c>
      <c r="L853" s="19">
        <f>IF($B853="","",IFERROR(INDEX(智能流水!$L$2:$L$1001,MATCH($B853,智能流水!$B$2:$B$1001,0)),""))</f>
        <v/>
      </c>
      <c r="M853" s="19">
        <f>IF($B853="","",IFERROR(INDEX(智能流水!$M$2:$M$1001,MATCH($B853,智能流水!$B$2:$B$1001,0)),""))</f>
        <v/>
      </c>
      <c r="N853" s="19">
        <f>IF($B853="","",IFERROR(INDEX(智能流水!$N$2:$N$1001,MATCH($B853,智能流水!$B$2:$B$1001,0)),""))</f>
        <v/>
      </c>
      <c r="O853" s="19">
        <f>IF($B853="","",IFERROR(INDEX(智能流水!$O$2:$O$1001,MATCH($B853,智能流水!$B$2:$B$1001,0)),""))</f>
        <v/>
      </c>
    </row>
    <row r="854">
      <c r="A854" s="19">
        <f>IF($B854="","",853)</f>
        <v/>
      </c>
      <c r="B854" s="19">
        <f>IFERROR(LARGE(智能流水!$B$2:$B$1001,853),"")</f>
        <v/>
      </c>
      <c r="C854" s="19">
        <f>IF($B854="","",IFERROR(INDEX(智能流水!$C$2:$C$1001,MATCH($B854,智能流水!$B$2:$B$1001,0)),""))</f>
        <v/>
      </c>
      <c r="D854" s="19">
        <f>IF($B854="","",IFERROR(INDEX(智能流水!$D$2:$D$1001,MATCH($B854,智能流水!$B$2:$B$1001,0)),""))</f>
        <v/>
      </c>
      <c r="E854" s="19">
        <f>IF($B854="","",IFERROR(INDEX(智能流水!$E$2:$E$1001,MATCH($B854,智能流水!$B$2:$B$1001,0)),""))</f>
        <v/>
      </c>
      <c r="F854" s="19">
        <f>IF($B854="","",IFERROR(INDEX(智能流水!$F$2:$F$1001,MATCH($B854,智能流水!$B$2:$B$1001,0)),""))</f>
        <v/>
      </c>
      <c r="G854" s="19">
        <f>IF($B854="","",IFERROR(INDEX(智能流水!$G$2:$G$1001,MATCH($B854,智能流水!$B$2:$B$1001,0)),""))</f>
        <v/>
      </c>
      <c r="H854" s="19">
        <f>IF($B854="","",IFERROR(INDEX(智能流水!$H$2:$H$1001,MATCH($B854,智能流水!$B$2:$B$1001,0)),""))</f>
        <v/>
      </c>
      <c r="I854" s="19">
        <f>IF($B854="","",IFERROR(INDEX(智能流水!$I$2:$I$1001,MATCH($B854,智能流水!$B$2:$B$1001,0)),""))</f>
        <v/>
      </c>
      <c r="J854" s="19">
        <f>IF($B854="","",IFERROR(INDEX(智能流水!$J$2:$J$1001,MATCH($B854,智能流水!$B$2:$B$1001,0)),""))</f>
        <v/>
      </c>
      <c r="K854" s="19">
        <f>IF($B854="","",IFERROR(INDEX(智能流水!$K$2:$K$1001,MATCH($B854,智能流水!$B$2:$B$1001,0)),""))</f>
        <v/>
      </c>
      <c r="L854" s="19">
        <f>IF($B854="","",IFERROR(INDEX(智能流水!$L$2:$L$1001,MATCH($B854,智能流水!$B$2:$B$1001,0)),""))</f>
        <v/>
      </c>
      <c r="M854" s="19">
        <f>IF($B854="","",IFERROR(INDEX(智能流水!$M$2:$M$1001,MATCH($B854,智能流水!$B$2:$B$1001,0)),""))</f>
        <v/>
      </c>
      <c r="N854" s="19">
        <f>IF($B854="","",IFERROR(INDEX(智能流水!$N$2:$N$1001,MATCH($B854,智能流水!$B$2:$B$1001,0)),""))</f>
        <v/>
      </c>
      <c r="O854" s="19">
        <f>IF($B854="","",IFERROR(INDEX(智能流水!$O$2:$O$1001,MATCH($B854,智能流水!$B$2:$B$1001,0)),""))</f>
        <v/>
      </c>
    </row>
    <row r="855">
      <c r="A855" s="19">
        <f>IF($B855="","",854)</f>
        <v/>
      </c>
      <c r="B855" s="19">
        <f>IFERROR(LARGE(智能流水!$B$2:$B$1001,854),"")</f>
        <v/>
      </c>
      <c r="C855" s="19">
        <f>IF($B855="","",IFERROR(INDEX(智能流水!$C$2:$C$1001,MATCH($B855,智能流水!$B$2:$B$1001,0)),""))</f>
        <v/>
      </c>
      <c r="D855" s="19">
        <f>IF($B855="","",IFERROR(INDEX(智能流水!$D$2:$D$1001,MATCH($B855,智能流水!$B$2:$B$1001,0)),""))</f>
        <v/>
      </c>
      <c r="E855" s="19">
        <f>IF($B855="","",IFERROR(INDEX(智能流水!$E$2:$E$1001,MATCH($B855,智能流水!$B$2:$B$1001,0)),""))</f>
        <v/>
      </c>
      <c r="F855" s="19">
        <f>IF($B855="","",IFERROR(INDEX(智能流水!$F$2:$F$1001,MATCH($B855,智能流水!$B$2:$B$1001,0)),""))</f>
        <v/>
      </c>
      <c r="G855" s="19">
        <f>IF($B855="","",IFERROR(INDEX(智能流水!$G$2:$G$1001,MATCH($B855,智能流水!$B$2:$B$1001,0)),""))</f>
        <v/>
      </c>
      <c r="H855" s="19">
        <f>IF($B855="","",IFERROR(INDEX(智能流水!$H$2:$H$1001,MATCH($B855,智能流水!$B$2:$B$1001,0)),""))</f>
        <v/>
      </c>
      <c r="I855" s="19">
        <f>IF($B855="","",IFERROR(INDEX(智能流水!$I$2:$I$1001,MATCH($B855,智能流水!$B$2:$B$1001,0)),""))</f>
        <v/>
      </c>
      <c r="J855" s="19">
        <f>IF($B855="","",IFERROR(INDEX(智能流水!$J$2:$J$1001,MATCH($B855,智能流水!$B$2:$B$1001,0)),""))</f>
        <v/>
      </c>
      <c r="K855" s="19">
        <f>IF($B855="","",IFERROR(INDEX(智能流水!$K$2:$K$1001,MATCH($B855,智能流水!$B$2:$B$1001,0)),""))</f>
        <v/>
      </c>
      <c r="L855" s="19">
        <f>IF($B855="","",IFERROR(INDEX(智能流水!$L$2:$L$1001,MATCH($B855,智能流水!$B$2:$B$1001,0)),""))</f>
        <v/>
      </c>
      <c r="M855" s="19">
        <f>IF($B855="","",IFERROR(INDEX(智能流水!$M$2:$M$1001,MATCH($B855,智能流水!$B$2:$B$1001,0)),""))</f>
        <v/>
      </c>
      <c r="N855" s="19">
        <f>IF($B855="","",IFERROR(INDEX(智能流水!$N$2:$N$1001,MATCH($B855,智能流水!$B$2:$B$1001,0)),""))</f>
        <v/>
      </c>
      <c r="O855" s="19">
        <f>IF($B855="","",IFERROR(INDEX(智能流水!$O$2:$O$1001,MATCH($B855,智能流水!$B$2:$B$1001,0)),""))</f>
        <v/>
      </c>
    </row>
    <row r="856">
      <c r="A856" s="19">
        <f>IF($B856="","",855)</f>
        <v/>
      </c>
      <c r="B856" s="19">
        <f>IFERROR(LARGE(智能流水!$B$2:$B$1001,855),"")</f>
        <v/>
      </c>
      <c r="C856" s="19">
        <f>IF($B856="","",IFERROR(INDEX(智能流水!$C$2:$C$1001,MATCH($B856,智能流水!$B$2:$B$1001,0)),""))</f>
        <v/>
      </c>
      <c r="D856" s="19">
        <f>IF($B856="","",IFERROR(INDEX(智能流水!$D$2:$D$1001,MATCH($B856,智能流水!$B$2:$B$1001,0)),""))</f>
        <v/>
      </c>
      <c r="E856" s="19">
        <f>IF($B856="","",IFERROR(INDEX(智能流水!$E$2:$E$1001,MATCH($B856,智能流水!$B$2:$B$1001,0)),""))</f>
        <v/>
      </c>
      <c r="F856" s="19">
        <f>IF($B856="","",IFERROR(INDEX(智能流水!$F$2:$F$1001,MATCH($B856,智能流水!$B$2:$B$1001,0)),""))</f>
        <v/>
      </c>
      <c r="G856" s="19">
        <f>IF($B856="","",IFERROR(INDEX(智能流水!$G$2:$G$1001,MATCH($B856,智能流水!$B$2:$B$1001,0)),""))</f>
        <v/>
      </c>
      <c r="H856" s="19">
        <f>IF($B856="","",IFERROR(INDEX(智能流水!$H$2:$H$1001,MATCH($B856,智能流水!$B$2:$B$1001,0)),""))</f>
        <v/>
      </c>
      <c r="I856" s="19">
        <f>IF($B856="","",IFERROR(INDEX(智能流水!$I$2:$I$1001,MATCH($B856,智能流水!$B$2:$B$1001,0)),""))</f>
        <v/>
      </c>
      <c r="J856" s="19">
        <f>IF($B856="","",IFERROR(INDEX(智能流水!$J$2:$J$1001,MATCH($B856,智能流水!$B$2:$B$1001,0)),""))</f>
        <v/>
      </c>
      <c r="K856" s="19">
        <f>IF($B856="","",IFERROR(INDEX(智能流水!$K$2:$K$1001,MATCH($B856,智能流水!$B$2:$B$1001,0)),""))</f>
        <v/>
      </c>
      <c r="L856" s="19">
        <f>IF($B856="","",IFERROR(INDEX(智能流水!$L$2:$L$1001,MATCH($B856,智能流水!$B$2:$B$1001,0)),""))</f>
        <v/>
      </c>
      <c r="M856" s="19">
        <f>IF($B856="","",IFERROR(INDEX(智能流水!$M$2:$M$1001,MATCH($B856,智能流水!$B$2:$B$1001,0)),""))</f>
        <v/>
      </c>
      <c r="N856" s="19">
        <f>IF($B856="","",IFERROR(INDEX(智能流水!$N$2:$N$1001,MATCH($B856,智能流水!$B$2:$B$1001,0)),""))</f>
        <v/>
      </c>
      <c r="O856" s="19">
        <f>IF($B856="","",IFERROR(INDEX(智能流水!$O$2:$O$1001,MATCH($B856,智能流水!$B$2:$B$1001,0)),""))</f>
        <v/>
      </c>
    </row>
    <row r="857">
      <c r="A857" s="19">
        <f>IF($B857="","",856)</f>
        <v/>
      </c>
      <c r="B857" s="19">
        <f>IFERROR(LARGE(智能流水!$B$2:$B$1001,856),"")</f>
        <v/>
      </c>
      <c r="C857" s="19">
        <f>IF($B857="","",IFERROR(INDEX(智能流水!$C$2:$C$1001,MATCH($B857,智能流水!$B$2:$B$1001,0)),""))</f>
        <v/>
      </c>
      <c r="D857" s="19">
        <f>IF($B857="","",IFERROR(INDEX(智能流水!$D$2:$D$1001,MATCH($B857,智能流水!$B$2:$B$1001,0)),""))</f>
        <v/>
      </c>
      <c r="E857" s="19">
        <f>IF($B857="","",IFERROR(INDEX(智能流水!$E$2:$E$1001,MATCH($B857,智能流水!$B$2:$B$1001,0)),""))</f>
        <v/>
      </c>
      <c r="F857" s="19">
        <f>IF($B857="","",IFERROR(INDEX(智能流水!$F$2:$F$1001,MATCH($B857,智能流水!$B$2:$B$1001,0)),""))</f>
        <v/>
      </c>
      <c r="G857" s="19">
        <f>IF($B857="","",IFERROR(INDEX(智能流水!$G$2:$G$1001,MATCH($B857,智能流水!$B$2:$B$1001,0)),""))</f>
        <v/>
      </c>
      <c r="H857" s="19">
        <f>IF($B857="","",IFERROR(INDEX(智能流水!$H$2:$H$1001,MATCH($B857,智能流水!$B$2:$B$1001,0)),""))</f>
        <v/>
      </c>
      <c r="I857" s="19">
        <f>IF($B857="","",IFERROR(INDEX(智能流水!$I$2:$I$1001,MATCH($B857,智能流水!$B$2:$B$1001,0)),""))</f>
        <v/>
      </c>
      <c r="J857" s="19">
        <f>IF($B857="","",IFERROR(INDEX(智能流水!$J$2:$J$1001,MATCH($B857,智能流水!$B$2:$B$1001,0)),""))</f>
        <v/>
      </c>
      <c r="K857" s="19">
        <f>IF($B857="","",IFERROR(INDEX(智能流水!$K$2:$K$1001,MATCH($B857,智能流水!$B$2:$B$1001,0)),""))</f>
        <v/>
      </c>
      <c r="L857" s="19">
        <f>IF($B857="","",IFERROR(INDEX(智能流水!$L$2:$L$1001,MATCH($B857,智能流水!$B$2:$B$1001,0)),""))</f>
        <v/>
      </c>
      <c r="M857" s="19">
        <f>IF($B857="","",IFERROR(INDEX(智能流水!$M$2:$M$1001,MATCH($B857,智能流水!$B$2:$B$1001,0)),""))</f>
        <v/>
      </c>
      <c r="N857" s="19">
        <f>IF($B857="","",IFERROR(INDEX(智能流水!$N$2:$N$1001,MATCH($B857,智能流水!$B$2:$B$1001,0)),""))</f>
        <v/>
      </c>
      <c r="O857" s="19">
        <f>IF($B857="","",IFERROR(INDEX(智能流水!$O$2:$O$1001,MATCH($B857,智能流水!$B$2:$B$1001,0)),""))</f>
        <v/>
      </c>
    </row>
    <row r="858">
      <c r="A858" s="19">
        <f>IF($B858="","",857)</f>
        <v/>
      </c>
      <c r="B858" s="19">
        <f>IFERROR(LARGE(智能流水!$B$2:$B$1001,857),"")</f>
        <v/>
      </c>
      <c r="C858" s="19">
        <f>IF($B858="","",IFERROR(INDEX(智能流水!$C$2:$C$1001,MATCH($B858,智能流水!$B$2:$B$1001,0)),""))</f>
        <v/>
      </c>
      <c r="D858" s="19">
        <f>IF($B858="","",IFERROR(INDEX(智能流水!$D$2:$D$1001,MATCH($B858,智能流水!$B$2:$B$1001,0)),""))</f>
        <v/>
      </c>
      <c r="E858" s="19">
        <f>IF($B858="","",IFERROR(INDEX(智能流水!$E$2:$E$1001,MATCH($B858,智能流水!$B$2:$B$1001,0)),""))</f>
        <v/>
      </c>
      <c r="F858" s="19">
        <f>IF($B858="","",IFERROR(INDEX(智能流水!$F$2:$F$1001,MATCH($B858,智能流水!$B$2:$B$1001,0)),""))</f>
        <v/>
      </c>
      <c r="G858" s="19">
        <f>IF($B858="","",IFERROR(INDEX(智能流水!$G$2:$G$1001,MATCH($B858,智能流水!$B$2:$B$1001,0)),""))</f>
        <v/>
      </c>
      <c r="H858" s="19">
        <f>IF($B858="","",IFERROR(INDEX(智能流水!$H$2:$H$1001,MATCH($B858,智能流水!$B$2:$B$1001,0)),""))</f>
        <v/>
      </c>
      <c r="I858" s="19">
        <f>IF($B858="","",IFERROR(INDEX(智能流水!$I$2:$I$1001,MATCH($B858,智能流水!$B$2:$B$1001,0)),""))</f>
        <v/>
      </c>
      <c r="J858" s="19">
        <f>IF($B858="","",IFERROR(INDEX(智能流水!$J$2:$J$1001,MATCH($B858,智能流水!$B$2:$B$1001,0)),""))</f>
        <v/>
      </c>
      <c r="K858" s="19">
        <f>IF($B858="","",IFERROR(INDEX(智能流水!$K$2:$K$1001,MATCH($B858,智能流水!$B$2:$B$1001,0)),""))</f>
        <v/>
      </c>
      <c r="L858" s="19">
        <f>IF($B858="","",IFERROR(INDEX(智能流水!$L$2:$L$1001,MATCH($B858,智能流水!$B$2:$B$1001,0)),""))</f>
        <v/>
      </c>
      <c r="M858" s="19">
        <f>IF($B858="","",IFERROR(INDEX(智能流水!$M$2:$M$1001,MATCH($B858,智能流水!$B$2:$B$1001,0)),""))</f>
        <v/>
      </c>
      <c r="N858" s="19">
        <f>IF($B858="","",IFERROR(INDEX(智能流水!$N$2:$N$1001,MATCH($B858,智能流水!$B$2:$B$1001,0)),""))</f>
        <v/>
      </c>
      <c r="O858" s="19">
        <f>IF($B858="","",IFERROR(INDEX(智能流水!$O$2:$O$1001,MATCH($B858,智能流水!$B$2:$B$1001,0)),""))</f>
        <v/>
      </c>
    </row>
    <row r="859">
      <c r="A859" s="19">
        <f>IF($B859="","",858)</f>
        <v/>
      </c>
      <c r="B859" s="19">
        <f>IFERROR(LARGE(智能流水!$B$2:$B$1001,858),"")</f>
        <v/>
      </c>
      <c r="C859" s="19">
        <f>IF($B859="","",IFERROR(INDEX(智能流水!$C$2:$C$1001,MATCH($B859,智能流水!$B$2:$B$1001,0)),""))</f>
        <v/>
      </c>
      <c r="D859" s="19">
        <f>IF($B859="","",IFERROR(INDEX(智能流水!$D$2:$D$1001,MATCH($B859,智能流水!$B$2:$B$1001,0)),""))</f>
        <v/>
      </c>
      <c r="E859" s="19">
        <f>IF($B859="","",IFERROR(INDEX(智能流水!$E$2:$E$1001,MATCH($B859,智能流水!$B$2:$B$1001,0)),""))</f>
        <v/>
      </c>
      <c r="F859" s="19">
        <f>IF($B859="","",IFERROR(INDEX(智能流水!$F$2:$F$1001,MATCH($B859,智能流水!$B$2:$B$1001,0)),""))</f>
        <v/>
      </c>
      <c r="G859" s="19">
        <f>IF($B859="","",IFERROR(INDEX(智能流水!$G$2:$G$1001,MATCH($B859,智能流水!$B$2:$B$1001,0)),""))</f>
        <v/>
      </c>
      <c r="H859" s="19">
        <f>IF($B859="","",IFERROR(INDEX(智能流水!$H$2:$H$1001,MATCH($B859,智能流水!$B$2:$B$1001,0)),""))</f>
        <v/>
      </c>
      <c r="I859" s="19">
        <f>IF($B859="","",IFERROR(INDEX(智能流水!$I$2:$I$1001,MATCH($B859,智能流水!$B$2:$B$1001,0)),""))</f>
        <v/>
      </c>
      <c r="J859" s="19">
        <f>IF($B859="","",IFERROR(INDEX(智能流水!$J$2:$J$1001,MATCH($B859,智能流水!$B$2:$B$1001,0)),""))</f>
        <v/>
      </c>
      <c r="K859" s="19">
        <f>IF($B859="","",IFERROR(INDEX(智能流水!$K$2:$K$1001,MATCH($B859,智能流水!$B$2:$B$1001,0)),""))</f>
        <v/>
      </c>
      <c r="L859" s="19">
        <f>IF($B859="","",IFERROR(INDEX(智能流水!$L$2:$L$1001,MATCH($B859,智能流水!$B$2:$B$1001,0)),""))</f>
        <v/>
      </c>
      <c r="M859" s="19">
        <f>IF($B859="","",IFERROR(INDEX(智能流水!$M$2:$M$1001,MATCH($B859,智能流水!$B$2:$B$1001,0)),""))</f>
        <v/>
      </c>
      <c r="N859" s="19">
        <f>IF($B859="","",IFERROR(INDEX(智能流水!$N$2:$N$1001,MATCH($B859,智能流水!$B$2:$B$1001,0)),""))</f>
        <v/>
      </c>
      <c r="O859" s="19">
        <f>IF($B859="","",IFERROR(INDEX(智能流水!$O$2:$O$1001,MATCH($B859,智能流水!$B$2:$B$1001,0)),""))</f>
        <v/>
      </c>
    </row>
    <row r="860">
      <c r="A860" s="19">
        <f>IF($B860="","",859)</f>
        <v/>
      </c>
      <c r="B860" s="19">
        <f>IFERROR(LARGE(智能流水!$B$2:$B$1001,859),"")</f>
        <v/>
      </c>
      <c r="C860" s="19">
        <f>IF($B860="","",IFERROR(INDEX(智能流水!$C$2:$C$1001,MATCH($B860,智能流水!$B$2:$B$1001,0)),""))</f>
        <v/>
      </c>
      <c r="D860" s="19">
        <f>IF($B860="","",IFERROR(INDEX(智能流水!$D$2:$D$1001,MATCH($B860,智能流水!$B$2:$B$1001,0)),""))</f>
        <v/>
      </c>
      <c r="E860" s="19">
        <f>IF($B860="","",IFERROR(INDEX(智能流水!$E$2:$E$1001,MATCH($B860,智能流水!$B$2:$B$1001,0)),""))</f>
        <v/>
      </c>
      <c r="F860" s="19">
        <f>IF($B860="","",IFERROR(INDEX(智能流水!$F$2:$F$1001,MATCH($B860,智能流水!$B$2:$B$1001,0)),""))</f>
        <v/>
      </c>
      <c r="G860" s="19">
        <f>IF($B860="","",IFERROR(INDEX(智能流水!$G$2:$G$1001,MATCH($B860,智能流水!$B$2:$B$1001,0)),""))</f>
        <v/>
      </c>
      <c r="H860" s="19">
        <f>IF($B860="","",IFERROR(INDEX(智能流水!$H$2:$H$1001,MATCH($B860,智能流水!$B$2:$B$1001,0)),""))</f>
        <v/>
      </c>
      <c r="I860" s="19">
        <f>IF($B860="","",IFERROR(INDEX(智能流水!$I$2:$I$1001,MATCH($B860,智能流水!$B$2:$B$1001,0)),""))</f>
        <v/>
      </c>
      <c r="J860" s="19">
        <f>IF($B860="","",IFERROR(INDEX(智能流水!$J$2:$J$1001,MATCH($B860,智能流水!$B$2:$B$1001,0)),""))</f>
        <v/>
      </c>
      <c r="K860" s="19">
        <f>IF($B860="","",IFERROR(INDEX(智能流水!$K$2:$K$1001,MATCH($B860,智能流水!$B$2:$B$1001,0)),""))</f>
        <v/>
      </c>
      <c r="L860" s="19">
        <f>IF($B860="","",IFERROR(INDEX(智能流水!$L$2:$L$1001,MATCH($B860,智能流水!$B$2:$B$1001,0)),""))</f>
        <v/>
      </c>
      <c r="M860" s="19">
        <f>IF($B860="","",IFERROR(INDEX(智能流水!$M$2:$M$1001,MATCH($B860,智能流水!$B$2:$B$1001,0)),""))</f>
        <v/>
      </c>
      <c r="N860" s="19">
        <f>IF($B860="","",IFERROR(INDEX(智能流水!$N$2:$N$1001,MATCH($B860,智能流水!$B$2:$B$1001,0)),""))</f>
        <v/>
      </c>
      <c r="O860" s="19">
        <f>IF($B860="","",IFERROR(INDEX(智能流水!$O$2:$O$1001,MATCH($B860,智能流水!$B$2:$B$1001,0)),""))</f>
        <v/>
      </c>
    </row>
    <row r="861">
      <c r="A861" s="19">
        <f>IF($B861="","",860)</f>
        <v/>
      </c>
      <c r="B861" s="19">
        <f>IFERROR(LARGE(智能流水!$B$2:$B$1001,860),"")</f>
        <v/>
      </c>
      <c r="C861" s="19">
        <f>IF($B861="","",IFERROR(INDEX(智能流水!$C$2:$C$1001,MATCH($B861,智能流水!$B$2:$B$1001,0)),""))</f>
        <v/>
      </c>
      <c r="D861" s="19">
        <f>IF($B861="","",IFERROR(INDEX(智能流水!$D$2:$D$1001,MATCH($B861,智能流水!$B$2:$B$1001,0)),""))</f>
        <v/>
      </c>
      <c r="E861" s="19">
        <f>IF($B861="","",IFERROR(INDEX(智能流水!$E$2:$E$1001,MATCH($B861,智能流水!$B$2:$B$1001,0)),""))</f>
        <v/>
      </c>
      <c r="F861" s="19">
        <f>IF($B861="","",IFERROR(INDEX(智能流水!$F$2:$F$1001,MATCH($B861,智能流水!$B$2:$B$1001,0)),""))</f>
        <v/>
      </c>
      <c r="G861" s="19">
        <f>IF($B861="","",IFERROR(INDEX(智能流水!$G$2:$G$1001,MATCH($B861,智能流水!$B$2:$B$1001,0)),""))</f>
        <v/>
      </c>
      <c r="H861" s="19">
        <f>IF($B861="","",IFERROR(INDEX(智能流水!$H$2:$H$1001,MATCH($B861,智能流水!$B$2:$B$1001,0)),""))</f>
        <v/>
      </c>
      <c r="I861" s="19">
        <f>IF($B861="","",IFERROR(INDEX(智能流水!$I$2:$I$1001,MATCH($B861,智能流水!$B$2:$B$1001,0)),""))</f>
        <v/>
      </c>
      <c r="J861" s="19">
        <f>IF($B861="","",IFERROR(INDEX(智能流水!$J$2:$J$1001,MATCH($B861,智能流水!$B$2:$B$1001,0)),""))</f>
        <v/>
      </c>
      <c r="K861" s="19">
        <f>IF($B861="","",IFERROR(INDEX(智能流水!$K$2:$K$1001,MATCH($B861,智能流水!$B$2:$B$1001,0)),""))</f>
        <v/>
      </c>
      <c r="L861" s="19">
        <f>IF($B861="","",IFERROR(INDEX(智能流水!$L$2:$L$1001,MATCH($B861,智能流水!$B$2:$B$1001,0)),""))</f>
        <v/>
      </c>
      <c r="M861" s="19">
        <f>IF($B861="","",IFERROR(INDEX(智能流水!$M$2:$M$1001,MATCH($B861,智能流水!$B$2:$B$1001,0)),""))</f>
        <v/>
      </c>
      <c r="N861" s="19">
        <f>IF($B861="","",IFERROR(INDEX(智能流水!$N$2:$N$1001,MATCH($B861,智能流水!$B$2:$B$1001,0)),""))</f>
        <v/>
      </c>
      <c r="O861" s="19">
        <f>IF($B861="","",IFERROR(INDEX(智能流水!$O$2:$O$1001,MATCH($B861,智能流水!$B$2:$B$1001,0)),""))</f>
        <v/>
      </c>
    </row>
    <row r="862">
      <c r="A862" s="19">
        <f>IF($B862="","",861)</f>
        <v/>
      </c>
      <c r="B862" s="19">
        <f>IFERROR(LARGE(智能流水!$B$2:$B$1001,861),"")</f>
        <v/>
      </c>
      <c r="C862" s="19">
        <f>IF($B862="","",IFERROR(INDEX(智能流水!$C$2:$C$1001,MATCH($B862,智能流水!$B$2:$B$1001,0)),""))</f>
        <v/>
      </c>
      <c r="D862" s="19">
        <f>IF($B862="","",IFERROR(INDEX(智能流水!$D$2:$D$1001,MATCH($B862,智能流水!$B$2:$B$1001,0)),""))</f>
        <v/>
      </c>
      <c r="E862" s="19">
        <f>IF($B862="","",IFERROR(INDEX(智能流水!$E$2:$E$1001,MATCH($B862,智能流水!$B$2:$B$1001,0)),""))</f>
        <v/>
      </c>
      <c r="F862" s="19">
        <f>IF($B862="","",IFERROR(INDEX(智能流水!$F$2:$F$1001,MATCH($B862,智能流水!$B$2:$B$1001,0)),""))</f>
        <v/>
      </c>
      <c r="G862" s="19">
        <f>IF($B862="","",IFERROR(INDEX(智能流水!$G$2:$G$1001,MATCH($B862,智能流水!$B$2:$B$1001,0)),""))</f>
        <v/>
      </c>
      <c r="H862" s="19">
        <f>IF($B862="","",IFERROR(INDEX(智能流水!$H$2:$H$1001,MATCH($B862,智能流水!$B$2:$B$1001,0)),""))</f>
        <v/>
      </c>
      <c r="I862" s="19">
        <f>IF($B862="","",IFERROR(INDEX(智能流水!$I$2:$I$1001,MATCH($B862,智能流水!$B$2:$B$1001,0)),""))</f>
        <v/>
      </c>
      <c r="J862" s="19">
        <f>IF($B862="","",IFERROR(INDEX(智能流水!$J$2:$J$1001,MATCH($B862,智能流水!$B$2:$B$1001,0)),""))</f>
        <v/>
      </c>
      <c r="K862" s="19">
        <f>IF($B862="","",IFERROR(INDEX(智能流水!$K$2:$K$1001,MATCH($B862,智能流水!$B$2:$B$1001,0)),""))</f>
        <v/>
      </c>
      <c r="L862" s="19">
        <f>IF($B862="","",IFERROR(INDEX(智能流水!$L$2:$L$1001,MATCH($B862,智能流水!$B$2:$B$1001,0)),""))</f>
        <v/>
      </c>
      <c r="M862" s="19">
        <f>IF($B862="","",IFERROR(INDEX(智能流水!$M$2:$M$1001,MATCH($B862,智能流水!$B$2:$B$1001,0)),""))</f>
        <v/>
      </c>
      <c r="N862" s="19">
        <f>IF($B862="","",IFERROR(INDEX(智能流水!$N$2:$N$1001,MATCH($B862,智能流水!$B$2:$B$1001,0)),""))</f>
        <v/>
      </c>
      <c r="O862" s="19">
        <f>IF($B862="","",IFERROR(INDEX(智能流水!$O$2:$O$1001,MATCH($B862,智能流水!$B$2:$B$1001,0)),""))</f>
        <v/>
      </c>
    </row>
    <row r="863">
      <c r="A863" s="19">
        <f>IF($B863="","",862)</f>
        <v/>
      </c>
      <c r="B863" s="19">
        <f>IFERROR(LARGE(智能流水!$B$2:$B$1001,862),"")</f>
        <v/>
      </c>
      <c r="C863" s="19">
        <f>IF($B863="","",IFERROR(INDEX(智能流水!$C$2:$C$1001,MATCH($B863,智能流水!$B$2:$B$1001,0)),""))</f>
        <v/>
      </c>
      <c r="D863" s="19">
        <f>IF($B863="","",IFERROR(INDEX(智能流水!$D$2:$D$1001,MATCH($B863,智能流水!$B$2:$B$1001,0)),""))</f>
        <v/>
      </c>
      <c r="E863" s="19">
        <f>IF($B863="","",IFERROR(INDEX(智能流水!$E$2:$E$1001,MATCH($B863,智能流水!$B$2:$B$1001,0)),""))</f>
        <v/>
      </c>
      <c r="F863" s="19">
        <f>IF($B863="","",IFERROR(INDEX(智能流水!$F$2:$F$1001,MATCH($B863,智能流水!$B$2:$B$1001,0)),""))</f>
        <v/>
      </c>
      <c r="G863" s="19">
        <f>IF($B863="","",IFERROR(INDEX(智能流水!$G$2:$G$1001,MATCH($B863,智能流水!$B$2:$B$1001,0)),""))</f>
        <v/>
      </c>
      <c r="H863" s="19">
        <f>IF($B863="","",IFERROR(INDEX(智能流水!$H$2:$H$1001,MATCH($B863,智能流水!$B$2:$B$1001,0)),""))</f>
        <v/>
      </c>
      <c r="I863" s="19">
        <f>IF($B863="","",IFERROR(INDEX(智能流水!$I$2:$I$1001,MATCH($B863,智能流水!$B$2:$B$1001,0)),""))</f>
        <v/>
      </c>
      <c r="J863" s="19">
        <f>IF($B863="","",IFERROR(INDEX(智能流水!$J$2:$J$1001,MATCH($B863,智能流水!$B$2:$B$1001,0)),""))</f>
        <v/>
      </c>
      <c r="K863" s="19">
        <f>IF($B863="","",IFERROR(INDEX(智能流水!$K$2:$K$1001,MATCH($B863,智能流水!$B$2:$B$1001,0)),""))</f>
        <v/>
      </c>
      <c r="L863" s="19">
        <f>IF($B863="","",IFERROR(INDEX(智能流水!$L$2:$L$1001,MATCH($B863,智能流水!$B$2:$B$1001,0)),""))</f>
        <v/>
      </c>
      <c r="M863" s="19">
        <f>IF($B863="","",IFERROR(INDEX(智能流水!$M$2:$M$1001,MATCH($B863,智能流水!$B$2:$B$1001,0)),""))</f>
        <v/>
      </c>
      <c r="N863" s="19">
        <f>IF($B863="","",IFERROR(INDEX(智能流水!$N$2:$N$1001,MATCH($B863,智能流水!$B$2:$B$1001,0)),""))</f>
        <v/>
      </c>
      <c r="O863" s="19">
        <f>IF($B863="","",IFERROR(INDEX(智能流水!$O$2:$O$1001,MATCH($B863,智能流水!$B$2:$B$1001,0)),""))</f>
        <v/>
      </c>
    </row>
    <row r="864">
      <c r="A864" s="19">
        <f>IF($B864="","",863)</f>
        <v/>
      </c>
      <c r="B864" s="19">
        <f>IFERROR(LARGE(智能流水!$B$2:$B$1001,863),"")</f>
        <v/>
      </c>
      <c r="C864" s="19">
        <f>IF($B864="","",IFERROR(INDEX(智能流水!$C$2:$C$1001,MATCH($B864,智能流水!$B$2:$B$1001,0)),""))</f>
        <v/>
      </c>
      <c r="D864" s="19">
        <f>IF($B864="","",IFERROR(INDEX(智能流水!$D$2:$D$1001,MATCH($B864,智能流水!$B$2:$B$1001,0)),""))</f>
        <v/>
      </c>
      <c r="E864" s="19">
        <f>IF($B864="","",IFERROR(INDEX(智能流水!$E$2:$E$1001,MATCH($B864,智能流水!$B$2:$B$1001,0)),""))</f>
        <v/>
      </c>
      <c r="F864" s="19">
        <f>IF($B864="","",IFERROR(INDEX(智能流水!$F$2:$F$1001,MATCH($B864,智能流水!$B$2:$B$1001,0)),""))</f>
        <v/>
      </c>
      <c r="G864" s="19">
        <f>IF($B864="","",IFERROR(INDEX(智能流水!$G$2:$G$1001,MATCH($B864,智能流水!$B$2:$B$1001,0)),""))</f>
        <v/>
      </c>
      <c r="H864" s="19">
        <f>IF($B864="","",IFERROR(INDEX(智能流水!$H$2:$H$1001,MATCH($B864,智能流水!$B$2:$B$1001,0)),""))</f>
        <v/>
      </c>
      <c r="I864" s="19">
        <f>IF($B864="","",IFERROR(INDEX(智能流水!$I$2:$I$1001,MATCH($B864,智能流水!$B$2:$B$1001,0)),""))</f>
        <v/>
      </c>
      <c r="J864" s="19">
        <f>IF($B864="","",IFERROR(INDEX(智能流水!$J$2:$J$1001,MATCH($B864,智能流水!$B$2:$B$1001,0)),""))</f>
        <v/>
      </c>
      <c r="K864" s="19">
        <f>IF($B864="","",IFERROR(INDEX(智能流水!$K$2:$K$1001,MATCH($B864,智能流水!$B$2:$B$1001,0)),""))</f>
        <v/>
      </c>
      <c r="L864" s="19">
        <f>IF($B864="","",IFERROR(INDEX(智能流水!$L$2:$L$1001,MATCH($B864,智能流水!$B$2:$B$1001,0)),""))</f>
        <v/>
      </c>
      <c r="M864" s="19">
        <f>IF($B864="","",IFERROR(INDEX(智能流水!$M$2:$M$1001,MATCH($B864,智能流水!$B$2:$B$1001,0)),""))</f>
        <v/>
      </c>
      <c r="N864" s="19">
        <f>IF($B864="","",IFERROR(INDEX(智能流水!$N$2:$N$1001,MATCH($B864,智能流水!$B$2:$B$1001,0)),""))</f>
        <v/>
      </c>
      <c r="O864" s="19">
        <f>IF($B864="","",IFERROR(INDEX(智能流水!$O$2:$O$1001,MATCH($B864,智能流水!$B$2:$B$1001,0)),""))</f>
        <v/>
      </c>
    </row>
    <row r="865">
      <c r="A865" s="19">
        <f>IF($B865="","",864)</f>
        <v/>
      </c>
      <c r="B865" s="19">
        <f>IFERROR(LARGE(智能流水!$B$2:$B$1001,864),"")</f>
        <v/>
      </c>
      <c r="C865" s="19">
        <f>IF($B865="","",IFERROR(INDEX(智能流水!$C$2:$C$1001,MATCH($B865,智能流水!$B$2:$B$1001,0)),""))</f>
        <v/>
      </c>
      <c r="D865" s="19">
        <f>IF($B865="","",IFERROR(INDEX(智能流水!$D$2:$D$1001,MATCH($B865,智能流水!$B$2:$B$1001,0)),""))</f>
        <v/>
      </c>
      <c r="E865" s="19">
        <f>IF($B865="","",IFERROR(INDEX(智能流水!$E$2:$E$1001,MATCH($B865,智能流水!$B$2:$B$1001,0)),""))</f>
        <v/>
      </c>
      <c r="F865" s="19">
        <f>IF($B865="","",IFERROR(INDEX(智能流水!$F$2:$F$1001,MATCH($B865,智能流水!$B$2:$B$1001,0)),""))</f>
        <v/>
      </c>
      <c r="G865" s="19">
        <f>IF($B865="","",IFERROR(INDEX(智能流水!$G$2:$G$1001,MATCH($B865,智能流水!$B$2:$B$1001,0)),""))</f>
        <v/>
      </c>
      <c r="H865" s="19">
        <f>IF($B865="","",IFERROR(INDEX(智能流水!$H$2:$H$1001,MATCH($B865,智能流水!$B$2:$B$1001,0)),""))</f>
        <v/>
      </c>
      <c r="I865" s="19">
        <f>IF($B865="","",IFERROR(INDEX(智能流水!$I$2:$I$1001,MATCH($B865,智能流水!$B$2:$B$1001,0)),""))</f>
        <v/>
      </c>
      <c r="J865" s="19">
        <f>IF($B865="","",IFERROR(INDEX(智能流水!$J$2:$J$1001,MATCH($B865,智能流水!$B$2:$B$1001,0)),""))</f>
        <v/>
      </c>
      <c r="K865" s="19">
        <f>IF($B865="","",IFERROR(INDEX(智能流水!$K$2:$K$1001,MATCH($B865,智能流水!$B$2:$B$1001,0)),""))</f>
        <v/>
      </c>
      <c r="L865" s="19">
        <f>IF($B865="","",IFERROR(INDEX(智能流水!$L$2:$L$1001,MATCH($B865,智能流水!$B$2:$B$1001,0)),""))</f>
        <v/>
      </c>
      <c r="M865" s="19">
        <f>IF($B865="","",IFERROR(INDEX(智能流水!$M$2:$M$1001,MATCH($B865,智能流水!$B$2:$B$1001,0)),""))</f>
        <v/>
      </c>
      <c r="N865" s="19">
        <f>IF($B865="","",IFERROR(INDEX(智能流水!$N$2:$N$1001,MATCH($B865,智能流水!$B$2:$B$1001,0)),""))</f>
        <v/>
      </c>
      <c r="O865" s="19">
        <f>IF($B865="","",IFERROR(INDEX(智能流水!$O$2:$O$1001,MATCH($B865,智能流水!$B$2:$B$1001,0)),""))</f>
        <v/>
      </c>
    </row>
    <row r="866">
      <c r="A866" s="19">
        <f>IF($B866="","",865)</f>
        <v/>
      </c>
      <c r="B866" s="19">
        <f>IFERROR(LARGE(智能流水!$B$2:$B$1001,865),"")</f>
        <v/>
      </c>
      <c r="C866" s="19">
        <f>IF($B866="","",IFERROR(INDEX(智能流水!$C$2:$C$1001,MATCH($B866,智能流水!$B$2:$B$1001,0)),""))</f>
        <v/>
      </c>
      <c r="D866" s="19">
        <f>IF($B866="","",IFERROR(INDEX(智能流水!$D$2:$D$1001,MATCH($B866,智能流水!$B$2:$B$1001,0)),""))</f>
        <v/>
      </c>
      <c r="E866" s="19">
        <f>IF($B866="","",IFERROR(INDEX(智能流水!$E$2:$E$1001,MATCH($B866,智能流水!$B$2:$B$1001,0)),""))</f>
        <v/>
      </c>
      <c r="F866" s="19">
        <f>IF($B866="","",IFERROR(INDEX(智能流水!$F$2:$F$1001,MATCH($B866,智能流水!$B$2:$B$1001,0)),""))</f>
        <v/>
      </c>
      <c r="G866" s="19">
        <f>IF($B866="","",IFERROR(INDEX(智能流水!$G$2:$G$1001,MATCH($B866,智能流水!$B$2:$B$1001,0)),""))</f>
        <v/>
      </c>
      <c r="H866" s="19">
        <f>IF($B866="","",IFERROR(INDEX(智能流水!$H$2:$H$1001,MATCH($B866,智能流水!$B$2:$B$1001,0)),""))</f>
        <v/>
      </c>
      <c r="I866" s="19">
        <f>IF($B866="","",IFERROR(INDEX(智能流水!$I$2:$I$1001,MATCH($B866,智能流水!$B$2:$B$1001,0)),""))</f>
        <v/>
      </c>
      <c r="J866" s="19">
        <f>IF($B866="","",IFERROR(INDEX(智能流水!$J$2:$J$1001,MATCH($B866,智能流水!$B$2:$B$1001,0)),""))</f>
        <v/>
      </c>
      <c r="K866" s="19">
        <f>IF($B866="","",IFERROR(INDEX(智能流水!$K$2:$K$1001,MATCH($B866,智能流水!$B$2:$B$1001,0)),""))</f>
        <v/>
      </c>
      <c r="L866" s="19">
        <f>IF($B866="","",IFERROR(INDEX(智能流水!$L$2:$L$1001,MATCH($B866,智能流水!$B$2:$B$1001,0)),""))</f>
        <v/>
      </c>
      <c r="M866" s="19">
        <f>IF($B866="","",IFERROR(INDEX(智能流水!$M$2:$M$1001,MATCH($B866,智能流水!$B$2:$B$1001,0)),""))</f>
        <v/>
      </c>
      <c r="N866" s="19">
        <f>IF($B866="","",IFERROR(INDEX(智能流水!$N$2:$N$1001,MATCH($B866,智能流水!$B$2:$B$1001,0)),""))</f>
        <v/>
      </c>
      <c r="O866" s="19">
        <f>IF($B866="","",IFERROR(INDEX(智能流水!$O$2:$O$1001,MATCH($B866,智能流水!$B$2:$B$1001,0)),""))</f>
        <v/>
      </c>
    </row>
    <row r="867">
      <c r="A867" s="19">
        <f>IF($B867="","",866)</f>
        <v/>
      </c>
      <c r="B867" s="19">
        <f>IFERROR(LARGE(智能流水!$B$2:$B$1001,866),"")</f>
        <v/>
      </c>
      <c r="C867" s="19">
        <f>IF($B867="","",IFERROR(INDEX(智能流水!$C$2:$C$1001,MATCH($B867,智能流水!$B$2:$B$1001,0)),""))</f>
        <v/>
      </c>
      <c r="D867" s="19">
        <f>IF($B867="","",IFERROR(INDEX(智能流水!$D$2:$D$1001,MATCH($B867,智能流水!$B$2:$B$1001,0)),""))</f>
        <v/>
      </c>
      <c r="E867" s="19">
        <f>IF($B867="","",IFERROR(INDEX(智能流水!$E$2:$E$1001,MATCH($B867,智能流水!$B$2:$B$1001,0)),""))</f>
        <v/>
      </c>
      <c r="F867" s="19">
        <f>IF($B867="","",IFERROR(INDEX(智能流水!$F$2:$F$1001,MATCH($B867,智能流水!$B$2:$B$1001,0)),""))</f>
        <v/>
      </c>
      <c r="G867" s="19">
        <f>IF($B867="","",IFERROR(INDEX(智能流水!$G$2:$G$1001,MATCH($B867,智能流水!$B$2:$B$1001,0)),""))</f>
        <v/>
      </c>
      <c r="H867" s="19">
        <f>IF($B867="","",IFERROR(INDEX(智能流水!$H$2:$H$1001,MATCH($B867,智能流水!$B$2:$B$1001,0)),""))</f>
        <v/>
      </c>
      <c r="I867" s="19">
        <f>IF($B867="","",IFERROR(INDEX(智能流水!$I$2:$I$1001,MATCH($B867,智能流水!$B$2:$B$1001,0)),""))</f>
        <v/>
      </c>
      <c r="J867" s="19">
        <f>IF($B867="","",IFERROR(INDEX(智能流水!$J$2:$J$1001,MATCH($B867,智能流水!$B$2:$B$1001,0)),""))</f>
        <v/>
      </c>
      <c r="K867" s="19">
        <f>IF($B867="","",IFERROR(INDEX(智能流水!$K$2:$K$1001,MATCH($B867,智能流水!$B$2:$B$1001,0)),""))</f>
        <v/>
      </c>
      <c r="L867" s="19">
        <f>IF($B867="","",IFERROR(INDEX(智能流水!$L$2:$L$1001,MATCH($B867,智能流水!$B$2:$B$1001,0)),""))</f>
        <v/>
      </c>
      <c r="M867" s="19">
        <f>IF($B867="","",IFERROR(INDEX(智能流水!$M$2:$M$1001,MATCH($B867,智能流水!$B$2:$B$1001,0)),""))</f>
        <v/>
      </c>
      <c r="N867" s="19">
        <f>IF($B867="","",IFERROR(INDEX(智能流水!$N$2:$N$1001,MATCH($B867,智能流水!$B$2:$B$1001,0)),""))</f>
        <v/>
      </c>
      <c r="O867" s="19">
        <f>IF($B867="","",IFERROR(INDEX(智能流水!$O$2:$O$1001,MATCH($B867,智能流水!$B$2:$B$1001,0)),""))</f>
        <v/>
      </c>
    </row>
    <row r="868">
      <c r="A868" s="19">
        <f>IF($B868="","",867)</f>
        <v/>
      </c>
      <c r="B868" s="19">
        <f>IFERROR(LARGE(智能流水!$B$2:$B$1001,867),"")</f>
        <v/>
      </c>
      <c r="C868" s="19">
        <f>IF($B868="","",IFERROR(INDEX(智能流水!$C$2:$C$1001,MATCH($B868,智能流水!$B$2:$B$1001,0)),""))</f>
        <v/>
      </c>
      <c r="D868" s="19">
        <f>IF($B868="","",IFERROR(INDEX(智能流水!$D$2:$D$1001,MATCH($B868,智能流水!$B$2:$B$1001,0)),""))</f>
        <v/>
      </c>
      <c r="E868" s="19">
        <f>IF($B868="","",IFERROR(INDEX(智能流水!$E$2:$E$1001,MATCH($B868,智能流水!$B$2:$B$1001,0)),""))</f>
        <v/>
      </c>
      <c r="F868" s="19">
        <f>IF($B868="","",IFERROR(INDEX(智能流水!$F$2:$F$1001,MATCH($B868,智能流水!$B$2:$B$1001,0)),""))</f>
        <v/>
      </c>
      <c r="G868" s="19">
        <f>IF($B868="","",IFERROR(INDEX(智能流水!$G$2:$G$1001,MATCH($B868,智能流水!$B$2:$B$1001,0)),""))</f>
        <v/>
      </c>
      <c r="H868" s="19">
        <f>IF($B868="","",IFERROR(INDEX(智能流水!$H$2:$H$1001,MATCH($B868,智能流水!$B$2:$B$1001,0)),""))</f>
        <v/>
      </c>
      <c r="I868" s="19">
        <f>IF($B868="","",IFERROR(INDEX(智能流水!$I$2:$I$1001,MATCH($B868,智能流水!$B$2:$B$1001,0)),""))</f>
        <v/>
      </c>
      <c r="J868" s="19">
        <f>IF($B868="","",IFERROR(INDEX(智能流水!$J$2:$J$1001,MATCH($B868,智能流水!$B$2:$B$1001,0)),""))</f>
        <v/>
      </c>
      <c r="K868" s="19">
        <f>IF($B868="","",IFERROR(INDEX(智能流水!$K$2:$K$1001,MATCH($B868,智能流水!$B$2:$B$1001,0)),""))</f>
        <v/>
      </c>
      <c r="L868" s="19">
        <f>IF($B868="","",IFERROR(INDEX(智能流水!$L$2:$L$1001,MATCH($B868,智能流水!$B$2:$B$1001,0)),""))</f>
        <v/>
      </c>
      <c r="M868" s="19">
        <f>IF($B868="","",IFERROR(INDEX(智能流水!$M$2:$M$1001,MATCH($B868,智能流水!$B$2:$B$1001,0)),""))</f>
        <v/>
      </c>
      <c r="N868" s="19">
        <f>IF($B868="","",IFERROR(INDEX(智能流水!$N$2:$N$1001,MATCH($B868,智能流水!$B$2:$B$1001,0)),""))</f>
        <v/>
      </c>
      <c r="O868" s="19">
        <f>IF($B868="","",IFERROR(INDEX(智能流水!$O$2:$O$1001,MATCH($B868,智能流水!$B$2:$B$1001,0)),""))</f>
        <v/>
      </c>
    </row>
    <row r="869">
      <c r="A869" s="19">
        <f>IF($B869="","",868)</f>
        <v/>
      </c>
      <c r="B869" s="19">
        <f>IFERROR(LARGE(智能流水!$B$2:$B$1001,868),"")</f>
        <v/>
      </c>
      <c r="C869" s="19">
        <f>IF($B869="","",IFERROR(INDEX(智能流水!$C$2:$C$1001,MATCH($B869,智能流水!$B$2:$B$1001,0)),""))</f>
        <v/>
      </c>
      <c r="D869" s="19">
        <f>IF($B869="","",IFERROR(INDEX(智能流水!$D$2:$D$1001,MATCH($B869,智能流水!$B$2:$B$1001,0)),""))</f>
        <v/>
      </c>
      <c r="E869" s="19">
        <f>IF($B869="","",IFERROR(INDEX(智能流水!$E$2:$E$1001,MATCH($B869,智能流水!$B$2:$B$1001,0)),""))</f>
        <v/>
      </c>
      <c r="F869" s="19">
        <f>IF($B869="","",IFERROR(INDEX(智能流水!$F$2:$F$1001,MATCH($B869,智能流水!$B$2:$B$1001,0)),""))</f>
        <v/>
      </c>
      <c r="G869" s="19">
        <f>IF($B869="","",IFERROR(INDEX(智能流水!$G$2:$G$1001,MATCH($B869,智能流水!$B$2:$B$1001,0)),""))</f>
        <v/>
      </c>
      <c r="H869" s="19">
        <f>IF($B869="","",IFERROR(INDEX(智能流水!$H$2:$H$1001,MATCH($B869,智能流水!$B$2:$B$1001,0)),""))</f>
        <v/>
      </c>
      <c r="I869" s="19">
        <f>IF($B869="","",IFERROR(INDEX(智能流水!$I$2:$I$1001,MATCH($B869,智能流水!$B$2:$B$1001,0)),""))</f>
        <v/>
      </c>
      <c r="J869" s="19">
        <f>IF($B869="","",IFERROR(INDEX(智能流水!$J$2:$J$1001,MATCH($B869,智能流水!$B$2:$B$1001,0)),""))</f>
        <v/>
      </c>
      <c r="K869" s="19">
        <f>IF($B869="","",IFERROR(INDEX(智能流水!$K$2:$K$1001,MATCH($B869,智能流水!$B$2:$B$1001,0)),""))</f>
        <v/>
      </c>
      <c r="L869" s="19">
        <f>IF($B869="","",IFERROR(INDEX(智能流水!$L$2:$L$1001,MATCH($B869,智能流水!$B$2:$B$1001,0)),""))</f>
        <v/>
      </c>
      <c r="M869" s="19">
        <f>IF($B869="","",IFERROR(INDEX(智能流水!$M$2:$M$1001,MATCH($B869,智能流水!$B$2:$B$1001,0)),""))</f>
        <v/>
      </c>
      <c r="N869" s="19">
        <f>IF($B869="","",IFERROR(INDEX(智能流水!$N$2:$N$1001,MATCH($B869,智能流水!$B$2:$B$1001,0)),""))</f>
        <v/>
      </c>
      <c r="O869" s="19">
        <f>IF($B869="","",IFERROR(INDEX(智能流水!$O$2:$O$1001,MATCH($B869,智能流水!$B$2:$B$1001,0)),""))</f>
        <v/>
      </c>
    </row>
    <row r="870">
      <c r="A870" s="19">
        <f>IF($B870="","",869)</f>
        <v/>
      </c>
      <c r="B870" s="19">
        <f>IFERROR(LARGE(智能流水!$B$2:$B$1001,869),"")</f>
        <v/>
      </c>
      <c r="C870" s="19">
        <f>IF($B870="","",IFERROR(INDEX(智能流水!$C$2:$C$1001,MATCH($B870,智能流水!$B$2:$B$1001,0)),""))</f>
        <v/>
      </c>
      <c r="D870" s="19">
        <f>IF($B870="","",IFERROR(INDEX(智能流水!$D$2:$D$1001,MATCH($B870,智能流水!$B$2:$B$1001,0)),""))</f>
        <v/>
      </c>
      <c r="E870" s="19">
        <f>IF($B870="","",IFERROR(INDEX(智能流水!$E$2:$E$1001,MATCH($B870,智能流水!$B$2:$B$1001,0)),""))</f>
        <v/>
      </c>
      <c r="F870" s="19">
        <f>IF($B870="","",IFERROR(INDEX(智能流水!$F$2:$F$1001,MATCH($B870,智能流水!$B$2:$B$1001,0)),""))</f>
        <v/>
      </c>
      <c r="G870" s="19">
        <f>IF($B870="","",IFERROR(INDEX(智能流水!$G$2:$G$1001,MATCH($B870,智能流水!$B$2:$B$1001,0)),""))</f>
        <v/>
      </c>
      <c r="H870" s="19">
        <f>IF($B870="","",IFERROR(INDEX(智能流水!$H$2:$H$1001,MATCH($B870,智能流水!$B$2:$B$1001,0)),""))</f>
        <v/>
      </c>
      <c r="I870" s="19">
        <f>IF($B870="","",IFERROR(INDEX(智能流水!$I$2:$I$1001,MATCH($B870,智能流水!$B$2:$B$1001,0)),""))</f>
        <v/>
      </c>
      <c r="J870" s="19">
        <f>IF($B870="","",IFERROR(INDEX(智能流水!$J$2:$J$1001,MATCH($B870,智能流水!$B$2:$B$1001,0)),""))</f>
        <v/>
      </c>
      <c r="K870" s="19">
        <f>IF($B870="","",IFERROR(INDEX(智能流水!$K$2:$K$1001,MATCH($B870,智能流水!$B$2:$B$1001,0)),""))</f>
        <v/>
      </c>
      <c r="L870" s="19">
        <f>IF($B870="","",IFERROR(INDEX(智能流水!$L$2:$L$1001,MATCH($B870,智能流水!$B$2:$B$1001,0)),""))</f>
        <v/>
      </c>
      <c r="M870" s="19">
        <f>IF($B870="","",IFERROR(INDEX(智能流水!$M$2:$M$1001,MATCH($B870,智能流水!$B$2:$B$1001,0)),""))</f>
        <v/>
      </c>
      <c r="N870" s="19">
        <f>IF($B870="","",IFERROR(INDEX(智能流水!$N$2:$N$1001,MATCH($B870,智能流水!$B$2:$B$1001,0)),""))</f>
        <v/>
      </c>
      <c r="O870" s="19">
        <f>IF($B870="","",IFERROR(INDEX(智能流水!$O$2:$O$1001,MATCH($B870,智能流水!$B$2:$B$1001,0)),""))</f>
        <v/>
      </c>
    </row>
    <row r="871">
      <c r="A871" s="19">
        <f>IF($B871="","",870)</f>
        <v/>
      </c>
      <c r="B871" s="19">
        <f>IFERROR(LARGE(智能流水!$B$2:$B$1001,870),"")</f>
        <v/>
      </c>
      <c r="C871" s="19">
        <f>IF($B871="","",IFERROR(INDEX(智能流水!$C$2:$C$1001,MATCH($B871,智能流水!$B$2:$B$1001,0)),""))</f>
        <v/>
      </c>
      <c r="D871" s="19">
        <f>IF($B871="","",IFERROR(INDEX(智能流水!$D$2:$D$1001,MATCH($B871,智能流水!$B$2:$B$1001,0)),""))</f>
        <v/>
      </c>
      <c r="E871" s="19">
        <f>IF($B871="","",IFERROR(INDEX(智能流水!$E$2:$E$1001,MATCH($B871,智能流水!$B$2:$B$1001,0)),""))</f>
        <v/>
      </c>
      <c r="F871" s="19">
        <f>IF($B871="","",IFERROR(INDEX(智能流水!$F$2:$F$1001,MATCH($B871,智能流水!$B$2:$B$1001,0)),""))</f>
        <v/>
      </c>
      <c r="G871" s="19">
        <f>IF($B871="","",IFERROR(INDEX(智能流水!$G$2:$G$1001,MATCH($B871,智能流水!$B$2:$B$1001,0)),""))</f>
        <v/>
      </c>
      <c r="H871" s="19">
        <f>IF($B871="","",IFERROR(INDEX(智能流水!$H$2:$H$1001,MATCH($B871,智能流水!$B$2:$B$1001,0)),""))</f>
        <v/>
      </c>
      <c r="I871" s="19">
        <f>IF($B871="","",IFERROR(INDEX(智能流水!$I$2:$I$1001,MATCH($B871,智能流水!$B$2:$B$1001,0)),""))</f>
        <v/>
      </c>
      <c r="J871" s="19">
        <f>IF($B871="","",IFERROR(INDEX(智能流水!$J$2:$J$1001,MATCH($B871,智能流水!$B$2:$B$1001,0)),""))</f>
        <v/>
      </c>
      <c r="K871" s="19">
        <f>IF($B871="","",IFERROR(INDEX(智能流水!$K$2:$K$1001,MATCH($B871,智能流水!$B$2:$B$1001,0)),""))</f>
        <v/>
      </c>
      <c r="L871" s="19">
        <f>IF($B871="","",IFERROR(INDEX(智能流水!$L$2:$L$1001,MATCH($B871,智能流水!$B$2:$B$1001,0)),""))</f>
        <v/>
      </c>
      <c r="M871" s="19">
        <f>IF($B871="","",IFERROR(INDEX(智能流水!$M$2:$M$1001,MATCH($B871,智能流水!$B$2:$B$1001,0)),""))</f>
        <v/>
      </c>
      <c r="N871" s="19">
        <f>IF($B871="","",IFERROR(INDEX(智能流水!$N$2:$N$1001,MATCH($B871,智能流水!$B$2:$B$1001,0)),""))</f>
        <v/>
      </c>
      <c r="O871" s="19">
        <f>IF($B871="","",IFERROR(INDEX(智能流水!$O$2:$O$1001,MATCH($B871,智能流水!$B$2:$B$1001,0)),""))</f>
        <v/>
      </c>
    </row>
    <row r="872">
      <c r="A872" s="19">
        <f>IF($B872="","",871)</f>
        <v/>
      </c>
      <c r="B872" s="19">
        <f>IFERROR(LARGE(智能流水!$B$2:$B$1001,871),"")</f>
        <v/>
      </c>
      <c r="C872" s="19">
        <f>IF($B872="","",IFERROR(INDEX(智能流水!$C$2:$C$1001,MATCH($B872,智能流水!$B$2:$B$1001,0)),""))</f>
        <v/>
      </c>
      <c r="D872" s="19">
        <f>IF($B872="","",IFERROR(INDEX(智能流水!$D$2:$D$1001,MATCH($B872,智能流水!$B$2:$B$1001,0)),""))</f>
        <v/>
      </c>
      <c r="E872" s="19">
        <f>IF($B872="","",IFERROR(INDEX(智能流水!$E$2:$E$1001,MATCH($B872,智能流水!$B$2:$B$1001,0)),""))</f>
        <v/>
      </c>
      <c r="F872" s="19">
        <f>IF($B872="","",IFERROR(INDEX(智能流水!$F$2:$F$1001,MATCH($B872,智能流水!$B$2:$B$1001,0)),""))</f>
        <v/>
      </c>
      <c r="G872" s="19">
        <f>IF($B872="","",IFERROR(INDEX(智能流水!$G$2:$G$1001,MATCH($B872,智能流水!$B$2:$B$1001,0)),""))</f>
        <v/>
      </c>
      <c r="H872" s="19">
        <f>IF($B872="","",IFERROR(INDEX(智能流水!$H$2:$H$1001,MATCH($B872,智能流水!$B$2:$B$1001,0)),""))</f>
        <v/>
      </c>
      <c r="I872" s="19">
        <f>IF($B872="","",IFERROR(INDEX(智能流水!$I$2:$I$1001,MATCH($B872,智能流水!$B$2:$B$1001,0)),""))</f>
        <v/>
      </c>
      <c r="J872" s="19">
        <f>IF($B872="","",IFERROR(INDEX(智能流水!$J$2:$J$1001,MATCH($B872,智能流水!$B$2:$B$1001,0)),""))</f>
        <v/>
      </c>
      <c r="K872" s="19">
        <f>IF($B872="","",IFERROR(INDEX(智能流水!$K$2:$K$1001,MATCH($B872,智能流水!$B$2:$B$1001,0)),""))</f>
        <v/>
      </c>
      <c r="L872" s="19">
        <f>IF($B872="","",IFERROR(INDEX(智能流水!$L$2:$L$1001,MATCH($B872,智能流水!$B$2:$B$1001,0)),""))</f>
        <v/>
      </c>
      <c r="M872" s="19">
        <f>IF($B872="","",IFERROR(INDEX(智能流水!$M$2:$M$1001,MATCH($B872,智能流水!$B$2:$B$1001,0)),""))</f>
        <v/>
      </c>
      <c r="N872" s="19">
        <f>IF($B872="","",IFERROR(INDEX(智能流水!$N$2:$N$1001,MATCH($B872,智能流水!$B$2:$B$1001,0)),""))</f>
        <v/>
      </c>
      <c r="O872" s="19">
        <f>IF($B872="","",IFERROR(INDEX(智能流水!$O$2:$O$1001,MATCH($B872,智能流水!$B$2:$B$1001,0)),""))</f>
        <v/>
      </c>
    </row>
    <row r="873">
      <c r="A873" s="19">
        <f>IF($B873="","",872)</f>
        <v/>
      </c>
      <c r="B873" s="19">
        <f>IFERROR(LARGE(智能流水!$B$2:$B$1001,872),"")</f>
        <v/>
      </c>
      <c r="C873" s="19">
        <f>IF($B873="","",IFERROR(INDEX(智能流水!$C$2:$C$1001,MATCH($B873,智能流水!$B$2:$B$1001,0)),""))</f>
        <v/>
      </c>
      <c r="D873" s="19">
        <f>IF($B873="","",IFERROR(INDEX(智能流水!$D$2:$D$1001,MATCH($B873,智能流水!$B$2:$B$1001,0)),""))</f>
        <v/>
      </c>
      <c r="E873" s="19">
        <f>IF($B873="","",IFERROR(INDEX(智能流水!$E$2:$E$1001,MATCH($B873,智能流水!$B$2:$B$1001,0)),""))</f>
        <v/>
      </c>
      <c r="F873" s="19">
        <f>IF($B873="","",IFERROR(INDEX(智能流水!$F$2:$F$1001,MATCH($B873,智能流水!$B$2:$B$1001,0)),""))</f>
        <v/>
      </c>
      <c r="G873" s="19">
        <f>IF($B873="","",IFERROR(INDEX(智能流水!$G$2:$G$1001,MATCH($B873,智能流水!$B$2:$B$1001,0)),""))</f>
        <v/>
      </c>
      <c r="H873" s="19">
        <f>IF($B873="","",IFERROR(INDEX(智能流水!$H$2:$H$1001,MATCH($B873,智能流水!$B$2:$B$1001,0)),""))</f>
        <v/>
      </c>
      <c r="I873" s="19">
        <f>IF($B873="","",IFERROR(INDEX(智能流水!$I$2:$I$1001,MATCH($B873,智能流水!$B$2:$B$1001,0)),""))</f>
        <v/>
      </c>
      <c r="J873" s="19">
        <f>IF($B873="","",IFERROR(INDEX(智能流水!$J$2:$J$1001,MATCH($B873,智能流水!$B$2:$B$1001,0)),""))</f>
        <v/>
      </c>
      <c r="K873" s="19">
        <f>IF($B873="","",IFERROR(INDEX(智能流水!$K$2:$K$1001,MATCH($B873,智能流水!$B$2:$B$1001,0)),""))</f>
        <v/>
      </c>
      <c r="L873" s="19">
        <f>IF($B873="","",IFERROR(INDEX(智能流水!$L$2:$L$1001,MATCH($B873,智能流水!$B$2:$B$1001,0)),""))</f>
        <v/>
      </c>
      <c r="M873" s="19">
        <f>IF($B873="","",IFERROR(INDEX(智能流水!$M$2:$M$1001,MATCH($B873,智能流水!$B$2:$B$1001,0)),""))</f>
        <v/>
      </c>
      <c r="N873" s="19">
        <f>IF($B873="","",IFERROR(INDEX(智能流水!$N$2:$N$1001,MATCH($B873,智能流水!$B$2:$B$1001,0)),""))</f>
        <v/>
      </c>
      <c r="O873" s="19">
        <f>IF($B873="","",IFERROR(INDEX(智能流水!$O$2:$O$1001,MATCH($B873,智能流水!$B$2:$B$1001,0)),""))</f>
        <v/>
      </c>
    </row>
    <row r="874">
      <c r="A874" s="19">
        <f>IF($B874="","",873)</f>
        <v/>
      </c>
      <c r="B874" s="19">
        <f>IFERROR(LARGE(智能流水!$B$2:$B$1001,873),"")</f>
        <v/>
      </c>
      <c r="C874" s="19">
        <f>IF($B874="","",IFERROR(INDEX(智能流水!$C$2:$C$1001,MATCH($B874,智能流水!$B$2:$B$1001,0)),""))</f>
        <v/>
      </c>
      <c r="D874" s="19">
        <f>IF($B874="","",IFERROR(INDEX(智能流水!$D$2:$D$1001,MATCH($B874,智能流水!$B$2:$B$1001,0)),""))</f>
        <v/>
      </c>
      <c r="E874" s="19">
        <f>IF($B874="","",IFERROR(INDEX(智能流水!$E$2:$E$1001,MATCH($B874,智能流水!$B$2:$B$1001,0)),""))</f>
        <v/>
      </c>
      <c r="F874" s="19">
        <f>IF($B874="","",IFERROR(INDEX(智能流水!$F$2:$F$1001,MATCH($B874,智能流水!$B$2:$B$1001,0)),""))</f>
        <v/>
      </c>
      <c r="G874" s="19">
        <f>IF($B874="","",IFERROR(INDEX(智能流水!$G$2:$G$1001,MATCH($B874,智能流水!$B$2:$B$1001,0)),""))</f>
        <v/>
      </c>
      <c r="H874" s="19">
        <f>IF($B874="","",IFERROR(INDEX(智能流水!$H$2:$H$1001,MATCH($B874,智能流水!$B$2:$B$1001,0)),""))</f>
        <v/>
      </c>
      <c r="I874" s="19">
        <f>IF($B874="","",IFERROR(INDEX(智能流水!$I$2:$I$1001,MATCH($B874,智能流水!$B$2:$B$1001,0)),""))</f>
        <v/>
      </c>
      <c r="J874" s="19">
        <f>IF($B874="","",IFERROR(INDEX(智能流水!$J$2:$J$1001,MATCH($B874,智能流水!$B$2:$B$1001,0)),""))</f>
        <v/>
      </c>
      <c r="K874" s="19">
        <f>IF($B874="","",IFERROR(INDEX(智能流水!$K$2:$K$1001,MATCH($B874,智能流水!$B$2:$B$1001,0)),""))</f>
        <v/>
      </c>
      <c r="L874" s="19">
        <f>IF($B874="","",IFERROR(INDEX(智能流水!$L$2:$L$1001,MATCH($B874,智能流水!$B$2:$B$1001,0)),""))</f>
        <v/>
      </c>
      <c r="M874" s="19">
        <f>IF($B874="","",IFERROR(INDEX(智能流水!$M$2:$M$1001,MATCH($B874,智能流水!$B$2:$B$1001,0)),""))</f>
        <v/>
      </c>
      <c r="N874" s="19">
        <f>IF($B874="","",IFERROR(INDEX(智能流水!$N$2:$N$1001,MATCH($B874,智能流水!$B$2:$B$1001,0)),""))</f>
        <v/>
      </c>
      <c r="O874" s="19">
        <f>IF($B874="","",IFERROR(INDEX(智能流水!$O$2:$O$1001,MATCH($B874,智能流水!$B$2:$B$1001,0)),""))</f>
        <v/>
      </c>
    </row>
    <row r="875">
      <c r="A875" s="19">
        <f>IF($B875="","",874)</f>
        <v/>
      </c>
      <c r="B875" s="19">
        <f>IFERROR(LARGE(智能流水!$B$2:$B$1001,874),"")</f>
        <v/>
      </c>
      <c r="C875" s="19">
        <f>IF($B875="","",IFERROR(INDEX(智能流水!$C$2:$C$1001,MATCH($B875,智能流水!$B$2:$B$1001,0)),""))</f>
        <v/>
      </c>
      <c r="D875" s="19">
        <f>IF($B875="","",IFERROR(INDEX(智能流水!$D$2:$D$1001,MATCH($B875,智能流水!$B$2:$B$1001,0)),""))</f>
        <v/>
      </c>
      <c r="E875" s="19">
        <f>IF($B875="","",IFERROR(INDEX(智能流水!$E$2:$E$1001,MATCH($B875,智能流水!$B$2:$B$1001,0)),""))</f>
        <v/>
      </c>
      <c r="F875" s="19">
        <f>IF($B875="","",IFERROR(INDEX(智能流水!$F$2:$F$1001,MATCH($B875,智能流水!$B$2:$B$1001,0)),""))</f>
        <v/>
      </c>
      <c r="G875" s="19">
        <f>IF($B875="","",IFERROR(INDEX(智能流水!$G$2:$G$1001,MATCH($B875,智能流水!$B$2:$B$1001,0)),""))</f>
        <v/>
      </c>
      <c r="H875" s="19">
        <f>IF($B875="","",IFERROR(INDEX(智能流水!$H$2:$H$1001,MATCH($B875,智能流水!$B$2:$B$1001,0)),""))</f>
        <v/>
      </c>
      <c r="I875" s="19">
        <f>IF($B875="","",IFERROR(INDEX(智能流水!$I$2:$I$1001,MATCH($B875,智能流水!$B$2:$B$1001,0)),""))</f>
        <v/>
      </c>
      <c r="J875" s="19">
        <f>IF($B875="","",IFERROR(INDEX(智能流水!$J$2:$J$1001,MATCH($B875,智能流水!$B$2:$B$1001,0)),""))</f>
        <v/>
      </c>
      <c r="K875" s="19">
        <f>IF($B875="","",IFERROR(INDEX(智能流水!$K$2:$K$1001,MATCH($B875,智能流水!$B$2:$B$1001,0)),""))</f>
        <v/>
      </c>
      <c r="L875" s="19">
        <f>IF($B875="","",IFERROR(INDEX(智能流水!$L$2:$L$1001,MATCH($B875,智能流水!$B$2:$B$1001,0)),""))</f>
        <v/>
      </c>
      <c r="M875" s="19">
        <f>IF($B875="","",IFERROR(INDEX(智能流水!$M$2:$M$1001,MATCH($B875,智能流水!$B$2:$B$1001,0)),""))</f>
        <v/>
      </c>
      <c r="N875" s="19">
        <f>IF($B875="","",IFERROR(INDEX(智能流水!$N$2:$N$1001,MATCH($B875,智能流水!$B$2:$B$1001,0)),""))</f>
        <v/>
      </c>
      <c r="O875" s="19">
        <f>IF($B875="","",IFERROR(INDEX(智能流水!$O$2:$O$1001,MATCH($B875,智能流水!$B$2:$B$1001,0)),""))</f>
        <v/>
      </c>
    </row>
    <row r="876">
      <c r="A876" s="19">
        <f>IF($B876="","",875)</f>
        <v/>
      </c>
      <c r="B876" s="19">
        <f>IFERROR(LARGE(智能流水!$B$2:$B$1001,875),"")</f>
        <v/>
      </c>
      <c r="C876" s="19">
        <f>IF($B876="","",IFERROR(INDEX(智能流水!$C$2:$C$1001,MATCH($B876,智能流水!$B$2:$B$1001,0)),""))</f>
        <v/>
      </c>
      <c r="D876" s="19">
        <f>IF($B876="","",IFERROR(INDEX(智能流水!$D$2:$D$1001,MATCH($B876,智能流水!$B$2:$B$1001,0)),""))</f>
        <v/>
      </c>
      <c r="E876" s="19">
        <f>IF($B876="","",IFERROR(INDEX(智能流水!$E$2:$E$1001,MATCH($B876,智能流水!$B$2:$B$1001,0)),""))</f>
        <v/>
      </c>
      <c r="F876" s="19">
        <f>IF($B876="","",IFERROR(INDEX(智能流水!$F$2:$F$1001,MATCH($B876,智能流水!$B$2:$B$1001,0)),""))</f>
        <v/>
      </c>
      <c r="G876" s="19">
        <f>IF($B876="","",IFERROR(INDEX(智能流水!$G$2:$G$1001,MATCH($B876,智能流水!$B$2:$B$1001,0)),""))</f>
        <v/>
      </c>
      <c r="H876" s="19">
        <f>IF($B876="","",IFERROR(INDEX(智能流水!$H$2:$H$1001,MATCH($B876,智能流水!$B$2:$B$1001,0)),""))</f>
        <v/>
      </c>
      <c r="I876" s="19">
        <f>IF($B876="","",IFERROR(INDEX(智能流水!$I$2:$I$1001,MATCH($B876,智能流水!$B$2:$B$1001,0)),""))</f>
        <v/>
      </c>
      <c r="J876" s="19">
        <f>IF($B876="","",IFERROR(INDEX(智能流水!$J$2:$J$1001,MATCH($B876,智能流水!$B$2:$B$1001,0)),""))</f>
        <v/>
      </c>
      <c r="K876" s="19">
        <f>IF($B876="","",IFERROR(INDEX(智能流水!$K$2:$K$1001,MATCH($B876,智能流水!$B$2:$B$1001,0)),""))</f>
        <v/>
      </c>
      <c r="L876" s="19">
        <f>IF($B876="","",IFERROR(INDEX(智能流水!$L$2:$L$1001,MATCH($B876,智能流水!$B$2:$B$1001,0)),""))</f>
        <v/>
      </c>
      <c r="M876" s="19">
        <f>IF($B876="","",IFERROR(INDEX(智能流水!$M$2:$M$1001,MATCH($B876,智能流水!$B$2:$B$1001,0)),""))</f>
        <v/>
      </c>
      <c r="N876" s="19">
        <f>IF($B876="","",IFERROR(INDEX(智能流水!$N$2:$N$1001,MATCH($B876,智能流水!$B$2:$B$1001,0)),""))</f>
        <v/>
      </c>
      <c r="O876" s="19">
        <f>IF($B876="","",IFERROR(INDEX(智能流水!$O$2:$O$1001,MATCH($B876,智能流水!$B$2:$B$1001,0)),""))</f>
        <v/>
      </c>
    </row>
    <row r="877">
      <c r="A877" s="19">
        <f>IF($B877="","",876)</f>
        <v/>
      </c>
      <c r="B877" s="19">
        <f>IFERROR(LARGE(智能流水!$B$2:$B$1001,876),"")</f>
        <v/>
      </c>
      <c r="C877" s="19">
        <f>IF($B877="","",IFERROR(INDEX(智能流水!$C$2:$C$1001,MATCH($B877,智能流水!$B$2:$B$1001,0)),""))</f>
        <v/>
      </c>
      <c r="D877" s="19">
        <f>IF($B877="","",IFERROR(INDEX(智能流水!$D$2:$D$1001,MATCH($B877,智能流水!$B$2:$B$1001,0)),""))</f>
        <v/>
      </c>
      <c r="E877" s="19">
        <f>IF($B877="","",IFERROR(INDEX(智能流水!$E$2:$E$1001,MATCH($B877,智能流水!$B$2:$B$1001,0)),""))</f>
        <v/>
      </c>
      <c r="F877" s="19">
        <f>IF($B877="","",IFERROR(INDEX(智能流水!$F$2:$F$1001,MATCH($B877,智能流水!$B$2:$B$1001,0)),""))</f>
        <v/>
      </c>
      <c r="G877" s="19">
        <f>IF($B877="","",IFERROR(INDEX(智能流水!$G$2:$G$1001,MATCH($B877,智能流水!$B$2:$B$1001,0)),""))</f>
        <v/>
      </c>
      <c r="H877" s="19">
        <f>IF($B877="","",IFERROR(INDEX(智能流水!$H$2:$H$1001,MATCH($B877,智能流水!$B$2:$B$1001,0)),""))</f>
        <v/>
      </c>
      <c r="I877" s="19">
        <f>IF($B877="","",IFERROR(INDEX(智能流水!$I$2:$I$1001,MATCH($B877,智能流水!$B$2:$B$1001,0)),""))</f>
        <v/>
      </c>
      <c r="J877" s="19">
        <f>IF($B877="","",IFERROR(INDEX(智能流水!$J$2:$J$1001,MATCH($B877,智能流水!$B$2:$B$1001,0)),""))</f>
        <v/>
      </c>
      <c r="K877" s="19">
        <f>IF($B877="","",IFERROR(INDEX(智能流水!$K$2:$K$1001,MATCH($B877,智能流水!$B$2:$B$1001,0)),""))</f>
        <v/>
      </c>
      <c r="L877" s="19">
        <f>IF($B877="","",IFERROR(INDEX(智能流水!$L$2:$L$1001,MATCH($B877,智能流水!$B$2:$B$1001,0)),""))</f>
        <v/>
      </c>
      <c r="M877" s="19">
        <f>IF($B877="","",IFERROR(INDEX(智能流水!$M$2:$M$1001,MATCH($B877,智能流水!$B$2:$B$1001,0)),""))</f>
        <v/>
      </c>
      <c r="N877" s="19">
        <f>IF($B877="","",IFERROR(INDEX(智能流水!$N$2:$N$1001,MATCH($B877,智能流水!$B$2:$B$1001,0)),""))</f>
        <v/>
      </c>
      <c r="O877" s="19">
        <f>IF($B877="","",IFERROR(INDEX(智能流水!$O$2:$O$1001,MATCH($B877,智能流水!$B$2:$B$1001,0)),""))</f>
        <v/>
      </c>
    </row>
    <row r="878">
      <c r="A878" s="19">
        <f>IF($B878="","",877)</f>
        <v/>
      </c>
      <c r="B878" s="19">
        <f>IFERROR(LARGE(智能流水!$B$2:$B$1001,877),"")</f>
        <v/>
      </c>
      <c r="C878" s="19">
        <f>IF($B878="","",IFERROR(INDEX(智能流水!$C$2:$C$1001,MATCH($B878,智能流水!$B$2:$B$1001,0)),""))</f>
        <v/>
      </c>
      <c r="D878" s="19">
        <f>IF($B878="","",IFERROR(INDEX(智能流水!$D$2:$D$1001,MATCH($B878,智能流水!$B$2:$B$1001,0)),""))</f>
        <v/>
      </c>
      <c r="E878" s="19">
        <f>IF($B878="","",IFERROR(INDEX(智能流水!$E$2:$E$1001,MATCH($B878,智能流水!$B$2:$B$1001,0)),""))</f>
        <v/>
      </c>
      <c r="F878" s="19">
        <f>IF($B878="","",IFERROR(INDEX(智能流水!$F$2:$F$1001,MATCH($B878,智能流水!$B$2:$B$1001,0)),""))</f>
        <v/>
      </c>
      <c r="G878" s="19">
        <f>IF($B878="","",IFERROR(INDEX(智能流水!$G$2:$G$1001,MATCH($B878,智能流水!$B$2:$B$1001,0)),""))</f>
        <v/>
      </c>
      <c r="H878" s="19">
        <f>IF($B878="","",IFERROR(INDEX(智能流水!$H$2:$H$1001,MATCH($B878,智能流水!$B$2:$B$1001,0)),""))</f>
        <v/>
      </c>
      <c r="I878" s="19">
        <f>IF($B878="","",IFERROR(INDEX(智能流水!$I$2:$I$1001,MATCH($B878,智能流水!$B$2:$B$1001,0)),""))</f>
        <v/>
      </c>
      <c r="J878" s="19">
        <f>IF($B878="","",IFERROR(INDEX(智能流水!$J$2:$J$1001,MATCH($B878,智能流水!$B$2:$B$1001,0)),""))</f>
        <v/>
      </c>
      <c r="K878" s="19">
        <f>IF($B878="","",IFERROR(INDEX(智能流水!$K$2:$K$1001,MATCH($B878,智能流水!$B$2:$B$1001,0)),""))</f>
        <v/>
      </c>
      <c r="L878" s="19">
        <f>IF($B878="","",IFERROR(INDEX(智能流水!$L$2:$L$1001,MATCH($B878,智能流水!$B$2:$B$1001,0)),""))</f>
        <v/>
      </c>
      <c r="M878" s="19">
        <f>IF($B878="","",IFERROR(INDEX(智能流水!$M$2:$M$1001,MATCH($B878,智能流水!$B$2:$B$1001,0)),""))</f>
        <v/>
      </c>
      <c r="N878" s="19">
        <f>IF($B878="","",IFERROR(INDEX(智能流水!$N$2:$N$1001,MATCH($B878,智能流水!$B$2:$B$1001,0)),""))</f>
        <v/>
      </c>
      <c r="O878" s="19">
        <f>IF($B878="","",IFERROR(INDEX(智能流水!$O$2:$O$1001,MATCH($B878,智能流水!$B$2:$B$1001,0)),""))</f>
        <v/>
      </c>
    </row>
    <row r="879">
      <c r="A879" s="19">
        <f>IF($B879="","",878)</f>
        <v/>
      </c>
      <c r="B879" s="19">
        <f>IFERROR(LARGE(智能流水!$B$2:$B$1001,878),"")</f>
        <v/>
      </c>
      <c r="C879" s="19">
        <f>IF($B879="","",IFERROR(INDEX(智能流水!$C$2:$C$1001,MATCH($B879,智能流水!$B$2:$B$1001,0)),""))</f>
        <v/>
      </c>
      <c r="D879" s="19">
        <f>IF($B879="","",IFERROR(INDEX(智能流水!$D$2:$D$1001,MATCH($B879,智能流水!$B$2:$B$1001,0)),""))</f>
        <v/>
      </c>
      <c r="E879" s="19">
        <f>IF($B879="","",IFERROR(INDEX(智能流水!$E$2:$E$1001,MATCH($B879,智能流水!$B$2:$B$1001,0)),""))</f>
        <v/>
      </c>
      <c r="F879" s="19">
        <f>IF($B879="","",IFERROR(INDEX(智能流水!$F$2:$F$1001,MATCH($B879,智能流水!$B$2:$B$1001,0)),""))</f>
        <v/>
      </c>
      <c r="G879" s="19">
        <f>IF($B879="","",IFERROR(INDEX(智能流水!$G$2:$G$1001,MATCH($B879,智能流水!$B$2:$B$1001,0)),""))</f>
        <v/>
      </c>
      <c r="H879" s="19">
        <f>IF($B879="","",IFERROR(INDEX(智能流水!$H$2:$H$1001,MATCH($B879,智能流水!$B$2:$B$1001,0)),""))</f>
        <v/>
      </c>
      <c r="I879" s="19">
        <f>IF($B879="","",IFERROR(INDEX(智能流水!$I$2:$I$1001,MATCH($B879,智能流水!$B$2:$B$1001,0)),""))</f>
        <v/>
      </c>
      <c r="J879" s="19">
        <f>IF($B879="","",IFERROR(INDEX(智能流水!$J$2:$J$1001,MATCH($B879,智能流水!$B$2:$B$1001,0)),""))</f>
        <v/>
      </c>
      <c r="K879" s="19">
        <f>IF($B879="","",IFERROR(INDEX(智能流水!$K$2:$K$1001,MATCH($B879,智能流水!$B$2:$B$1001,0)),""))</f>
        <v/>
      </c>
      <c r="L879" s="19">
        <f>IF($B879="","",IFERROR(INDEX(智能流水!$L$2:$L$1001,MATCH($B879,智能流水!$B$2:$B$1001,0)),""))</f>
        <v/>
      </c>
      <c r="M879" s="19">
        <f>IF($B879="","",IFERROR(INDEX(智能流水!$M$2:$M$1001,MATCH($B879,智能流水!$B$2:$B$1001,0)),""))</f>
        <v/>
      </c>
      <c r="N879" s="19">
        <f>IF($B879="","",IFERROR(INDEX(智能流水!$N$2:$N$1001,MATCH($B879,智能流水!$B$2:$B$1001,0)),""))</f>
        <v/>
      </c>
      <c r="O879" s="19">
        <f>IF($B879="","",IFERROR(INDEX(智能流水!$O$2:$O$1001,MATCH($B879,智能流水!$B$2:$B$1001,0)),""))</f>
        <v/>
      </c>
    </row>
    <row r="880">
      <c r="A880" s="19">
        <f>IF($B880="","",879)</f>
        <v/>
      </c>
      <c r="B880" s="19">
        <f>IFERROR(LARGE(智能流水!$B$2:$B$1001,879),"")</f>
        <v/>
      </c>
      <c r="C880" s="19">
        <f>IF($B880="","",IFERROR(INDEX(智能流水!$C$2:$C$1001,MATCH($B880,智能流水!$B$2:$B$1001,0)),""))</f>
        <v/>
      </c>
      <c r="D880" s="19">
        <f>IF($B880="","",IFERROR(INDEX(智能流水!$D$2:$D$1001,MATCH($B880,智能流水!$B$2:$B$1001,0)),""))</f>
        <v/>
      </c>
      <c r="E880" s="19">
        <f>IF($B880="","",IFERROR(INDEX(智能流水!$E$2:$E$1001,MATCH($B880,智能流水!$B$2:$B$1001,0)),""))</f>
        <v/>
      </c>
      <c r="F880" s="19">
        <f>IF($B880="","",IFERROR(INDEX(智能流水!$F$2:$F$1001,MATCH($B880,智能流水!$B$2:$B$1001,0)),""))</f>
        <v/>
      </c>
      <c r="G880" s="19">
        <f>IF($B880="","",IFERROR(INDEX(智能流水!$G$2:$G$1001,MATCH($B880,智能流水!$B$2:$B$1001,0)),""))</f>
        <v/>
      </c>
      <c r="H880" s="19">
        <f>IF($B880="","",IFERROR(INDEX(智能流水!$H$2:$H$1001,MATCH($B880,智能流水!$B$2:$B$1001,0)),""))</f>
        <v/>
      </c>
      <c r="I880" s="19">
        <f>IF($B880="","",IFERROR(INDEX(智能流水!$I$2:$I$1001,MATCH($B880,智能流水!$B$2:$B$1001,0)),""))</f>
        <v/>
      </c>
      <c r="J880" s="19">
        <f>IF($B880="","",IFERROR(INDEX(智能流水!$J$2:$J$1001,MATCH($B880,智能流水!$B$2:$B$1001,0)),""))</f>
        <v/>
      </c>
      <c r="K880" s="19">
        <f>IF($B880="","",IFERROR(INDEX(智能流水!$K$2:$K$1001,MATCH($B880,智能流水!$B$2:$B$1001,0)),""))</f>
        <v/>
      </c>
      <c r="L880" s="19">
        <f>IF($B880="","",IFERROR(INDEX(智能流水!$L$2:$L$1001,MATCH($B880,智能流水!$B$2:$B$1001,0)),""))</f>
        <v/>
      </c>
      <c r="M880" s="19">
        <f>IF($B880="","",IFERROR(INDEX(智能流水!$M$2:$M$1001,MATCH($B880,智能流水!$B$2:$B$1001,0)),""))</f>
        <v/>
      </c>
      <c r="N880" s="19">
        <f>IF($B880="","",IFERROR(INDEX(智能流水!$N$2:$N$1001,MATCH($B880,智能流水!$B$2:$B$1001,0)),""))</f>
        <v/>
      </c>
      <c r="O880" s="19">
        <f>IF($B880="","",IFERROR(INDEX(智能流水!$O$2:$O$1001,MATCH($B880,智能流水!$B$2:$B$1001,0)),""))</f>
        <v/>
      </c>
    </row>
    <row r="881">
      <c r="A881" s="19">
        <f>IF($B881="","",880)</f>
        <v/>
      </c>
      <c r="B881" s="19">
        <f>IFERROR(LARGE(智能流水!$B$2:$B$1001,880),"")</f>
        <v/>
      </c>
      <c r="C881" s="19">
        <f>IF($B881="","",IFERROR(INDEX(智能流水!$C$2:$C$1001,MATCH($B881,智能流水!$B$2:$B$1001,0)),""))</f>
        <v/>
      </c>
      <c r="D881" s="19">
        <f>IF($B881="","",IFERROR(INDEX(智能流水!$D$2:$D$1001,MATCH($B881,智能流水!$B$2:$B$1001,0)),""))</f>
        <v/>
      </c>
      <c r="E881" s="19">
        <f>IF($B881="","",IFERROR(INDEX(智能流水!$E$2:$E$1001,MATCH($B881,智能流水!$B$2:$B$1001,0)),""))</f>
        <v/>
      </c>
      <c r="F881" s="19">
        <f>IF($B881="","",IFERROR(INDEX(智能流水!$F$2:$F$1001,MATCH($B881,智能流水!$B$2:$B$1001,0)),""))</f>
        <v/>
      </c>
      <c r="G881" s="19">
        <f>IF($B881="","",IFERROR(INDEX(智能流水!$G$2:$G$1001,MATCH($B881,智能流水!$B$2:$B$1001,0)),""))</f>
        <v/>
      </c>
      <c r="H881" s="19">
        <f>IF($B881="","",IFERROR(INDEX(智能流水!$H$2:$H$1001,MATCH($B881,智能流水!$B$2:$B$1001,0)),""))</f>
        <v/>
      </c>
      <c r="I881" s="19">
        <f>IF($B881="","",IFERROR(INDEX(智能流水!$I$2:$I$1001,MATCH($B881,智能流水!$B$2:$B$1001,0)),""))</f>
        <v/>
      </c>
      <c r="J881" s="19">
        <f>IF($B881="","",IFERROR(INDEX(智能流水!$J$2:$J$1001,MATCH($B881,智能流水!$B$2:$B$1001,0)),""))</f>
        <v/>
      </c>
      <c r="K881" s="19">
        <f>IF($B881="","",IFERROR(INDEX(智能流水!$K$2:$K$1001,MATCH($B881,智能流水!$B$2:$B$1001,0)),""))</f>
        <v/>
      </c>
      <c r="L881" s="19">
        <f>IF($B881="","",IFERROR(INDEX(智能流水!$L$2:$L$1001,MATCH($B881,智能流水!$B$2:$B$1001,0)),""))</f>
        <v/>
      </c>
      <c r="M881" s="19">
        <f>IF($B881="","",IFERROR(INDEX(智能流水!$M$2:$M$1001,MATCH($B881,智能流水!$B$2:$B$1001,0)),""))</f>
        <v/>
      </c>
      <c r="N881" s="19">
        <f>IF($B881="","",IFERROR(INDEX(智能流水!$N$2:$N$1001,MATCH($B881,智能流水!$B$2:$B$1001,0)),""))</f>
        <v/>
      </c>
      <c r="O881" s="19">
        <f>IF($B881="","",IFERROR(INDEX(智能流水!$O$2:$O$1001,MATCH($B881,智能流水!$B$2:$B$1001,0)),""))</f>
        <v/>
      </c>
    </row>
    <row r="882">
      <c r="A882" s="19">
        <f>IF($B882="","",881)</f>
        <v/>
      </c>
      <c r="B882" s="19">
        <f>IFERROR(LARGE(智能流水!$B$2:$B$1001,881),"")</f>
        <v/>
      </c>
      <c r="C882" s="19">
        <f>IF($B882="","",IFERROR(INDEX(智能流水!$C$2:$C$1001,MATCH($B882,智能流水!$B$2:$B$1001,0)),""))</f>
        <v/>
      </c>
      <c r="D882" s="19">
        <f>IF($B882="","",IFERROR(INDEX(智能流水!$D$2:$D$1001,MATCH($B882,智能流水!$B$2:$B$1001,0)),""))</f>
        <v/>
      </c>
      <c r="E882" s="19">
        <f>IF($B882="","",IFERROR(INDEX(智能流水!$E$2:$E$1001,MATCH($B882,智能流水!$B$2:$B$1001,0)),""))</f>
        <v/>
      </c>
      <c r="F882" s="19">
        <f>IF($B882="","",IFERROR(INDEX(智能流水!$F$2:$F$1001,MATCH($B882,智能流水!$B$2:$B$1001,0)),""))</f>
        <v/>
      </c>
      <c r="G882" s="19">
        <f>IF($B882="","",IFERROR(INDEX(智能流水!$G$2:$G$1001,MATCH($B882,智能流水!$B$2:$B$1001,0)),""))</f>
        <v/>
      </c>
      <c r="H882" s="19">
        <f>IF($B882="","",IFERROR(INDEX(智能流水!$H$2:$H$1001,MATCH($B882,智能流水!$B$2:$B$1001,0)),""))</f>
        <v/>
      </c>
      <c r="I882" s="19">
        <f>IF($B882="","",IFERROR(INDEX(智能流水!$I$2:$I$1001,MATCH($B882,智能流水!$B$2:$B$1001,0)),""))</f>
        <v/>
      </c>
      <c r="J882" s="19">
        <f>IF($B882="","",IFERROR(INDEX(智能流水!$J$2:$J$1001,MATCH($B882,智能流水!$B$2:$B$1001,0)),""))</f>
        <v/>
      </c>
      <c r="K882" s="19">
        <f>IF($B882="","",IFERROR(INDEX(智能流水!$K$2:$K$1001,MATCH($B882,智能流水!$B$2:$B$1001,0)),""))</f>
        <v/>
      </c>
      <c r="L882" s="19">
        <f>IF($B882="","",IFERROR(INDEX(智能流水!$L$2:$L$1001,MATCH($B882,智能流水!$B$2:$B$1001,0)),""))</f>
        <v/>
      </c>
      <c r="M882" s="19">
        <f>IF($B882="","",IFERROR(INDEX(智能流水!$M$2:$M$1001,MATCH($B882,智能流水!$B$2:$B$1001,0)),""))</f>
        <v/>
      </c>
      <c r="N882" s="19">
        <f>IF($B882="","",IFERROR(INDEX(智能流水!$N$2:$N$1001,MATCH($B882,智能流水!$B$2:$B$1001,0)),""))</f>
        <v/>
      </c>
      <c r="O882" s="19">
        <f>IF($B882="","",IFERROR(INDEX(智能流水!$O$2:$O$1001,MATCH($B882,智能流水!$B$2:$B$1001,0)),""))</f>
        <v/>
      </c>
    </row>
    <row r="883">
      <c r="A883" s="19">
        <f>IF($B883="","",882)</f>
        <v/>
      </c>
      <c r="B883" s="19">
        <f>IFERROR(LARGE(智能流水!$B$2:$B$1001,882),"")</f>
        <v/>
      </c>
      <c r="C883" s="19">
        <f>IF($B883="","",IFERROR(INDEX(智能流水!$C$2:$C$1001,MATCH($B883,智能流水!$B$2:$B$1001,0)),""))</f>
        <v/>
      </c>
      <c r="D883" s="19">
        <f>IF($B883="","",IFERROR(INDEX(智能流水!$D$2:$D$1001,MATCH($B883,智能流水!$B$2:$B$1001,0)),""))</f>
        <v/>
      </c>
      <c r="E883" s="19">
        <f>IF($B883="","",IFERROR(INDEX(智能流水!$E$2:$E$1001,MATCH($B883,智能流水!$B$2:$B$1001,0)),""))</f>
        <v/>
      </c>
      <c r="F883" s="19">
        <f>IF($B883="","",IFERROR(INDEX(智能流水!$F$2:$F$1001,MATCH($B883,智能流水!$B$2:$B$1001,0)),""))</f>
        <v/>
      </c>
      <c r="G883" s="19">
        <f>IF($B883="","",IFERROR(INDEX(智能流水!$G$2:$G$1001,MATCH($B883,智能流水!$B$2:$B$1001,0)),""))</f>
        <v/>
      </c>
      <c r="H883" s="19">
        <f>IF($B883="","",IFERROR(INDEX(智能流水!$H$2:$H$1001,MATCH($B883,智能流水!$B$2:$B$1001,0)),""))</f>
        <v/>
      </c>
      <c r="I883" s="19">
        <f>IF($B883="","",IFERROR(INDEX(智能流水!$I$2:$I$1001,MATCH($B883,智能流水!$B$2:$B$1001,0)),""))</f>
        <v/>
      </c>
      <c r="J883" s="19">
        <f>IF($B883="","",IFERROR(INDEX(智能流水!$J$2:$J$1001,MATCH($B883,智能流水!$B$2:$B$1001,0)),""))</f>
        <v/>
      </c>
      <c r="K883" s="19">
        <f>IF($B883="","",IFERROR(INDEX(智能流水!$K$2:$K$1001,MATCH($B883,智能流水!$B$2:$B$1001,0)),""))</f>
        <v/>
      </c>
      <c r="L883" s="19">
        <f>IF($B883="","",IFERROR(INDEX(智能流水!$L$2:$L$1001,MATCH($B883,智能流水!$B$2:$B$1001,0)),""))</f>
        <v/>
      </c>
      <c r="M883" s="19">
        <f>IF($B883="","",IFERROR(INDEX(智能流水!$M$2:$M$1001,MATCH($B883,智能流水!$B$2:$B$1001,0)),""))</f>
        <v/>
      </c>
      <c r="N883" s="19">
        <f>IF($B883="","",IFERROR(INDEX(智能流水!$N$2:$N$1001,MATCH($B883,智能流水!$B$2:$B$1001,0)),""))</f>
        <v/>
      </c>
      <c r="O883" s="19">
        <f>IF($B883="","",IFERROR(INDEX(智能流水!$O$2:$O$1001,MATCH($B883,智能流水!$B$2:$B$1001,0)),""))</f>
        <v/>
      </c>
    </row>
    <row r="884">
      <c r="A884" s="19">
        <f>IF($B884="","",883)</f>
        <v/>
      </c>
      <c r="B884" s="19">
        <f>IFERROR(LARGE(智能流水!$B$2:$B$1001,883),"")</f>
        <v/>
      </c>
      <c r="C884" s="19">
        <f>IF($B884="","",IFERROR(INDEX(智能流水!$C$2:$C$1001,MATCH($B884,智能流水!$B$2:$B$1001,0)),""))</f>
        <v/>
      </c>
      <c r="D884" s="19">
        <f>IF($B884="","",IFERROR(INDEX(智能流水!$D$2:$D$1001,MATCH($B884,智能流水!$B$2:$B$1001,0)),""))</f>
        <v/>
      </c>
      <c r="E884" s="19">
        <f>IF($B884="","",IFERROR(INDEX(智能流水!$E$2:$E$1001,MATCH($B884,智能流水!$B$2:$B$1001,0)),""))</f>
        <v/>
      </c>
      <c r="F884" s="19">
        <f>IF($B884="","",IFERROR(INDEX(智能流水!$F$2:$F$1001,MATCH($B884,智能流水!$B$2:$B$1001,0)),""))</f>
        <v/>
      </c>
      <c r="G884" s="19">
        <f>IF($B884="","",IFERROR(INDEX(智能流水!$G$2:$G$1001,MATCH($B884,智能流水!$B$2:$B$1001,0)),""))</f>
        <v/>
      </c>
      <c r="H884" s="19">
        <f>IF($B884="","",IFERROR(INDEX(智能流水!$H$2:$H$1001,MATCH($B884,智能流水!$B$2:$B$1001,0)),""))</f>
        <v/>
      </c>
      <c r="I884" s="19">
        <f>IF($B884="","",IFERROR(INDEX(智能流水!$I$2:$I$1001,MATCH($B884,智能流水!$B$2:$B$1001,0)),""))</f>
        <v/>
      </c>
      <c r="J884" s="19">
        <f>IF($B884="","",IFERROR(INDEX(智能流水!$J$2:$J$1001,MATCH($B884,智能流水!$B$2:$B$1001,0)),""))</f>
        <v/>
      </c>
      <c r="K884" s="19">
        <f>IF($B884="","",IFERROR(INDEX(智能流水!$K$2:$K$1001,MATCH($B884,智能流水!$B$2:$B$1001,0)),""))</f>
        <v/>
      </c>
      <c r="L884" s="19">
        <f>IF($B884="","",IFERROR(INDEX(智能流水!$L$2:$L$1001,MATCH($B884,智能流水!$B$2:$B$1001,0)),""))</f>
        <v/>
      </c>
      <c r="M884" s="19">
        <f>IF($B884="","",IFERROR(INDEX(智能流水!$M$2:$M$1001,MATCH($B884,智能流水!$B$2:$B$1001,0)),""))</f>
        <v/>
      </c>
      <c r="N884" s="19">
        <f>IF($B884="","",IFERROR(INDEX(智能流水!$N$2:$N$1001,MATCH($B884,智能流水!$B$2:$B$1001,0)),""))</f>
        <v/>
      </c>
      <c r="O884" s="19">
        <f>IF($B884="","",IFERROR(INDEX(智能流水!$O$2:$O$1001,MATCH($B884,智能流水!$B$2:$B$1001,0)),""))</f>
        <v/>
      </c>
    </row>
    <row r="885">
      <c r="A885" s="19">
        <f>IF($B885="","",884)</f>
        <v/>
      </c>
      <c r="B885" s="19">
        <f>IFERROR(LARGE(智能流水!$B$2:$B$1001,884),"")</f>
        <v/>
      </c>
      <c r="C885" s="19">
        <f>IF($B885="","",IFERROR(INDEX(智能流水!$C$2:$C$1001,MATCH($B885,智能流水!$B$2:$B$1001,0)),""))</f>
        <v/>
      </c>
      <c r="D885" s="19">
        <f>IF($B885="","",IFERROR(INDEX(智能流水!$D$2:$D$1001,MATCH($B885,智能流水!$B$2:$B$1001,0)),""))</f>
        <v/>
      </c>
      <c r="E885" s="19">
        <f>IF($B885="","",IFERROR(INDEX(智能流水!$E$2:$E$1001,MATCH($B885,智能流水!$B$2:$B$1001,0)),""))</f>
        <v/>
      </c>
      <c r="F885" s="19">
        <f>IF($B885="","",IFERROR(INDEX(智能流水!$F$2:$F$1001,MATCH($B885,智能流水!$B$2:$B$1001,0)),""))</f>
        <v/>
      </c>
      <c r="G885" s="19">
        <f>IF($B885="","",IFERROR(INDEX(智能流水!$G$2:$G$1001,MATCH($B885,智能流水!$B$2:$B$1001,0)),""))</f>
        <v/>
      </c>
      <c r="H885" s="19">
        <f>IF($B885="","",IFERROR(INDEX(智能流水!$H$2:$H$1001,MATCH($B885,智能流水!$B$2:$B$1001,0)),""))</f>
        <v/>
      </c>
      <c r="I885" s="19">
        <f>IF($B885="","",IFERROR(INDEX(智能流水!$I$2:$I$1001,MATCH($B885,智能流水!$B$2:$B$1001,0)),""))</f>
        <v/>
      </c>
      <c r="J885" s="19">
        <f>IF($B885="","",IFERROR(INDEX(智能流水!$J$2:$J$1001,MATCH($B885,智能流水!$B$2:$B$1001,0)),""))</f>
        <v/>
      </c>
      <c r="K885" s="19">
        <f>IF($B885="","",IFERROR(INDEX(智能流水!$K$2:$K$1001,MATCH($B885,智能流水!$B$2:$B$1001,0)),""))</f>
        <v/>
      </c>
      <c r="L885" s="19">
        <f>IF($B885="","",IFERROR(INDEX(智能流水!$L$2:$L$1001,MATCH($B885,智能流水!$B$2:$B$1001,0)),""))</f>
        <v/>
      </c>
      <c r="M885" s="19">
        <f>IF($B885="","",IFERROR(INDEX(智能流水!$M$2:$M$1001,MATCH($B885,智能流水!$B$2:$B$1001,0)),""))</f>
        <v/>
      </c>
      <c r="N885" s="19">
        <f>IF($B885="","",IFERROR(INDEX(智能流水!$N$2:$N$1001,MATCH($B885,智能流水!$B$2:$B$1001,0)),""))</f>
        <v/>
      </c>
      <c r="O885" s="19">
        <f>IF($B885="","",IFERROR(INDEX(智能流水!$O$2:$O$1001,MATCH($B885,智能流水!$B$2:$B$1001,0)),""))</f>
        <v/>
      </c>
    </row>
    <row r="886">
      <c r="A886" s="19">
        <f>IF($B886="","",885)</f>
        <v/>
      </c>
      <c r="B886" s="19">
        <f>IFERROR(LARGE(智能流水!$B$2:$B$1001,885),"")</f>
        <v/>
      </c>
      <c r="C886" s="19">
        <f>IF($B886="","",IFERROR(INDEX(智能流水!$C$2:$C$1001,MATCH($B886,智能流水!$B$2:$B$1001,0)),""))</f>
        <v/>
      </c>
      <c r="D886" s="19">
        <f>IF($B886="","",IFERROR(INDEX(智能流水!$D$2:$D$1001,MATCH($B886,智能流水!$B$2:$B$1001,0)),""))</f>
        <v/>
      </c>
      <c r="E886" s="19">
        <f>IF($B886="","",IFERROR(INDEX(智能流水!$E$2:$E$1001,MATCH($B886,智能流水!$B$2:$B$1001,0)),""))</f>
        <v/>
      </c>
      <c r="F886" s="19">
        <f>IF($B886="","",IFERROR(INDEX(智能流水!$F$2:$F$1001,MATCH($B886,智能流水!$B$2:$B$1001,0)),""))</f>
        <v/>
      </c>
      <c r="G886" s="19">
        <f>IF($B886="","",IFERROR(INDEX(智能流水!$G$2:$G$1001,MATCH($B886,智能流水!$B$2:$B$1001,0)),""))</f>
        <v/>
      </c>
      <c r="H886" s="19">
        <f>IF($B886="","",IFERROR(INDEX(智能流水!$H$2:$H$1001,MATCH($B886,智能流水!$B$2:$B$1001,0)),""))</f>
        <v/>
      </c>
      <c r="I886" s="19">
        <f>IF($B886="","",IFERROR(INDEX(智能流水!$I$2:$I$1001,MATCH($B886,智能流水!$B$2:$B$1001,0)),""))</f>
        <v/>
      </c>
      <c r="J886" s="19">
        <f>IF($B886="","",IFERROR(INDEX(智能流水!$J$2:$J$1001,MATCH($B886,智能流水!$B$2:$B$1001,0)),""))</f>
        <v/>
      </c>
      <c r="K886" s="19">
        <f>IF($B886="","",IFERROR(INDEX(智能流水!$K$2:$K$1001,MATCH($B886,智能流水!$B$2:$B$1001,0)),""))</f>
        <v/>
      </c>
      <c r="L886" s="19">
        <f>IF($B886="","",IFERROR(INDEX(智能流水!$L$2:$L$1001,MATCH($B886,智能流水!$B$2:$B$1001,0)),""))</f>
        <v/>
      </c>
      <c r="M886" s="19">
        <f>IF($B886="","",IFERROR(INDEX(智能流水!$M$2:$M$1001,MATCH($B886,智能流水!$B$2:$B$1001,0)),""))</f>
        <v/>
      </c>
      <c r="N886" s="19">
        <f>IF($B886="","",IFERROR(INDEX(智能流水!$N$2:$N$1001,MATCH($B886,智能流水!$B$2:$B$1001,0)),""))</f>
        <v/>
      </c>
      <c r="O886" s="19">
        <f>IF($B886="","",IFERROR(INDEX(智能流水!$O$2:$O$1001,MATCH($B886,智能流水!$B$2:$B$1001,0)),""))</f>
        <v/>
      </c>
    </row>
    <row r="887">
      <c r="A887" s="19">
        <f>IF($B887="","",886)</f>
        <v/>
      </c>
      <c r="B887" s="19">
        <f>IFERROR(LARGE(智能流水!$B$2:$B$1001,886),"")</f>
        <v/>
      </c>
      <c r="C887" s="19">
        <f>IF($B887="","",IFERROR(INDEX(智能流水!$C$2:$C$1001,MATCH($B887,智能流水!$B$2:$B$1001,0)),""))</f>
        <v/>
      </c>
      <c r="D887" s="19">
        <f>IF($B887="","",IFERROR(INDEX(智能流水!$D$2:$D$1001,MATCH($B887,智能流水!$B$2:$B$1001,0)),""))</f>
        <v/>
      </c>
      <c r="E887" s="19">
        <f>IF($B887="","",IFERROR(INDEX(智能流水!$E$2:$E$1001,MATCH($B887,智能流水!$B$2:$B$1001,0)),""))</f>
        <v/>
      </c>
      <c r="F887" s="19">
        <f>IF($B887="","",IFERROR(INDEX(智能流水!$F$2:$F$1001,MATCH($B887,智能流水!$B$2:$B$1001,0)),""))</f>
        <v/>
      </c>
      <c r="G887" s="19">
        <f>IF($B887="","",IFERROR(INDEX(智能流水!$G$2:$G$1001,MATCH($B887,智能流水!$B$2:$B$1001,0)),""))</f>
        <v/>
      </c>
      <c r="H887" s="19">
        <f>IF($B887="","",IFERROR(INDEX(智能流水!$H$2:$H$1001,MATCH($B887,智能流水!$B$2:$B$1001,0)),""))</f>
        <v/>
      </c>
      <c r="I887" s="19">
        <f>IF($B887="","",IFERROR(INDEX(智能流水!$I$2:$I$1001,MATCH($B887,智能流水!$B$2:$B$1001,0)),""))</f>
        <v/>
      </c>
      <c r="J887" s="19">
        <f>IF($B887="","",IFERROR(INDEX(智能流水!$J$2:$J$1001,MATCH($B887,智能流水!$B$2:$B$1001,0)),""))</f>
        <v/>
      </c>
      <c r="K887" s="19">
        <f>IF($B887="","",IFERROR(INDEX(智能流水!$K$2:$K$1001,MATCH($B887,智能流水!$B$2:$B$1001,0)),""))</f>
        <v/>
      </c>
      <c r="L887" s="19">
        <f>IF($B887="","",IFERROR(INDEX(智能流水!$L$2:$L$1001,MATCH($B887,智能流水!$B$2:$B$1001,0)),""))</f>
        <v/>
      </c>
      <c r="M887" s="19">
        <f>IF($B887="","",IFERROR(INDEX(智能流水!$M$2:$M$1001,MATCH($B887,智能流水!$B$2:$B$1001,0)),""))</f>
        <v/>
      </c>
      <c r="N887" s="19">
        <f>IF($B887="","",IFERROR(INDEX(智能流水!$N$2:$N$1001,MATCH($B887,智能流水!$B$2:$B$1001,0)),""))</f>
        <v/>
      </c>
      <c r="O887" s="19">
        <f>IF($B887="","",IFERROR(INDEX(智能流水!$O$2:$O$1001,MATCH($B887,智能流水!$B$2:$B$1001,0)),""))</f>
        <v/>
      </c>
    </row>
    <row r="888">
      <c r="A888" s="19">
        <f>IF($B888="","",887)</f>
        <v/>
      </c>
      <c r="B888" s="19">
        <f>IFERROR(LARGE(智能流水!$B$2:$B$1001,887),"")</f>
        <v/>
      </c>
      <c r="C888" s="19">
        <f>IF($B888="","",IFERROR(INDEX(智能流水!$C$2:$C$1001,MATCH($B888,智能流水!$B$2:$B$1001,0)),""))</f>
        <v/>
      </c>
      <c r="D888" s="19">
        <f>IF($B888="","",IFERROR(INDEX(智能流水!$D$2:$D$1001,MATCH($B888,智能流水!$B$2:$B$1001,0)),""))</f>
        <v/>
      </c>
      <c r="E888" s="19">
        <f>IF($B888="","",IFERROR(INDEX(智能流水!$E$2:$E$1001,MATCH($B888,智能流水!$B$2:$B$1001,0)),""))</f>
        <v/>
      </c>
      <c r="F888" s="19">
        <f>IF($B888="","",IFERROR(INDEX(智能流水!$F$2:$F$1001,MATCH($B888,智能流水!$B$2:$B$1001,0)),""))</f>
        <v/>
      </c>
      <c r="G888" s="19">
        <f>IF($B888="","",IFERROR(INDEX(智能流水!$G$2:$G$1001,MATCH($B888,智能流水!$B$2:$B$1001,0)),""))</f>
        <v/>
      </c>
      <c r="H888" s="19">
        <f>IF($B888="","",IFERROR(INDEX(智能流水!$H$2:$H$1001,MATCH($B888,智能流水!$B$2:$B$1001,0)),""))</f>
        <v/>
      </c>
      <c r="I888" s="19">
        <f>IF($B888="","",IFERROR(INDEX(智能流水!$I$2:$I$1001,MATCH($B888,智能流水!$B$2:$B$1001,0)),""))</f>
        <v/>
      </c>
      <c r="J888" s="19">
        <f>IF($B888="","",IFERROR(INDEX(智能流水!$J$2:$J$1001,MATCH($B888,智能流水!$B$2:$B$1001,0)),""))</f>
        <v/>
      </c>
      <c r="K888" s="19">
        <f>IF($B888="","",IFERROR(INDEX(智能流水!$K$2:$K$1001,MATCH($B888,智能流水!$B$2:$B$1001,0)),""))</f>
        <v/>
      </c>
      <c r="L888" s="19">
        <f>IF($B888="","",IFERROR(INDEX(智能流水!$L$2:$L$1001,MATCH($B888,智能流水!$B$2:$B$1001,0)),""))</f>
        <v/>
      </c>
      <c r="M888" s="19">
        <f>IF($B888="","",IFERROR(INDEX(智能流水!$M$2:$M$1001,MATCH($B888,智能流水!$B$2:$B$1001,0)),""))</f>
        <v/>
      </c>
      <c r="N888" s="19">
        <f>IF($B888="","",IFERROR(INDEX(智能流水!$N$2:$N$1001,MATCH($B888,智能流水!$B$2:$B$1001,0)),""))</f>
        <v/>
      </c>
      <c r="O888" s="19">
        <f>IF($B888="","",IFERROR(INDEX(智能流水!$O$2:$O$1001,MATCH($B888,智能流水!$B$2:$B$1001,0)),""))</f>
        <v/>
      </c>
    </row>
    <row r="889">
      <c r="A889" s="19">
        <f>IF($B889="","",888)</f>
        <v/>
      </c>
      <c r="B889" s="19">
        <f>IFERROR(LARGE(智能流水!$B$2:$B$1001,888),"")</f>
        <v/>
      </c>
      <c r="C889" s="19">
        <f>IF($B889="","",IFERROR(INDEX(智能流水!$C$2:$C$1001,MATCH($B889,智能流水!$B$2:$B$1001,0)),""))</f>
        <v/>
      </c>
      <c r="D889" s="19">
        <f>IF($B889="","",IFERROR(INDEX(智能流水!$D$2:$D$1001,MATCH($B889,智能流水!$B$2:$B$1001,0)),""))</f>
        <v/>
      </c>
      <c r="E889" s="19">
        <f>IF($B889="","",IFERROR(INDEX(智能流水!$E$2:$E$1001,MATCH($B889,智能流水!$B$2:$B$1001,0)),""))</f>
        <v/>
      </c>
      <c r="F889" s="19">
        <f>IF($B889="","",IFERROR(INDEX(智能流水!$F$2:$F$1001,MATCH($B889,智能流水!$B$2:$B$1001,0)),""))</f>
        <v/>
      </c>
      <c r="G889" s="19">
        <f>IF($B889="","",IFERROR(INDEX(智能流水!$G$2:$G$1001,MATCH($B889,智能流水!$B$2:$B$1001,0)),""))</f>
        <v/>
      </c>
      <c r="H889" s="19">
        <f>IF($B889="","",IFERROR(INDEX(智能流水!$H$2:$H$1001,MATCH($B889,智能流水!$B$2:$B$1001,0)),""))</f>
        <v/>
      </c>
      <c r="I889" s="19">
        <f>IF($B889="","",IFERROR(INDEX(智能流水!$I$2:$I$1001,MATCH($B889,智能流水!$B$2:$B$1001,0)),""))</f>
        <v/>
      </c>
      <c r="J889" s="19">
        <f>IF($B889="","",IFERROR(INDEX(智能流水!$J$2:$J$1001,MATCH($B889,智能流水!$B$2:$B$1001,0)),""))</f>
        <v/>
      </c>
      <c r="K889" s="19">
        <f>IF($B889="","",IFERROR(INDEX(智能流水!$K$2:$K$1001,MATCH($B889,智能流水!$B$2:$B$1001,0)),""))</f>
        <v/>
      </c>
      <c r="L889" s="19">
        <f>IF($B889="","",IFERROR(INDEX(智能流水!$L$2:$L$1001,MATCH($B889,智能流水!$B$2:$B$1001,0)),""))</f>
        <v/>
      </c>
      <c r="M889" s="19">
        <f>IF($B889="","",IFERROR(INDEX(智能流水!$M$2:$M$1001,MATCH($B889,智能流水!$B$2:$B$1001,0)),""))</f>
        <v/>
      </c>
      <c r="N889" s="19">
        <f>IF($B889="","",IFERROR(INDEX(智能流水!$N$2:$N$1001,MATCH($B889,智能流水!$B$2:$B$1001,0)),""))</f>
        <v/>
      </c>
      <c r="O889" s="19">
        <f>IF($B889="","",IFERROR(INDEX(智能流水!$O$2:$O$1001,MATCH($B889,智能流水!$B$2:$B$1001,0)),""))</f>
        <v/>
      </c>
    </row>
    <row r="890">
      <c r="A890" s="19">
        <f>IF($B890="","",889)</f>
        <v/>
      </c>
      <c r="B890" s="19">
        <f>IFERROR(LARGE(智能流水!$B$2:$B$1001,889),"")</f>
        <v/>
      </c>
      <c r="C890" s="19">
        <f>IF($B890="","",IFERROR(INDEX(智能流水!$C$2:$C$1001,MATCH($B890,智能流水!$B$2:$B$1001,0)),""))</f>
        <v/>
      </c>
      <c r="D890" s="19">
        <f>IF($B890="","",IFERROR(INDEX(智能流水!$D$2:$D$1001,MATCH($B890,智能流水!$B$2:$B$1001,0)),""))</f>
        <v/>
      </c>
      <c r="E890" s="19">
        <f>IF($B890="","",IFERROR(INDEX(智能流水!$E$2:$E$1001,MATCH($B890,智能流水!$B$2:$B$1001,0)),""))</f>
        <v/>
      </c>
      <c r="F890" s="19">
        <f>IF($B890="","",IFERROR(INDEX(智能流水!$F$2:$F$1001,MATCH($B890,智能流水!$B$2:$B$1001,0)),""))</f>
        <v/>
      </c>
      <c r="G890" s="19">
        <f>IF($B890="","",IFERROR(INDEX(智能流水!$G$2:$G$1001,MATCH($B890,智能流水!$B$2:$B$1001,0)),""))</f>
        <v/>
      </c>
      <c r="H890" s="19">
        <f>IF($B890="","",IFERROR(INDEX(智能流水!$H$2:$H$1001,MATCH($B890,智能流水!$B$2:$B$1001,0)),""))</f>
        <v/>
      </c>
      <c r="I890" s="19">
        <f>IF($B890="","",IFERROR(INDEX(智能流水!$I$2:$I$1001,MATCH($B890,智能流水!$B$2:$B$1001,0)),""))</f>
        <v/>
      </c>
      <c r="J890" s="19">
        <f>IF($B890="","",IFERROR(INDEX(智能流水!$J$2:$J$1001,MATCH($B890,智能流水!$B$2:$B$1001,0)),""))</f>
        <v/>
      </c>
      <c r="K890" s="19">
        <f>IF($B890="","",IFERROR(INDEX(智能流水!$K$2:$K$1001,MATCH($B890,智能流水!$B$2:$B$1001,0)),""))</f>
        <v/>
      </c>
      <c r="L890" s="19">
        <f>IF($B890="","",IFERROR(INDEX(智能流水!$L$2:$L$1001,MATCH($B890,智能流水!$B$2:$B$1001,0)),""))</f>
        <v/>
      </c>
      <c r="M890" s="19">
        <f>IF($B890="","",IFERROR(INDEX(智能流水!$M$2:$M$1001,MATCH($B890,智能流水!$B$2:$B$1001,0)),""))</f>
        <v/>
      </c>
      <c r="N890" s="19">
        <f>IF($B890="","",IFERROR(INDEX(智能流水!$N$2:$N$1001,MATCH($B890,智能流水!$B$2:$B$1001,0)),""))</f>
        <v/>
      </c>
      <c r="O890" s="19">
        <f>IF($B890="","",IFERROR(INDEX(智能流水!$O$2:$O$1001,MATCH($B890,智能流水!$B$2:$B$1001,0)),""))</f>
        <v/>
      </c>
    </row>
    <row r="891">
      <c r="A891" s="19">
        <f>IF($B891="","",890)</f>
        <v/>
      </c>
      <c r="B891" s="19">
        <f>IFERROR(LARGE(智能流水!$B$2:$B$1001,890),"")</f>
        <v/>
      </c>
      <c r="C891" s="19">
        <f>IF($B891="","",IFERROR(INDEX(智能流水!$C$2:$C$1001,MATCH($B891,智能流水!$B$2:$B$1001,0)),""))</f>
        <v/>
      </c>
      <c r="D891" s="19">
        <f>IF($B891="","",IFERROR(INDEX(智能流水!$D$2:$D$1001,MATCH($B891,智能流水!$B$2:$B$1001,0)),""))</f>
        <v/>
      </c>
      <c r="E891" s="19">
        <f>IF($B891="","",IFERROR(INDEX(智能流水!$E$2:$E$1001,MATCH($B891,智能流水!$B$2:$B$1001,0)),""))</f>
        <v/>
      </c>
      <c r="F891" s="19">
        <f>IF($B891="","",IFERROR(INDEX(智能流水!$F$2:$F$1001,MATCH($B891,智能流水!$B$2:$B$1001,0)),""))</f>
        <v/>
      </c>
      <c r="G891" s="19">
        <f>IF($B891="","",IFERROR(INDEX(智能流水!$G$2:$G$1001,MATCH($B891,智能流水!$B$2:$B$1001,0)),""))</f>
        <v/>
      </c>
      <c r="H891" s="19">
        <f>IF($B891="","",IFERROR(INDEX(智能流水!$H$2:$H$1001,MATCH($B891,智能流水!$B$2:$B$1001,0)),""))</f>
        <v/>
      </c>
      <c r="I891" s="19">
        <f>IF($B891="","",IFERROR(INDEX(智能流水!$I$2:$I$1001,MATCH($B891,智能流水!$B$2:$B$1001,0)),""))</f>
        <v/>
      </c>
      <c r="J891" s="19">
        <f>IF($B891="","",IFERROR(INDEX(智能流水!$J$2:$J$1001,MATCH($B891,智能流水!$B$2:$B$1001,0)),""))</f>
        <v/>
      </c>
      <c r="K891" s="19">
        <f>IF($B891="","",IFERROR(INDEX(智能流水!$K$2:$K$1001,MATCH($B891,智能流水!$B$2:$B$1001,0)),""))</f>
        <v/>
      </c>
      <c r="L891" s="19">
        <f>IF($B891="","",IFERROR(INDEX(智能流水!$L$2:$L$1001,MATCH($B891,智能流水!$B$2:$B$1001,0)),""))</f>
        <v/>
      </c>
      <c r="M891" s="19">
        <f>IF($B891="","",IFERROR(INDEX(智能流水!$M$2:$M$1001,MATCH($B891,智能流水!$B$2:$B$1001,0)),""))</f>
        <v/>
      </c>
      <c r="N891" s="19">
        <f>IF($B891="","",IFERROR(INDEX(智能流水!$N$2:$N$1001,MATCH($B891,智能流水!$B$2:$B$1001,0)),""))</f>
        <v/>
      </c>
      <c r="O891" s="19">
        <f>IF($B891="","",IFERROR(INDEX(智能流水!$O$2:$O$1001,MATCH($B891,智能流水!$B$2:$B$1001,0)),""))</f>
        <v/>
      </c>
    </row>
    <row r="892">
      <c r="A892" s="19">
        <f>IF($B892="","",891)</f>
        <v/>
      </c>
      <c r="B892" s="19">
        <f>IFERROR(LARGE(智能流水!$B$2:$B$1001,891),"")</f>
        <v/>
      </c>
      <c r="C892" s="19">
        <f>IF($B892="","",IFERROR(INDEX(智能流水!$C$2:$C$1001,MATCH($B892,智能流水!$B$2:$B$1001,0)),""))</f>
        <v/>
      </c>
      <c r="D892" s="19">
        <f>IF($B892="","",IFERROR(INDEX(智能流水!$D$2:$D$1001,MATCH($B892,智能流水!$B$2:$B$1001,0)),""))</f>
        <v/>
      </c>
      <c r="E892" s="19">
        <f>IF($B892="","",IFERROR(INDEX(智能流水!$E$2:$E$1001,MATCH($B892,智能流水!$B$2:$B$1001,0)),""))</f>
        <v/>
      </c>
      <c r="F892" s="19">
        <f>IF($B892="","",IFERROR(INDEX(智能流水!$F$2:$F$1001,MATCH($B892,智能流水!$B$2:$B$1001,0)),""))</f>
        <v/>
      </c>
      <c r="G892" s="19">
        <f>IF($B892="","",IFERROR(INDEX(智能流水!$G$2:$G$1001,MATCH($B892,智能流水!$B$2:$B$1001,0)),""))</f>
        <v/>
      </c>
      <c r="H892" s="19">
        <f>IF($B892="","",IFERROR(INDEX(智能流水!$H$2:$H$1001,MATCH($B892,智能流水!$B$2:$B$1001,0)),""))</f>
        <v/>
      </c>
      <c r="I892" s="19">
        <f>IF($B892="","",IFERROR(INDEX(智能流水!$I$2:$I$1001,MATCH($B892,智能流水!$B$2:$B$1001,0)),""))</f>
        <v/>
      </c>
      <c r="J892" s="19">
        <f>IF($B892="","",IFERROR(INDEX(智能流水!$J$2:$J$1001,MATCH($B892,智能流水!$B$2:$B$1001,0)),""))</f>
        <v/>
      </c>
      <c r="K892" s="19">
        <f>IF($B892="","",IFERROR(INDEX(智能流水!$K$2:$K$1001,MATCH($B892,智能流水!$B$2:$B$1001,0)),""))</f>
        <v/>
      </c>
      <c r="L892" s="19">
        <f>IF($B892="","",IFERROR(INDEX(智能流水!$L$2:$L$1001,MATCH($B892,智能流水!$B$2:$B$1001,0)),""))</f>
        <v/>
      </c>
      <c r="M892" s="19">
        <f>IF($B892="","",IFERROR(INDEX(智能流水!$M$2:$M$1001,MATCH($B892,智能流水!$B$2:$B$1001,0)),""))</f>
        <v/>
      </c>
      <c r="N892" s="19">
        <f>IF($B892="","",IFERROR(INDEX(智能流水!$N$2:$N$1001,MATCH($B892,智能流水!$B$2:$B$1001,0)),""))</f>
        <v/>
      </c>
      <c r="O892" s="19">
        <f>IF($B892="","",IFERROR(INDEX(智能流水!$O$2:$O$1001,MATCH($B892,智能流水!$B$2:$B$1001,0)),""))</f>
        <v/>
      </c>
    </row>
    <row r="893">
      <c r="A893" s="19">
        <f>IF($B893="","",892)</f>
        <v/>
      </c>
      <c r="B893" s="19">
        <f>IFERROR(LARGE(智能流水!$B$2:$B$1001,892),"")</f>
        <v/>
      </c>
      <c r="C893" s="19">
        <f>IF($B893="","",IFERROR(INDEX(智能流水!$C$2:$C$1001,MATCH($B893,智能流水!$B$2:$B$1001,0)),""))</f>
        <v/>
      </c>
      <c r="D893" s="19">
        <f>IF($B893="","",IFERROR(INDEX(智能流水!$D$2:$D$1001,MATCH($B893,智能流水!$B$2:$B$1001,0)),""))</f>
        <v/>
      </c>
      <c r="E893" s="19">
        <f>IF($B893="","",IFERROR(INDEX(智能流水!$E$2:$E$1001,MATCH($B893,智能流水!$B$2:$B$1001,0)),""))</f>
        <v/>
      </c>
      <c r="F893" s="19">
        <f>IF($B893="","",IFERROR(INDEX(智能流水!$F$2:$F$1001,MATCH($B893,智能流水!$B$2:$B$1001,0)),""))</f>
        <v/>
      </c>
      <c r="G893" s="19">
        <f>IF($B893="","",IFERROR(INDEX(智能流水!$G$2:$G$1001,MATCH($B893,智能流水!$B$2:$B$1001,0)),""))</f>
        <v/>
      </c>
      <c r="H893" s="19">
        <f>IF($B893="","",IFERROR(INDEX(智能流水!$H$2:$H$1001,MATCH($B893,智能流水!$B$2:$B$1001,0)),""))</f>
        <v/>
      </c>
      <c r="I893" s="19">
        <f>IF($B893="","",IFERROR(INDEX(智能流水!$I$2:$I$1001,MATCH($B893,智能流水!$B$2:$B$1001,0)),""))</f>
        <v/>
      </c>
      <c r="J893" s="19">
        <f>IF($B893="","",IFERROR(INDEX(智能流水!$J$2:$J$1001,MATCH($B893,智能流水!$B$2:$B$1001,0)),""))</f>
        <v/>
      </c>
      <c r="K893" s="19">
        <f>IF($B893="","",IFERROR(INDEX(智能流水!$K$2:$K$1001,MATCH($B893,智能流水!$B$2:$B$1001,0)),""))</f>
        <v/>
      </c>
      <c r="L893" s="19">
        <f>IF($B893="","",IFERROR(INDEX(智能流水!$L$2:$L$1001,MATCH($B893,智能流水!$B$2:$B$1001,0)),""))</f>
        <v/>
      </c>
      <c r="M893" s="19">
        <f>IF($B893="","",IFERROR(INDEX(智能流水!$M$2:$M$1001,MATCH($B893,智能流水!$B$2:$B$1001,0)),""))</f>
        <v/>
      </c>
      <c r="N893" s="19">
        <f>IF($B893="","",IFERROR(INDEX(智能流水!$N$2:$N$1001,MATCH($B893,智能流水!$B$2:$B$1001,0)),""))</f>
        <v/>
      </c>
      <c r="O893" s="19">
        <f>IF($B893="","",IFERROR(INDEX(智能流水!$O$2:$O$1001,MATCH($B893,智能流水!$B$2:$B$1001,0)),""))</f>
        <v/>
      </c>
    </row>
    <row r="894">
      <c r="A894" s="19">
        <f>IF($B894="","",893)</f>
        <v/>
      </c>
      <c r="B894" s="19">
        <f>IFERROR(LARGE(智能流水!$B$2:$B$1001,893),"")</f>
        <v/>
      </c>
      <c r="C894" s="19">
        <f>IF($B894="","",IFERROR(INDEX(智能流水!$C$2:$C$1001,MATCH($B894,智能流水!$B$2:$B$1001,0)),""))</f>
        <v/>
      </c>
      <c r="D894" s="19">
        <f>IF($B894="","",IFERROR(INDEX(智能流水!$D$2:$D$1001,MATCH($B894,智能流水!$B$2:$B$1001,0)),""))</f>
        <v/>
      </c>
      <c r="E894" s="19">
        <f>IF($B894="","",IFERROR(INDEX(智能流水!$E$2:$E$1001,MATCH($B894,智能流水!$B$2:$B$1001,0)),""))</f>
        <v/>
      </c>
      <c r="F894" s="19">
        <f>IF($B894="","",IFERROR(INDEX(智能流水!$F$2:$F$1001,MATCH($B894,智能流水!$B$2:$B$1001,0)),""))</f>
        <v/>
      </c>
      <c r="G894" s="19">
        <f>IF($B894="","",IFERROR(INDEX(智能流水!$G$2:$G$1001,MATCH($B894,智能流水!$B$2:$B$1001,0)),""))</f>
        <v/>
      </c>
      <c r="H894" s="19">
        <f>IF($B894="","",IFERROR(INDEX(智能流水!$H$2:$H$1001,MATCH($B894,智能流水!$B$2:$B$1001,0)),""))</f>
        <v/>
      </c>
      <c r="I894" s="19">
        <f>IF($B894="","",IFERROR(INDEX(智能流水!$I$2:$I$1001,MATCH($B894,智能流水!$B$2:$B$1001,0)),""))</f>
        <v/>
      </c>
      <c r="J894" s="19">
        <f>IF($B894="","",IFERROR(INDEX(智能流水!$J$2:$J$1001,MATCH($B894,智能流水!$B$2:$B$1001,0)),""))</f>
        <v/>
      </c>
      <c r="K894" s="19">
        <f>IF($B894="","",IFERROR(INDEX(智能流水!$K$2:$K$1001,MATCH($B894,智能流水!$B$2:$B$1001,0)),""))</f>
        <v/>
      </c>
      <c r="L894" s="19">
        <f>IF($B894="","",IFERROR(INDEX(智能流水!$L$2:$L$1001,MATCH($B894,智能流水!$B$2:$B$1001,0)),""))</f>
        <v/>
      </c>
      <c r="M894" s="19">
        <f>IF($B894="","",IFERROR(INDEX(智能流水!$M$2:$M$1001,MATCH($B894,智能流水!$B$2:$B$1001,0)),""))</f>
        <v/>
      </c>
      <c r="N894" s="19">
        <f>IF($B894="","",IFERROR(INDEX(智能流水!$N$2:$N$1001,MATCH($B894,智能流水!$B$2:$B$1001,0)),""))</f>
        <v/>
      </c>
      <c r="O894" s="19">
        <f>IF($B894="","",IFERROR(INDEX(智能流水!$O$2:$O$1001,MATCH($B894,智能流水!$B$2:$B$1001,0)),""))</f>
        <v/>
      </c>
    </row>
    <row r="895">
      <c r="A895" s="19">
        <f>IF($B895="","",894)</f>
        <v/>
      </c>
      <c r="B895" s="19">
        <f>IFERROR(LARGE(智能流水!$B$2:$B$1001,894),"")</f>
        <v/>
      </c>
      <c r="C895" s="19">
        <f>IF($B895="","",IFERROR(INDEX(智能流水!$C$2:$C$1001,MATCH($B895,智能流水!$B$2:$B$1001,0)),""))</f>
        <v/>
      </c>
      <c r="D895" s="19">
        <f>IF($B895="","",IFERROR(INDEX(智能流水!$D$2:$D$1001,MATCH($B895,智能流水!$B$2:$B$1001,0)),""))</f>
        <v/>
      </c>
      <c r="E895" s="19">
        <f>IF($B895="","",IFERROR(INDEX(智能流水!$E$2:$E$1001,MATCH($B895,智能流水!$B$2:$B$1001,0)),""))</f>
        <v/>
      </c>
      <c r="F895" s="19">
        <f>IF($B895="","",IFERROR(INDEX(智能流水!$F$2:$F$1001,MATCH($B895,智能流水!$B$2:$B$1001,0)),""))</f>
        <v/>
      </c>
      <c r="G895" s="19">
        <f>IF($B895="","",IFERROR(INDEX(智能流水!$G$2:$G$1001,MATCH($B895,智能流水!$B$2:$B$1001,0)),""))</f>
        <v/>
      </c>
      <c r="H895" s="19">
        <f>IF($B895="","",IFERROR(INDEX(智能流水!$H$2:$H$1001,MATCH($B895,智能流水!$B$2:$B$1001,0)),""))</f>
        <v/>
      </c>
      <c r="I895" s="19">
        <f>IF($B895="","",IFERROR(INDEX(智能流水!$I$2:$I$1001,MATCH($B895,智能流水!$B$2:$B$1001,0)),""))</f>
        <v/>
      </c>
      <c r="J895" s="19">
        <f>IF($B895="","",IFERROR(INDEX(智能流水!$J$2:$J$1001,MATCH($B895,智能流水!$B$2:$B$1001,0)),""))</f>
        <v/>
      </c>
      <c r="K895" s="19">
        <f>IF($B895="","",IFERROR(INDEX(智能流水!$K$2:$K$1001,MATCH($B895,智能流水!$B$2:$B$1001,0)),""))</f>
        <v/>
      </c>
      <c r="L895" s="19">
        <f>IF($B895="","",IFERROR(INDEX(智能流水!$L$2:$L$1001,MATCH($B895,智能流水!$B$2:$B$1001,0)),""))</f>
        <v/>
      </c>
      <c r="M895" s="19">
        <f>IF($B895="","",IFERROR(INDEX(智能流水!$M$2:$M$1001,MATCH($B895,智能流水!$B$2:$B$1001,0)),""))</f>
        <v/>
      </c>
      <c r="N895" s="19">
        <f>IF($B895="","",IFERROR(INDEX(智能流水!$N$2:$N$1001,MATCH($B895,智能流水!$B$2:$B$1001,0)),""))</f>
        <v/>
      </c>
      <c r="O895" s="19">
        <f>IF($B895="","",IFERROR(INDEX(智能流水!$O$2:$O$1001,MATCH($B895,智能流水!$B$2:$B$1001,0)),""))</f>
        <v/>
      </c>
    </row>
    <row r="896">
      <c r="A896" s="19">
        <f>IF($B896="","",895)</f>
        <v/>
      </c>
      <c r="B896" s="19">
        <f>IFERROR(LARGE(智能流水!$B$2:$B$1001,895),"")</f>
        <v/>
      </c>
      <c r="C896" s="19">
        <f>IF($B896="","",IFERROR(INDEX(智能流水!$C$2:$C$1001,MATCH($B896,智能流水!$B$2:$B$1001,0)),""))</f>
        <v/>
      </c>
      <c r="D896" s="19">
        <f>IF($B896="","",IFERROR(INDEX(智能流水!$D$2:$D$1001,MATCH($B896,智能流水!$B$2:$B$1001,0)),""))</f>
        <v/>
      </c>
      <c r="E896" s="19">
        <f>IF($B896="","",IFERROR(INDEX(智能流水!$E$2:$E$1001,MATCH($B896,智能流水!$B$2:$B$1001,0)),""))</f>
        <v/>
      </c>
      <c r="F896" s="19">
        <f>IF($B896="","",IFERROR(INDEX(智能流水!$F$2:$F$1001,MATCH($B896,智能流水!$B$2:$B$1001,0)),""))</f>
        <v/>
      </c>
      <c r="G896" s="19">
        <f>IF($B896="","",IFERROR(INDEX(智能流水!$G$2:$G$1001,MATCH($B896,智能流水!$B$2:$B$1001,0)),""))</f>
        <v/>
      </c>
      <c r="H896" s="19">
        <f>IF($B896="","",IFERROR(INDEX(智能流水!$H$2:$H$1001,MATCH($B896,智能流水!$B$2:$B$1001,0)),""))</f>
        <v/>
      </c>
      <c r="I896" s="19">
        <f>IF($B896="","",IFERROR(INDEX(智能流水!$I$2:$I$1001,MATCH($B896,智能流水!$B$2:$B$1001,0)),""))</f>
        <v/>
      </c>
      <c r="J896" s="19">
        <f>IF($B896="","",IFERROR(INDEX(智能流水!$J$2:$J$1001,MATCH($B896,智能流水!$B$2:$B$1001,0)),""))</f>
        <v/>
      </c>
      <c r="K896" s="19">
        <f>IF($B896="","",IFERROR(INDEX(智能流水!$K$2:$K$1001,MATCH($B896,智能流水!$B$2:$B$1001,0)),""))</f>
        <v/>
      </c>
      <c r="L896" s="19">
        <f>IF($B896="","",IFERROR(INDEX(智能流水!$L$2:$L$1001,MATCH($B896,智能流水!$B$2:$B$1001,0)),""))</f>
        <v/>
      </c>
      <c r="M896" s="19">
        <f>IF($B896="","",IFERROR(INDEX(智能流水!$M$2:$M$1001,MATCH($B896,智能流水!$B$2:$B$1001,0)),""))</f>
        <v/>
      </c>
      <c r="N896" s="19">
        <f>IF($B896="","",IFERROR(INDEX(智能流水!$N$2:$N$1001,MATCH($B896,智能流水!$B$2:$B$1001,0)),""))</f>
        <v/>
      </c>
      <c r="O896" s="19">
        <f>IF($B896="","",IFERROR(INDEX(智能流水!$O$2:$O$1001,MATCH($B896,智能流水!$B$2:$B$1001,0)),""))</f>
        <v/>
      </c>
    </row>
    <row r="897">
      <c r="A897" s="19">
        <f>IF($B897="","",896)</f>
        <v/>
      </c>
      <c r="B897" s="19">
        <f>IFERROR(LARGE(智能流水!$B$2:$B$1001,896),"")</f>
        <v/>
      </c>
      <c r="C897" s="19">
        <f>IF($B897="","",IFERROR(INDEX(智能流水!$C$2:$C$1001,MATCH($B897,智能流水!$B$2:$B$1001,0)),""))</f>
        <v/>
      </c>
      <c r="D897" s="19">
        <f>IF($B897="","",IFERROR(INDEX(智能流水!$D$2:$D$1001,MATCH($B897,智能流水!$B$2:$B$1001,0)),""))</f>
        <v/>
      </c>
      <c r="E897" s="19">
        <f>IF($B897="","",IFERROR(INDEX(智能流水!$E$2:$E$1001,MATCH($B897,智能流水!$B$2:$B$1001,0)),""))</f>
        <v/>
      </c>
      <c r="F897" s="19">
        <f>IF($B897="","",IFERROR(INDEX(智能流水!$F$2:$F$1001,MATCH($B897,智能流水!$B$2:$B$1001,0)),""))</f>
        <v/>
      </c>
      <c r="G897" s="19">
        <f>IF($B897="","",IFERROR(INDEX(智能流水!$G$2:$G$1001,MATCH($B897,智能流水!$B$2:$B$1001,0)),""))</f>
        <v/>
      </c>
      <c r="H897" s="19">
        <f>IF($B897="","",IFERROR(INDEX(智能流水!$H$2:$H$1001,MATCH($B897,智能流水!$B$2:$B$1001,0)),""))</f>
        <v/>
      </c>
      <c r="I897" s="19">
        <f>IF($B897="","",IFERROR(INDEX(智能流水!$I$2:$I$1001,MATCH($B897,智能流水!$B$2:$B$1001,0)),""))</f>
        <v/>
      </c>
      <c r="J897" s="19">
        <f>IF($B897="","",IFERROR(INDEX(智能流水!$J$2:$J$1001,MATCH($B897,智能流水!$B$2:$B$1001,0)),""))</f>
        <v/>
      </c>
      <c r="K897" s="19">
        <f>IF($B897="","",IFERROR(INDEX(智能流水!$K$2:$K$1001,MATCH($B897,智能流水!$B$2:$B$1001,0)),""))</f>
        <v/>
      </c>
      <c r="L897" s="19">
        <f>IF($B897="","",IFERROR(INDEX(智能流水!$L$2:$L$1001,MATCH($B897,智能流水!$B$2:$B$1001,0)),""))</f>
        <v/>
      </c>
      <c r="M897" s="19">
        <f>IF($B897="","",IFERROR(INDEX(智能流水!$M$2:$M$1001,MATCH($B897,智能流水!$B$2:$B$1001,0)),""))</f>
        <v/>
      </c>
      <c r="N897" s="19">
        <f>IF($B897="","",IFERROR(INDEX(智能流水!$N$2:$N$1001,MATCH($B897,智能流水!$B$2:$B$1001,0)),""))</f>
        <v/>
      </c>
      <c r="O897" s="19">
        <f>IF($B897="","",IFERROR(INDEX(智能流水!$O$2:$O$1001,MATCH($B897,智能流水!$B$2:$B$1001,0)),""))</f>
        <v/>
      </c>
    </row>
    <row r="898">
      <c r="A898" s="19">
        <f>IF($B898="","",897)</f>
        <v/>
      </c>
      <c r="B898" s="19">
        <f>IFERROR(LARGE(智能流水!$B$2:$B$1001,897),"")</f>
        <v/>
      </c>
      <c r="C898" s="19">
        <f>IF($B898="","",IFERROR(INDEX(智能流水!$C$2:$C$1001,MATCH($B898,智能流水!$B$2:$B$1001,0)),""))</f>
        <v/>
      </c>
      <c r="D898" s="19">
        <f>IF($B898="","",IFERROR(INDEX(智能流水!$D$2:$D$1001,MATCH($B898,智能流水!$B$2:$B$1001,0)),""))</f>
        <v/>
      </c>
      <c r="E898" s="19">
        <f>IF($B898="","",IFERROR(INDEX(智能流水!$E$2:$E$1001,MATCH($B898,智能流水!$B$2:$B$1001,0)),""))</f>
        <v/>
      </c>
      <c r="F898" s="19">
        <f>IF($B898="","",IFERROR(INDEX(智能流水!$F$2:$F$1001,MATCH($B898,智能流水!$B$2:$B$1001,0)),""))</f>
        <v/>
      </c>
      <c r="G898" s="19">
        <f>IF($B898="","",IFERROR(INDEX(智能流水!$G$2:$G$1001,MATCH($B898,智能流水!$B$2:$B$1001,0)),""))</f>
        <v/>
      </c>
      <c r="H898" s="19">
        <f>IF($B898="","",IFERROR(INDEX(智能流水!$H$2:$H$1001,MATCH($B898,智能流水!$B$2:$B$1001,0)),""))</f>
        <v/>
      </c>
      <c r="I898" s="19">
        <f>IF($B898="","",IFERROR(INDEX(智能流水!$I$2:$I$1001,MATCH($B898,智能流水!$B$2:$B$1001,0)),""))</f>
        <v/>
      </c>
      <c r="J898" s="19">
        <f>IF($B898="","",IFERROR(INDEX(智能流水!$J$2:$J$1001,MATCH($B898,智能流水!$B$2:$B$1001,0)),""))</f>
        <v/>
      </c>
      <c r="K898" s="19">
        <f>IF($B898="","",IFERROR(INDEX(智能流水!$K$2:$K$1001,MATCH($B898,智能流水!$B$2:$B$1001,0)),""))</f>
        <v/>
      </c>
      <c r="L898" s="19">
        <f>IF($B898="","",IFERROR(INDEX(智能流水!$L$2:$L$1001,MATCH($B898,智能流水!$B$2:$B$1001,0)),""))</f>
        <v/>
      </c>
      <c r="M898" s="19">
        <f>IF($B898="","",IFERROR(INDEX(智能流水!$M$2:$M$1001,MATCH($B898,智能流水!$B$2:$B$1001,0)),""))</f>
        <v/>
      </c>
      <c r="N898" s="19">
        <f>IF($B898="","",IFERROR(INDEX(智能流水!$N$2:$N$1001,MATCH($B898,智能流水!$B$2:$B$1001,0)),""))</f>
        <v/>
      </c>
      <c r="O898" s="19">
        <f>IF($B898="","",IFERROR(INDEX(智能流水!$O$2:$O$1001,MATCH($B898,智能流水!$B$2:$B$1001,0)),""))</f>
        <v/>
      </c>
    </row>
    <row r="899">
      <c r="A899" s="19">
        <f>IF($B899="","",898)</f>
        <v/>
      </c>
      <c r="B899" s="19">
        <f>IFERROR(LARGE(智能流水!$B$2:$B$1001,898),"")</f>
        <v/>
      </c>
      <c r="C899" s="19">
        <f>IF($B899="","",IFERROR(INDEX(智能流水!$C$2:$C$1001,MATCH($B899,智能流水!$B$2:$B$1001,0)),""))</f>
        <v/>
      </c>
      <c r="D899" s="19">
        <f>IF($B899="","",IFERROR(INDEX(智能流水!$D$2:$D$1001,MATCH($B899,智能流水!$B$2:$B$1001,0)),""))</f>
        <v/>
      </c>
      <c r="E899" s="19">
        <f>IF($B899="","",IFERROR(INDEX(智能流水!$E$2:$E$1001,MATCH($B899,智能流水!$B$2:$B$1001,0)),""))</f>
        <v/>
      </c>
      <c r="F899" s="19">
        <f>IF($B899="","",IFERROR(INDEX(智能流水!$F$2:$F$1001,MATCH($B899,智能流水!$B$2:$B$1001,0)),""))</f>
        <v/>
      </c>
      <c r="G899" s="19">
        <f>IF($B899="","",IFERROR(INDEX(智能流水!$G$2:$G$1001,MATCH($B899,智能流水!$B$2:$B$1001,0)),""))</f>
        <v/>
      </c>
      <c r="H899" s="19">
        <f>IF($B899="","",IFERROR(INDEX(智能流水!$H$2:$H$1001,MATCH($B899,智能流水!$B$2:$B$1001,0)),""))</f>
        <v/>
      </c>
      <c r="I899" s="19">
        <f>IF($B899="","",IFERROR(INDEX(智能流水!$I$2:$I$1001,MATCH($B899,智能流水!$B$2:$B$1001,0)),""))</f>
        <v/>
      </c>
      <c r="J899" s="19">
        <f>IF($B899="","",IFERROR(INDEX(智能流水!$J$2:$J$1001,MATCH($B899,智能流水!$B$2:$B$1001,0)),""))</f>
        <v/>
      </c>
      <c r="K899" s="19">
        <f>IF($B899="","",IFERROR(INDEX(智能流水!$K$2:$K$1001,MATCH($B899,智能流水!$B$2:$B$1001,0)),""))</f>
        <v/>
      </c>
      <c r="L899" s="19">
        <f>IF($B899="","",IFERROR(INDEX(智能流水!$L$2:$L$1001,MATCH($B899,智能流水!$B$2:$B$1001,0)),""))</f>
        <v/>
      </c>
      <c r="M899" s="19">
        <f>IF($B899="","",IFERROR(INDEX(智能流水!$M$2:$M$1001,MATCH($B899,智能流水!$B$2:$B$1001,0)),""))</f>
        <v/>
      </c>
      <c r="N899" s="19">
        <f>IF($B899="","",IFERROR(INDEX(智能流水!$N$2:$N$1001,MATCH($B899,智能流水!$B$2:$B$1001,0)),""))</f>
        <v/>
      </c>
      <c r="O899" s="19">
        <f>IF($B899="","",IFERROR(INDEX(智能流水!$O$2:$O$1001,MATCH($B899,智能流水!$B$2:$B$1001,0)),""))</f>
        <v/>
      </c>
    </row>
    <row r="900">
      <c r="A900" s="19">
        <f>IF($B900="","",899)</f>
        <v/>
      </c>
      <c r="B900" s="19">
        <f>IFERROR(LARGE(智能流水!$B$2:$B$1001,899),"")</f>
        <v/>
      </c>
      <c r="C900" s="19">
        <f>IF($B900="","",IFERROR(INDEX(智能流水!$C$2:$C$1001,MATCH($B900,智能流水!$B$2:$B$1001,0)),""))</f>
        <v/>
      </c>
      <c r="D900" s="19">
        <f>IF($B900="","",IFERROR(INDEX(智能流水!$D$2:$D$1001,MATCH($B900,智能流水!$B$2:$B$1001,0)),""))</f>
        <v/>
      </c>
      <c r="E900" s="19">
        <f>IF($B900="","",IFERROR(INDEX(智能流水!$E$2:$E$1001,MATCH($B900,智能流水!$B$2:$B$1001,0)),""))</f>
        <v/>
      </c>
      <c r="F900" s="19">
        <f>IF($B900="","",IFERROR(INDEX(智能流水!$F$2:$F$1001,MATCH($B900,智能流水!$B$2:$B$1001,0)),""))</f>
        <v/>
      </c>
      <c r="G900" s="19">
        <f>IF($B900="","",IFERROR(INDEX(智能流水!$G$2:$G$1001,MATCH($B900,智能流水!$B$2:$B$1001,0)),""))</f>
        <v/>
      </c>
      <c r="H900" s="19">
        <f>IF($B900="","",IFERROR(INDEX(智能流水!$H$2:$H$1001,MATCH($B900,智能流水!$B$2:$B$1001,0)),""))</f>
        <v/>
      </c>
      <c r="I900" s="19">
        <f>IF($B900="","",IFERROR(INDEX(智能流水!$I$2:$I$1001,MATCH($B900,智能流水!$B$2:$B$1001,0)),""))</f>
        <v/>
      </c>
      <c r="J900" s="19">
        <f>IF($B900="","",IFERROR(INDEX(智能流水!$J$2:$J$1001,MATCH($B900,智能流水!$B$2:$B$1001,0)),""))</f>
        <v/>
      </c>
      <c r="K900" s="19">
        <f>IF($B900="","",IFERROR(INDEX(智能流水!$K$2:$K$1001,MATCH($B900,智能流水!$B$2:$B$1001,0)),""))</f>
        <v/>
      </c>
      <c r="L900" s="19">
        <f>IF($B900="","",IFERROR(INDEX(智能流水!$L$2:$L$1001,MATCH($B900,智能流水!$B$2:$B$1001,0)),""))</f>
        <v/>
      </c>
      <c r="M900" s="19">
        <f>IF($B900="","",IFERROR(INDEX(智能流水!$M$2:$M$1001,MATCH($B900,智能流水!$B$2:$B$1001,0)),""))</f>
        <v/>
      </c>
      <c r="N900" s="19">
        <f>IF($B900="","",IFERROR(INDEX(智能流水!$N$2:$N$1001,MATCH($B900,智能流水!$B$2:$B$1001,0)),""))</f>
        <v/>
      </c>
      <c r="O900" s="19">
        <f>IF($B900="","",IFERROR(INDEX(智能流水!$O$2:$O$1001,MATCH($B900,智能流水!$B$2:$B$1001,0)),""))</f>
        <v/>
      </c>
    </row>
    <row r="901">
      <c r="A901" s="19">
        <f>IF($B901="","",900)</f>
        <v/>
      </c>
      <c r="B901" s="19">
        <f>IFERROR(LARGE(智能流水!$B$2:$B$1001,900),"")</f>
        <v/>
      </c>
      <c r="C901" s="19">
        <f>IF($B901="","",IFERROR(INDEX(智能流水!$C$2:$C$1001,MATCH($B901,智能流水!$B$2:$B$1001,0)),""))</f>
        <v/>
      </c>
      <c r="D901" s="19">
        <f>IF($B901="","",IFERROR(INDEX(智能流水!$D$2:$D$1001,MATCH($B901,智能流水!$B$2:$B$1001,0)),""))</f>
        <v/>
      </c>
      <c r="E901" s="19">
        <f>IF($B901="","",IFERROR(INDEX(智能流水!$E$2:$E$1001,MATCH($B901,智能流水!$B$2:$B$1001,0)),""))</f>
        <v/>
      </c>
      <c r="F901" s="19">
        <f>IF($B901="","",IFERROR(INDEX(智能流水!$F$2:$F$1001,MATCH($B901,智能流水!$B$2:$B$1001,0)),""))</f>
        <v/>
      </c>
      <c r="G901" s="19">
        <f>IF($B901="","",IFERROR(INDEX(智能流水!$G$2:$G$1001,MATCH($B901,智能流水!$B$2:$B$1001,0)),""))</f>
        <v/>
      </c>
      <c r="H901" s="19">
        <f>IF($B901="","",IFERROR(INDEX(智能流水!$H$2:$H$1001,MATCH($B901,智能流水!$B$2:$B$1001,0)),""))</f>
        <v/>
      </c>
      <c r="I901" s="19">
        <f>IF($B901="","",IFERROR(INDEX(智能流水!$I$2:$I$1001,MATCH($B901,智能流水!$B$2:$B$1001,0)),""))</f>
        <v/>
      </c>
      <c r="J901" s="19">
        <f>IF($B901="","",IFERROR(INDEX(智能流水!$J$2:$J$1001,MATCH($B901,智能流水!$B$2:$B$1001,0)),""))</f>
        <v/>
      </c>
      <c r="K901" s="19">
        <f>IF($B901="","",IFERROR(INDEX(智能流水!$K$2:$K$1001,MATCH($B901,智能流水!$B$2:$B$1001,0)),""))</f>
        <v/>
      </c>
      <c r="L901" s="19">
        <f>IF($B901="","",IFERROR(INDEX(智能流水!$L$2:$L$1001,MATCH($B901,智能流水!$B$2:$B$1001,0)),""))</f>
        <v/>
      </c>
      <c r="M901" s="19">
        <f>IF($B901="","",IFERROR(INDEX(智能流水!$M$2:$M$1001,MATCH($B901,智能流水!$B$2:$B$1001,0)),""))</f>
        <v/>
      </c>
      <c r="N901" s="19">
        <f>IF($B901="","",IFERROR(INDEX(智能流水!$N$2:$N$1001,MATCH($B901,智能流水!$B$2:$B$1001,0)),""))</f>
        <v/>
      </c>
      <c r="O901" s="19">
        <f>IF($B901="","",IFERROR(INDEX(智能流水!$O$2:$O$1001,MATCH($B901,智能流水!$B$2:$B$1001,0)),""))</f>
        <v/>
      </c>
    </row>
    <row r="902">
      <c r="A902" s="19">
        <f>IF($B902="","",901)</f>
        <v/>
      </c>
      <c r="B902" s="19">
        <f>IFERROR(LARGE(智能流水!$B$2:$B$1001,901),"")</f>
        <v/>
      </c>
      <c r="C902" s="19">
        <f>IF($B902="","",IFERROR(INDEX(智能流水!$C$2:$C$1001,MATCH($B902,智能流水!$B$2:$B$1001,0)),""))</f>
        <v/>
      </c>
      <c r="D902" s="19">
        <f>IF($B902="","",IFERROR(INDEX(智能流水!$D$2:$D$1001,MATCH($B902,智能流水!$B$2:$B$1001,0)),""))</f>
        <v/>
      </c>
      <c r="E902" s="19">
        <f>IF($B902="","",IFERROR(INDEX(智能流水!$E$2:$E$1001,MATCH($B902,智能流水!$B$2:$B$1001,0)),""))</f>
        <v/>
      </c>
      <c r="F902" s="19">
        <f>IF($B902="","",IFERROR(INDEX(智能流水!$F$2:$F$1001,MATCH($B902,智能流水!$B$2:$B$1001,0)),""))</f>
        <v/>
      </c>
      <c r="G902" s="19">
        <f>IF($B902="","",IFERROR(INDEX(智能流水!$G$2:$G$1001,MATCH($B902,智能流水!$B$2:$B$1001,0)),""))</f>
        <v/>
      </c>
      <c r="H902" s="19">
        <f>IF($B902="","",IFERROR(INDEX(智能流水!$H$2:$H$1001,MATCH($B902,智能流水!$B$2:$B$1001,0)),""))</f>
        <v/>
      </c>
      <c r="I902" s="19">
        <f>IF($B902="","",IFERROR(INDEX(智能流水!$I$2:$I$1001,MATCH($B902,智能流水!$B$2:$B$1001,0)),""))</f>
        <v/>
      </c>
      <c r="J902" s="19">
        <f>IF($B902="","",IFERROR(INDEX(智能流水!$J$2:$J$1001,MATCH($B902,智能流水!$B$2:$B$1001,0)),""))</f>
        <v/>
      </c>
      <c r="K902" s="19">
        <f>IF($B902="","",IFERROR(INDEX(智能流水!$K$2:$K$1001,MATCH($B902,智能流水!$B$2:$B$1001,0)),""))</f>
        <v/>
      </c>
      <c r="L902" s="19">
        <f>IF($B902="","",IFERROR(INDEX(智能流水!$L$2:$L$1001,MATCH($B902,智能流水!$B$2:$B$1001,0)),""))</f>
        <v/>
      </c>
      <c r="M902" s="19">
        <f>IF($B902="","",IFERROR(INDEX(智能流水!$M$2:$M$1001,MATCH($B902,智能流水!$B$2:$B$1001,0)),""))</f>
        <v/>
      </c>
      <c r="N902" s="19">
        <f>IF($B902="","",IFERROR(INDEX(智能流水!$N$2:$N$1001,MATCH($B902,智能流水!$B$2:$B$1001,0)),""))</f>
        <v/>
      </c>
      <c r="O902" s="19">
        <f>IF($B902="","",IFERROR(INDEX(智能流水!$O$2:$O$1001,MATCH($B902,智能流水!$B$2:$B$1001,0)),""))</f>
        <v/>
      </c>
    </row>
    <row r="903">
      <c r="A903" s="19">
        <f>IF($B903="","",902)</f>
        <v/>
      </c>
      <c r="B903" s="19">
        <f>IFERROR(LARGE(智能流水!$B$2:$B$1001,902),"")</f>
        <v/>
      </c>
      <c r="C903" s="19">
        <f>IF($B903="","",IFERROR(INDEX(智能流水!$C$2:$C$1001,MATCH($B903,智能流水!$B$2:$B$1001,0)),""))</f>
        <v/>
      </c>
      <c r="D903" s="19">
        <f>IF($B903="","",IFERROR(INDEX(智能流水!$D$2:$D$1001,MATCH($B903,智能流水!$B$2:$B$1001,0)),""))</f>
        <v/>
      </c>
      <c r="E903" s="19">
        <f>IF($B903="","",IFERROR(INDEX(智能流水!$E$2:$E$1001,MATCH($B903,智能流水!$B$2:$B$1001,0)),""))</f>
        <v/>
      </c>
      <c r="F903" s="19">
        <f>IF($B903="","",IFERROR(INDEX(智能流水!$F$2:$F$1001,MATCH($B903,智能流水!$B$2:$B$1001,0)),""))</f>
        <v/>
      </c>
      <c r="G903" s="19">
        <f>IF($B903="","",IFERROR(INDEX(智能流水!$G$2:$G$1001,MATCH($B903,智能流水!$B$2:$B$1001,0)),""))</f>
        <v/>
      </c>
      <c r="H903" s="19">
        <f>IF($B903="","",IFERROR(INDEX(智能流水!$H$2:$H$1001,MATCH($B903,智能流水!$B$2:$B$1001,0)),""))</f>
        <v/>
      </c>
      <c r="I903" s="19">
        <f>IF($B903="","",IFERROR(INDEX(智能流水!$I$2:$I$1001,MATCH($B903,智能流水!$B$2:$B$1001,0)),""))</f>
        <v/>
      </c>
      <c r="J903" s="19">
        <f>IF($B903="","",IFERROR(INDEX(智能流水!$J$2:$J$1001,MATCH($B903,智能流水!$B$2:$B$1001,0)),""))</f>
        <v/>
      </c>
      <c r="K903" s="19">
        <f>IF($B903="","",IFERROR(INDEX(智能流水!$K$2:$K$1001,MATCH($B903,智能流水!$B$2:$B$1001,0)),""))</f>
        <v/>
      </c>
      <c r="L903" s="19">
        <f>IF($B903="","",IFERROR(INDEX(智能流水!$L$2:$L$1001,MATCH($B903,智能流水!$B$2:$B$1001,0)),""))</f>
        <v/>
      </c>
      <c r="M903" s="19">
        <f>IF($B903="","",IFERROR(INDEX(智能流水!$M$2:$M$1001,MATCH($B903,智能流水!$B$2:$B$1001,0)),""))</f>
        <v/>
      </c>
      <c r="N903" s="19">
        <f>IF($B903="","",IFERROR(INDEX(智能流水!$N$2:$N$1001,MATCH($B903,智能流水!$B$2:$B$1001,0)),""))</f>
        <v/>
      </c>
      <c r="O903" s="19">
        <f>IF($B903="","",IFERROR(INDEX(智能流水!$O$2:$O$1001,MATCH($B903,智能流水!$B$2:$B$1001,0)),""))</f>
        <v/>
      </c>
    </row>
    <row r="904">
      <c r="A904" s="19">
        <f>IF($B904="","",903)</f>
        <v/>
      </c>
      <c r="B904" s="19">
        <f>IFERROR(LARGE(智能流水!$B$2:$B$1001,903),"")</f>
        <v/>
      </c>
      <c r="C904" s="19">
        <f>IF($B904="","",IFERROR(INDEX(智能流水!$C$2:$C$1001,MATCH($B904,智能流水!$B$2:$B$1001,0)),""))</f>
        <v/>
      </c>
      <c r="D904" s="19">
        <f>IF($B904="","",IFERROR(INDEX(智能流水!$D$2:$D$1001,MATCH($B904,智能流水!$B$2:$B$1001,0)),""))</f>
        <v/>
      </c>
      <c r="E904" s="19">
        <f>IF($B904="","",IFERROR(INDEX(智能流水!$E$2:$E$1001,MATCH($B904,智能流水!$B$2:$B$1001,0)),""))</f>
        <v/>
      </c>
      <c r="F904" s="19">
        <f>IF($B904="","",IFERROR(INDEX(智能流水!$F$2:$F$1001,MATCH($B904,智能流水!$B$2:$B$1001,0)),""))</f>
        <v/>
      </c>
      <c r="G904" s="19">
        <f>IF($B904="","",IFERROR(INDEX(智能流水!$G$2:$G$1001,MATCH($B904,智能流水!$B$2:$B$1001,0)),""))</f>
        <v/>
      </c>
      <c r="H904" s="19">
        <f>IF($B904="","",IFERROR(INDEX(智能流水!$H$2:$H$1001,MATCH($B904,智能流水!$B$2:$B$1001,0)),""))</f>
        <v/>
      </c>
      <c r="I904" s="19">
        <f>IF($B904="","",IFERROR(INDEX(智能流水!$I$2:$I$1001,MATCH($B904,智能流水!$B$2:$B$1001,0)),""))</f>
        <v/>
      </c>
      <c r="J904" s="19">
        <f>IF($B904="","",IFERROR(INDEX(智能流水!$J$2:$J$1001,MATCH($B904,智能流水!$B$2:$B$1001,0)),""))</f>
        <v/>
      </c>
      <c r="K904" s="19">
        <f>IF($B904="","",IFERROR(INDEX(智能流水!$K$2:$K$1001,MATCH($B904,智能流水!$B$2:$B$1001,0)),""))</f>
        <v/>
      </c>
      <c r="L904" s="19">
        <f>IF($B904="","",IFERROR(INDEX(智能流水!$L$2:$L$1001,MATCH($B904,智能流水!$B$2:$B$1001,0)),""))</f>
        <v/>
      </c>
      <c r="M904" s="19">
        <f>IF($B904="","",IFERROR(INDEX(智能流水!$M$2:$M$1001,MATCH($B904,智能流水!$B$2:$B$1001,0)),""))</f>
        <v/>
      </c>
      <c r="N904" s="19">
        <f>IF($B904="","",IFERROR(INDEX(智能流水!$N$2:$N$1001,MATCH($B904,智能流水!$B$2:$B$1001,0)),""))</f>
        <v/>
      </c>
      <c r="O904" s="19">
        <f>IF($B904="","",IFERROR(INDEX(智能流水!$O$2:$O$1001,MATCH($B904,智能流水!$B$2:$B$1001,0)),""))</f>
        <v/>
      </c>
    </row>
    <row r="905">
      <c r="A905" s="19">
        <f>IF($B905="","",904)</f>
        <v/>
      </c>
      <c r="B905" s="19">
        <f>IFERROR(LARGE(智能流水!$B$2:$B$1001,904),"")</f>
        <v/>
      </c>
      <c r="C905" s="19">
        <f>IF($B905="","",IFERROR(INDEX(智能流水!$C$2:$C$1001,MATCH($B905,智能流水!$B$2:$B$1001,0)),""))</f>
        <v/>
      </c>
      <c r="D905" s="19">
        <f>IF($B905="","",IFERROR(INDEX(智能流水!$D$2:$D$1001,MATCH($B905,智能流水!$B$2:$B$1001,0)),""))</f>
        <v/>
      </c>
      <c r="E905" s="19">
        <f>IF($B905="","",IFERROR(INDEX(智能流水!$E$2:$E$1001,MATCH($B905,智能流水!$B$2:$B$1001,0)),""))</f>
        <v/>
      </c>
      <c r="F905" s="19">
        <f>IF($B905="","",IFERROR(INDEX(智能流水!$F$2:$F$1001,MATCH($B905,智能流水!$B$2:$B$1001,0)),""))</f>
        <v/>
      </c>
      <c r="G905" s="19">
        <f>IF($B905="","",IFERROR(INDEX(智能流水!$G$2:$G$1001,MATCH($B905,智能流水!$B$2:$B$1001,0)),""))</f>
        <v/>
      </c>
      <c r="H905" s="19">
        <f>IF($B905="","",IFERROR(INDEX(智能流水!$H$2:$H$1001,MATCH($B905,智能流水!$B$2:$B$1001,0)),""))</f>
        <v/>
      </c>
      <c r="I905" s="19">
        <f>IF($B905="","",IFERROR(INDEX(智能流水!$I$2:$I$1001,MATCH($B905,智能流水!$B$2:$B$1001,0)),""))</f>
        <v/>
      </c>
      <c r="J905" s="19">
        <f>IF($B905="","",IFERROR(INDEX(智能流水!$J$2:$J$1001,MATCH($B905,智能流水!$B$2:$B$1001,0)),""))</f>
        <v/>
      </c>
      <c r="K905" s="19">
        <f>IF($B905="","",IFERROR(INDEX(智能流水!$K$2:$K$1001,MATCH($B905,智能流水!$B$2:$B$1001,0)),""))</f>
        <v/>
      </c>
      <c r="L905" s="19">
        <f>IF($B905="","",IFERROR(INDEX(智能流水!$L$2:$L$1001,MATCH($B905,智能流水!$B$2:$B$1001,0)),""))</f>
        <v/>
      </c>
      <c r="M905" s="19">
        <f>IF($B905="","",IFERROR(INDEX(智能流水!$M$2:$M$1001,MATCH($B905,智能流水!$B$2:$B$1001,0)),""))</f>
        <v/>
      </c>
      <c r="N905" s="19">
        <f>IF($B905="","",IFERROR(INDEX(智能流水!$N$2:$N$1001,MATCH($B905,智能流水!$B$2:$B$1001,0)),""))</f>
        <v/>
      </c>
      <c r="O905" s="19">
        <f>IF($B905="","",IFERROR(INDEX(智能流水!$O$2:$O$1001,MATCH($B905,智能流水!$B$2:$B$1001,0)),""))</f>
        <v/>
      </c>
    </row>
    <row r="906">
      <c r="A906" s="19">
        <f>IF($B906="","",905)</f>
        <v/>
      </c>
      <c r="B906" s="19">
        <f>IFERROR(LARGE(智能流水!$B$2:$B$1001,905),"")</f>
        <v/>
      </c>
      <c r="C906" s="19">
        <f>IF($B906="","",IFERROR(INDEX(智能流水!$C$2:$C$1001,MATCH($B906,智能流水!$B$2:$B$1001,0)),""))</f>
        <v/>
      </c>
      <c r="D906" s="19">
        <f>IF($B906="","",IFERROR(INDEX(智能流水!$D$2:$D$1001,MATCH($B906,智能流水!$B$2:$B$1001,0)),""))</f>
        <v/>
      </c>
      <c r="E906" s="19">
        <f>IF($B906="","",IFERROR(INDEX(智能流水!$E$2:$E$1001,MATCH($B906,智能流水!$B$2:$B$1001,0)),""))</f>
        <v/>
      </c>
      <c r="F906" s="19">
        <f>IF($B906="","",IFERROR(INDEX(智能流水!$F$2:$F$1001,MATCH($B906,智能流水!$B$2:$B$1001,0)),""))</f>
        <v/>
      </c>
      <c r="G906" s="19">
        <f>IF($B906="","",IFERROR(INDEX(智能流水!$G$2:$G$1001,MATCH($B906,智能流水!$B$2:$B$1001,0)),""))</f>
        <v/>
      </c>
      <c r="H906" s="19">
        <f>IF($B906="","",IFERROR(INDEX(智能流水!$H$2:$H$1001,MATCH($B906,智能流水!$B$2:$B$1001,0)),""))</f>
        <v/>
      </c>
      <c r="I906" s="19">
        <f>IF($B906="","",IFERROR(INDEX(智能流水!$I$2:$I$1001,MATCH($B906,智能流水!$B$2:$B$1001,0)),""))</f>
        <v/>
      </c>
      <c r="J906" s="19">
        <f>IF($B906="","",IFERROR(INDEX(智能流水!$J$2:$J$1001,MATCH($B906,智能流水!$B$2:$B$1001,0)),""))</f>
        <v/>
      </c>
      <c r="K906" s="19">
        <f>IF($B906="","",IFERROR(INDEX(智能流水!$K$2:$K$1001,MATCH($B906,智能流水!$B$2:$B$1001,0)),""))</f>
        <v/>
      </c>
      <c r="L906" s="19">
        <f>IF($B906="","",IFERROR(INDEX(智能流水!$L$2:$L$1001,MATCH($B906,智能流水!$B$2:$B$1001,0)),""))</f>
        <v/>
      </c>
      <c r="M906" s="19">
        <f>IF($B906="","",IFERROR(INDEX(智能流水!$M$2:$M$1001,MATCH($B906,智能流水!$B$2:$B$1001,0)),""))</f>
        <v/>
      </c>
      <c r="N906" s="19">
        <f>IF($B906="","",IFERROR(INDEX(智能流水!$N$2:$N$1001,MATCH($B906,智能流水!$B$2:$B$1001,0)),""))</f>
        <v/>
      </c>
      <c r="O906" s="19">
        <f>IF($B906="","",IFERROR(INDEX(智能流水!$O$2:$O$1001,MATCH($B906,智能流水!$B$2:$B$1001,0)),""))</f>
        <v/>
      </c>
    </row>
    <row r="907">
      <c r="A907" s="19">
        <f>IF($B907="","",906)</f>
        <v/>
      </c>
      <c r="B907" s="19">
        <f>IFERROR(LARGE(智能流水!$B$2:$B$1001,906),"")</f>
        <v/>
      </c>
      <c r="C907" s="19">
        <f>IF($B907="","",IFERROR(INDEX(智能流水!$C$2:$C$1001,MATCH($B907,智能流水!$B$2:$B$1001,0)),""))</f>
        <v/>
      </c>
      <c r="D907" s="19">
        <f>IF($B907="","",IFERROR(INDEX(智能流水!$D$2:$D$1001,MATCH($B907,智能流水!$B$2:$B$1001,0)),""))</f>
        <v/>
      </c>
      <c r="E907" s="19">
        <f>IF($B907="","",IFERROR(INDEX(智能流水!$E$2:$E$1001,MATCH($B907,智能流水!$B$2:$B$1001,0)),""))</f>
        <v/>
      </c>
      <c r="F907" s="19">
        <f>IF($B907="","",IFERROR(INDEX(智能流水!$F$2:$F$1001,MATCH($B907,智能流水!$B$2:$B$1001,0)),""))</f>
        <v/>
      </c>
      <c r="G907" s="19">
        <f>IF($B907="","",IFERROR(INDEX(智能流水!$G$2:$G$1001,MATCH($B907,智能流水!$B$2:$B$1001,0)),""))</f>
        <v/>
      </c>
      <c r="H907" s="19">
        <f>IF($B907="","",IFERROR(INDEX(智能流水!$H$2:$H$1001,MATCH($B907,智能流水!$B$2:$B$1001,0)),""))</f>
        <v/>
      </c>
      <c r="I907" s="19">
        <f>IF($B907="","",IFERROR(INDEX(智能流水!$I$2:$I$1001,MATCH($B907,智能流水!$B$2:$B$1001,0)),""))</f>
        <v/>
      </c>
      <c r="J907" s="19">
        <f>IF($B907="","",IFERROR(INDEX(智能流水!$J$2:$J$1001,MATCH($B907,智能流水!$B$2:$B$1001,0)),""))</f>
        <v/>
      </c>
      <c r="K907" s="19">
        <f>IF($B907="","",IFERROR(INDEX(智能流水!$K$2:$K$1001,MATCH($B907,智能流水!$B$2:$B$1001,0)),""))</f>
        <v/>
      </c>
      <c r="L907" s="19">
        <f>IF($B907="","",IFERROR(INDEX(智能流水!$L$2:$L$1001,MATCH($B907,智能流水!$B$2:$B$1001,0)),""))</f>
        <v/>
      </c>
      <c r="M907" s="19">
        <f>IF($B907="","",IFERROR(INDEX(智能流水!$M$2:$M$1001,MATCH($B907,智能流水!$B$2:$B$1001,0)),""))</f>
        <v/>
      </c>
      <c r="N907" s="19">
        <f>IF($B907="","",IFERROR(INDEX(智能流水!$N$2:$N$1001,MATCH($B907,智能流水!$B$2:$B$1001,0)),""))</f>
        <v/>
      </c>
      <c r="O907" s="19">
        <f>IF($B907="","",IFERROR(INDEX(智能流水!$O$2:$O$1001,MATCH($B907,智能流水!$B$2:$B$1001,0)),""))</f>
        <v/>
      </c>
    </row>
    <row r="908">
      <c r="A908" s="19">
        <f>IF($B908="","",907)</f>
        <v/>
      </c>
      <c r="B908" s="19">
        <f>IFERROR(LARGE(智能流水!$B$2:$B$1001,907),"")</f>
        <v/>
      </c>
      <c r="C908" s="19">
        <f>IF($B908="","",IFERROR(INDEX(智能流水!$C$2:$C$1001,MATCH($B908,智能流水!$B$2:$B$1001,0)),""))</f>
        <v/>
      </c>
      <c r="D908" s="19">
        <f>IF($B908="","",IFERROR(INDEX(智能流水!$D$2:$D$1001,MATCH($B908,智能流水!$B$2:$B$1001,0)),""))</f>
        <v/>
      </c>
      <c r="E908" s="19">
        <f>IF($B908="","",IFERROR(INDEX(智能流水!$E$2:$E$1001,MATCH($B908,智能流水!$B$2:$B$1001,0)),""))</f>
        <v/>
      </c>
      <c r="F908" s="19">
        <f>IF($B908="","",IFERROR(INDEX(智能流水!$F$2:$F$1001,MATCH($B908,智能流水!$B$2:$B$1001,0)),""))</f>
        <v/>
      </c>
      <c r="G908" s="19">
        <f>IF($B908="","",IFERROR(INDEX(智能流水!$G$2:$G$1001,MATCH($B908,智能流水!$B$2:$B$1001,0)),""))</f>
        <v/>
      </c>
      <c r="H908" s="19">
        <f>IF($B908="","",IFERROR(INDEX(智能流水!$H$2:$H$1001,MATCH($B908,智能流水!$B$2:$B$1001,0)),""))</f>
        <v/>
      </c>
      <c r="I908" s="19">
        <f>IF($B908="","",IFERROR(INDEX(智能流水!$I$2:$I$1001,MATCH($B908,智能流水!$B$2:$B$1001,0)),""))</f>
        <v/>
      </c>
      <c r="J908" s="19">
        <f>IF($B908="","",IFERROR(INDEX(智能流水!$J$2:$J$1001,MATCH($B908,智能流水!$B$2:$B$1001,0)),""))</f>
        <v/>
      </c>
      <c r="K908" s="19">
        <f>IF($B908="","",IFERROR(INDEX(智能流水!$K$2:$K$1001,MATCH($B908,智能流水!$B$2:$B$1001,0)),""))</f>
        <v/>
      </c>
      <c r="L908" s="19">
        <f>IF($B908="","",IFERROR(INDEX(智能流水!$L$2:$L$1001,MATCH($B908,智能流水!$B$2:$B$1001,0)),""))</f>
        <v/>
      </c>
      <c r="M908" s="19">
        <f>IF($B908="","",IFERROR(INDEX(智能流水!$M$2:$M$1001,MATCH($B908,智能流水!$B$2:$B$1001,0)),""))</f>
        <v/>
      </c>
      <c r="N908" s="19">
        <f>IF($B908="","",IFERROR(INDEX(智能流水!$N$2:$N$1001,MATCH($B908,智能流水!$B$2:$B$1001,0)),""))</f>
        <v/>
      </c>
      <c r="O908" s="19">
        <f>IF($B908="","",IFERROR(INDEX(智能流水!$O$2:$O$1001,MATCH($B908,智能流水!$B$2:$B$1001,0)),""))</f>
        <v/>
      </c>
    </row>
    <row r="909">
      <c r="A909" s="19">
        <f>IF($B909="","",908)</f>
        <v/>
      </c>
      <c r="B909" s="19">
        <f>IFERROR(LARGE(智能流水!$B$2:$B$1001,908),"")</f>
        <v/>
      </c>
      <c r="C909" s="19">
        <f>IF($B909="","",IFERROR(INDEX(智能流水!$C$2:$C$1001,MATCH($B909,智能流水!$B$2:$B$1001,0)),""))</f>
        <v/>
      </c>
      <c r="D909" s="19">
        <f>IF($B909="","",IFERROR(INDEX(智能流水!$D$2:$D$1001,MATCH($B909,智能流水!$B$2:$B$1001,0)),""))</f>
        <v/>
      </c>
      <c r="E909" s="19">
        <f>IF($B909="","",IFERROR(INDEX(智能流水!$E$2:$E$1001,MATCH($B909,智能流水!$B$2:$B$1001,0)),""))</f>
        <v/>
      </c>
      <c r="F909" s="19">
        <f>IF($B909="","",IFERROR(INDEX(智能流水!$F$2:$F$1001,MATCH($B909,智能流水!$B$2:$B$1001,0)),""))</f>
        <v/>
      </c>
      <c r="G909" s="19">
        <f>IF($B909="","",IFERROR(INDEX(智能流水!$G$2:$G$1001,MATCH($B909,智能流水!$B$2:$B$1001,0)),""))</f>
        <v/>
      </c>
      <c r="H909" s="19">
        <f>IF($B909="","",IFERROR(INDEX(智能流水!$H$2:$H$1001,MATCH($B909,智能流水!$B$2:$B$1001,0)),""))</f>
        <v/>
      </c>
      <c r="I909" s="19">
        <f>IF($B909="","",IFERROR(INDEX(智能流水!$I$2:$I$1001,MATCH($B909,智能流水!$B$2:$B$1001,0)),""))</f>
        <v/>
      </c>
      <c r="J909" s="19">
        <f>IF($B909="","",IFERROR(INDEX(智能流水!$J$2:$J$1001,MATCH($B909,智能流水!$B$2:$B$1001,0)),""))</f>
        <v/>
      </c>
      <c r="K909" s="19">
        <f>IF($B909="","",IFERROR(INDEX(智能流水!$K$2:$K$1001,MATCH($B909,智能流水!$B$2:$B$1001,0)),""))</f>
        <v/>
      </c>
      <c r="L909" s="19">
        <f>IF($B909="","",IFERROR(INDEX(智能流水!$L$2:$L$1001,MATCH($B909,智能流水!$B$2:$B$1001,0)),""))</f>
        <v/>
      </c>
      <c r="M909" s="19">
        <f>IF($B909="","",IFERROR(INDEX(智能流水!$M$2:$M$1001,MATCH($B909,智能流水!$B$2:$B$1001,0)),""))</f>
        <v/>
      </c>
      <c r="N909" s="19">
        <f>IF($B909="","",IFERROR(INDEX(智能流水!$N$2:$N$1001,MATCH($B909,智能流水!$B$2:$B$1001,0)),""))</f>
        <v/>
      </c>
      <c r="O909" s="19">
        <f>IF($B909="","",IFERROR(INDEX(智能流水!$O$2:$O$1001,MATCH($B909,智能流水!$B$2:$B$1001,0)),""))</f>
        <v/>
      </c>
    </row>
    <row r="910">
      <c r="A910" s="19">
        <f>IF($B910="","",909)</f>
        <v/>
      </c>
      <c r="B910" s="19">
        <f>IFERROR(LARGE(智能流水!$B$2:$B$1001,909),"")</f>
        <v/>
      </c>
      <c r="C910" s="19">
        <f>IF($B910="","",IFERROR(INDEX(智能流水!$C$2:$C$1001,MATCH($B910,智能流水!$B$2:$B$1001,0)),""))</f>
        <v/>
      </c>
      <c r="D910" s="19">
        <f>IF($B910="","",IFERROR(INDEX(智能流水!$D$2:$D$1001,MATCH($B910,智能流水!$B$2:$B$1001,0)),""))</f>
        <v/>
      </c>
      <c r="E910" s="19">
        <f>IF($B910="","",IFERROR(INDEX(智能流水!$E$2:$E$1001,MATCH($B910,智能流水!$B$2:$B$1001,0)),""))</f>
        <v/>
      </c>
      <c r="F910" s="19">
        <f>IF($B910="","",IFERROR(INDEX(智能流水!$F$2:$F$1001,MATCH($B910,智能流水!$B$2:$B$1001,0)),""))</f>
        <v/>
      </c>
      <c r="G910" s="19">
        <f>IF($B910="","",IFERROR(INDEX(智能流水!$G$2:$G$1001,MATCH($B910,智能流水!$B$2:$B$1001,0)),""))</f>
        <v/>
      </c>
      <c r="H910" s="19">
        <f>IF($B910="","",IFERROR(INDEX(智能流水!$H$2:$H$1001,MATCH($B910,智能流水!$B$2:$B$1001,0)),""))</f>
        <v/>
      </c>
      <c r="I910" s="19">
        <f>IF($B910="","",IFERROR(INDEX(智能流水!$I$2:$I$1001,MATCH($B910,智能流水!$B$2:$B$1001,0)),""))</f>
        <v/>
      </c>
      <c r="J910" s="19">
        <f>IF($B910="","",IFERROR(INDEX(智能流水!$J$2:$J$1001,MATCH($B910,智能流水!$B$2:$B$1001,0)),""))</f>
        <v/>
      </c>
      <c r="K910" s="19">
        <f>IF($B910="","",IFERROR(INDEX(智能流水!$K$2:$K$1001,MATCH($B910,智能流水!$B$2:$B$1001,0)),""))</f>
        <v/>
      </c>
      <c r="L910" s="19">
        <f>IF($B910="","",IFERROR(INDEX(智能流水!$L$2:$L$1001,MATCH($B910,智能流水!$B$2:$B$1001,0)),""))</f>
        <v/>
      </c>
      <c r="M910" s="19">
        <f>IF($B910="","",IFERROR(INDEX(智能流水!$M$2:$M$1001,MATCH($B910,智能流水!$B$2:$B$1001,0)),""))</f>
        <v/>
      </c>
      <c r="N910" s="19">
        <f>IF($B910="","",IFERROR(INDEX(智能流水!$N$2:$N$1001,MATCH($B910,智能流水!$B$2:$B$1001,0)),""))</f>
        <v/>
      </c>
      <c r="O910" s="19">
        <f>IF($B910="","",IFERROR(INDEX(智能流水!$O$2:$O$1001,MATCH($B910,智能流水!$B$2:$B$1001,0)),""))</f>
        <v/>
      </c>
    </row>
    <row r="911">
      <c r="A911" s="19">
        <f>IF($B911="","",910)</f>
        <v/>
      </c>
      <c r="B911" s="19">
        <f>IFERROR(LARGE(智能流水!$B$2:$B$1001,910),"")</f>
        <v/>
      </c>
      <c r="C911" s="19">
        <f>IF($B911="","",IFERROR(INDEX(智能流水!$C$2:$C$1001,MATCH($B911,智能流水!$B$2:$B$1001,0)),""))</f>
        <v/>
      </c>
      <c r="D911" s="19">
        <f>IF($B911="","",IFERROR(INDEX(智能流水!$D$2:$D$1001,MATCH($B911,智能流水!$B$2:$B$1001,0)),""))</f>
        <v/>
      </c>
      <c r="E911" s="19">
        <f>IF($B911="","",IFERROR(INDEX(智能流水!$E$2:$E$1001,MATCH($B911,智能流水!$B$2:$B$1001,0)),""))</f>
        <v/>
      </c>
      <c r="F911" s="19">
        <f>IF($B911="","",IFERROR(INDEX(智能流水!$F$2:$F$1001,MATCH($B911,智能流水!$B$2:$B$1001,0)),""))</f>
        <v/>
      </c>
      <c r="G911" s="19">
        <f>IF($B911="","",IFERROR(INDEX(智能流水!$G$2:$G$1001,MATCH($B911,智能流水!$B$2:$B$1001,0)),""))</f>
        <v/>
      </c>
      <c r="H911" s="19">
        <f>IF($B911="","",IFERROR(INDEX(智能流水!$H$2:$H$1001,MATCH($B911,智能流水!$B$2:$B$1001,0)),""))</f>
        <v/>
      </c>
      <c r="I911" s="19">
        <f>IF($B911="","",IFERROR(INDEX(智能流水!$I$2:$I$1001,MATCH($B911,智能流水!$B$2:$B$1001,0)),""))</f>
        <v/>
      </c>
      <c r="J911" s="19">
        <f>IF($B911="","",IFERROR(INDEX(智能流水!$J$2:$J$1001,MATCH($B911,智能流水!$B$2:$B$1001,0)),""))</f>
        <v/>
      </c>
      <c r="K911" s="19">
        <f>IF($B911="","",IFERROR(INDEX(智能流水!$K$2:$K$1001,MATCH($B911,智能流水!$B$2:$B$1001,0)),""))</f>
        <v/>
      </c>
      <c r="L911" s="19">
        <f>IF($B911="","",IFERROR(INDEX(智能流水!$L$2:$L$1001,MATCH($B911,智能流水!$B$2:$B$1001,0)),""))</f>
        <v/>
      </c>
      <c r="M911" s="19">
        <f>IF($B911="","",IFERROR(INDEX(智能流水!$M$2:$M$1001,MATCH($B911,智能流水!$B$2:$B$1001,0)),""))</f>
        <v/>
      </c>
      <c r="N911" s="19">
        <f>IF($B911="","",IFERROR(INDEX(智能流水!$N$2:$N$1001,MATCH($B911,智能流水!$B$2:$B$1001,0)),""))</f>
        <v/>
      </c>
      <c r="O911" s="19">
        <f>IF($B911="","",IFERROR(INDEX(智能流水!$O$2:$O$1001,MATCH($B911,智能流水!$B$2:$B$1001,0)),""))</f>
        <v/>
      </c>
    </row>
    <row r="912">
      <c r="A912" s="19">
        <f>IF($B912="","",911)</f>
        <v/>
      </c>
      <c r="B912" s="19">
        <f>IFERROR(LARGE(智能流水!$B$2:$B$1001,911),"")</f>
        <v/>
      </c>
      <c r="C912" s="19">
        <f>IF($B912="","",IFERROR(INDEX(智能流水!$C$2:$C$1001,MATCH($B912,智能流水!$B$2:$B$1001,0)),""))</f>
        <v/>
      </c>
      <c r="D912" s="19">
        <f>IF($B912="","",IFERROR(INDEX(智能流水!$D$2:$D$1001,MATCH($B912,智能流水!$B$2:$B$1001,0)),""))</f>
        <v/>
      </c>
      <c r="E912" s="19">
        <f>IF($B912="","",IFERROR(INDEX(智能流水!$E$2:$E$1001,MATCH($B912,智能流水!$B$2:$B$1001,0)),""))</f>
        <v/>
      </c>
      <c r="F912" s="19">
        <f>IF($B912="","",IFERROR(INDEX(智能流水!$F$2:$F$1001,MATCH($B912,智能流水!$B$2:$B$1001,0)),""))</f>
        <v/>
      </c>
      <c r="G912" s="19">
        <f>IF($B912="","",IFERROR(INDEX(智能流水!$G$2:$G$1001,MATCH($B912,智能流水!$B$2:$B$1001,0)),""))</f>
        <v/>
      </c>
      <c r="H912" s="19">
        <f>IF($B912="","",IFERROR(INDEX(智能流水!$H$2:$H$1001,MATCH($B912,智能流水!$B$2:$B$1001,0)),""))</f>
        <v/>
      </c>
      <c r="I912" s="19">
        <f>IF($B912="","",IFERROR(INDEX(智能流水!$I$2:$I$1001,MATCH($B912,智能流水!$B$2:$B$1001,0)),""))</f>
        <v/>
      </c>
      <c r="J912" s="19">
        <f>IF($B912="","",IFERROR(INDEX(智能流水!$J$2:$J$1001,MATCH($B912,智能流水!$B$2:$B$1001,0)),""))</f>
        <v/>
      </c>
      <c r="K912" s="19">
        <f>IF($B912="","",IFERROR(INDEX(智能流水!$K$2:$K$1001,MATCH($B912,智能流水!$B$2:$B$1001,0)),""))</f>
        <v/>
      </c>
      <c r="L912" s="19">
        <f>IF($B912="","",IFERROR(INDEX(智能流水!$L$2:$L$1001,MATCH($B912,智能流水!$B$2:$B$1001,0)),""))</f>
        <v/>
      </c>
      <c r="M912" s="19">
        <f>IF($B912="","",IFERROR(INDEX(智能流水!$M$2:$M$1001,MATCH($B912,智能流水!$B$2:$B$1001,0)),""))</f>
        <v/>
      </c>
      <c r="N912" s="19">
        <f>IF($B912="","",IFERROR(INDEX(智能流水!$N$2:$N$1001,MATCH($B912,智能流水!$B$2:$B$1001,0)),""))</f>
        <v/>
      </c>
      <c r="O912" s="19">
        <f>IF($B912="","",IFERROR(INDEX(智能流水!$O$2:$O$1001,MATCH($B912,智能流水!$B$2:$B$1001,0)),""))</f>
        <v/>
      </c>
    </row>
    <row r="913">
      <c r="A913" s="19">
        <f>IF($B913="","",912)</f>
        <v/>
      </c>
      <c r="B913" s="19">
        <f>IFERROR(LARGE(智能流水!$B$2:$B$1001,912),"")</f>
        <v/>
      </c>
      <c r="C913" s="19">
        <f>IF($B913="","",IFERROR(INDEX(智能流水!$C$2:$C$1001,MATCH($B913,智能流水!$B$2:$B$1001,0)),""))</f>
        <v/>
      </c>
      <c r="D913" s="19">
        <f>IF($B913="","",IFERROR(INDEX(智能流水!$D$2:$D$1001,MATCH($B913,智能流水!$B$2:$B$1001,0)),""))</f>
        <v/>
      </c>
      <c r="E913" s="19">
        <f>IF($B913="","",IFERROR(INDEX(智能流水!$E$2:$E$1001,MATCH($B913,智能流水!$B$2:$B$1001,0)),""))</f>
        <v/>
      </c>
      <c r="F913" s="19">
        <f>IF($B913="","",IFERROR(INDEX(智能流水!$F$2:$F$1001,MATCH($B913,智能流水!$B$2:$B$1001,0)),""))</f>
        <v/>
      </c>
      <c r="G913" s="19">
        <f>IF($B913="","",IFERROR(INDEX(智能流水!$G$2:$G$1001,MATCH($B913,智能流水!$B$2:$B$1001,0)),""))</f>
        <v/>
      </c>
      <c r="H913" s="19">
        <f>IF($B913="","",IFERROR(INDEX(智能流水!$H$2:$H$1001,MATCH($B913,智能流水!$B$2:$B$1001,0)),""))</f>
        <v/>
      </c>
      <c r="I913" s="19">
        <f>IF($B913="","",IFERROR(INDEX(智能流水!$I$2:$I$1001,MATCH($B913,智能流水!$B$2:$B$1001,0)),""))</f>
        <v/>
      </c>
      <c r="J913" s="19">
        <f>IF($B913="","",IFERROR(INDEX(智能流水!$J$2:$J$1001,MATCH($B913,智能流水!$B$2:$B$1001,0)),""))</f>
        <v/>
      </c>
      <c r="K913" s="19">
        <f>IF($B913="","",IFERROR(INDEX(智能流水!$K$2:$K$1001,MATCH($B913,智能流水!$B$2:$B$1001,0)),""))</f>
        <v/>
      </c>
      <c r="L913" s="19">
        <f>IF($B913="","",IFERROR(INDEX(智能流水!$L$2:$L$1001,MATCH($B913,智能流水!$B$2:$B$1001,0)),""))</f>
        <v/>
      </c>
      <c r="M913" s="19">
        <f>IF($B913="","",IFERROR(INDEX(智能流水!$M$2:$M$1001,MATCH($B913,智能流水!$B$2:$B$1001,0)),""))</f>
        <v/>
      </c>
      <c r="N913" s="19">
        <f>IF($B913="","",IFERROR(INDEX(智能流水!$N$2:$N$1001,MATCH($B913,智能流水!$B$2:$B$1001,0)),""))</f>
        <v/>
      </c>
      <c r="O913" s="19">
        <f>IF($B913="","",IFERROR(INDEX(智能流水!$O$2:$O$1001,MATCH($B913,智能流水!$B$2:$B$1001,0)),""))</f>
        <v/>
      </c>
    </row>
    <row r="914">
      <c r="A914" s="19">
        <f>IF($B914="","",913)</f>
        <v/>
      </c>
      <c r="B914" s="19">
        <f>IFERROR(LARGE(智能流水!$B$2:$B$1001,913),"")</f>
        <v/>
      </c>
      <c r="C914" s="19">
        <f>IF($B914="","",IFERROR(INDEX(智能流水!$C$2:$C$1001,MATCH($B914,智能流水!$B$2:$B$1001,0)),""))</f>
        <v/>
      </c>
      <c r="D914" s="19">
        <f>IF($B914="","",IFERROR(INDEX(智能流水!$D$2:$D$1001,MATCH($B914,智能流水!$B$2:$B$1001,0)),""))</f>
        <v/>
      </c>
      <c r="E914" s="19">
        <f>IF($B914="","",IFERROR(INDEX(智能流水!$E$2:$E$1001,MATCH($B914,智能流水!$B$2:$B$1001,0)),""))</f>
        <v/>
      </c>
      <c r="F914" s="19">
        <f>IF($B914="","",IFERROR(INDEX(智能流水!$F$2:$F$1001,MATCH($B914,智能流水!$B$2:$B$1001,0)),""))</f>
        <v/>
      </c>
      <c r="G914" s="19">
        <f>IF($B914="","",IFERROR(INDEX(智能流水!$G$2:$G$1001,MATCH($B914,智能流水!$B$2:$B$1001,0)),""))</f>
        <v/>
      </c>
      <c r="H914" s="19">
        <f>IF($B914="","",IFERROR(INDEX(智能流水!$H$2:$H$1001,MATCH($B914,智能流水!$B$2:$B$1001,0)),""))</f>
        <v/>
      </c>
      <c r="I914" s="19">
        <f>IF($B914="","",IFERROR(INDEX(智能流水!$I$2:$I$1001,MATCH($B914,智能流水!$B$2:$B$1001,0)),""))</f>
        <v/>
      </c>
      <c r="J914" s="19">
        <f>IF($B914="","",IFERROR(INDEX(智能流水!$J$2:$J$1001,MATCH($B914,智能流水!$B$2:$B$1001,0)),""))</f>
        <v/>
      </c>
      <c r="K914" s="19">
        <f>IF($B914="","",IFERROR(INDEX(智能流水!$K$2:$K$1001,MATCH($B914,智能流水!$B$2:$B$1001,0)),""))</f>
        <v/>
      </c>
      <c r="L914" s="19">
        <f>IF($B914="","",IFERROR(INDEX(智能流水!$L$2:$L$1001,MATCH($B914,智能流水!$B$2:$B$1001,0)),""))</f>
        <v/>
      </c>
      <c r="M914" s="19">
        <f>IF($B914="","",IFERROR(INDEX(智能流水!$M$2:$M$1001,MATCH($B914,智能流水!$B$2:$B$1001,0)),""))</f>
        <v/>
      </c>
      <c r="N914" s="19">
        <f>IF($B914="","",IFERROR(INDEX(智能流水!$N$2:$N$1001,MATCH($B914,智能流水!$B$2:$B$1001,0)),""))</f>
        <v/>
      </c>
      <c r="O914" s="19">
        <f>IF($B914="","",IFERROR(INDEX(智能流水!$O$2:$O$1001,MATCH($B914,智能流水!$B$2:$B$1001,0)),""))</f>
        <v/>
      </c>
    </row>
    <row r="915">
      <c r="A915" s="19">
        <f>IF($B915="","",914)</f>
        <v/>
      </c>
      <c r="B915" s="19">
        <f>IFERROR(LARGE(智能流水!$B$2:$B$1001,914),"")</f>
        <v/>
      </c>
      <c r="C915" s="19">
        <f>IF($B915="","",IFERROR(INDEX(智能流水!$C$2:$C$1001,MATCH($B915,智能流水!$B$2:$B$1001,0)),""))</f>
        <v/>
      </c>
      <c r="D915" s="19">
        <f>IF($B915="","",IFERROR(INDEX(智能流水!$D$2:$D$1001,MATCH($B915,智能流水!$B$2:$B$1001,0)),""))</f>
        <v/>
      </c>
      <c r="E915" s="19">
        <f>IF($B915="","",IFERROR(INDEX(智能流水!$E$2:$E$1001,MATCH($B915,智能流水!$B$2:$B$1001,0)),""))</f>
        <v/>
      </c>
      <c r="F915" s="19">
        <f>IF($B915="","",IFERROR(INDEX(智能流水!$F$2:$F$1001,MATCH($B915,智能流水!$B$2:$B$1001,0)),""))</f>
        <v/>
      </c>
      <c r="G915" s="19">
        <f>IF($B915="","",IFERROR(INDEX(智能流水!$G$2:$G$1001,MATCH($B915,智能流水!$B$2:$B$1001,0)),""))</f>
        <v/>
      </c>
      <c r="H915" s="19">
        <f>IF($B915="","",IFERROR(INDEX(智能流水!$H$2:$H$1001,MATCH($B915,智能流水!$B$2:$B$1001,0)),""))</f>
        <v/>
      </c>
      <c r="I915" s="19">
        <f>IF($B915="","",IFERROR(INDEX(智能流水!$I$2:$I$1001,MATCH($B915,智能流水!$B$2:$B$1001,0)),""))</f>
        <v/>
      </c>
      <c r="J915" s="19">
        <f>IF($B915="","",IFERROR(INDEX(智能流水!$J$2:$J$1001,MATCH($B915,智能流水!$B$2:$B$1001,0)),""))</f>
        <v/>
      </c>
      <c r="K915" s="19">
        <f>IF($B915="","",IFERROR(INDEX(智能流水!$K$2:$K$1001,MATCH($B915,智能流水!$B$2:$B$1001,0)),""))</f>
        <v/>
      </c>
      <c r="L915" s="19">
        <f>IF($B915="","",IFERROR(INDEX(智能流水!$L$2:$L$1001,MATCH($B915,智能流水!$B$2:$B$1001,0)),""))</f>
        <v/>
      </c>
      <c r="M915" s="19">
        <f>IF($B915="","",IFERROR(INDEX(智能流水!$M$2:$M$1001,MATCH($B915,智能流水!$B$2:$B$1001,0)),""))</f>
        <v/>
      </c>
      <c r="N915" s="19">
        <f>IF($B915="","",IFERROR(INDEX(智能流水!$N$2:$N$1001,MATCH($B915,智能流水!$B$2:$B$1001,0)),""))</f>
        <v/>
      </c>
      <c r="O915" s="19">
        <f>IF($B915="","",IFERROR(INDEX(智能流水!$O$2:$O$1001,MATCH($B915,智能流水!$B$2:$B$1001,0)),""))</f>
        <v/>
      </c>
    </row>
    <row r="916">
      <c r="A916" s="19">
        <f>IF($B916="","",915)</f>
        <v/>
      </c>
      <c r="B916" s="19">
        <f>IFERROR(LARGE(智能流水!$B$2:$B$1001,915),"")</f>
        <v/>
      </c>
      <c r="C916" s="19">
        <f>IF($B916="","",IFERROR(INDEX(智能流水!$C$2:$C$1001,MATCH($B916,智能流水!$B$2:$B$1001,0)),""))</f>
        <v/>
      </c>
      <c r="D916" s="19">
        <f>IF($B916="","",IFERROR(INDEX(智能流水!$D$2:$D$1001,MATCH($B916,智能流水!$B$2:$B$1001,0)),""))</f>
        <v/>
      </c>
      <c r="E916" s="19">
        <f>IF($B916="","",IFERROR(INDEX(智能流水!$E$2:$E$1001,MATCH($B916,智能流水!$B$2:$B$1001,0)),""))</f>
        <v/>
      </c>
      <c r="F916" s="19">
        <f>IF($B916="","",IFERROR(INDEX(智能流水!$F$2:$F$1001,MATCH($B916,智能流水!$B$2:$B$1001,0)),""))</f>
        <v/>
      </c>
      <c r="G916" s="19">
        <f>IF($B916="","",IFERROR(INDEX(智能流水!$G$2:$G$1001,MATCH($B916,智能流水!$B$2:$B$1001,0)),""))</f>
        <v/>
      </c>
      <c r="H916" s="19">
        <f>IF($B916="","",IFERROR(INDEX(智能流水!$H$2:$H$1001,MATCH($B916,智能流水!$B$2:$B$1001,0)),""))</f>
        <v/>
      </c>
      <c r="I916" s="19">
        <f>IF($B916="","",IFERROR(INDEX(智能流水!$I$2:$I$1001,MATCH($B916,智能流水!$B$2:$B$1001,0)),""))</f>
        <v/>
      </c>
      <c r="J916" s="19">
        <f>IF($B916="","",IFERROR(INDEX(智能流水!$J$2:$J$1001,MATCH($B916,智能流水!$B$2:$B$1001,0)),""))</f>
        <v/>
      </c>
      <c r="K916" s="19">
        <f>IF($B916="","",IFERROR(INDEX(智能流水!$K$2:$K$1001,MATCH($B916,智能流水!$B$2:$B$1001,0)),""))</f>
        <v/>
      </c>
      <c r="L916" s="19">
        <f>IF($B916="","",IFERROR(INDEX(智能流水!$L$2:$L$1001,MATCH($B916,智能流水!$B$2:$B$1001,0)),""))</f>
        <v/>
      </c>
      <c r="M916" s="19">
        <f>IF($B916="","",IFERROR(INDEX(智能流水!$M$2:$M$1001,MATCH($B916,智能流水!$B$2:$B$1001,0)),""))</f>
        <v/>
      </c>
      <c r="N916" s="19">
        <f>IF($B916="","",IFERROR(INDEX(智能流水!$N$2:$N$1001,MATCH($B916,智能流水!$B$2:$B$1001,0)),""))</f>
        <v/>
      </c>
      <c r="O916" s="19">
        <f>IF($B916="","",IFERROR(INDEX(智能流水!$O$2:$O$1001,MATCH($B916,智能流水!$B$2:$B$1001,0)),""))</f>
        <v/>
      </c>
    </row>
    <row r="917">
      <c r="A917" s="19">
        <f>IF($B917="","",916)</f>
        <v/>
      </c>
      <c r="B917" s="19">
        <f>IFERROR(LARGE(智能流水!$B$2:$B$1001,916),"")</f>
        <v/>
      </c>
      <c r="C917" s="19">
        <f>IF($B917="","",IFERROR(INDEX(智能流水!$C$2:$C$1001,MATCH($B917,智能流水!$B$2:$B$1001,0)),""))</f>
        <v/>
      </c>
      <c r="D917" s="19">
        <f>IF($B917="","",IFERROR(INDEX(智能流水!$D$2:$D$1001,MATCH($B917,智能流水!$B$2:$B$1001,0)),""))</f>
        <v/>
      </c>
      <c r="E917" s="19">
        <f>IF($B917="","",IFERROR(INDEX(智能流水!$E$2:$E$1001,MATCH($B917,智能流水!$B$2:$B$1001,0)),""))</f>
        <v/>
      </c>
      <c r="F917" s="19">
        <f>IF($B917="","",IFERROR(INDEX(智能流水!$F$2:$F$1001,MATCH($B917,智能流水!$B$2:$B$1001,0)),""))</f>
        <v/>
      </c>
      <c r="G917" s="19">
        <f>IF($B917="","",IFERROR(INDEX(智能流水!$G$2:$G$1001,MATCH($B917,智能流水!$B$2:$B$1001,0)),""))</f>
        <v/>
      </c>
      <c r="H917" s="19">
        <f>IF($B917="","",IFERROR(INDEX(智能流水!$H$2:$H$1001,MATCH($B917,智能流水!$B$2:$B$1001,0)),""))</f>
        <v/>
      </c>
      <c r="I917" s="19">
        <f>IF($B917="","",IFERROR(INDEX(智能流水!$I$2:$I$1001,MATCH($B917,智能流水!$B$2:$B$1001,0)),""))</f>
        <v/>
      </c>
      <c r="J917" s="19">
        <f>IF($B917="","",IFERROR(INDEX(智能流水!$J$2:$J$1001,MATCH($B917,智能流水!$B$2:$B$1001,0)),""))</f>
        <v/>
      </c>
      <c r="K917" s="19">
        <f>IF($B917="","",IFERROR(INDEX(智能流水!$K$2:$K$1001,MATCH($B917,智能流水!$B$2:$B$1001,0)),""))</f>
        <v/>
      </c>
      <c r="L917" s="19">
        <f>IF($B917="","",IFERROR(INDEX(智能流水!$L$2:$L$1001,MATCH($B917,智能流水!$B$2:$B$1001,0)),""))</f>
        <v/>
      </c>
      <c r="M917" s="19">
        <f>IF($B917="","",IFERROR(INDEX(智能流水!$M$2:$M$1001,MATCH($B917,智能流水!$B$2:$B$1001,0)),""))</f>
        <v/>
      </c>
      <c r="N917" s="19">
        <f>IF($B917="","",IFERROR(INDEX(智能流水!$N$2:$N$1001,MATCH($B917,智能流水!$B$2:$B$1001,0)),""))</f>
        <v/>
      </c>
      <c r="O917" s="19">
        <f>IF($B917="","",IFERROR(INDEX(智能流水!$O$2:$O$1001,MATCH($B917,智能流水!$B$2:$B$1001,0)),""))</f>
        <v/>
      </c>
    </row>
    <row r="918">
      <c r="A918" s="19">
        <f>IF($B918="","",917)</f>
        <v/>
      </c>
      <c r="B918" s="19">
        <f>IFERROR(LARGE(智能流水!$B$2:$B$1001,917),"")</f>
        <v/>
      </c>
      <c r="C918" s="19">
        <f>IF($B918="","",IFERROR(INDEX(智能流水!$C$2:$C$1001,MATCH($B918,智能流水!$B$2:$B$1001,0)),""))</f>
        <v/>
      </c>
      <c r="D918" s="19">
        <f>IF($B918="","",IFERROR(INDEX(智能流水!$D$2:$D$1001,MATCH($B918,智能流水!$B$2:$B$1001,0)),""))</f>
        <v/>
      </c>
      <c r="E918" s="19">
        <f>IF($B918="","",IFERROR(INDEX(智能流水!$E$2:$E$1001,MATCH($B918,智能流水!$B$2:$B$1001,0)),""))</f>
        <v/>
      </c>
      <c r="F918" s="19">
        <f>IF($B918="","",IFERROR(INDEX(智能流水!$F$2:$F$1001,MATCH($B918,智能流水!$B$2:$B$1001,0)),""))</f>
        <v/>
      </c>
      <c r="G918" s="19">
        <f>IF($B918="","",IFERROR(INDEX(智能流水!$G$2:$G$1001,MATCH($B918,智能流水!$B$2:$B$1001,0)),""))</f>
        <v/>
      </c>
      <c r="H918" s="19">
        <f>IF($B918="","",IFERROR(INDEX(智能流水!$H$2:$H$1001,MATCH($B918,智能流水!$B$2:$B$1001,0)),""))</f>
        <v/>
      </c>
      <c r="I918" s="19">
        <f>IF($B918="","",IFERROR(INDEX(智能流水!$I$2:$I$1001,MATCH($B918,智能流水!$B$2:$B$1001,0)),""))</f>
        <v/>
      </c>
      <c r="J918" s="19">
        <f>IF($B918="","",IFERROR(INDEX(智能流水!$J$2:$J$1001,MATCH($B918,智能流水!$B$2:$B$1001,0)),""))</f>
        <v/>
      </c>
      <c r="K918" s="19">
        <f>IF($B918="","",IFERROR(INDEX(智能流水!$K$2:$K$1001,MATCH($B918,智能流水!$B$2:$B$1001,0)),""))</f>
        <v/>
      </c>
      <c r="L918" s="19">
        <f>IF($B918="","",IFERROR(INDEX(智能流水!$L$2:$L$1001,MATCH($B918,智能流水!$B$2:$B$1001,0)),""))</f>
        <v/>
      </c>
      <c r="M918" s="19">
        <f>IF($B918="","",IFERROR(INDEX(智能流水!$M$2:$M$1001,MATCH($B918,智能流水!$B$2:$B$1001,0)),""))</f>
        <v/>
      </c>
      <c r="N918" s="19">
        <f>IF($B918="","",IFERROR(INDEX(智能流水!$N$2:$N$1001,MATCH($B918,智能流水!$B$2:$B$1001,0)),""))</f>
        <v/>
      </c>
      <c r="O918" s="19">
        <f>IF($B918="","",IFERROR(INDEX(智能流水!$O$2:$O$1001,MATCH($B918,智能流水!$B$2:$B$1001,0)),""))</f>
        <v/>
      </c>
    </row>
    <row r="919">
      <c r="A919" s="19">
        <f>IF($B919="","",918)</f>
        <v/>
      </c>
      <c r="B919" s="19">
        <f>IFERROR(LARGE(智能流水!$B$2:$B$1001,918),"")</f>
        <v/>
      </c>
      <c r="C919" s="19">
        <f>IF($B919="","",IFERROR(INDEX(智能流水!$C$2:$C$1001,MATCH($B919,智能流水!$B$2:$B$1001,0)),""))</f>
        <v/>
      </c>
      <c r="D919" s="19">
        <f>IF($B919="","",IFERROR(INDEX(智能流水!$D$2:$D$1001,MATCH($B919,智能流水!$B$2:$B$1001,0)),""))</f>
        <v/>
      </c>
      <c r="E919" s="19">
        <f>IF($B919="","",IFERROR(INDEX(智能流水!$E$2:$E$1001,MATCH($B919,智能流水!$B$2:$B$1001,0)),""))</f>
        <v/>
      </c>
      <c r="F919" s="19">
        <f>IF($B919="","",IFERROR(INDEX(智能流水!$F$2:$F$1001,MATCH($B919,智能流水!$B$2:$B$1001,0)),""))</f>
        <v/>
      </c>
      <c r="G919" s="19">
        <f>IF($B919="","",IFERROR(INDEX(智能流水!$G$2:$G$1001,MATCH($B919,智能流水!$B$2:$B$1001,0)),""))</f>
        <v/>
      </c>
      <c r="H919" s="19">
        <f>IF($B919="","",IFERROR(INDEX(智能流水!$H$2:$H$1001,MATCH($B919,智能流水!$B$2:$B$1001,0)),""))</f>
        <v/>
      </c>
      <c r="I919" s="19">
        <f>IF($B919="","",IFERROR(INDEX(智能流水!$I$2:$I$1001,MATCH($B919,智能流水!$B$2:$B$1001,0)),""))</f>
        <v/>
      </c>
      <c r="J919" s="19">
        <f>IF($B919="","",IFERROR(INDEX(智能流水!$J$2:$J$1001,MATCH($B919,智能流水!$B$2:$B$1001,0)),""))</f>
        <v/>
      </c>
      <c r="K919" s="19">
        <f>IF($B919="","",IFERROR(INDEX(智能流水!$K$2:$K$1001,MATCH($B919,智能流水!$B$2:$B$1001,0)),""))</f>
        <v/>
      </c>
      <c r="L919" s="19">
        <f>IF($B919="","",IFERROR(INDEX(智能流水!$L$2:$L$1001,MATCH($B919,智能流水!$B$2:$B$1001,0)),""))</f>
        <v/>
      </c>
      <c r="M919" s="19">
        <f>IF($B919="","",IFERROR(INDEX(智能流水!$M$2:$M$1001,MATCH($B919,智能流水!$B$2:$B$1001,0)),""))</f>
        <v/>
      </c>
      <c r="N919" s="19">
        <f>IF($B919="","",IFERROR(INDEX(智能流水!$N$2:$N$1001,MATCH($B919,智能流水!$B$2:$B$1001,0)),""))</f>
        <v/>
      </c>
      <c r="O919" s="19">
        <f>IF($B919="","",IFERROR(INDEX(智能流水!$O$2:$O$1001,MATCH($B919,智能流水!$B$2:$B$1001,0)),""))</f>
        <v/>
      </c>
    </row>
    <row r="920">
      <c r="A920" s="19">
        <f>IF($B920="","",919)</f>
        <v/>
      </c>
      <c r="B920" s="19">
        <f>IFERROR(LARGE(智能流水!$B$2:$B$1001,919),"")</f>
        <v/>
      </c>
      <c r="C920" s="19">
        <f>IF($B920="","",IFERROR(INDEX(智能流水!$C$2:$C$1001,MATCH($B920,智能流水!$B$2:$B$1001,0)),""))</f>
        <v/>
      </c>
      <c r="D920" s="19">
        <f>IF($B920="","",IFERROR(INDEX(智能流水!$D$2:$D$1001,MATCH($B920,智能流水!$B$2:$B$1001,0)),""))</f>
        <v/>
      </c>
      <c r="E920" s="19">
        <f>IF($B920="","",IFERROR(INDEX(智能流水!$E$2:$E$1001,MATCH($B920,智能流水!$B$2:$B$1001,0)),""))</f>
        <v/>
      </c>
      <c r="F920" s="19">
        <f>IF($B920="","",IFERROR(INDEX(智能流水!$F$2:$F$1001,MATCH($B920,智能流水!$B$2:$B$1001,0)),""))</f>
        <v/>
      </c>
      <c r="G920" s="19">
        <f>IF($B920="","",IFERROR(INDEX(智能流水!$G$2:$G$1001,MATCH($B920,智能流水!$B$2:$B$1001,0)),""))</f>
        <v/>
      </c>
      <c r="H920" s="19">
        <f>IF($B920="","",IFERROR(INDEX(智能流水!$H$2:$H$1001,MATCH($B920,智能流水!$B$2:$B$1001,0)),""))</f>
        <v/>
      </c>
      <c r="I920" s="19">
        <f>IF($B920="","",IFERROR(INDEX(智能流水!$I$2:$I$1001,MATCH($B920,智能流水!$B$2:$B$1001,0)),""))</f>
        <v/>
      </c>
      <c r="J920" s="19">
        <f>IF($B920="","",IFERROR(INDEX(智能流水!$J$2:$J$1001,MATCH($B920,智能流水!$B$2:$B$1001,0)),""))</f>
        <v/>
      </c>
      <c r="K920" s="19">
        <f>IF($B920="","",IFERROR(INDEX(智能流水!$K$2:$K$1001,MATCH($B920,智能流水!$B$2:$B$1001,0)),""))</f>
        <v/>
      </c>
      <c r="L920" s="19">
        <f>IF($B920="","",IFERROR(INDEX(智能流水!$L$2:$L$1001,MATCH($B920,智能流水!$B$2:$B$1001,0)),""))</f>
        <v/>
      </c>
      <c r="M920" s="19">
        <f>IF($B920="","",IFERROR(INDEX(智能流水!$M$2:$M$1001,MATCH($B920,智能流水!$B$2:$B$1001,0)),""))</f>
        <v/>
      </c>
      <c r="N920" s="19">
        <f>IF($B920="","",IFERROR(INDEX(智能流水!$N$2:$N$1001,MATCH($B920,智能流水!$B$2:$B$1001,0)),""))</f>
        <v/>
      </c>
      <c r="O920" s="19">
        <f>IF($B920="","",IFERROR(INDEX(智能流水!$O$2:$O$1001,MATCH($B920,智能流水!$B$2:$B$1001,0)),""))</f>
        <v/>
      </c>
    </row>
    <row r="921">
      <c r="A921" s="19">
        <f>IF($B921="","",920)</f>
        <v/>
      </c>
      <c r="B921" s="19">
        <f>IFERROR(LARGE(智能流水!$B$2:$B$1001,920),"")</f>
        <v/>
      </c>
      <c r="C921" s="19">
        <f>IF($B921="","",IFERROR(INDEX(智能流水!$C$2:$C$1001,MATCH($B921,智能流水!$B$2:$B$1001,0)),""))</f>
        <v/>
      </c>
      <c r="D921" s="19">
        <f>IF($B921="","",IFERROR(INDEX(智能流水!$D$2:$D$1001,MATCH($B921,智能流水!$B$2:$B$1001,0)),""))</f>
        <v/>
      </c>
      <c r="E921" s="19">
        <f>IF($B921="","",IFERROR(INDEX(智能流水!$E$2:$E$1001,MATCH($B921,智能流水!$B$2:$B$1001,0)),""))</f>
        <v/>
      </c>
      <c r="F921" s="19">
        <f>IF($B921="","",IFERROR(INDEX(智能流水!$F$2:$F$1001,MATCH($B921,智能流水!$B$2:$B$1001,0)),""))</f>
        <v/>
      </c>
      <c r="G921" s="19">
        <f>IF($B921="","",IFERROR(INDEX(智能流水!$G$2:$G$1001,MATCH($B921,智能流水!$B$2:$B$1001,0)),""))</f>
        <v/>
      </c>
      <c r="H921" s="19">
        <f>IF($B921="","",IFERROR(INDEX(智能流水!$H$2:$H$1001,MATCH($B921,智能流水!$B$2:$B$1001,0)),""))</f>
        <v/>
      </c>
      <c r="I921" s="19">
        <f>IF($B921="","",IFERROR(INDEX(智能流水!$I$2:$I$1001,MATCH($B921,智能流水!$B$2:$B$1001,0)),""))</f>
        <v/>
      </c>
      <c r="J921" s="19">
        <f>IF($B921="","",IFERROR(INDEX(智能流水!$J$2:$J$1001,MATCH($B921,智能流水!$B$2:$B$1001,0)),""))</f>
        <v/>
      </c>
      <c r="K921" s="19">
        <f>IF($B921="","",IFERROR(INDEX(智能流水!$K$2:$K$1001,MATCH($B921,智能流水!$B$2:$B$1001,0)),""))</f>
        <v/>
      </c>
      <c r="L921" s="19">
        <f>IF($B921="","",IFERROR(INDEX(智能流水!$L$2:$L$1001,MATCH($B921,智能流水!$B$2:$B$1001,0)),""))</f>
        <v/>
      </c>
      <c r="M921" s="19">
        <f>IF($B921="","",IFERROR(INDEX(智能流水!$M$2:$M$1001,MATCH($B921,智能流水!$B$2:$B$1001,0)),""))</f>
        <v/>
      </c>
      <c r="N921" s="19">
        <f>IF($B921="","",IFERROR(INDEX(智能流水!$N$2:$N$1001,MATCH($B921,智能流水!$B$2:$B$1001,0)),""))</f>
        <v/>
      </c>
      <c r="O921" s="19">
        <f>IF($B921="","",IFERROR(INDEX(智能流水!$O$2:$O$1001,MATCH($B921,智能流水!$B$2:$B$1001,0)),""))</f>
        <v/>
      </c>
    </row>
    <row r="922">
      <c r="A922" s="19">
        <f>IF($B922="","",921)</f>
        <v/>
      </c>
      <c r="B922" s="19">
        <f>IFERROR(LARGE(智能流水!$B$2:$B$1001,921),"")</f>
        <v/>
      </c>
      <c r="C922" s="19">
        <f>IF($B922="","",IFERROR(INDEX(智能流水!$C$2:$C$1001,MATCH($B922,智能流水!$B$2:$B$1001,0)),""))</f>
        <v/>
      </c>
      <c r="D922" s="19">
        <f>IF($B922="","",IFERROR(INDEX(智能流水!$D$2:$D$1001,MATCH($B922,智能流水!$B$2:$B$1001,0)),""))</f>
        <v/>
      </c>
      <c r="E922" s="19">
        <f>IF($B922="","",IFERROR(INDEX(智能流水!$E$2:$E$1001,MATCH($B922,智能流水!$B$2:$B$1001,0)),""))</f>
        <v/>
      </c>
      <c r="F922" s="19">
        <f>IF($B922="","",IFERROR(INDEX(智能流水!$F$2:$F$1001,MATCH($B922,智能流水!$B$2:$B$1001,0)),""))</f>
        <v/>
      </c>
      <c r="G922" s="19">
        <f>IF($B922="","",IFERROR(INDEX(智能流水!$G$2:$G$1001,MATCH($B922,智能流水!$B$2:$B$1001,0)),""))</f>
        <v/>
      </c>
      <c r="H922" s="19">
        <f>IF($B922="","",IFERROR(INDEX(智能流水!$H$2:$H$1001,MATCH($B922,智能流水!$B$2:$B$1001,0)),""))</f>
        <v/>
      </c>
      <c r="I922" s="19">
        <f>IF($B922="","",IFERROR(INDEX(智能流水!$I$2:$I$1001,MATCH($B922,智能流水!$B$2:$B$1001,0)),""))</f>
        <v/>
      </c>
      <c r="J922" s="19">
        <f>IF($B922="","",IFERROR(INDEX(智能流水!$J$2:$J$1001,MATCH($B922,智能流水!$B$2:$B$1001,0)),""))</f>
        <v/>
      </c>
      <c r="K922" s="19">
        <f>IF($B922="","",IFERROR(INDEX(智能流水!$K$2:$K$1001,MATCH($B922,智能流水!$B$2:$B$1001,0)),""))</f>
        <v/>
      </c>
      <c r="L922" s="19">
        <f>IF($B922="","",IFERROR(INDEX(智能流水!$L$2:$L$1001,MATCH($B922,智能流水!$B$2:$B$1001,0)),""))</f>
        <v/>
      </c>
      <c r="M922" s="19">
        <f>IF($B922="","",IFERROR(INDEX(智能流水!$M$2:$M$1001,MATCH($B922,智能流水!$B$2:$B$1001,0)),""))</f>
        <v/>
      </c>
      <c r="N922" s="19">
        <f>IF($B922="","",IFERROR(INDEX(智能流水!$N$2:$N$1001,MATCH($B922,智能流水!$B$2:$B$1001,0)),""))</f>
        <v/>
      </c>
      <c r="O922" s="19">
        <f>IF($B922="","",IFERROR(INDEX(智能流水!$O$2:$O$1001,MATCH($B922,智能流水!$B$2:$B$1001,0)),""))</f>
        <v/>
      </c>
    </row>
    <row r="923">
      <c r="A923" s="19">
        <f>IF($B923="","",922)</f>
        <v/>
      </c>
      <c r="B923" s="19">
        <f>IFERROR(LARGE(智能流水!$B$2:$B$1001,922),"")</f>
        <v/>
      </c>
      <c r="C923" s="19">
        <f>IF($B923="","",IFERROR(INDEX(智能流水!$C$2:$C$1001,MATCH($B923,智能流水!$B$2:$B$1001,0)),""))</f>
        <v/>
      </c>
      <c r="D923" s="19">
        <f>IF($B923="","",IFERROR(INDEX(智能流水!$D$2:$D$1001,MATCH($B923,智能流水!$B$2:$B$1001,0)),""))</f>
        <v/>
      </c>
      <c r="E923" s="19">
        <f>IF($B923="","",IFERROR(INDEX(智能流水!$E$2:$E$1001,MATCH($B923,智能流水!$B$2:$B$1001,0)),""))</f>
        <v/>
      </c>
      <c r="F923" s="19">
        <f>IF($B923="","",IFERROR(INDEX(智能流水!$F$2:$F$1001,MATCH($B923,智能流水!$B$2:$B$1001,0)),""))</f>
        <v/>
      </c>
      <c r="G923" s="19">
        <f>IF($B923="","",IFERROR(INDEX(智能流水!$G$2:$G$1001,MATCH($B923,智能流水!$B$2:$B$1001,0)),""))</f>
        <v/>
      </c>
      <c r="H923" s="19">
        <f>IF($B923="","",IFERROR(INDEX(智能流水!$H$2:$H$1001,MATCH($B923,智能流水!$B$2:$B$1001,0)),""))</f>
        <v/>
      </c>
      <c r="I923" s="19">
        <f>IF($B923="","",IFERROR(INDEX(智能流水!$I$2:$I$1001,MATCH($B923,智能流水!$B$2:$B$1001,0)),""))</f>
        <v/>
      </c>
      <c r="J923" s="19">
        <f>IF($B923="","",IFERROR(INDEX(智能流水!$J$2:$J$1001,MATCH($B923,智能流水!$B$2:$B$1001,0)),""))</f>
        <v/>
      </c>
      <c r="K923" s="19">
        <f>IF($B923="","",IFERROR(INDEX(智能流水!$K$2:$K$1001,MATCH($B923,智能流水!$B$2:$B$1001,0)),""))</f>
        <v/>
      </c>
      <c r="L923" s="19">
        <f>IF($B923="","",IFERROR(INDEX(智能流水!$L$2:$L$1001,MATCH($B923,智能流水!$B$2:$B$1001,0)),""))</f>
        <v/>
      </c>
      <c r="M923" s="19">
        <f>IF($B923="","",IFERROR(INDEX(智能流水!$M$2:$M$1001,MATCH($B923,智能流水!$B$2:$B$1001,0)),""))</f>
        <v/>
      </c>
      <c r="N923" s="19">
        <f>IF($B923="","",IFERROR(INDEX(智能流水!$N$2:$N$1001,MATCH($B923,智能流水!$B$2:$B$1001,0)),""))</f>
        <v/>
      </c>
      <c r="O923" s="19">
        <f>IF($B923="","",IFERROR(INDEX(智能流水!$O$2:$O$1001,MATCH($B923,智能流水!$B$2:$B$1001,0)),""))</f>
        <v/>
      </c>
    </row>
    <row r="924">
      <c r="A924" s="19">
        <f>IF($B924="","",923)</f>
        <v/>
      </c>
      <c r="B924" s="19">
        <f>IFERROR(LARGE(智能流水!$B$2:$B$1001,923),"")</f>
        <v/>
      </c>
      <c r="C924" s="19">
        <f>IF($B924="","",IFERROR(INDEX(智能流水!$C$2:$C$1001,MATCH($B924,智能流水!$B$2:$B$1001,0)),""))</f>
        <v/>
      </c>
      <c r="D924" s="19">
        <f>IF($B924="","",IFERROR(INDEX(智能流水!$D$2:$D$1001,MATCH($B924,智能流水!$B$2:$B$1001,0)),""))</f>
        <v/>
      </c>
      <c r="E924" s="19">
        <f>IF($B924="","",IFERROR(INDEX(智能流水!$E$2:$E$1001,MATCH($B924,智能流水!$B$2:$B$1001,0)),""))</f>
        <v/>
      </c>
      <c r="F924" s="19">
        <f>IF($B924="","",IFERROR(INDEX(智能流水!$F$2:$F$1001,MATCH($B924,智能流水!$B$2:$B$1001,0)),""))</f>
        <v/>
      </c>
      <c r="G924" s="19">
        <f>IF($B924="","",IFERROR(INDEX(智能流水!$G$2:$G$1001,MATCH($B924,智能流水!$B$2:$B$1001,0)),""))</f>
        <v/>
      </c>
      <c r="H924" s="19">
        <f>IF($B924="","",IFERROR(INDEX(智能流水!$H$2:$H$1001,MATCH($B924,智能流水!$B$2:$B$1001,0)),""))</f>
        <v/>
      </c>
      <c r="I924" s="19">
        <f>IF($B924="","",IFERROR(INDEX(智能流水!$I$2:$I$1001,MATCH($B924,智能流水!$B$2:$B$1001,0)),""))</f>
        <v/>
      </c>
      <c r="J924" s="19">
        <f>IF($B924="","",IFERROR(INDEX(智能流水!$J$2:$J$1001,MATCH($B924,智能流水!$B$2:$B$1001,0)),""))</f>
        <v/>
      </c>
      <c r="K924" s="19">
        <f>IF($B924="","",IFERROR(INDEX(智能流水!$K$2:$K$1001,MATCH($B924,智能流水!$B$2:$B$1001,0)),""))</f>
        <v/>
      </c>
      <c r="L924" s="19">
        <f>IF($B924="","",IFERROR(INDEX(智能流水!$L$2:$L$1001,MATCH($B924,智能流水!$B$2:$B$1001,0)),""))</f>
        <v/>
      </c>
      <c r="M924" s="19">
        <f>IF($B924="","",IFERROR(INDEX(智能流水!$M$2:$M$1001,MATCH($B924,智能流水!$B$2:$B$1001,0)),""))</f>
        <v/>
      </c>
      <c r="N924" s="19">
        <f>IF($B924="","",IFERROR(INDEX(智能流水!$N$2:$N$1001,MATCH($B924,智能流水!$B$2:$B$1001,0)),""))</f>
        <v/>
      </c>
      <c r="O924" s="19">
        <f>IF($B924="","",IFERROR(INDEX(智能流水!$O$2:$O$1001,MATCH($B924,智能流水!$B$2:$B$1001,0)),""))</f>
        <v/>
      </c>
    </row>
    <row r="925">
      <c r="A925" s="19">
        <f>IF($B925="","",924)</f>
        <v/>
      </c>
      <c r="B925" s="19">
        <f>IFERROR(LARGE(智能流水!$B$2:$B$1001,924),"")</f>
        <v/>
      </c>
      <c r="C925" s="19">
        <f>IF($B925="","",IFERROR(INDEX(智能流水!$C$2:$C$1001,MATCH($B925,智能流水!$B$2:$B$1001,0)),""))</f>
        <v/>
      </c>
      <c r="D925" s="19">
        <f>IF($B925="","",IFERROR(INDEX(智能流水!$D$2:$D$1001,MATCH($B925,智能流水!$B$2:$B$1001,0)),""))</f>
        <v/>
      </c>
      <c r="E925" s="19">
        <f>IF($B925="","",IFERROR(INDEX(智能流水!$E$2:$E$1001,MATCH($B925,智能流水!$B$2:$B$1001,0)),""))</f>
        <v/>
      </c>
      <c r="F925" s="19">
        <f>IF($B925="","",IFERROR(INDEX(智能流水!$F$2:$F$1001,MATCH($B925,智能流水!$B$2:$B$1001,0)),""))</f>
        <v/>
      </c>
      <c r="G925" s="19">
        <f>IF($B925="","",IFERROR(INDEX(智能流水!$G$2:$G$1001,MATCH($B925,智能流水!$B$2:$B$1001,0)),""))</f>
        <v/>
      </c>
      <c r="H925" s="19">
        <f>IF($B925="","",IFERROR(INDEX(智能流水!$H$2:$H$1001,MATCH($B925,智能流水!$B$2:$B$1001,0)),""))</f>
        <v/>
      </c>
      <c r="I925" s="19">
        <f>IF($B925="","",IFERROR(INDEX(智能流水!$I$2:$I$1001,MATCH($B925,智能流水!$B$2:$B$1001,0)),""))</f>
        <v/>
      </c>
      <c r="J925" s="19">
        <f>IF($B925="","",IFERROR(INDEX(智能流水!$J$2:$J$1001,MATCH($B925,智能流水!$B$2:$B$1001,0)),""))</f>
        <v/>
      </c>
      <c r="K925" s="19">
        <f>IF($B925="","",IFERROR(INDEX(智能流水!$K$2:$K$1001,MATCH($B925,智能流水!$B$2:$B$1001,0)),""))</f>
        <v/>
      </c>
      <c r="L925" s="19">
        <f>IF($B925="","",IFERROR(INDEX(智能流水!$L$2:$L$1001,MATCH($B925,智能流水!$B$2:$B$1001,0)),""))</f>
        <v/>
      </c>
      <c r="M925" s="19">
        <f>IF($B925="","",IFERROR(INDEX(智能流水!$M$2:$M$1001,MATCH($B925,智能流水!$B$2:$B$1001,0)),""))</f>
        <v/>
      </c>
      <c r="N925" s="19">
        <f>IF($B925="","",IFERROR(INDEX(智能流水!$N$2:$N$1001,MATCH($B925,智能流水!$B$2:$B$1001,0)),""))</f>
        <v/>
      </c>
      <c r="O925" s="19">
        <f>IF($B925="","",IFERROR(INDEX(智能流水!$O$2:$O$1001,MATCH($B925,智能流水!$B$2:$B$1001,0)),""))</f>
        <v/>
      </c>
    </row>
    <row r="926">
      <c r="A926" s="19">
        <f>IF($B926="","",925)</f>
        <v/>
      </c>
      <c r="B926" s="19">
        <f>IFERROR(LARGE(智能流水!$B$2:$B$1001,925),"")</f>
        <v/>
      </c>
      <c r="C926" s="19">
        <f>IF($B926="","",IFERROR(INDEX(智能流水!$C$2:$C$1001,MATCH($B926,智能流水!$B$2:$B$1001,0)),""))</f>
        <v/>
      </c>
      <c r="D926" s="19">
        <f>IF($B926="","",IFERROR(INDEX(智能流水!$D$2:$D$1001,MATCH($B926,智能流水!$B$2:$B$1001,0)),""))</f>
        <v/>
      </c>
      <c r="E926" s="19">
        <f>IF($B926="","",IFERROR(INDEX(智能流水!$E$2:$E$1001,MATCH($B926,智能流水!$B$2:$B$1001,0)),""))</f>
        <v/>
      </c>
      <c r="F926" s="19">
        <f>IF($B926="","",IFERROR(INDEX(智能流水!$F$2:$F$1001,MATCH($B926,智能流水!$B$2:$B$1001,0)),""))</f>
        <v/>
      </c>
      <c r="G926" s="19">
        <f>IF($B926="","",IFERROR(INDEX(智能流水!$G$2:$G$1001,MATCH($B926,智能流水!$B$2:$B$1001,0)),""))</f>
        <v/>
      </c>
      <c r="H926" s="19">
        <f>IF($B926="","",IFERROR(INDEX(智能流水!$H$2:$H$1001,MATCH($B926,智能流水!$B$2:$B$1001,0)),""))</f>
        <v/>
      </c>
      <c r="I926" s="19">
        <f>IF($B926="","",IFERROR(INDEX(智能流水!$I$2:$I$1001,MATCH($B926,智能流水!$B$2:$B$1001,0)),""))</f>
        <v/>
      </c>
      <c r="J926" s="19">
        <f>IF($B926="","",IFERROR(INDEX(智能流水!$J$2:$J$1001,MATCH($B926,智能流水!$B$2:$B$1001,0)),""))</f>
        <v/>
      </c>
      <c r="K926" s="19">
        <f>IF($B926="","",IFERROR(INDEX(智能流水!$K$2:$K$1001,MATCH($B926,智能流水!$B$2:$B$1001,0)),""))</f>
        <v/>
      </c>
      <c r="L926" s="19">
        <f>IF($B926="","",IFERROR(INDEX(智能流水!$L$2:$L$1001,MATCH($B926,智能流水!$B$2:$B$1001,0)),""))</f>
        <v/>
      </c>
      <c r="M926" s="19">
        <f>IF($B926="","",IFERROR(INDEX(智能流水!$M$2:$M$1001,MATCH($B926,智能流水!$B$2:$B$1001,0)),""))</f>
        <v/>
      </c>
      <c r="N926" s="19">
        <f>IF($B926="","",IFERROR(INDEX(智能流水!$N$2:$N$1001,MATCH($B926,智能流水!$B$2:$B$1001,0)),""))</f>
        <v/>
      </c>
      <c r="O926" s="19">
        <f>IF($B926="","",IFERROR(INDEX(智能流水!$O$2:$O$1001,MATCH($B926,智能流水!$B$2:$B$1001,0)),""))</f>
        <v/>
      </c>
    </row>
    <row r="927">
      <c r="A927" s="19">
        <f>IF($B927="","",926)</f>
        <v/>
      </c>
      <c r="B927" s="19">
        <f>IFERROR(LARGE(智能流水!$B$2:$B$1001,926),"")</f>
        <v/>
      </c>
      <c r="C927" s="19">
        <f>IF($B927="","",IFERROR(INDEX(智能流水!$C$2:$C$1001,MATCH($B927,智能流水!$B$2:$B$1001,0)),""))</f>
        <v/>
      </c>
      <c r="D927" s="19">
        <f>IF($B927="","",IFERROR(INDEX(智能流水!$D$2:$D$1001,MATCH($B927,智能流水!$B$2:$B$1001,0)),""))</f>
        <v/>
      </c>
      <c r="E927" s="19">
        <f>IF($B927="","",IFERROR(INDEX(智能流水!$E$2:$E$1001,MATCH($B927,智能流水!$B$2:$B$1001,0)),""))</f>
        <v/>
      </c>
      <c r="F927" s="19">
        <f>IF($B927="","",IFERROR(INDEX(智能流水!$F$2:$F$1001,MATCH($B927,智能流水!$B$2:$B$1001,0)),""))</f>
        <v/>
      </c>
      <c r="G927" s="19">
        <f>IF($B927="","",IFERROR(INDEX(智能流水!$G$2:$G$1001,MATCH($B927,智能流水!$B$2:$B$1001,0)),""))</f>
        <v/>
      </c>
      <c r="H927" s="19">
        <f>IF($B927="","",IFERROR(INDEX(智能流水!$H$2:$H$1001,MATCH($B927,智能流水!$B$2:$B$1001,0)),""))</f>
        <v/>
      </c>
      <c r="I927" s="19">
        <f>IF($B927="","",IFERROR(INDEX(智能流水!$I$2:$I$1001,MATCH($B927,智能流水!$B$2:$B$1001,0)),""))</f>
        <v/>
      </c>
      <c r="J927" s="19">
        <f>IF($B927="","",IFERROR(INDEX(智能流水!$J$2:$J$1001,MATCH($B927,智能流水!$B$2:$B$1001,0)),""))</f>
        <v/>
      </c>
      <c r="K927" s="19">
        <f>IF($B927="","",IFERROR(INDEX(智能流水!$K$2:$K$1001,MATCH($B927,智能流水!$B$2:$B$1001,0)),""))</f>
        <v/>
      </c>
      <c r="L927" s="19">
        <f>IF($B927="","",IFERROR(INDEX(智能流水!$L$2:$L$1001,MATCH($B927,智能流水!$B$2:$B$1001,0)),""))</f>
        <v/>
      </c>
      <c r="M927" s="19">
        <f>IF($B927="","",IFERROR(INDEX(智能流水!$M$2:$M$1001,MATCH($B927,智能流水!$B$2:$B$1001,0)),""))</f>
        <v/>
      </c>
      <c r="N927" s="19">
        <f>IF($B927="","",IFERROR(INDEX(智能流水!$N$2:$N$1001,MATCH($B927,智能流水!$B$2:$B$1001,0)),""))</f>
        <v/>
      </c>
      <c r="O927" s="19">
        <f>IF($B927="","",IFERROR(INDEX(智能流水!$O$2:$O$1001,MATCH($B927,智能流水!$B$2:$B$1001,0)),""))</f>
        <v/>
      </c>
    </row>
    <row r="928">
      <c r="A928" s="19">
        <f>IF($B928="","",927)</f>
        <v/>
      </c>
      <c r="B928" s="19">
        <f>IFERROR(LARGE(智能流水!$B$2:$B$1001,927),"")</f>
        <v/>
      </c>
      <c r="C928" s="19">
        <f>IF($B928="","",IFERROR(INDEX(智能流水!$C$2:$C$1001,MATCH($B928,智能流水!$B$2:$B$1001,0)),""))</f>
        <v/>
      </c>
      <c r="D928" s="19">
        <f>IF($B928="","",IFERROR(INDEX(智能流水!$D$2:$D$1001,MATCH($B928,智能流水!$B$2:$B$1001,0)),""))</f>
        <v/>
      </c>
      <c r="E928" s="19">
        <f>IF($B928="","",IFERROR(INDEX(智能流水!$E$2:$E$1001,MATCH($B928,智能流水!$B$2:$B$1001,0)),""))</f>
        <v/>
      </c>
      <c r="F928" s="19">
        <f>IF($B928="","",IFERROR(INDEX(智能流水!$F$2:$F$1001,MATCH($B928,智能流水!$B$2:$B$1001,0)),""))</f>
        <v/>
      </c>
      <c r="G928" s="19">
        <f>IF($B928="","",IFERROR(INDEX(智能流水!$G$2:$G$1001,MATCH($B928,智能流水!$B$2:$B$1001,0)),""))</f>
        <v/>
      </c>
      <c r="H928" s="19">
        <f>IF($B928="","",IFERROR(INDEX(智能流水!$H$2:$H$1001,MATCH($B928,智能流水!$B$2:$B$1001,0)),""))</f>
        <v/>
      </c>
      <c r="I928" s="19">
        <f>IF($B928="","",IFERROR(INDEX(智能流水!$I$2:$I$1001,MATCH($B928,智能流水!$B$2:$B$1001,0)),""))</f>
        <v/>
      </c>
      <c r="J928" s="19">
        <f>IF($B928="","",IFERROR(INDEX(智能流水!$J$2:$J$1001,MATCH($B928,智能流水!$B$2:$B$1001,0)),""))</f>
        <v/>
      </c>
      <c r="K928" s="19">
        <f>IF($B928="","",IFERROR(INDEX(智能流水!$K$2:$K$1001,MATCH($B928,智能流水!$B$2:$B$1001,0)),""))</f>
        <v/>
      </c>
      <c r="L928" s="19">
        <f>IF($B928="","",IFERROR(INDEX(智能流水!$L$2:$L$1001,MATCH($B928,智能流水!$B$2:$B$1001,0)),""))</f>
        <v/>
      </c>
      <c r="M928" s="19">
        <f>IF($B928="","",IFERROR(INDEX(智能流水!$M$2:$M$1001,MATCH($B928,智能流水!$B$2:$B$1001,0)),""))</f>
        <v/>
      </c>
      <c r="N928" s="19">
        <f>IF($B928="","",IFERROR(INDEX(智能流水!$N$2:$N$1001,MATCH($B928,智能流水!$B$2:$B$1001,0)),""))</f>
        <v/>
      </c>
      <c r="O928" s="19">
        <f>IF($B928="","",IFERROR(INDEX(智能流水!$O$2:$O$1001,MATCH($B928,智能流水!$B$2:$B$1001,0)),""))</f>
        <v/>
      </c>
    </row>
    <row r="929">
      <c r="A929" s="19">
        <f>IF($B929="","",928)</f>
        <v/>
      </c>
      <c r="B929" s="19">
        <f>IFERROR(LARGE(智能流水!$B$2:$B$1001,928),"")</f>
        <v/>
      </c>
      <c r="C929" s="19">
        <f>IF($B929="","",IFERROR(INDEX(智能流水!$C$2:$C$1001,MATCH($B929,智能流水!$B$2:$B$1001,0)),""))</f>
        <v/>
      </c>
      <c r="D929" s="19">
        <f>IF($B929="","",IFERROR(INDEX(智能流水!$D$2:$D$1001,MATCH($B929,智能流水!$B$2:$B$1001,0)),""))</f>
        <v/>
      </c>
      <c r="E929" s="19">
        <f>IF($B929="","",IFERROR(INDEX(智能流水!$E$2:$E$1001,MATCH($B929,智能流水!$B$2:$B$1001,0)),""))</f>
        <v/>
      </c>
      <c r="F929" s="19">
        <f>IF($B929="","",IFERROR(INDEX(智能流水!$F$2:$F$1001,MATCH($B929,智能流水!$B$2:$B$1001,0)),""))</f>
        <v/>
      </c>
      <c r="G929" s="19">
        <f>IF($B929="","",IFERROR(INDEX(智能流水!$G$2:$G$1001,MATCH($B929,智能流水!$B$2:$B$1001,0)),""))</f>
        <v/>
      </c>
      <c r="H929" s="19">
        <f>IF($B929="","",IFERROR(INDEX(智能流水!$H$2:$H$1001,MATCH($B929,智能流水!$B$2:$B$1001,0)),""))</f>
        <v/>
      </c>
      <c r="I929" s="19">
        <f>IF($B929="","",IFERROR(INDEX(智能流水!$I$2:$I$1001,MATCH($B929,智能流水!$B$2:$B$1001,0)),""))</f>
        <v/>
      </c>
      <c r="J929" s="19">
        <f>IF($B929="","",IFERROR(INDEX(智能流水!$J$2:$J$1001,MATCH($B929,智能流水!$B$2:$B$1001,0)),""))</f>
        <v/>
      </c>
      <c r="K929" s="19">
        <f>IF($B929="","",IFERROR(INDEX(智能流水!$K$2:$K$1001,MATCH($B929,智能流水!$B$2:$B$1001,0)),""))</f>
        <v/>
      </c>
      <c r="L929" s="19">
        <f>IF($B929="","",IFERROR(INDEX(智能流水!$L$2:$L$1001,MATCH($B929,智能流水!$B$2:$B$1001,0)),""))</f>
        <v/>
      </c>
      <c r="M929" s="19">
        <f>IF($B929="","",IFERROR(INDEX(智能流水!$M$2:$M$1001,MATCH($B929,智能流水!$B$2:$B$1001,0)),""))</f>
        <v/>
      </c>
      <c r="N929" s="19">
        <f>IF($B929="","",IFERROR(INDEX(智能流水!$N$2:$N$1001,MATCH($B929,智能流水!$B$2:$B$1001,0)),""))</f>
        <v/>
      </c>
      <c r="O929" s="19">
        <f>IF($B929="","",IFERROR(INDEX(智能流水!$O$2:$O$1001,MATCH($B929,智能流水!$B$2:$B$1001,0)),""))</f>
        <v/>
      </c>
    </row>
    <row r="930">
      <c r="A930" s="19">
        <f>IF($B930="","",929)</f>
        <v/>
      </c>
      <c r="B930" s="19">
        <f>IFERROR(LARGE(智能流水!$B$2:$B$1001,929),"")</f>
        <v/>
      </c>
      <c r="C930" s="19">
        <f>IF($B930="","",IFERROR(INDEX(智能流水!$C$2:$C$1001,MATCH($B930,智能流水!$B$2:$B$1001,0)),""))</f>
        <v/>
      </c>
      <c r="D930" s="19">
        <f>IF($B930="","",IFERROR(INDEX(智能流水!$D$2:$D$1001,MATCH($B930,智能流水!$B$2:$B$1001,0)),""))</f>
        <v/>
      </c>
      <c r="E930" s="19">
        <f>IF($B930="","",IFERROR(INDEX(智能流水!$E$2:$E$1001,MATCH($B930,智能流水!$B$2:$B$1001,0)),""))</f>
        <v/>
      </c>
      <c r="F930" s="19">
        <f>IF($B930="","",IFERROR(INDEX(智能流水!$F$2:$F$1001,MATCH($B930,智能流水!$B$2:$B$1001,0)),""))</f>
        <v/>
      </c>
      <c r="G930" s="19">
        <f>IF($B930="","",IFERROR(INDEX(智能流水!$G$2:$G$1001,MATCH($B930,智能流水!$B$2:$B$1001,0)),""))</f>
        <v/>
      </c>
      <c r="H930" s="19">
        <f>IF($B930="","",IFERROR(INDEX(智能流水!$H$2:$H$1001,MATCH($B930,智能流水!$B$2:$B$1001,0)),""))</f>
        <v/>
      </c>
      <c r="I930" s="19">
        <f>IF($B930="","",IFERROR(INDEX(智能流水!$I$2:$I$1001,MATCH($B930,智能流水!$B$2:$B$1001,0)),""))</f>
        <v/>
      </c>
      <c r="J930" s="19">
        <f>IF($B930="","",IFERROR(INDEX(智能流水!$J$2:$J$1001,MATCH($B930,智能流水!$B$2:$B$1001,0)),""))</f>
        <v/>
      </c>
      <c r="K930" s="19">
        <f>IF($B930="","",IFERROR(INDEX(智能流水!$K$2:$K$1001,MATCH($B930,智能流水!$B$2:$B$1001,0)),""))</f>
        <v/>
      </c>
      <c r="L930" s="19">
        <f>IF($B930="","",IFERROR(INDEX(智能流水!$L$2:$L$1001,MATCH($B930,智能流水!$B$2:$B$1001,0)),""))</f>
        <v/>
      </c>
      <c r="M930" s="19">
        <f>IF($B930="","",IFERROR(INDEX(智能流水!$M$2:$M$1001,MATCH($B930,智能流水!$B$2:$B$1001,0)),""))</f>
        <v/>
      </c>
      <c r="N930" s="19">
        <f>IF($B930="","",IFERROR(INDEX(智能流水!$N$2:$N$1001,MATCH($B930,智能流水!$B$2:$B$1001,0)),""))</f>
        <v/>
      </c>
      <c r="O930" s="19">
        <f>IF($B930="","",IFERROR(INDEX(智能流水!$O$2:$O$1001,MATCH($B930,智能流水!$B$2:$B$1001,0)),""))</f>
        <v/>
      </c>
    </row>
    <row r="931">
      <c r="A931" s="19">
        <f>IF($B931="","",930)</f>
        <v/>
      </c>
      <c r="B931" s="19">
        <f>IFERROR(LARGE(智能流水!$B$2:$B$1001,930),"")</f>
        <v/>
      </c>
      <c r="C931" s="19">
        <f>IF($B931="","",IFERROR(INDEX(智能流水!$C$2:$C$1001,MATCH($B931,智能流水!$B$2:$B$1001,0)),""))</f>
        <v/>
      </c>
      <c r="D931" s="19">
        <f>IF($B931="","",IFERROR(INDEX(智能流水!$D$2:$D$1001,MATCH($B931,智能流水!$B$2:$B$1001,0)),""))</f>
        <v/>
      </c>
      <c r="E931" s="19">
        <f>IF($B931="","",IFERROR(INDEX(智能流水!$E$2:$E$1001,MATCH($B931,智能流水!$B$2:$B$1001,0)),""))</f>
        <v/>
      </c>
      <c r="F931" s="19">
        <f>IF($B931="","",IFERROR(INDEX(智能流水!$F$2:$F$1001,MATCH($B931,智能流水!$B$2:$B$1001,0)),""))</f>
        <v/>
      </c>
      <c r="G931" s="19">
        <f>IF($B931="","",IFERROR(INDEX(智能流水!$G$2:$G$1001,MATCH($B931,智能流水!$B$2:$B$1001,0)),""))</f>
        <v/>
      </c>
      <c r="H931" s="19">
        <f>IF($B931="","",IFERROR(INDEX(智能流水!$H$2:$H$1001,MATCH($B931,智能流水!$B$2:$B$1001,0)),""))</f>
        <v/>
      </c>
      <c r="I931" s="19">
        <f>IF($B931="","",IFERROR(INDEX(智能流水!$I$2:$I$1001,MATCH($B931,智能流水!$B$2:$B$1001,0)),""))</f>
        <v/>
      </c>
      <c r="J931" s="19">
        <f>IF($B931="","",IFERROR(INDEX(智能流水!$J$2:$J$1001,MATCH($B931,智能流水!$B$2:$B$1001,0)),""))</f>
        <v/>
      </c>
      <c r="K931" s="19">
        <f>IF($B931="","",IFERROR(INDEX(智能流水!$K$2:$K$1001,MATCH($B931,智能流水!$B$2:$B$1001,0)),""))</f>
        <v/>
      </c>
      <c r="L931" s="19">
        <f>IF($B931="","",IFERROR(INDEX(智能流水!$L$2:$L$1001,MATCH($B931,智能流水!$B$2:$B$1001,0)),""))</f>
        <v/>
      </c>
      <c r="M931" s="19">
        <f>IF($B931="","",IFERROR(INDEX(智能流水!$M$2:$M$1001,MATCH($B931,智能流水!$B$2:$B$1001,0)),""))</f>
        <v/>
      </c>
      <c r="N931" s="19">
        <f>IF($B931="","",IFERROR(INDEX(智能流水!$N$2:$N$1001,MATCH($B931,智能流水!$B$2:$B$1001,0)),""))</f>
        <v/>
      </c>
      <c r="O931" s="19">
        <f>IF($B931="","",IFERROR(INDEX(智能流水!$O$2:$O$1001,MATCH($B931,智能流水!$B$2:$B$1001,0)),""))</f>
        <v/>
      </c>
    </row>
    <row r="932">
      <c r="A932" s="19">
        <f>IF($B932="","",931)</f>
        <v/>
      </c>
      <c r="B932" s="19">
        <f>IFERROR(LARGE(智能流水!$B$2:$B$1001,931),"")</f>
        <v/>
      </c>
      <c r="C932" s="19">
        <f>IF($B932="","",IFERROR(INDEX(智能流水!$C$2:$C$1001,MATCH($B932,智能流水!$B$2:$B$1001,0)),""))</f>
        <v/>
      </c>
      <c r="D932" s="19">
        <f>IF($B932="","",IFERROR(INDEX(智能流水!$D$2:$D$1001,MATCH($B932,智能流水!$B$2:$B$1001,0)),""))</f>
        <v/>
      </c>
      <c r="E932" s="19">
        <f>IF($B932="","",IFERROR(INDEX(智能流水!$E$2:$E$1001,MATCH($B932,智能流水!$B$2:$B$1001,0)),""))</f>
        <v/>
      </c>
      <c r="F932" s="19">
        <f>IF($B932="","",IFERROR(INDEX(智能流水!$F$2:$F$1001,MATCH($B932,智能流水!$B$2:$B$1001,0)),""))</f>
        <v/>
      </c>
      <c r="G932" s="19">
        <f>IF($B932="","",IFERROR(INDEX(智能流水!$G$2:$G$1001,MATCH($B932,智能流水!$B$2:$B$1001,0)),""))</f>
        <v/>
      </c>
      <c r="H932" s="19">
        <f>IF($B932="","",IFERROR(INDEX(智能流水!$H$2:$H$1001,MATCH($B932,智能流水!$B$2:$B$1001,0)),""))</f>
        <v/>
      </c>
      <c r="I932" s="19">
        <f>IF($B932="","",IFERROR(INDEX(智能流水!$I$2:$I$1001,MATCH($B932,智能流水!$B$2:$B$1001,0)),""))</f>
        <v/>
      </c>
      <c r="J932" s="19">
        <f>IF($B932="","",IFERROR(INDEX(智能流水!$J$2:$J$1001,MATCH($B932,智能流水!$B$2:$B$1001,0)),""))</f>
        <v/>
      </c>
      <c r="K932" s="19">
        <f>IF($B932="","",IFERROR(INDEX(智能流水!$K$2:$K$1001,MATCH($B932,智能流水!$B$2:$B$1001,0)),""))</f>
        <v/>
      </c>
      <c r="L932" s="19">
        <f>IF($B932="","",IFERROR(INDEX(智能流水!$L$2:$L$1001,MATCH($B932,智能流水!$B$2:$B$1001,0)),""))</f>
        <v/>
      </c>
      <c r="M932" s="19">
        <f>IF($B932="","",IFERROR(INDEX(智能流水!$M$2:$M$1001,MATCH($B932,智能流水!$B$2:$B$1001,0)),""))</f>
        <v/>
      </c>
      <c r="N932" s="19">
        <f>IF($B932="","",IFERROR(INDEX(智能流水!$N$2:$N$1001,MATCH($B932,智能流水!$B$2:$B$1001,0)),""))</f>
        <v/>
      </c>
      <c r="O932" s="19">
        <f>IF($B932="","",IFERROR(INDEX(智能流水!$O$2:$O$1001,MATCH($B932,智能流水!$B$2:$B$1001,0)),""))</f>
        <v/>
      </c>
    </row>
    <row r="933">
      <c r="A933" s="19">
        <f>IF($B933="","",932)</f>
        <v/>
      </c>
      <c r="B933" s="19">
        <f>IFERROR(LARGE(智能流水!$B$2:$B$1001,932),"")</f>
        <v/>
      </c>
      <c r="C933" s="19">
        <f>IF($B933="","",IFERROR(INDEX(智能流水!$C$2:$C$1001,MATCH($B933,智能流水!$B$2:$B$1001,0)),""))</f>
        <v/>
      </c>
      <c r="D933" s="19">
        <f>IF($B933="","",IFERROR(INDEX(智能流水!$D$2:$D$1001,MATCH($B933,智能流水!$B$2:$B$1001,0)),""))</f>
        <v/>
      </c>
      <c r="E933" s="19">
        <f>IF($B933="","",IFERROR(INDEX(智能流水!$E$2:$E$1001,MATCH($B933,智能流水!$B$2:$B$1001,0)),""))</f>
        <v/>
      </c>
      <c r="F933" s="19">
        <f>IF($B933="","",IFERROR(INDEX(智能流水!$F$2:$F$1001,MATCH($B933,智能流水!$B$2:$B$1001,0)),""))</f>
        <v/>
      </c>
      <c r="G933" s="19">
        <f>IF($B933="","",IFERROR(INDEX(智能流水!$G$2:$G$1001,MATCH($B933,智能流水!$B$2:$B$1001,0)),""))</f>
        <v/>
      </c>
      <c r="H933" s="19">
        <f>IF($B933="","",IFERROR(INDEX(智能流水!$H$2:$H$1001,MATCH($B933,智能流水!$B$2:$B$1001,0)),""))</f>
        <v/>
      </c>
      <c r="I933" s="19">
        <f>IF($B933="","",IFERROR(INDEX(智能流水!$I$2:$I$1001,MATCH($B933,智能流水!$B$2:$B$1001,0)),""))</f>
        <v/>
      </c>
      <c r="J933" s="19">
        <f>IF($B933="","",IFERROR(INDEX(智能流水!$J$2:$J$1001,MATCH($B933,智能流水!$B$2:$B$1001,0)),""))</f>
        <v/>
      </c>
      <c r="K933" s="19">
        <f>IF($B933="","",IFERROR(INDEX(智能流水!$K$2:$K$1001,MATCH($B933,智能流水!$B$2:$B$1001,0)),""))</f>
        <v/>
      </c>
      <c r="L933" s="19">
        <f>IF($B933="","",IFERROR(INDEX(智能流水!$L$2:$L$1001,MATCH($B933,智能流水!$B$2:$B$1001,0)),""))</f>
        <v/>
      </c>
      <c r="M933" s="19">
        <f>IF($B933="","",IFERROR(INDEX(智能流水!$M$2:$M$1001,MATCH($B933,智能流水!$B$2:$B$1001,0)),""))</f>
        <v/>
      </c>
      <c r="N933" s="19">
        <f>IF($B933="","",IFERROR(INDEX(智能流水!$N$2:$N$1001,MATCH($B933,智能流水!$B$2:$B$1001,0)),""))</f>
        <v/>
      </c>
      <c r="O933" s="19">
        <f>IF($B933="","",IFERROR(INDEX(智能流水!$O$2:$O$1001,MATCH($B933,智能流水!$B$2:$B$1001,0)),""))</f>
        <v/>
      </c>
    </row>
    <row r="934">
      <c r="A934" s="19">
        <f>IF($B934="","",933)</f>
        <v/>
      </c>
      <c r="B934" s="19">
        <f>IFERROR(LARGE(智能流水!$B$2:$B$1001,933),"")</f>
        <v/>
      </c>
      <c r="C934" s="19">
        <f>IF($B934="","",IFERROR(INDEX(智能流水!$C$2:$C$1001,MATCH($B934,智能流水!$B$2:$B$1001,0)),""))</f>
        <v/>
      </c>
      <c r="D934" s="19">
        <f>IF($B934="","",IFERROR(INDEX(智能流水!$D$2:$D$1001,MATCH($B934,智能流水!$B$2:$B$1001,0)),""))</f>
        <v/>
      </c>
      <c r="E934" s="19">
        <f>IF($B934="","",IFERROR(INDEX(智能流水!$E$2:$E$1001,MATCH($B934,智能流水!$B$2:$B$1001,0)),""))</f>
        <v/>
      </c>
      <c r="F934" s="19">
        <f>IF($B934="","",IFERROR(INDEX(智能流水!$F$2:$F$1001,MATCH($B934,智能流水!$B$2:$B$1001,0)),""))</f>
        <v/>
      </c>
      <c r="G934" s="19">
        <f>IF($B934="","",IFERROR(INDEX(智能流水!$G$2:$G$1001,MATCH($B934,智能流水!$B$2:$B$1001,0)),""))</f>
        <v/>
      </c>
      <c r="H934" s="19">
        <f>IF($B934="","",IFERROR(INDEX(智能流水!$H$2:$H$1001,MATCH($B934,智能流水!$B$2:$B$1001,0)),""))</f>
        <v/>
      </c>
      <c r="I934" s="19">
        <f>IF($B934="","",IFERROR(INDEX(智能流水!$I$2:$I$1001,MATCH($B934,智能流水!$B$2:$B$1001,0)),""))</f>
        <v/>
      </c>
      <c r="J934" s="19">
        <f>IF($B934="","",IFERROR(INDEX(智能流水!$J$2:$J$1001,MATCH($B934,智能流水!$B$2:$B$1001,0)),""))</f>
        <v/>
      </c>
      <c r="K934" s="19">
        <f>IF($B934="","",IFERROR(INDEX(智能流水!$K$2:$K$1001,MATCH($B934,智能流水!$B$2:$B$1001,0)),""))</f>
        <v/>
      </c>
      <c r="L934" s="19">
        <f>IF($B934="","",IFERROR(INDEX(智能流水!$L$2:$L$1001,MATCH($B934,智能流水!$B$2:$B$1001,0)),""))</f>
        <v/>
      </c>
      <c r="M934" s="19">
        <f>IF($B934="","",IFERROR(INDEX(智能流水!$M$2:$M$1001,MATCH($B934,智能流水!$B$2:$B$1001,0)),""))</f>
        <v/>
      </c>
      <c r="N934" s="19">
        <f>IF($B934="","",IFERROR(INDEX(智能流水!$N$2:$N$1001,MATCH($B934,智能流水!$B$2:$B$1001,0)),""))</f>
        <v/>
      </c>
      <c r="O934" s="19">
        <f>IF($B934="","",IFERROR(INDEX(智能流水!$O$2:$O$1001,MATCH($B934,智能流水!$B$2:$B$1001,0)),""))</f>
        <v/>
      </c>
    </row>
    <row r="935">
      <c r="A935" s="19">
        <f>IF($B935="","",934)</f>
        <v/>
      </c>
      <c r="B935" s="19">
        <f>IFERROR(LARGE(智能流水!$B$2:$B$1001,934),"")</f>
        <v/>
      </c>
      <c r="C935" s="19">
        <f>IF($B935="","",IFERROR(INDEX(智能流水!$C$2:$C$1001,MATCH($B935,智能流水!$B$2:$B$1001,0)),""))</f>
        <v/>
      </c>
      <c r="D935" s="19">
        <f>IF($B935="","",IFERROR(INDEX(智能流水!$D$2:$D$1001,MATCH($B935,智能流水!$B$2:$B$1001,0)),""))</f>
        <v/>
      </c>
      <c r="E935" s="19">
        <f>IF($B935="","",IFERROR(INDEX(智能流水!$E$2:$E$1001,MATCH($B935,智能流水!$B$2:$B$1001,0)),""))</f>
        <v/>
      </c>
      <c r="F935" s="19">
        <f>IF($B935="","",IFERROR(INDEX(智能流水!$F$2:$F$1001,MATCH($B935,智能流水!$B$2:$B$1001,0)),""))</f>
        <v/>
      </c>
      <c r="G935" s="19">
        <f>IF($B935="","",IFERROR(INDEX(智能流水!$G$2:$G$1001,MATCH($B935,智能流水!$B$2:$B$1001,0)),""))</f>
        <v/>
      </c>
      <c r="H935" s="19">
        <f>IF($B935="","",IFERROR(INDEX(智能流水!$H$2:$H$1001,MATCH($B935,智能流水!$B$2:$B$1001,0)),""))</f>
        <v/>
      </c>
      <c r="I935" s="19">
        <f>IF($B935="","",IFERROR(INDEX(智能流水!$I$2:$I$1001,MATCH($B935,智能流水!$B$2:$B$1001,0)),""))</f>
        <v/>
      </c>
      <c r="J935" s="19">
        <f>IF($B935="","",IFERROR(INDEX(智能流水!$J$2:$J$1001,MATCH($B935,智能流水!$B$2:$B$1001,0)),""))</f>
        <v/>
      </c>
      <c r="K935" s="19">
        <f>IF($B935="","",IFERROR(INDEX(智能流水!$K$2:$K$1001,MATCH($B935,智能流水!$B$2:$B$1001,0)),""))</f>
        <v/>
      </c>
      <c r="L935" s="19">
        <f>IF($B935="","",IFERROR(INDEX(智能流水!$L$2:$L$1001,MATCH($B935,智能流水!$B$2:$B$1001,0)),""))</f>
        <v/>
      </c>
      <c r="M935" s="19">
        <f>IF($B935="","",IFERROR(INDEX(智能流水!$M$2:$M$1001,MATCH($B935,智能流水!$B$2:$B$1001,0)),""))</f>
        <v/>
      </c>
      <c r="N935" s="19">
        <f>IF($B935="","",IFERROR(INDEX(智能流水!$N$2:$N$1001,MATCH($B935,智能流水!$B$2:$B$1001,0)),""))</f>
        <v/>
      </c>
      <c r="O935" s="19">
        <f>IF($B935="","",IFERROR(INDEX(智能流水!$O$2:$O$1001,MATCH($B935,智能流水!$B$2:$B$1001,0)),""))</f>
        <v/>
      </c>
    </row>
    <row r="936">
      <c r="A936" s="19">
        <f>IF($B936="","",935)</f>
        <v/>
      </c>
      <c r="B936" s="19">
        <f>IFERROR(LARGE(智能流水!$B$2:$B$1001,935),"")</f>
        <v/>
      </c>
      <c r="C936" s="19">
        <f>IF($B936="","",IFERROR(INDEX(智能流水!$C$2:$C$1001,MATCH($B936,智能流水!$B$2:$B$1001,0)),""))</f>
        <v/>
      </c>
      <c r="D936" s="19">
        <f>IF($B936="","",IFERROR(INDEX(智能流水!$D$2:$D$1001,MATCH($B936,智能流水!$B$2:$B$1001,0)),""))</f>
        <v/>
      </c>
      <c r="E936" s="19">
        <f>IF($B936="","",IFERROR(INDEX(智能流水!$E$2:$E$1001,MATCH($B936,智能流水!$B$2:$B$1001,0)),""))</f>
        <v/>
      </c>
      <c r="F936" s="19">
        <f>IF($B936="","",IFERROR(INDEX(智能流水!$F$2:$F$1001,MATCH($B936,智能流水!$B$2:$B$1001,0)),""))</f>
        <v/>
      </c>
      <c r="G936" s="19">
        <f>IF($B936="","",IFERROR(INDEX(智能流水!$G$2:$G$1001,MATCH($B936,智能流水!$B$2:$B$1001,0)),""))</f>
        <v/>
      </c>
      <c r="H936" s="19">
        <f>IF($B936="","",IFERROR(INDEX(智能流水!$H$2:$H$1001,MATCH($B936,智能流水!$B$2:$B$1001,0)),""))</f>
        <v/>
      </c>
      <c r="I936" s="19">
        <f>IF($B936="","",IFERROR(INDEX(智能流水!$I$2:$I$1001,MATCH($B936,智能流水!$B$2:$B$1001,0)),""))</f>
        <v/>
      </c>
      <c r="J936" s="19">
        <f>IF($B936="","",IFERROR(INDEX(智能流水!$J$2:$J$1001,MATCH($B936,智能流水!$B$2:$B$1001,0)),""))</f>
        <v/>
      </c>
      <c r="K936" s="19">
        <f>IF($B936="","",IFERROR(INDEX(智能流水!$K$2:$K$1001,MATCH($B936,智能流水!$B$2:$B$1001,0)),""))</f>
        <v/>
      </c>
      <c r="L936" s="19">
        <f>IF($B936="","",IFERROR(INDEX(智能流水!$L$2:$L$1001,MATCH($B936,智能流水!$B$2:$B$1001,0)),""))</f>
        <v/>
      </c>
      <c r="M936" s="19">
        <f>IF($B936="","",IFERROR(INDEX(智能流水!$M$2:$M$1001,MATCH($B936,智能流水!$B$2:$B$1001,0)),""))</f>
        <v/>
      </c>
      <c r="N936" s="19">
        <f>IF($B936="","",IFERROR(INDEX(智能流水!$N$2:$N$1001,MATCH($B936,智能流水!$B$2:$B$1001,0)),""))</f>
        <v/>
      </c>
      <c r="O936" s="19">
        <f>IF($B936="","",IFERROR(INDEX(智能流水!$O$2:$O$1001,MATCH($B936,智能流水!$B$2:$B$1001,0)),""))</f>
        <v/>
      </c>
    </row>
    <row r="937">
      <c r="A937" s="19">
        <f>IF($B937="","",936)</f>
        <v/>
      </c>
      <c r="B937" s="19">
        <f>IFERROR(LARGE(智能流水!$B$2:$B$1001,936),"")</f>
        <v/>
      </c>
      <c r="C937" s="19">
        <f>IF($B937="","",IFERROR(INDEX(智能流水!$C$2:$C$1001,MATCH($B937,智能流水!$B$2:$B$1001,0)),""))</f>
        <v/>
      </c>
      <c r="D937" s="19">
        <f>IF($B937="","",IFERROR(INDEX(智能流水!$D$2:$D$1001,MATCH($B937,智能流水!$B$2:$B$1001,0)),""))</f>
        <v/>
      </c>
      <c r="E937" s="19">
        <f>IF($B937="","",IFERROR(INDEX(智能流水!$E$2:$E$1001,MATCH($B937,智能流水!$B$2:$B$1001,0)),""))</f>
        <v/>
      </c>
      <c r="F937" s="19">
        <f>IF($B937="","",IFERROR(INDEX(智能流水!$F$2:$F$1001,MATCH($B937,智能流水!$B$2:$B$1001,0)),""))</f>
        <v/>
      </c>
      <c r="G937" s="19">
        <f>IF($B937="","",IFERROR(INDEX(智能流水!$G$2:$G$1001,MATCH($B937,智能流水!$B$2:$B$1001,0)),""))</f>
        <v/>
      </c>
      <c r="H937" s="19">
        <f>IF($B937="","",IFERROR(INDEX(智能流水!$H$2:$H$1001,MATCH($B937,智能流水!$B$2:$B$1001,0)),""))</f>
        <v/>
      </c>
      <c r="I937" s="19">
        <f>IF($B937="","",IFERROR(INDEX(智能流水!$I$2:$I$1001,MATCH($B937,智能流水!$B$2:$B$1001,0)),""))</f>
        <v/>
      </c>
      <c r="J937" s="19">
        <f>IF($B937="","",IFERROR(INDEX(智能流水!$J$2:$J$1001,MATCH($B937,智能流水!$B$2:$B$1001,0)),""))</f>
        <v/>
      </c>
      <c r="K937" s="19">
        <f>IF($B937="","",IFERROR(INDEX(智能流水!$K$2:$K$1001,MATCH($B937,智能流水!$B$2:$B$1001,0)),""))</f>
        <v/>
      </c>
      <c r="L937" s="19">
        <f>IF($B937="","",IFERROR(INDEX(智能流水!$L$2:$L$1001,MATCH($B937,智能流水!$B$2:$B$1001,0)),""))</f>
        <v/>
      </c>
      <c r="M937" s="19">
        <f>IF($B937="","",IFERROR(INDEX(智能流水!$M$2:$M$1001,MATCH($B937,智能流水!$B$2:$B$1001,0)),""))</f>
        <v/>
      </c>
      <c r="N937" s="19">
        <f>IF($B937="","",IFERROR(INDEX(智能流水!$N$2:$N$1001,MATCH($B937,智能流水!$B$2:$B$1001,0)),""))</f>
        <v/>
      </c>
      <c r="O937" s="19">
        <f>IF($B937="","",IFERROR(INDEX(智能流水!$O$2:$O$1001,MATCH($B937,智能流水!$B$2:$B$1001,0)),""))</f>
        <v/>
      </c>
    </row>
    <row r="938">
      <c r="A938" s="19">
        <f>IF($B938="","",937)</f>
        <v/>
      </c>
      <c r="B938" s="19">
        <f>IFERROR(LARGE(智能流水!$B$2:$B$1001,937),"")</f>
        <v/>
      </c>
      <c r="C938" s="19">
        <f>IF($B938="","",IFERROR(INDEX(智能流水!$C$2:$C$1001,MATCH($B938,智能流水!$B$2:$B$1001,0)),""))</f>
        <v/>
      </c>
      <c r="D938" s="19">
        <f>IF($B938="","",IFERROR(INDEX(智能流水!$D$2:$D$1001,MATCH($B938,智能流水!$B$2:$B$1001,0)),""))</f>
        <v/>
      </c>
      <c r="E938" s="19">
        <f>IF($B938="","",IFERROR(INDEX(智能流水!$E$2:$E$1001,MATCH($B938,智能流水!$B$2:$B$1001,0)),""))</f>
        <v/>
      </c>
      <c r="F938" s="19">
        <f>IF($B938="","",IFERROR(INDEX(智能流水!$F$2:$F$1001,MATCH($B938,智能流水!$B$2:$B$1001,0)),""))</f>
        <v/>
      </c>
      <c r="G938" s="19">
        <f>IF($B938="","",IFERROR(INDEX(智能流水!$G$2:$G$1001,MATCH($B938,智能流水!$B$2:$B$1001,0)),""))</f>
        <v/>
      </c>
      <c r="H938" s="19">
        <f>IF($B938="","",IFERROR(INDEX(智能流水!$H$2:$H$1001,MATCH($B938,智能流水!$B$2:$B$1001,0)),""))</f>
        <v/>
      </c>
      <c r="I938" s="19">
        <f>IF($B938="","",IFERROR(INDEX(智能流水!$I$2:$I$1001,MATCH($B938,智能流水!$B$2:$B$1001,0)),""))</f>
        <v/>
      </c>
      <c r="J938" s="19">
        <f>IF($B938="","",IFERROR(INDEX(智能流水!$J$2:$J$1001,MATCH($B938,智能流水!$B$2:$B$1001,0)),""))</f>
        <v/>
      </c>
      <c r="K938" s="19">
        <f>IF($B938="","",IFERROR(INDEX(智能流水!$K$2:$K$1001,MATCH($B938,智能流水!$B$2:$B$1001,0)),""))</f>
        <v/>
      </c>
      <c r="L938" s="19">
        <f>IF($B938="","",IFERROR(INDEX(智能流水!$L$2:$L$1001,MATCH($B938,智能流水!$B$2:$B$1001,0)),""))</f>
        <v/>
      </c>
      <c r="M938" s="19">
        <f>IF($B938="","",IFERROR(INDEX(智能流水!$M$2:$M$1001,MATCH($B938,智能流水!$B$2:$B$1001,0)),""))</f>
        <v/>
      </c>
      <c r="N938" s="19">
        <f>IF($B938="","",IFERROR(INDEX(智能流水!$N$2:$N$1001,MATCH($B938,智能流水!$B$2:$B$1001,0)),""))</f>
        <v/>
      </c>
      <c r="O938" s="19">
        <f>IF($B938="","",IFERROR(INDEX(智能流水!$O$2:$O$1001,MATCH($B938,智能流水!$B$2:$B$1001,0)),""))</f>
        <v/>
      </c>
    </row>
    <row r="939">
      <c r="A939" s="19">
        <f>IF($B939="","",938)</f>
        <v/>
      </c>
      <c r="B939" s="19">
        <f>IFERROR(LARGE(智能流水!$B$2:$B$1001,938),"")</f>
        <v/>
      </c>
      <c r="C939" s="19">
        <f>IF($B939="","",IFERROR(INDEX(智能流水!$C$2:$C$1001,MATCH($B939,智能流水!$B$2:$B$1001,0)),""))</f>
        <v/>
      </c>
      <c r="D939" s="19">
        <f>IF($B939="","",IFERROR(INDEX(智能流水!$D$2:$D$1001,MATCH($B939,智能流水!$B$2:$B$1001,0)),""))</f>
        <v/>
      </c>
      <c r="E939" s="19">
        <f>IF($B939="","",IFERROR(INDEX(智能流水!$E$2:$E$1001,MATCH($B939,智能流水!$B$2:$B$1001,0)),""))</f>
        <v/>
      </c>
      <c r="F939" s="19">
        <f>IF($B939="","",IFERROR(INDEX(智能流水!$F$2:$F$1001,MATCH($B939,智能流水!$B$2:$B$1001,0)),""))</f>
        <v/>
      </c>
      <c r="G939" s="19">
        <f>IF($B939="","",IFERROR(INDEX(智能流水!$G$2:$G$1001,MATCH($B939,智能流水!$B$2:$B$1001,0)),""))</f>
        <v/>
      </c>
      <c r="H939" s="19">
        <f>IF($B939="","",IFERROR(INDEX(智能流水!$H$2:$H$1001,MATCH($B939,智能流水!$B$2:$B$1001,0)),""))</f>
        <v/>
      </c>
      <c r="I939" s="19">
        <f>IF($B939="","",IFERROR(INDEX(智能流水!$I$2:$I$1001,MATCH($B939,智能流水!$B$2:$B$1001,0)),""))</f>
        <v/>
      </c>
      <c r="J939" s="19">
        <f>IF($B939="","",IFERROR(INDEX(智能流水!$J$2:$J$1001,MATCH($B939,智能流水!$B$2:$B$1001,0)),""))</f>
        <v/>
      </c>
      <c r="K939" s="19">
        <f>IF($B939="","",IFERROR(INDEX(智能流水!$K$2:$K$1001,MATCH($B939,智能流水!$B$2:$B$1001,0)),""))</f>
        <v/>
      </c>
      <c r="L939" s="19">
        <f>IF($B939="","",IFERROR(INDEX(智能流水!$L$2:$L$1001,MATCH($B939,智能流水!$B$2:$B$1001,0)),""))</f>
        <v/>
      </c>
      <c r="M939" s="19">
        <f>IF($B939="","",IFERROR(INDEX(智能流水!$M$2:$M$1001,MATCH($B939,智能流水!$B$2:$B$1001,0)),""))</f>
        <v/>
      </c>
      <c r="N939" s="19">
        <f>IF($B939="","",IFERROR(INDEX(智能流水!$N$2:$N$1001,MATCH($B939,智能流水!$B$2:$B$1001,0)),""))</f>
        <v/>
      </c>
      <c r="O939" s="19">
        <f>IF($B939="","",IFERROR(INDEX(智能流水!$O$2:$O$1001,MATCH($B939,智能流水!$B$2:$B$1001,0)),""))</f>
        <v/>
      </c>
    </row>
    <row r="940">
      <c r="A940" s="19">
        <f>IF($B940="","",939)</f>
        <v/>
      </c>
      <c r="B940" s="19">
        <f>IFERROR(LARGE(智能流水!$B$2:$B$1001,939),"")</f>
        <v/>
      </c>
      <c r="C940" s="19">
        <f>IF($B940="","",IFERROR(INDEX(智能流水!$C$2:$C$1001,MATCH($B940,智能流水!$B$2:$B$1001,0)),""))</f>
        <v/>
      </c>
      <c r="D940" s="19">
        <f>IF($B940="","",IFERROR(INDEX(智能流水!$D$2:$D$1001,MATCH($B940,智能流水!$B$2:$B$1001,0)),""))</f>
        <v/>
      </c>
      <c r="E940" s="19">
        <f>IF($B940="","",IFERROR(INDEX(智能流水!$E$2:$E$1001,MATCH($B940,智能流水!$B$2:$B$1001,0)),""))</f>
        <v/>
      </c>
      <c r="F940" s="19">
        <f>IF($B940="","",IFERROR(INDEX(智能流水!$F$2:$F$1001,MATCH($B940,智能流水!$B$2:$B$1001,0)),""))</f>
        <v/>
      </c>
      <c r="G940" s="19">
        <f>IF($B940="","",IFERROR(INDEX(智能流水!$G$2:$G$1001,MATCH($B940,智能流水!$B$2:$B$1001,0)),""))</f>
        <v/>
      </c>
      <c r="H940" s="19">
        <f>IF($B940="","",IFERROR(INDEX(智能流水!$H$2:$H$1001,MATCH($B940,智能流水!$B$2:$B$1001,0)),""))</f>
        <v/>
      </c>
      <c r="I940" s="19">
        <f>IF($B940="","",IFERROR(INDEX(智能流水!$I$2:$I$1001,MATCH($B940,智能流水!$B$2:$B$1001,0)),""))</f>
        <v/>
      </c>
      <c r="J940" s="19">
        <f>IF($B940="","",IFERROR(INDEX(智能流水!$J$2:$J$1001,MATCH($B940,智能流水!$B$2:$B$1001,0)),""))</f>
        <v/>
      </c>
      <c r="K940" s="19">
        <f>IF($B940="","",IFERROR(INDEX(智能流水!$K$2:$K$1001,MATCH($B940,智能流水!$B$2:$B$1001,0)),""))</f>
        <v/>
      </c>
      <c r="L940" s="19">
        <f>IF($B940="","",IFERROR(INDEX(智能流水!$L$2:$L$1001,MATCH($B940,智能流水!$B$2:$B$1001,0)),""))</f>
        <v/>
      </c>
      <c r="M940" s="19">
        <f>IF($B940="","",IFERROR(INDEX(智能流水!$M$2:$M$1001,MATCH($B940,智能流水!$B$2:$B$1001,0)),""))</f>
        <v/>
      </c>
      <c r="N940" s="19">
        <f>IF($B940="","",IFERROR(INDEX(智能流水!$N$2:$N$1001,MATCH($B940,智能流水!$B$2:$B$1001,0)),""))</f>
        <v/>
      </c>
      <c r="O940" s="19">
        <f>IF($B940="","",IFERROR(INDEX(智能流水!$O$2:$O$1001,MATCH($B940,智能流水!$B$2:$B$1001,0)),""))</f>
        <v/>
      </c>
    </row>
    <row r="941">
      <c r="A941" s="19">
        <f>IF($B941="","",940)</f>
        <v/>
      </c>
      <c r="B941" s="19">
        <f>IFERROR(LARGE(智能流水!$B$2:$B$1001,940),"")</f>
        <v/>
      </c>
      <c r="C941" s="19">
        <f>IF($B941="","",IFERROR(INDEX(智能流水!$C$2:$C$1001,MATCH($B941,智能流水!$B$2:$B$1001,0)),""))</f>
        <v/>
      </c>
      <c r="D941" s="19">
        <f>IF($B941="","",IFERROR(INDEX(智能流水!$D$2:$D$1001,MATCH($B941,智能流水!$B$2:$B$1001,0)),""))</f>
        <v/>
      </c>
      <c r="E941" s="19">
        <f>IF($B941="","",IFERROR(INDEX(智能流水!$E$2:$E$1001,MATCH($B941,智能流水!$B$2:$B$1001,0)),""))</f>
        <v/>
      </c>
      <c r="F941" s="19">
        <f>IF($B941="","",IFERROR(INDEX(智能流水!$F$2:$F$1001,MATCH($B941,智能流水!$B$2:$B$1001,0)),""))</f>
        <v/>
      </c>
      <c r="G941" s="19">
        <f>IF($B941="","",IFERROR(INDEX(智能流水!$G$2:$G$1001,MATCH($B941,智能流水!$B$2:$B$1001,0)),""))</f>
        <v/>
      </c>
      <c r="H941" s="19">
        <f>IF($B941="","",IFERROR(INDEX(智能流水!$H$2:$H$1001,MATCH($B941,智能流水!$B$2:$B$1001,0)),""))</f>
        <v/>
      </c>
      <c r="I941" s="19">
        <f>IF($B941="","",IFERROR(INDEX(智能流水!$I$2:$I$1001,MATCH($B941,智能流水!$B$2:$B$1001,0)),""))</f>
        <v/>
      </c>
      <c r="J941" s="19">
        <f>IF($B941="","",IFERROR(INDEX(智能流水!$J$2:$J$1001,MATCH($B941,智能流水!$B$2:$B$1001,0)),""))</f>
        <v/>
      </c>
      <c r="K941" s="19">
        <f>IF($B941="","",IFERROR(INDEX(智能流水!$K$2:$K$1001,MATCH($B941,智能流水!$B$2:$B$1001,0)),""))</f>
        <v/>
      </c>
      <c r="L941" s="19">
        <f>IF($B941="","",IFERROR(INDEX(智能流水!$L$2:$L$1001,MATCH($B941,智能流水!$B$2:$B$1001,0)),""))</f>
        <v/>
      </c>
      <c r="M941" s="19">
        <f>IF($B941="","",IFERROR(INDEX(智能流水!$M$2:$M$1001,MATCH($B941,智能流水!$B$2:$B$1001,0)),""))</f>
        <v/>
      </c>
      <c r="N941" s="19">
        <f>IF($B941="","",IFERROR(INDEX(智能流水!$N$2:$N$1001,MATCH($B941,智能流水!$B$2:$B$1001,0)),""))</f>
        <v/>
      </c>
      <c r="O941" s="19">
        <f>IF($B941="","",IFERROR(INDEX(智能流水!$O$2:$O$1001,MATCH($B941,智能流水!$B$2:$B$1001,0)),""))</f>
        <v/>
      </c>
    </row>
    <row r="942">
      <c r="A942" s="19">
        <f>IF($B942="","",941)</f>
        <v/>
      </c>
      <c r="B942" s="19">
        <f>IFERROR(LARGE(智能流水!$B$2:$B$1001,941),"")</f>
        <v/>
      </c>
      <c r="C942" s="19">
        <f>IF($B942="","",IFERROR(INDEX(智能流水!$C$2:$C$1001,MATCH($B942,智能流水!$B$2:$B$1001,0)),""))</f>
        <v/>
      </c>
      <c r="D942" s="19">
        <f>IF($B942="","",IFERROR(INDEX(智能流水!$D$2:$D$1001,MATCH($B942,智能流水!$B$2:$B$1001,0)),""))</f>
        <v/>
      </c>
      <c r="E942" s="19">
        <f>IF($B942="","",IFERROR(INDEX(智能流水!$E$2:$E$1001,MATCH($B942,智能流水!$B$2:$B$1001,0)),""))</f>
        <v/>
      </c>
      <c r="F942" s="19">
        <f>IF($B942="","",IFERROR(INDEX(智能流水!$F$2:$F$1001,MATCH($B942,智能流水!$B$2:$B$1001,0)),""))</f>
        <v/>
      </c>
      <c r="G942" s="19">
        <f>IF($B942="","",IFERROR(INDEX(智能流水!$G$2:$G$1001,MATCH($B942,智能流水!$B$2:$B$1001,0)),""))</f>
        <v/>
      </c>
      <c r="H942" s="19">
        <f>IF($B942="","",IFERROR(INDEX(智能流水!$H$2:$H$1001,MATCH($B942,智能流水!$B$2:$B$1001,0)),""))</f>
        <v/>
      </c>
      <c r="I942" s="19">
        <f>IF($B942="","",IFERROR(INDEX(智能流水!$I$2:$I$1001,MATCH($B942,智能流水!$B$2:$B$1001,0)),""))</f>
        <v/>
      </c>
      <c r="J942" s="19">
        <f>IF($B942="","",IFERROR(INDEX(智能流水!$J$2:$J$1001,MATCH($B942,智能流水!$B$2:$B$1001,0)),""))</f>
        <v/>
      </c>
      <c r="K942" s="19">
        <f>IF($B942="","",IFERROR(INDEX(智能流水!$K$2:$K$1001,MATCH($B942,智能流水!$B$2:$B$1001,0)),""))</f>
        <v/>
      </c>
      <c r="L942" s="19">
        <f>IF($B942="","",IFERROR(INDEX(智能流水!$L$2:$L$1001,MATCH($B942,智能流水!$B$2:$B$1001,0)),""))</f>
        <v/>
      </c>
      <c r="M942" s="19">
        <f>IF($B942="","",IFERROR(INDEX(智能流水!$M$2:$M$1001,MATCH($B942,智能流水!$B$2:$B$1001,0)),""))</f>
        <v/>
      </c>
      <c r="N942" s="19">
        <f>IF($B942="","",IFERROR(INDEX(智能流水!$N$2:$N$1001,MATCH($B942,智能流水!$B$2:$B$1001,0)),""))</f>
        <v/>
      </c>
      <c r="O942" s="19">
        <f>IF($B942="","",IFERROR(INDEX(智能流水!$O$2:$O$1001,MATCH($B942,智能流水!$B$2:$B$1001,0)),""))</f>
        <v/>
      </c>
    </row>
    <row r="943">
      <c r="A943" s="19">
        <f>IF($B943="","",942)</f>
        <v/>
      </c>
      <c r="B943" s="19">
        <f>IFERROR(LARGE(智能流水!$B$2:$B$1001,942),"")</f>
        <v/>
      </c>
      <c r="C943" s="19">
        <f>IF($B943="","",IFERROR(INDEX(智能流水!$C$2:$C$1001,MATCH($B943,智能流水!$B$2:$B$1001,0)),""))</f>
        <v/>
      </c>
      <c r="D943" s="19">
        <f>IF($B943="","",IFERROR(INDEX(智能流水!$D$2:$D$1001,MATCH($B943,智能流水!$B$2:$B$1001,0)),""))</f>
        <v/>
      </c>
      <c r="E943" s="19">
        <f>IF($B943="","",IFERROR(INDEX(智能流水!$E$2:$E$1001,MATCH($B943,智能流水!$B$2:$B$1001,0)),""))</f>
        <v/>
      </c>
      <c r="F943" s="19">
        <f>IF($B943="","",IFERROR(INDEX(智能流水!$F$2:$F$1001,MATCH($B943,智能流水!$B$2:$B$1001,0)),""))</f>
        <v/>
      </c>
      <c r="G943" s="19">
        <f>IF($B943="","",IFERROR(INDEX(智能流水!$G$2:$G$1001,MATCH($B943,智能流水!$B$2:$B$1001,0)),""))</f>
        <v/>
      </c>
      <c r="H943" s="19">
        <f>IF($B943="","",IFERROR(INDEX(智能流水!$H$2:$H$1001,MATCH($B943,智能流水!$B$2:$B$1001,0)),""))</f>
        <v/>
      </c>
      <c r="I943" s="19">
        <f>IF($B943="","",IFERROR(INDEX(智能流水!$I$2:$I$1001,MATCH($B943,智能流水!$B$2:$B$1001,0)),""))</f>
        <v/>
      </c>
      <c r="J943" s="19">
        <f>IF($B943="","",IFERROR(INDEX(智能流水!$J$2:$J$1001,MATCH($B943,智能流水!$B$2:$B$1001,0)),""))</f>
        <v/>
      </c>
      <c r="K943" s="19">
        <f>IF($B943="","",IFERROR(INDEX(智能流水!$K$2:$K$1001,MATCH($B943,智能流水!$B$2:$B$1001,0)),""))</f>
        <v/>
      </c>
      <c r="L943" s="19">
        <f>IF($B943="","",IFERROR(INDEX(智能流水!$L$2:$L$1001,MATCH($B943,智能流水!$B$2:$B$1001,0)),""))</f>
        <v/>
      </c>
      <c r="M943" s="19">
        <f>IF($B943="","",IFERROR(INDEX(智能流水!$M$2:$M$1001,MATCH($B943,智能流水!$B$2:$B$1001,0)),""))</f>
        <v/>
      </c>
      <c r="N943" s="19">
        <f>IF($B943="","",IFERROR(INDEX(智能流水!$N$2:$N$1001,MATCH($B943,智能流水!$B$2:$B$1001,0)),""))</f>
        <v/>
      </c>
      <c r="O943" s="19">
        <f>IF($B943="","",IFERROR(INDEX(智能流水!$O$2:$O$1001,MATCH($B943,智能流水!$B$2:$B$1001,0)),""))</f>
        <v/>
      </c>
    </row>
    <row r="944">
      <c r="A944" s="19">
        <f>IF($B944="","",943)</f>
        <v/>
      </c>
      <c r="B944" s="19">
        <f>IFERROR(LARGE(智能流水!$B$2:$B$1001,943),"")</f>
        <v/>
      </c>
      <c r="C944" s="19">
        <f>IF($B944="","",IFERROR(INDEX(智能流水!$C$2:$C$1001,MATCH($B944,智能流水!$B$2:$B$1001,0)),""))</f>
        <v/>
      </c>
      <c r="D944" s="19">
        <f>IF($B944="","",IFERROR(INDEX(智能流水!$D$2:$D$1001,MATCH($B944,智能流水!$B$2:$B$1001,0)),""))</f>
        <v/>
      </c>
      <c r="E944" s="19">
        <f>IF($B944="","",IFERROR(INDEX(智能流水!$E$2:$E$1001,MATCH($B944,智能流水!$B$2:$B$1001,0)),""))</f>
        <v/>
      </c>
      <c r="F944" s="19">
        <f>IF($B944="","",IFERROR(INDEX(智能流水!$F$2:$F$1001,MATCH($B944,智能流水!$B$2:$B$1001,0)),""))</f>
        <v/>
      </c>
      <c r="G944" s="19">
        <f>IF($B944="","",IFERROR(INDEX(智能流水!$G$2:$G$1001,MATCH($B944,智能流水!$B$2:$B$1001,0)),""))</f>
        <v/>
      </c>
      <c r="H944" s="19">
        <f>IF($B944="","",IFERROR(INDEX(智能流水!$H$2:$H$1001,MATCH($B944,智能流水!$B$2:$B$1001,0)),""))</f>
        <v/>
      </c>
      <c r="I944" s="19">
        <f>IF($B944="","",IFERROR(INDEX(智能流水!$I$2:$I$1001,MATCH($B944,智能流水!$B$2:$B$1001,0)),""))</f>
        <v/>
      </c>
      <c r="J944" s="19">
        <f>IF($B944="","",IFERROR(INDEX(智能流水!$J$2:$J$1001,MATCH($B944,智能流水!$B$2:$B$1001,0)),""))</f>
        <v/>
      </c>
      <c r="K944" s="19">
        <f>IF($B944="","",IFERROR(INDEX(智能流水!$K$2:$K$1001,MATCH($B944,智能流水!$B$2:$B$1001,0)),""))</f>
        <v/>
      </c>
      <c r="L944" s="19">
        <f>IF($B944="","",IFERROR(INDEX(智能流水!$L$2:$L$1001,MATCH($B944,智能流水!$B$2:$B$1001,0)),""))</f>
        <v/>
      </c>
      <c r="M944" s="19">
        <f>IF($B944="","",IFERROR(INDEX(智能流水!$M$2:$M$1001,MATCH($B944,智能流水!$B$2:$B$1001,0)),""))</f>
        <v/>
      </c>
      <c r="N944" s="19">
        <f>IF($B944="","",IFERROR(INDEX(智能流水!$N$2:$N$1001,MATCH($B944,智能流水!$B$2:$B$1001,0)),""))</f>
        <v/>
      </c>
      <c r="O944" s="19">
        <f>IF($B944="","",IFERROR(INDEX(智能流水!$O$2:$O$1001,MATCH($B944,智能流水!$B$2:$B$1001,0)),""))</f>
        <v/>
      </c>
    </row>
    <row r="945">
      <c r="A945" s="19">
        <f>IF($B945="","",944)</f>
        <v/>
      </c>
      <c r="B945" s="19">
        <f>IFERROR(LARGE(智能流水!$B$2:$B$1001,944),"")</f>
        <v/>
      </c>
      <c r="C945" s="19">
        <f>IF($B945="","",IFERROR(INDEX(智能流水!$C$2:$C$1001,MATCH($B945,智能流水!$B$2:$B$1001,0)),""))</f>
        <v/>
      </c>
      <c r="D945" s="19">
        <f>IF($B945="","",IFERROR(INDEX(智能流水!$D$2:$D$1001,MATCH($B945,智能流水!$B$2:$B$1001,0)),""))</f>
        <v/>
      </c>
      <c r="E945" s="19">
        <f>IF($B945="","",IFERROR(INDEX(智能流水!$E$2:$E$1001,MATCH($B945,智能流水!$B$2:$B$1001,0)),""))</f>
        <v/>
      </c>
      <c r="F945" s="19">
        <f>IF($B945="","",IFERROR(INDEX(智能流水!$F$2:$F$1001,MATCH($B945,智能流水!$B$2:$B$1001,0)),""))</f>
        <v/>
      </c>
      <c r="G945" s="19">
        <f>IF($B945="","",IFERROR(INDEX(智能流水!$G$2:$G$1001,MATCH($B945,智能流水!$B$2:$B$1001,0)),""))</f>
        <v/>
      </c>
      <c r="H945" s="19">
        <f>IF($B945="","",IFERROR(INDEX(智能流水!$H$2:$H$1001,MATCH($B945,智能流水!$B$2:$B$1001,0)),""))</f>
        <v/>
      </c>
      <c r="I945" s="19">
        <f>IF($B945="","",IFERROR(INDEX(智能流水!$I$2:$I$1001,MATCH($B945,智能流水!$B$2:$B$1001,0)),""))</f>
        <v/>
      </c>
      <c r="J945" s="19">
        <f>IF($B945="","",IFERROR(INDEX(智能流水!$J$2:$J$1001,MATCH($B945,智能流水!$B$2:$B$1001,0)),""))</f>
        <v/>
      </c>
      <c r="K945" s="19">
        <f>IF($B945="","",IFERROR(INDEX(智能流水!$K$2:$K$1001,MATCH($B945,智能流水!$B$2:$B$1001,0)),""))</f>
        <v/>
      </c>
      <c r="L945" s="19">
        <f>IF($B945="","",IFERROR(INDEX(智能流水!$L$2:$L$1001,MATCH($B945,智能流水!$B$2:$B$1001,0)),""))</f>
        <v/>
      </c>
      <c r="M945" s="19">
        <f>IF($B945="","",IFERROR(INDEX(智能流水!$M$2:$M$1001,MATCH($B945,智能流水!$B$2:$B$1001,0)),""))</f>
        <v/>
      </c>
      <c r="N945" s="19">
        <f>IF($B945="","",IFERROR(INDEX(智能流水!$N$2:$N$1001,MATCH($B945,智能流水!$B$2:$B$1001,0)),""))</f>
        <v/>
      </c>
      <c r="O945" s="19">
        <f>IF($B945="","",IFERROR(INDEX(智能流水!$O$2:$O$1001,MATCH($B945,智能流水!$B$2:$B$1001,0)),""))</f>
        <v/>
      </c>
    </row>
    <row r="946">
      <c r="A946" s="19">
        <f>IF($B946="","",945)</f>
        <v/>
      </c>
      <c r="B946" s="19">
        <f>IFERROR(LARGE(智能流水!$B$2:$B$1001,945),"")</f>
        <v/>
      </c>
      <c r="C946" s="19">
        <f>IF($B946="","",IFERROR(INDEX(智能流水!$C$2:$C$1001,MATCH($B946,智能流水!$B$2:$B$1001,0)),""))</f>
        <v/>
      </c>
      <c r="D946" s="19">
        <f>IF($B946="","",IFERROR(INDEX(智能流水!$D$2:$D$1001,MATCH($B946,智能流水!$B$2:$B$1001,0)),""))</f>
        <v/>
      </c>
      <c r="E946" s="19">
        <f>IF($B946="","",IFERROR(INDEX(智能流水!$E$2:$E$1001,MATCH($B946,智能流水!$B$2:$B$1001,0)),""))</f>
        <v/>
      </c>
      <c r="F946" s="19">
        <f>IF($B946="","",IFERROR(INDEX(智能流水!$F$2:$F$1001,MATCH($B946,智能流水!$B$2:$B$1001,0)),""))</f>
        <v/>
      </c>
      <c r="G946" s="19">
        <f>IF($B946="","",IFERROR(INDEX(智能流水!$G$2:$G$1001,MATCH($B946,智能流水!$B$2:$B$1001,0)),""))</f>
        <v/>
      </c>
      <c r="H946" s="19">
        <f>IF($B946="","",IFERROR(INDEX(智能流水!$H$2:$H$1001,MATCH($B946,智能流水!$B$2:$B$1001,0)),""))</f>
        <v/>
      </c>
      <c r="I946" s="19">
        <f>IF($B946="","",IFERROR(INDEX(智能流水!$I$2:$I$1001,MATCH($B946,智能流水!$B$2:$B$1001,0)),""))</f>
        <v/>
      </c>
      <c r="J946" s="19">
        <f>IF($B946="","",IFERROR(INDEX(智能流水!$J$2:$J$1001,MATCH($B946,智能流水!$B$2:$B$1001,0)),""))</f>
        <v/>
      </c>
      <c r="K946" s="19">
        <f>IF($B946="","",IFERROR(INDEX(智能流水!$K$2:$K$1001,MATCH($B946,智能流水!$B$2:$B$1001,0)),""))</f>
        <v/>
      </c>
      <c r="L946" s="19">
        <f>IF($B946="","",IFERROR(INDEX(智能流水!$L$2:$L$1001,MATCH($B946,智能流水!$B$2:$B$1001,0)),""))</f>
        <v/>
      </c>
      <c r="M946" s="19">
        <f>IF($B946="","",IFERROR(INDEX(智能流水!$M$2:$M$1001,MATCH($B946,智能流水!$B$2:$B$1001,0)),""))</f>
        <v/>
      </c>
      <c r="N946" s="19">
        <f>IF($B946="","",IFERROR(INDEX(智能流水!$N$2:$N$1001,MATCH($B946,智能流水!$B$2:$B$1001,0)),""))</f>
        <v/>
      </c>
      <c r="O946" s="19">
        <f>IF($B946="","",IFERROR(INDEX(智能流水!$O$2:$O$1001,MATCH($B946,智能流水!$B$2:$B$1001,0)),""))</f>
        <v/>
      </c>
    </row>
    <row r="947">
      <c r="A947" s="19">
        <f>IF($B947="","",946)</f>
        <v/>
      </c>
      <c r="B947" s="19">
        <f>IFERROR(LARGE(智能流水!$B$2:$B$1001,946),"")</f>
        <v/>
      </c>
      <c r="C947" s="19">
        <f>IF($B947="","",IFERROR(INDEX(智能流水!$C$2:$C$1001,MATCH($B947,智能流水!$B$2:$B$1001,0)),""))</f>
        <v/>
      </c>
      <c r="D947" s="19">
        <f>IF($B947="","",IFERROR(INDEX(智能流水!$D$2:$D$1001,MATCH($B947,智能流水!$B$2:$B$1001,0)),""))</f>
        <v/>
      </c>
      <c r="E947" s="19">
        <f>IF($B947="","",IFERROR(INDEX(智能流水!$E$2:$E$1001,MATCH($B947,智能流水!$B$2:$B$1001,0)),""))</f>
        <v/>
      </c>
      <c r="F947" s="19">
        <f>IF($B947="","",IFERROR(INDEX(智能流水!$F$2:$F$1001,MATCH($B947,智能流水!$B$2:$B$1001,0)),""))</f>
        <v/>
      </c>
      <c r="G947" s="19">
        <f>IF($B947="","",IFERROR(INDEX(智能流水!$G$2:$G$1001,MATCH($B947,智能流水!$B$2:$B$1001,0)),""))</f>
        <v/>
      </c>
      <c r="H947" s="19">
        <f>IF($B947="","",IFERROR(INDEX(智能流水!$H$2:$H$1001,MATCH($B947,智能流水!$B$2:$B$1001,0)),""))</f>
        <v/>
      </c>
      <c r="I947" s="19">
        <f>IF($B947="","",IFERROR(INDEX(智能流水!$I$2:$I$1001,MATCH($B947,智能流水!$B$2:$B$1001,0)),""))</f>
        <v/>
      </c>
      <c r="J947" s="19">
        <f>IF($B947="","",IFERROR(INDEX(智能流水!$J$2:$J$1001,MATCH($B947,智能流水!$B$2:$B$1001,0)),""))</f>
        <v/>
      </c>
      <c r="K947" s="19">
        <f>IF($B947="","",IFERROR(INDEX(智能流水!$K$2:$K$1001,MATCH($B947,智能流水!$B$2:$B$1001,0)),""))</f>
        <v/>
      </c>
      <c r="L947" s="19">
        <f>IF($B947="","",IFERROR(INDEX(智能流水!$L$2:$L$1001,MATCH($B947,智能流水!$B$2:$B$1001,0)),""))</f>
        <v/>
      </c>
      <c r="M947" s="19">
        <f>IF($B947="","",IFERROR(INDEX(智能流水!$M$2:$M$1001,MATCH($B947,智能流水!$B$2:$B$1001,0)),""))</f>
        <v/>
      </c>
      <c r="N947" s="19">
        <f>IF($B947="","",IFERROR(INDEX(智能流水!$N$2:$N$1001,MATCH($B947,智能流水!$B$2:$B$1001,0)),""))</f>
        <v/>
      </c>
      <c r="O947" s="19">
        <f>IF($B947="","",IFERROR(INDEX(智能流水!$O$2:$O$1001,MATCH($B947,智能流水!$B$2:$B$1001,0)),""))</f>
        <v/>
      </c>
    </row>
    <row r="948">
      <c r="A948" s="19">
        <f>IF($B948="","",947)</f>
        <v/>
      </c>
      <c r="B948" s="19">
        <f>IFERROR(LARGE(智能流水!$B$2:$B$1001,947),"")</f>
        <v/>
      </c>
      <c r="C948" s="19">
        <f>IF($B948="","",IFERROR(INDEX(智能流水!$C$2:$C$1001,MATCH($B948,智能流水!$B$2:$B$1001,0)),""))</f>
        <v/>
      </c>
      <c r="D948" s="19">
        <f>IF($B948="","",IFERROR(INDEX(智能流水!$D$2:$D$1001,MATCH($B948,智能流水!$B$2:$B$1001,0)),""))</f>
        <v/>
      </c>
      <c r="E948" s="19">
        <f>IF($B948="","",IFERROR(INDEX(智能流水!$E$2:$E$1001,MATCH($B948,智能流水!$B$2:$B$1001,0)),""))</f>
        <v/>
      </c>
      <c r="F948" s="19">
        <f>IF($B948="","",IFERROR(INDEX(智能流水!$F$2:$F$1001,MATCH($B948,智能流水!$B$2:$B$1001,0)),""))</f>
        <v/>
      </c>
      <c r="G948" s="19">
        <f>IF($B948="","",IFERROR(INDEX(智能流水!$G$2:$G$1001,MATCH($B948,智能流水!$B$2:$B$1001,0)),""))</f>
        <v/>
      </c>
      <c r="H948" s="19">
        <f>IF($B948="","",IFERROR(INDEX(智能流水!$H$2:$H$1001,MATCH($B948,智能流水!$B$2:$B$1001,0)),""))</f>
        <v/>
      </c>
      <c r="I948" s="19">
        <f>IF($B948="","",IFERROR(INDEX(智能流水!$I$2:$I$1001,MATCH($B948,智能流水!$B$2:$B$1001,0)),""))</f>
        <v/>
      </c>
      <c r="J948" s="19">
        <f>IF($B948="","",IFERROR(INDEX(智能流水!$J$2:$J$1001,MATCH($B948,智能流水!$B$2:$B$1001,0)),""))</f>
        <v/>
      </c>
      <c r="K948" s="19">
        <f>IF($B948="","",IFERROR(INDEX(智能流水!$K$2:$K$1001,MATCH($B948,智能流水!$B$2:$B$1001,0)),""))</f>
        <v/>
      </c>
      <c r="L948" s="19">
        <f>IF($B948="","",IFERROR(INDEX(智能流水!$L$2:$L$1001,MATCH($B948,智能流水!$B$2:$B$1001,0)),""))</f>
        <v/>
      </c>
      <c r="M948" s="19">
        <f>IF($B948="","",IFERROR(INDEX(智能流水!$M$2:$M$1001,MATCH($B948,智能流水!$B$2:$B$1001,0)),""))</f>
        <v/>
      </c>
      <c r="N948" s="19">
        <f>IF($B948="","",IFERROR(INDEX(智能流水!$N$2:$N$1001,MATCH($B948,智能流水!$B$2:$B$1001,0)),""))</f>
        <v/>
      </c>
      <c r="O948" s="19">
        <f>IF($B948="","",IFERROR(INDEX(智能流水!$O$2:$O$1001,MATCH($B948,智能流水!$B$2:$B$1001,0)),""))</f>
        <v/>
      </c>
    </row>
    <row r="949">
      <c r="A949" s="19">
        <f>IF($B949="","",948)</f>
        <v/>
      </c>
      <c r="B949" s="19">
        <f>IFERROR(LARGE(智能流水!$B$2:$B$1001,948),"")</f>
        <v/>
      </c>
      <c r="C949" s="19">
        <f>IF($B949="","",IFERROR(INDEX(智能流水!$C$2:$C$1001,MATCH($B949,智能流水!$B$2:$B$1001,0)),""))</f>
        <v/>
      </c>
      <c r="D949" s="19">
        <f>IF($B949="","",IFERROR(INDEX(智能流水!$D$2:$D$1001,MATCH($B949,智能流水!$B$2:$B$1001,0)),""))</f>
        <v/>
      </c>
      <c r="E949" s="19">
        <f>IF($B949="","",IFERROR(INDEX(智能流水!$E$2:$E$1001,MATCH($B949,智能流水!$B$2:$B$1001,0)),""))</f>
        <v/>
      </c>
      <c r="F949" s="19">
        <f>IF($B949="","",IFERROR(INDEX(智能流水!$F$2:$F$1001,MATCH($B949,智能流水!$B$2:$B$1001,0)),""))</f>
        <v/>
      </c>
      <c r="G949" s="19">
        <f>IF($B949="","",IFERROR(INDEX(智能流水!$G$2:$G$1001,MATCH($B949,智能流水!$B$2:$B$1001,0)),""))</f>
        <v/>
      </c>
      <c r="H949" s="19">
        <f>IF($B949="","",IFERROR(INDEX(智能流水!$H$2:$H$1001,MATCH($B949,智能流水!$B$2:$B$1001,0)),""))</f>
        <v/>
      </c>
      <c r="I949" s="19">
        <f>IF($B949="","",IFERROR(INDEX(智能流水!$I$2:$I$1001,MATCH($B949,智能流水!$B$2:$B$1001,0)),""))</f>
        <v/>
      </c>
      <c r="J949" s="19">
        <f>IF($B949="","",IFERROR(INDEX(智能流水!$J$2:$J$1001,MATCH($B949,智能流水!$B$2:$B$1001,0)),""))</f>
        <v/>
      </c>
      <c r="K949" s="19">
        <f>IF($B949="","",IFERROR(INDEX(智能流水!$K$2:$K$1001,MATCH($B949,智能流水!$B$2:$B$1001,0)),""))</f>
        <v/>
      </c>
      <c r="L949" s="19">
        <f>IF($B949="","",IFERROR(INDEX(智能流水!$L$2:$L$1001,MATCH($B949,智能流水!$B$2:$B$1001,0)),""))</f>
        <v/>
      </c>
      <c r="M949" s="19">
        <f>IF($B949="","",IFERROR(INDEX(智能流水!$M$2:$M$1001,MATCH($B949,智能流水!$B$2:$B$1001,0)),""))</f>
        <v/>
      </c>
      <c r="N949" s="19">
        <f>IF($B949="","",IFERROR(INDEX(智能流水!$N$2:$N$1001,MATCH($B949,智能流水!$B$2:$B$1001,0)),""))</f>
        <v/>
      </c>
      <c r="O949" s="19">
        <f>IF($B949="","",IFERROR(INDEX(智能流水!$O$2:$O$1001,MATCH($B949,智能流水!$B$2:$B$1001,0)),""))</f>
        <v/>
      </c>
    </row>
    <row r="950">
      <c r="A950" s="19">
        <f>IF($B950="","",949)</f>
        <v/>
      </c>
      <c r="B950" s="19">
        <f>IFERROR(LARGE(智能流水!$B$2:$B$1001,949),"")</f>
        <v/>
      </c>
      <c r="C950" s="19">
        <f>IF($B950="","",IFERROR(INDEX(智能流水!$C$2:$C$1001,MATCH($B950,智能流水!$B$2:$B$1001,0)),""))</f>
        <v/>
      </c>
      <c r="D950" s="19">
        <f>IF($B950="","",IFERROR(INDEX(智能流水!$D$2:$D$1001,MATCH($B950,智能流水!$B$2:$B$1001,0)),""))</f>
        <v/>
      </c>
      <c r="E950" s="19">
        <f>IF($B950="","",IFERROR(INDEX(智能流水!$E$2:$E$1001,MATCH($B950,智能流水!$B$2:$B$1001,0)),""))</f>
        <v/>
      </c>
      <c r="F950" s="19">
        <f>IF($B950="","",IFERROR(INDEX(智能流水!$F$2:$F$1001,MATCH($B950,智能流水!$B$2:$B$1001,0)),""))</f>
        <v/>
      </c>
      <c r="G950" s="19">
        <f>IF($B950="","",IFERROR(INDEX(智能流水!$G$2:$G$1001,MATCH($B950,智能流水!$B$2:$B$1001,0)),""))</f>
        <v/>
      </c>
      <c r="H950" s="19">
        <f>IF($B950="","",IFERROR(INDEX(智能流水!$H$2:$H$1001,MATCH($B950,智能流水!$B$2:$B$1001,0)),""))</f>
        <v/>
      </c>
      <c r="I950" s="19">
        <f>IF($B950="","",IFERROR(INDEX(智能流水!$I$2:$I$1001,MATCH($B950,智能流水!$B$2:$B$1001,0)),""))</f>
        <v/>
      </c>
      <c r="J950" s="19">
        <f>IF($B950="","",IFERROR(INDEX(智能流水!$J$2:$J$1001,MATCH($B950,智能流水!$B$2:$B$1001,0)),""))</f>
        <v/>
      </c>
      <c r="K950" s="19">
        <f>IF($B950="","",IFERROR(INDEX(智能流水!$K$2:$K$1001,MATCH($B950,智能流水!$B$2:$B$1001,0)),""))</f>
        <v/>
      </c>
      <c r="L950" s="19">
        <f>IF($B950="","",IFERROR(INDEX(智能流水!$L$2:$L$1001,MATCH($B950,智能流水!$B$2:$B$1001,0)),""))</f>
        <v/>
      </c>
      <c r="M950" s="19">
        <f>IF($B950="","",IFERROR(INDEX(智能流水!$M$2:$M$1001,MATCH($B950,智能流水!$B$2:$B$1001,0)),""))</f>
        <v/>
      </c>
      <c r="N950" s="19">
        <f>IF($B950="","",IFERROR(INDEX(智能流水!$N$2:$N$1001,MATCH($B950,智能流水!$B$2:$B$1001,0)),""))</f>
        <v/>
      </c>
      <c r="O950" s="19">
        <f>IF($B950="","",IFERROR(INDEX(智能流水!$O$2:$O$1001,MATCH($B950,智能流水!$B$2:$B$1001,0)),""))</f>
        <v/>
      </c>
    </row>
    <row r="951">
      <c r="A951" s="19">
        <f>IF($B951="","",950)</f>
        <v/>
      </c>
      <c r="B951" s="19">
        <f>IFERROR(LARGE(智能流水!$B$2:$B$1001,950),"")</f>
        <v/>
      </c>
      <c r="C951" s="19">
        <f>IF($B951="","",IFERROR(INDEX(智能流水!$C$2:$C$1001,MATCH($B951,智能流水!$B$2:$B$1001,0)),""))</f>
        <v/>
      </c>
      <c r="D951" s="19">
        <f>IF($B951="","",IFERROR(INDEX(智能流水!$D$2:$D$1001,MATCH($B951,智能流水!$B$2:$B$1001,0)),""))</f>
        <v/>
      </c>
      <c r="E951" s="19">
        <f>IF($B951="","",IFERROR(INDEX(智能流水!$E$2:$E$1001,MATCH($B951,智能流水!$B$2:$B$1001,0)),""))</f>
        <v/>
      </c>
      <c r="F951" s="19">
        <f>IF($B951="","",IFERROR(INDEX(智能流水!$F$2:$F$1001,MATCH($B951,智能流水!$B$2:$B$1001,0)),""))</f>
        <v/>
      </c>
      <c r="G951" s="19">
        <f>IF($B951="","",IFERROR(INDEX(智能流水!$G$2:$G$1001,MATCH($B951,智能流水!$B$2:$B$1001,0)),""))</f>
        <v/>
      </c>
      <c r="H951" s="19">
        <f>IF($B951="","",IFERROR(INDEX(智能流水!$H$2:$H$1001,MATCH($B951,智能流水!$B$2:$B$1001,0)),""))</f>
        <v/>
      </c>
      <c r="I951" s="19">
        <f>IF($B951="","",IFERROR(INDEX(智能流水!$I$2:$I$1001,MATCH($B951,智能流水!$B$2:$B$1001,0)),""))</f>
        <v/>
      </c>
      <c r="J951" s="19">
        <f>IF($B951="","",IFERROR(INDEX(智能流水!$J$2:$J$1001,MATCH($B951,智能流水!$B$2:$B$1001,0)),""))</f>
        <v/>
      </c>
      <c r="K951" s="19">
        <f>IF($B951="","",IFERROR(INDEX(智能流水!$K$2:$K$1001,MATCH($B951,智能流水!$B$2:$B$1001,0)),""))</f>
        <v/>
      </c>
      <c r="L951" s="19">
        <f>IF($B951="","",IFERROR(INDEX(智能流水!$L$2:$L$1001,MATCH($B951,智能流水!$B$2:$B$1001,0)),""))</f>
        <v/>
      </c>
      <c r="M951" s="19">
        <f>IF($B951="","",IFERROR(INDEX(智能流水!$M$2:$M$1001,MATCH($B951,智能流水!$B$2:$B$1001,0)),""))</f>
        <v/>
      </c>
      <c r="N951" s="19">
        <f>IF($B951="","",IFERROR(INDEX(智能流水!$N$2:$N$1001,MATCH($B951,智能流水!$B$2:$B$1001,0)),""))</f>
        <v/>
      </c>
      <c r="O951" s="19">
        <f>IF($B951="","",IFERROR(INDEX(智能流水!$O$2:$O$1001,MATCH($B951,智能流水!$B$2:$B$1001,0)),""))</f>
        <v/>
      </c>
    </row>
    <row r="952">
      <c r="A952" s="19">
        <f>IF($B952="","",951)</f>
        <v/>
      </c>
      <c r="B952" s="19">
        <f>IFERROR(LARGE(智能流水!$B$2:$B$1001,951),"")</f>
        <v/>
      </c>
      <c r="C952" s="19">
        <f>IF($B952="","",IFERROR(INDEX(智能流水!$C$2:$C$1001,MATCH($B952,智能流水!$B$2:$B$1001,0)),""))</f>
        <v/>
      </c>
      <c r="D952" s="19">
        <f>IF($B952="","",IFERROR(INDEX(智能流水!$D$2:$D$1001,MATCH($B952,智能流水!$B$2:$B$1001,0)),""))</f>
        <v/>
      </c>
      <c r="E952" s="19">
        <f>IF($B952="","",IFERROR(INDEX(智能流水!$E$2:$E$1001,MATCH($B952,智能流水!$B$2:$B$1001,0)),""))</f>
        <v/>
      </c>
      <c r="F952" s="19">
        <f>IF($B952="","",IFERROR(INDEX(智能流水!$F$2:$F$1001,MATCH($B952,智能流水!$B$2:$B$1001,0)),""))</f>
        <v/>
      </c>
      <c r="G952" s="19">
        <f>IF($B952="","",IFERROR(INDEX(智能流水!$G$2:$G$1001,MATCH($B952,智能流水!$B$2:$B$1001,0)),""))</f>
        <v/>
      </c>
      <c r="H952" s="19">
        <f>IF($B952="","",IFERROR(INDEX(智能流水!$H$2:$H$1001,MATCH($B952,智能流水!$B$2:$B$1001,0)),""))</f>
        <v/>
      </c>
      <c r="I952" s="19">
        <f>IF($B952="","",IFERROR(INDEX(智能流水!$I$2:$I$1001,MATCH($B952,智能流水!$B$2:$B$1001,0)),""))</f>
        <v/>
      </c>
      <c r="J952" s="19">
        <f>IF($B952="","",IFERROR(INDEX(智能流水!$J$2:$J$1001,MATCH($B952,智能流水!$B$2:$B$1001,0)),""))</f>
        <v/>
      </c>
      <c r="K952" s="19">
        <f>IF($B952="","",IFERROR(INDEX(智能流水!$K$2:$K$1001,MATCH($B952,智能流水!$B$2:$B$1001,0)),""))</f>
        <v/>
      </c>
      <c r="L952" s="19">
        <f>IF($B952="","",IFERROR(INDEX(智能流水!$L$2:$L$1001,MATCH($B952,智能流水!$B$2:$B$1001,0)),""))</f>
        <v/>
      </c>
      <c r="M952" s="19">
        <f>IF($B952="","",IFERROR(INDEX(智能流水!$M$2:$M$1001,MATCH($B952,智能流水!$B$2:$B$1001,0)),""))</f>
        <v/>
      </c>
      <c r="N952" s="19">
        <f>IF($B952="","",IFERROR(INDEX(智能流水!$N$2:$N$1001,MATCH($B952,智能流水!$B$2:$B$1001,0)),""))</f>
        <v/>
      </c>
      <c r="O952" s="19">
        <f>IF($B952="","",IFERROR(INDEX(智能流水!$O$2:$O$1001,MATCH($B952,智能流水!$B$2:$B$1001,0)),""))</f>
        <v/>
      </c>
    </row>
    <row r="953">
      <c r="A953" s="19">
        <f>IF($B953="","",952)</f>
        <v/>
      </c>
      <c r="B953" s="19">
        <f>IFERROR(LARGE(智能流水!$B$2:$B$1001,952),"")</f>
        <v/>
      </c>
      <c r="C953" s="19">
        <f>IF($B953="","",IFERROR(INDEX(智能流水!$C$2:$C$1001,MATCH($B953,智能流水!$B$2:$B$1001,0)),""))</f>
        <v/>
      </c>
      <c r="D953" s="19">
        <f>IF($B953="","",IFERROR(INDEX(智能流水!$D$2:$D$1001,MATCH($B953,智能流水!$B$2:$B$1001,0)),""))</f>
        <v/>
      </c>
      <c r="E953" s="19">
        <f>IF($B953="","",IFERROR(INDEX(智能流水!$E$2:$E$1001,MATCH($B953,智能流水!$B$2:$B$1001,0)),""))</f>
        <v/>
      </c>
      <c r="F953" s="19">
        <f>IF($B953="","",IFERROR(INDEX(智能流水!$F$2:$F$1001,MATCH($B953,智能流水!$B$2:$B$1001,0)),""))</f>
        <v/>
      </c>
      <c r="G953" s="19">
        <f>IF($B953="","",IFERROR(INDEX(智能流水!$G$2:$G$1001,MATCH($B953,智能流水!$B$2:$B$1001,0)),""))</f>
        <v/>
      </c>
      <c r="H953" s="19">
        <f>IF($B953="","",IFERROR(INDEX(智能流水!$H$2:$H$1001,MATCH($B953,智能流水!$B$2:$B$1001,0)),""))</f>
        <v/>
      </c>
      <c r="I953" s="19">
        <f>IF($B953="","",IFERROR(INDEX(智能流水!$I$2:$I$1001,MATCH($B953,智能流水!$B$2:$B$1001,0)),""))</f>
        <v/>
      </c>
      <c r="J953" s="19">
        <f>IF($B953="","",IFERROR(INDEX(智能流水!$J$2:$J$1001,MATCH($B953,智能流水!$B$2:$B$1001,0)),""))</f>
        <v/>
      </c>
      <c r="K953" s="19">
        <f>IF($B953="","",IFERROR(INDEX(智能流水!$K$2:$K$1001,MATCH($B953,智能流水!$B$2:$B$1001,0)),""))</f>
        <v/>
      </c>
      <c r="L953" s="19">
        <f>IF($B953="","",IFERROR(INDEX(智能流水!$L$2:$L$1001,MATCH($B953,智能流水!$B$2:$B$1001,0)),""))</f>
        <v/>
      </c>
      <c r="M953" s="19">
        <f>IF($B953="","",IFERROR(INDEX(智能流水!$M$2:$M$1001,MATCH($B953,智能流水!$B$2:$B$1001,0)),""))</f>
        <v/>
      </c>
      <c r="N953" s="19">
        <f>IF($B953="","",IFERROR(INDEX(智能流水!$N$2:$N$1001,MATCH($B953,智能流水!$B$2:$B$1001,0)),""))</f>
        <v/>
      </c>
      <c r="O953" s="19">
        <f>IF($B953="","",IFERROR(INDEX(智能流水!$O$2:$O$1001,MATCH($B953,智能流水!$B$2:$B$1001,0)),""))</f>
        <v/>
      </c>
    </row>
    <row r="954">
      <c r="A954" s="19">
        <f>IF($B954="","",953)</f>
        <v/>
      </c>
      <c r="B954" s="19">
        <f>IFERROR(LARGE(智能流水!$B$2:$B$1001,953),"")</f>
        <v/>
      </c>
      <c r="C954" s="19">
        <f>IF($B954="","",IFERROR(INDEX(智能流水!$C$2:$C$1001,MATCH($B954,智能流水!$B$2:$B$1001,0)),""))</f>
        <v/>
      </c>
      <c r="D954" s="19">
        <f>IF($B954="","",IFERROR(INDEX(智能流水!$D$2:$D$1001,MATCH($B954,智能流水!$B$2:$B$1001,0)),""))</f>
        <v/>
      </c>
      <c r="E954" s="19">
        <f>IF($B954="","",IFERROR(INDEX(智能流水!$E$2:$E$1001,MATCH($B954,智能流水!$B$2:$B$1001,0)),""))</f>
        <v/>
      </c>
      <c r="F954" s="19">
        <f>IF($B954="","",IFERROR(INDEX(智能流水!$F$2:$F$1001,MATCH($B954,智能流水!$B$2:$B$1001,0)),""))</f>
        <v/>
      </c>
      <c r="G954" s="19">
        <f>IF($B954="","",IFERROR(INDEX(智能流水!$G$2:$G$1001,MATCH($B954,智能流水!$B$2:$B$1001,0)),""))</f>
        <v/>
      </c>
      <c r="H954" s="19">
        <f>IF($B954="","",IFERROR(INDEX(智能流水!$H$2:$H$1001,MATCH($B954,智能流水!$B$2:$B$1001,0)),""))</f>
        <v/>
      </c>
      <c r="I954" s="19">
        <f>IF($B954="","",IFERROR(INDEX(智能流水!$I$2:$I$1001,MATCH($B954,智能流水!$B$2:$B$1001,0)),""))</f>
        <v/>
      </c>
      <c r="J954" s="19">
        <f>IF($B954="","",IFERROR(INDEX(智能流水!$J$2:$J$1001,MATCH($B954,智能流水!$B$2:$B$1001,0)),""))</f>
        <v/>
      </c>
      <c r="K954" s="19">
        <f>IF($B954="","",IFERROR(INDEX(智能流水!$K$2:$K$1001,MATCH($B954,智能流水!$B$2:$B$1001,0)),""))</f>
        <v/>
      </c>
      <c r="L954" s="19">
        <f>IF($B954="","",IFERROR(INDEX(智能流水!$L$2:$L$1001,MATCH($B954,智能流水!$B$2:$B$1001,0)),""))</f>
        <v/>
      </c>
      <c r="M954" s="19">
        <f>IF($B954="","",IFERROR(INDEX(智能流水!$M$2:$M$1001,MATCH($B954,智能流水!$B$2:$B$1001,0)),""))</f>
        <v/>
      </c>
      <c r="N954" s="19">
        <f>IF($B954="","",IFERROR(INDEX(智能流水!$N$2:$N$1001,MATCH($B954,智能流水!$B$2:$B$1001,0)),""))</f>
        <v/>
      </c>
      <c r="O954" s="19">
        <f>IF($B954="","",IFERROR(INDEX(智能流水!$O$2:$O$1001,MATCH($B954,智能流水!$B$2:$B$1001,0)),""))</f>
        <v/>
      </c>
    </row>
    <row r="955">
      <c r="A955" s="19">
        <f>IF($B955="","",954)</f>
        <v/>
      </c>
      <c r="B955" s="19">
        <f>IFERROR(LARGE(智能流水!$B$2:$B$1001,954),"")</f>
        <v/>
      </c>
      <c r="C955" s="19">
        <f>IF($B955="","",IFERROR(INDEX(智能流水!$C$2:$C$1001,MATCH($B955,智能流水!$B$2:$B$1001,0)),""))</f>
        <v/>
      </c>
      <c r="D955" s="19">
        <f>IF($B955="","",IFERROR(INDEX(智能流水!$D$2:$D$1001,MATCH($B955,智能流水!$B$2:$B$1001,0)),""))</f>
        <v/>
      </c>
      <c r="E955" s="19">
        <f>IF($B955="","",IFERROR(INDEX(智能流水!$E$2:$E$1001,MATCH($B955,智能流水!$B$2:$B$1001,0)),""))</f>
        <v/>
      </c>
      <c r="F955" s="19">
        <f>IF($B955="","",IFERROR(INDEX(智能流水!$F$2:$F$1001,MATCH($B955,智能流水!$B$2:$B$1001,0)),""))</f>
        <v/>
      </c>
      <c r="G955" s="19">
        <f>IF($B955="","",IFERROR(INDEX(智能流水!$G$2:$G$1001,MATCH($B955,智能流水!$B$2:$B$1001,0)),""))</f>
        <v/>
      </c>
      <c r="H955" s="19">
        <f>IF($B955="","",IFERROR(INDEX(智能流水!$H$2:$H$1001,MATCH($B955,智能流水!$B$2:$B$1001,0)),""))</f>
        <v/>
      </c>
      <c r="I955" s="19">
        <f>IF($B955="","",IFERROR(INDEX(智能流水!$I$2:$I$1001,MATCH($B955,智能流水!$B$2:$B$1001,0)),""))</f>
        <v/>
      </c>
      <c r="J955" s="19">
        <f>IF($B955="","",IFERROR(INDEX(智能流水!$J$2:$J$1001,MATCH($B955,智能流水!$B$2:$B$1001,0)),""))</f>
        <v/>
      </c>
      <c r="K955" s="19">
        <f>IF($B955="","",IFERROR(INDEX(智能流水!$K$2:$K$1001,MATCH($B955,智能流水!$B$2:$B$1001,0)),""))</f>
        <v/>
      </c>
      <c r="L955" s="19">
        <f>IF($B955="","",IFERROR(INDEX(智能流水!$L$2:$L$1001,MATCH($B955,智能流水!$B$2:$B$1001,0)),""))</f>
        <v/>
      </c>
      <c r="M955" s="19">
        <f>IF($B955="","",IFERROR(INDEX(智能流水!$M$2:$M$1001,MATCH($B955,智能流水!$B$2:$B$1001,0)),""))</f>
        <v/>
      </c>
      <c r="N955" s="19">
        <f>IF($B955="","",IFERROR(INDEX(智能流水!$N$2:$N$1001,MATCH($B955,智能流水!$B$2:$B$1001,0)),""))</f>
        <v/>
      </c>
      <c r="O955" s="19">
        <f>IF($B955="","",IFERROR(INDEX(智能流水!$O$2:$O$1001,MATCH($B955,智能流水!$B$2:$B$1001,0)),""))</f>
        <v/>
      </c>
    </row>
    <row r="956">
      <c r="A956" s="19">
        <f>IF($B956="","",955)</f>
        <v/>
      </c>
      <c r="B956" s="19">
        <f>IFERROR(LARGE(智能流水!$B$2:$B$1001,955),"")</f>
        <v/>
      </c>
      <c r="C956" s="19">
        <f>IF($B956="","",IFERROR(INDEX(智能流水!$C$2:$C$1001,MATCH($B956,智能流水!$B$2:$B$1001,0)),""))</f>
        <v/>
      </c>
      <c r="D956" s="19">
        <f>IF($B956="","",IFERROR(INDEX(智能流水!$D$2:$D$1001,MATCH($B956,智能流水!$B$2:$B$1001,0)),""))</f>
        <v/>
      </c>
      <c r="E956" s="19">
        <f>IF($B956="","",IFERROR(INDEX(智能流水!$E$2:$E$1001,MATCH($B956,智能流水!$B$2:$B$1001,0)),""))</f>
        <v/>
      </c>
      <c r="F956" s="19">
        <f>IF($B956="","",IFERROR(INDEX(智能流水!$F$2:$F$1001,MATCH($B956,智能流水!$B$2:$B$1001,0)),""))</f>
        <v/>
      </c>
      <c r="G956" s="19">
        <f>IF($B956="","",IFERROR(INDEX(智能流水!$G$2:$G$1001,MATCH($B956,智能流水!$B$2:$B$1001,0)),""))</f>
        <v/>
      </c>
      <c r="H956" s="19">
        <f>IF($B956="","",IFERROR(INDEX(智能流水!$H$2:$H$1001,MATCH($B956,智能流水!$B$2:$B$1001,0)),""))</f>
        <v/>
      </c>
      <c r="I956" s="19">
        <f>IF($B956="","",IFERROR(INDEX(智能流水!$I$2:$I$1001,MATCH($B956,智能流水!$B$2:$B$1001,0)),""))</f>
        <v/>
      </c>
      <c r="J956" s="19">
        <f>IF($B956="","",IFERROR(INDEX(智能流水!$J$2:$J$1001,MATCH($B956,智能流水!$B$2:$B$1001,0)),""))</f>
        <v/>
      </c>
      <c r="K956" s="19">
        <f>IF($B956="","",IFERROR(INDEX(智能流水!$K$2:$K$1001,MATCH($B956,智能流水!$B$2:$B$1001,0)),""))</f>
        <v/>
      </c>
      <c r="L956" s="19">
        <f>IF($B956="","",IFERROR(INDEX(智能流水!$L$2:$L$1001,MATCH($B956,智能流水!$B$2:$B$1001,0)),""))</f>
        <v/>
      </c>
      <c r="M956" s="19">
        <f>IF($B956="","",IFERROR(INDEX(智能流水!$M$2:$M$1001,MATCH($B956,智能流水!$B$2:$B$1001,0)),""))</f>
        <v/>
      </c>
      <c r="N956" s="19">
        <f>IF($B956="","",IFERROR(INDEX(智能流水!$N$2:$N$1001,MATCH($B956,智能流水!$B$2:$B$1001,0)),""))</f>
        <v/>
      </c>
      <c r="O956" s="19">
        <f>IF($B956="","",IFERROR(INDEX(智能流水!$O$2:$O$1001,MATCH($B956,智能流水!$B$2:$B$1001,0)),""))</f>
        <v/>
      </c>
    </row>
    <row r="957">
      <c r="A957" s="19">
        <f>IF($B957="","",956)</f>
        <v/>
      </c>
      <c r="B957" s="19">
        <f>IFERROR(LARGE(智能流水!$B$2:$B$1001,956),"")</f>
        <v/>
      </c>
      <c r="C957" s="19">
        <f>IF($B957="","",IFERROR(INDEX(智能流水!$C$2:$C$1001,MATCH($B957,智能流水!$B$2:$B$1001,0)),""))</f>
        <v/>
      </c>
      <c r="D957" s="19">
        <f>IF($B957="","",IFERROR(INDEX(智能流水!$D$2:$D$1001,MATCH($B957,智能流水!$B$2:$B$1001,0)),""))</f>
        <v/>
      </c>
      <c r="E957" s="19">
        <f>IF($B957="","",IFERROR(INDEX(智能流水!$E$2:$E$1001,MATCH($B957,智能流水!$B$2:$B$1001,0)),""))</f>
        <v/>
      </c>
      <c r="F957" s="19">
        <f>IF($B957="","",IFERROR(INDEX(智能流水!$F$2:$F$1001,MATCH($B957,智能流水!$B$2:$B$1001,0)),""))</f>
        <v/>
      </c>
      <c r="G957" s="19">
        <f>IF($B957="","",IFERROR(INDEX(智能流水!$G$2:$G$1001,MATCH($B957,智能流水!$B$2:$B$1001,0)),""))</f>
        <v/>
      </c>
      <c r="H957" s="19">
        <f>IF($B957="","",IFERROR(INDEX(智能流水!$H$2:$H$1001,MATCH($B957,智能流水!$B$2:$B$1001,0)),""))</f>
        <v/>
      </c>
      <c r="I957" s="19">
        <f>IF($B957="","",IFERROR(INDEX(智能流水!$I$2:$I$1001,MATCH($B957,智能流水!$B$2:$B$1001,0)),""))</f>
        <v/>
      </c>
      <c r="J957" s="19">
        <f>IF($B957="","",IFERROR(INDEX(智能流水!$J$2:$J$1001,MATCH($B957,智能流水!$B$2:$B$1001,0)),""))</f>
        <v/>
      </c>
      <c r="K957" s="19">
        <f>IF($B957="","",IFERROR(INDEX(智能流水!$K$2:$K$1001,MATCH($B957,智能流水!$B$2:$B$1001,0)),""))</f>
        <v/>
      </c>
      <c r="L957" s="19">
        <f>IF($B957="","",IFERROR(INDEX(智能流水!$L$2:$L$1001,MATCH($B957,智能流水!$B$2:$B$1001,0)),""))</f>
        <v/>
      </c>
      <c r="M957" s="19">
        <f>IF($B957="","",IFERROR(INDEX(智能流水!$M$2:$M$1001,MATCH($B957,智能流水!$B$2:$B$1001,0)),""))</f>
        <v/>
      </c>
      <c r="N957" s="19">
        <f>IF($B957="","",IFERROR(INDEX(智能流水!$N$2:$N$1001,MATCH($B957,智能流水!$B$2:$B$1001,0)),""))</f>
        <v/>
      </c>
      <c r="O957" s="19">
        <f>IF($B957="","",IFERROR(INDEX(智能流水!$O$2:$O$1001,MATCH($B957,智能流水!$B$2:$B$1001,0)),""))</f>
        <v/>
      </c>
    </row>
    <row r="958">
      <c r="A958" s="19">
        <f>IF($B958="","",957)</f>
        <v/>
      </c>
      <c r="B958" s="19">
        <f>IFERROR(LARGE(智能流水!$B$2:$B$1001,957),"")</f>
        <v/>
      </c>
      <c r="C958" s="19">
        <f>IF($B958="","",IFERROR(INDEX(智能流水!$C$2:$C$1001,MATCH($B958,智能流水!$B$2:$B$1001,0)),""))</f>
        <v/>
      </c>
      <c r="D958" s="19">
        <f>IF($B958="","",IFERROR(INDEX(智能流水!$D$2:$D$1001,MATCH($B958,智能流水!$B$2:$B$1001,0)),""))</f>
        <v/>
      </c>
      <c r="E958" s="19">
        <f>IF($B958="","",IFERROR(INDEX(智能流水!$E$2:$E$1001,MATCH($B958,智能流水!$B$2:$B$1001,0)),""))</f>
        <v/>
      </c>
      <c r="F958" s="19">
        <f>IF($B958="","",IFERROR(INDEX(智能流水!$F$2:$F$1001,MATCH($B958,智能流水!$B$2:$B$1001,0)),""))</f>
        <v/>
      </c>
      <c r="G958" s="19">
        <f>IF($B958="","",IFERROR(INDEX(智能流水!$G$2:$G$1001,MATCH($B958,智能流水!$B$2:$B$1001,0)),""))</f>
        <v/>
      </c>
      <c r="H958" s="19">
        <f>IF($B958="","",IFERROR(INDEX(智能流水!$H$2:$H$1001,MATCH($B958,智能流水!$B$2:$B$1001,0)),""))</f>
        <v/>
      </c>
      <c r="I958" s="19">
        <f>IF($B958="","",IFERROR(INDEX(智能流水!$I$2:$I$1001,MATCH($B958,智能流水!$B$2:$B$1001,0)),""))</f>
        <v/>
      </c>
      <c r="J958" s="19">
        <f>IF($B958="","",IFERROR(INDEX(智能流水!$J$2:$J$1001,MATCH($B958,智能流水!$B$2:$B$1001,0)),""))</f>
        <v/>
      </c>
      <c r="K958" s="19">
        <f>IF($B958="","",IFERROR(INDEX(智能流水!$K$2:$K$1001,MATCH($B958,智能流水!$B$2:$B$1001,0)),""))</f>
        <v/>
      </c>
      <c r="L958" s="19">
        <f>IF($B958="","",IFERROR(INDEX(智能流水!$L$2:$L$1001,MATCH($B958,智能流水!$B$2:$B$1001,0)),""))</f>
        <v/>
      </c>
      <c r="M958" s="19">
        <f>IF($B958="","",IFERROR(INDEX(智能流水!$M$2:$M$1001,MATCH($B958,智能流水!$B$2:$B$1001,0)),""))</f>
        <v/>
      </c>
      <c r="N958" s="19">
        <f>IF($B958="","",IFERROR(INDEX(智能流水!$N$2:$N$1001,MATCH($B958,智能流水!$B$2:$B$1001,0)),""))</f>
        <v/>
      </c>
      <c r="O958" s="19">
        <f>IF($B958="","",IFERROR(INDEX(智能流水!$O$2:$O$1001,MATCH($B958,智能流水!$B$2:$B$1001,0)),""))</f>
        <v/>
      </c>
    </row>
    <row r="959">
      <c r="A959" s="19">
        <f>IF($B959="","",958)</f>
        <v/>
      </c>
      <c r="B959" s="19">
        <f>IFERROR(LARGE(智能流水!$B$2:$B$1001,958),"")</f>
        <v/>
      </c>
      <c r="C959" s="19">
        <f>IF($B959="","",IFERROR(INDEX(智能流水!$C$2:$C$1001,MATCH($B959,智能流水!$B$2:$B$1001,0)),""))</f>
        <v/>
      </c>
      <c r="D959" s="19">
        <f>IF($B959="","",IFERROR(INDEX(智能流水!$D$2:$D$1001,MATCH($B959,智能流水!$B$2:$B$1001,0)),""))</f>
        <v/>
      </c>
      <c r="E959" s="19">
        <f>IF($B959="","",IFERROR(INDEX(智能流水!$E$2:$E$1001,MATCH($B959,智能流水!$B$2:$B$1001,0)),""))</f>
        <v/>
      </c>
      <c r="F959" s="19">
        <f>IF($B959="","",IFERROR(INDEX(智能流水!$F$2:$F$1001,MATCH($B959,智能流水!$B$2:$B$1001,0)),""))</f>
        <v/>
      </c>
      <c r="G959" s="19">
        <f>IF($B959="","",IFERROR(INDEX(智能流水!$G$2:$G$1001,MATCH($B959,智能流水!$B$2:$B$1001,0)),""))</f>
        <v/>
      </c>
      <c r="H959" s="19">
        <f>IF($B959="","",IFERROR(INDEX(智能流水!$H$2:$H$1001,MATCH($B959,智能流水!$B$2:$B$1001,0)),""))</f>
        <v/>
      </c>
      <c r="I959" s="19">
        <f>IF($B959="","",IFERROR(INDEX(智能流水!$I$2:$I$1001,MATCH($B959,智能流水!$B$2:$B$1001,0)),""))</f>
        <v/>
      </c>
      <c r="J959" s="19">
        <f>IF($B959="","",IFERROR(INDEX(智能流水!$J$2:$J$1001,MATCH($B959,智能流水!$B$2:$B$1001,0)),""))</f>
        <v/>
      </c>
      <c r="K959" s="19">
        <f>IF($B959="","",IFERROR(INDEX(智能流水!$K$2:$K$1001,MATCH($B959,智能流水!$B$2:$B$1001,0)),""))</f>
        <v/>
      </c>
      <c r="L959" s="19">
        <f>IF($B959="","",IFERROR(INDEX(智能流水!$L$2:$L$1001,MATCH($B959,智能流水!$B$2:$B$1001,0)),""))</f>
        <v/>
      </c>
      <c r="M959" s="19">
        <f>IF($B959="","",IFERROR(INDEX(智能流水!$M$2:$M$1001,MATCH($B959,智能流水!$B$2:$B$1001,0)),""))</f>
        <v/>
      </c>
      <c r="N959" s="19">
        <f>IF($B959="","",IFERROR(INDEX(智能流水!$N$2:$N$1001,MATCH($B959,智能流水!$B$2:$B$1001,0)),""))</f>
        <v/>
      </c>
      <c r="O959" s="19">
        <f>IF($B959="","",IFERROR(INDEX(智能流水!$O$2:$O$1001,MATCH($B959,智能流水!$B$2:$B$1001,0)),""))</f>
        <v/>
      </c>
    </row>
    <row r="960">
      <c r="A960" s="19">
        <f>IF($B960="","",959)</f>
        <v/>
      </c>
      <c r="B960" s="19">
        <f>IFERROR(LARGE(智能流水!$B$2:$B$1001,959),"")</f>
        <v/>
      </c>
      <c r="C960" s="19">
        <f>IF($B960="","",IFERROR(INDEX(智能流水!$C$2:$C$1001,MATCH($B960,智能流水!$B$2:$B$1001,0)),""))</f>
        <v/>
      </c>
      <c r="D960" s="19">
        <f>IF($B960="","",IFERROR(INDEX(智能流水!$D$2:$D$1001,MATCH($B960,智能流水!$B$2:$B$1001,0)),""))</f>
        <v/>
      </c>
      <c r="E960" s="19">
        <f>IF($B960="","",IFERROR(INDEX(智能流水!$E$2:$E$1001,MATCH($B960,智能流水!$B$2:$B$1001,0)),""))</f>
        <v/>
      </c>
      <c r="F960" s="19">
        <f>IF($B960="","",IFERROR(INDEX(智能流水!$F$2:$F$1001,MATCH($B960,智能流水!$B$2:$B$1001,0)),""))</f>
        <v/>
      </c>
      <c r="G960" s="19">
        <f>IF($B960="","",IFERROR(INDEX(智能流水!$G$2:$G$1001,MATCH($B960,智能流水!$B$2:$B$1001,0)),""))</f>
        <v/>
      </c>
      <c r="H960" s="19">
        <f>IF($B960="","",IFERROR(INDEX(智能流水!$H$2:$H$1001,MATCH($B960,智能流水!$B$2:$B$1001,0)),""))</f>
        <v/>
      </c>
      <c r="I960" s="19">
        <f>IF($B960="","",IFERROR(INDEX(智能流水!$I$2:$I$1001,MATCH($B960,智能流水!$B$2:$B$1001,0)),""))</f>
        <v/>
      </c>
      <c r="J960" s="19">
        <f>IF($B960="","",IFERROR(INDEX(智能流水!$J$2:$J$1001,MATCH($B960,智能流水!$B$2:$B$1001,0)),""))</f>
        <v/>
      </c>
      <c r="K960" s="19">
        <f>IF($B960="","",IFERROR(INDEX(智能流水!$K$2:$K$1001,MATCH($B960,智能流水!$B$2:$B$1001,0)),""))</f>
        <v/>
      </c>
      <c r="L960" s="19">
        <f>IF($B960="","",IFERROR(INDEX(智能流水!$L$2:$L$1001,MATCH($B960,智能流水!$B$2:$B$1001,0)),""))</f>
        <v/>
      </c>
      <c r="M960" s="19">
        <f>IF($B960="","",IFERROR(INDEX(智能流水!$M$2:$M$1001,MATCH($B960,智能流水!$B$2:$B$1001,0)),""))</f>
        <v/>
      </c>
      <c r="N960" s="19">
        <f>IF($B960="","",IFERROR(INDEX(智能流水!$N$2:$N$1001,MATCH($B960,智能流水!$B$2:$B$1001,0)),""))</f>
        <v/>
      </c>
      <c r="O960" s="19">
        <f>IF($B960="","",IFERROR(INDEX(智能流水!$O$2:$O$1001,MATCH($B960,智能流水!$B$2:$B$1001,0)),""))</f>
        <v/>
      </c>
    </row>
    <row r="961">
      <c r="A961" s="19">
        <f>IF($B961="","",960)</f>
        <v/>
      </c>
      <c r="B961" s="19">
        <f>IFERROR(LARGE(智能流水!$B$2:$B$1001,960),"")</f>
        <v/>
      </c>
      <c r="C961" s="19">
        <f>IF($B961="","",IFERROR(INDEX(智能流水!$C$2:$C$1001,MATCH($B961,智能流水!$B$2:$B$1001,0)),""))</f>
        <v/>
      </c>
      <c r="D961" s="19">
        <f>IF($B961="","",IFERROR(INDEX(智能流水!$D$2:$D$1001,MATCH($B961,智能流水!$B$2:$B$1001,0)),""))</f>
        <v/>
      </c>
      <c r="E961" s="19">
        <f>IF($B961="","",IFERROR(INDEX(智能流水!$E$2:$E$1001,MATCH($B961,智能流水!$B$2:$B$1001,0)),""))</f>
        <v/>
      </c>
      <c r="F961" s="19">
        <f>IF($B961="","",IFERROR(INDEX(智能流水!$F$2:$F$1001,MATCH($B961,智能流水!$B$2:$B$1001,0)),""))</f>
        <v/>
      </c>
      <c r="G961" s="19">
        <f>IF($B961="","",IFERROR(INDEX(智能流水!$G$2:$G$1001,MATCH($B961,智能流水!$B$2:$B$1001,0)),""))</f>
        <v/>
      </c>
      <c r="H961" s="19">
        <f>IF($B961="","",IFERROR(INDEX(智能流水!$H$2:$H$1001,MATCH($B961,智能流水!$B$2:$B$1001,0)),""))</f>
        <v/>
      </c>
      <c r="I961" s="19">
        <f>IF($B961="","",IFERROR(INDEX(智能流水!$I$2:$I$1001,MATCH($B961,智能流水!$B$2:$B$1001,0)),""))</f>
        <v/>
      </c>
      <c r="J961" s="19">
        <f>IF($B961="","",IFERROR(INDEX(智能流水!$J$2:$J$1001,MATCH($B961,智能流水!$B$2:$B$1001,0)),""))</f>
        <v/>
      </c>
      <c r="K961" s="19">
        <f>IF($B961="","",IFERROR(INDEX(智能流水!$K$2:$K$1001,MATCH($B961,智能流水!$B$2:$B$1001,0)),""))</f>
        <v/>
      </c>
      <c r="L961" s="19">
        <f>IF($B961="","",IFERROR(INDEX(智能流水!$L$2:$L$1001,MATCH($B961,智能流水!$B$2:$B$1001,0)),""))</f>
        <v/>
      </c>
      <c r="M961" s="19">
        <f>IF($B961="","",IFERROR(INDEX(智能流水!$M$2:$M$1001,MATCH($B961,智能流水!$B$2:$B$1001,0)),""))</f>
        <v/>
      </c>
      <c r="N961" s="19">
        <f>IF($B961="","",IFERROR(INDEX(智能流水!$N$2:$N$1001,MATCH($B961,智能流水!$B$2:$B$1001,0)),""))</f>
        <v/>
      </c>
      <c r="O961" s="19">
        <f>IF($B961="","",IFERROR(INDEX(智能流水!$O$2:$O$1001,MATCH($B961,智能流水!$B$2:$B$1001,0)),""))</f>
        <v/>
      </c>
    </row>
    <row r="962">
      <c r="A962" s="19">
        <f>IF($B962="","",961)</f>
        <v/>
      </c>
      <c r="B962" s="19">
        <f>IFERROR(LARGE(智能流水!$B$2:$B$1001,961),"")</f>
        <v/>
      </c>
      <c r="C962" s="19">
        <f>IF($B962="","",IFERROR(INDEX(智能流水!$C$2:$C$1001,MATCH($B962,智能流水!$B$2:$B$1001,0)),""))</f>
        <v/>
      </c>
      <c r="D962" s="19">
        <f>IF($B962="","",IFERROR(INDEX(智能流水!$D$2:$D$1001,MATCH($B962,智能流水!$B$2:$B$1001,0)),""))</f>
        <v/>
      </c>
      <c r="E962" s="19">
        <f>IF($B962="","",IFERROR(INDEX(智能流水!$E$2:$E$1001,MATCH($B962,智能流水!$B$2:$B$1001,0)),""))</f>
        <v/>
      </c>
      <c r="F962" s="19">
        <f>IF($B962="","",IFERROR(INDEX(智能流水!$F$2:$F$1001,MATCH($B962,智能流水!$B$2:$B$1001,0)),""))</f>
        <v/>
      </c>
      <c r="G962" s="19">
        <f>IF($B962="","",IFERROR(INDEX(智能流水!$G$2:$G$1001,MATCH($B962,智能流水!$B$2:$B$1001,0)),""))</f>
        <v/>
      </c>
      <c r="H962" s="19">
        <f>IF($B962="","",IFERROR(INDEX(智能流水!$H$2:$H$1001,MATCH($B962,智能流水!$B$2:$B$1001,0)),""))</f>
        <v/>
      </c>
      <c r="I962" s="19">
        <f>IF($B962="","",IFERROR(INDEX(智能流水!$I$2:$I$1001,MATCH($B962,智能流水!$B$2:$B$1001,0)),""))</f>
        <v/>
      </c>
      <c r="J962" s="19">
        <f>IF($B962="","",IFERROR(INDEX(智能流水!$J$2:$J$1001,MATCH($B962,智能流水!$B$2:$B$1001,0)),""))</f>
        <v/>
      </c>
      <c r="K962" s="19">
        <f>IF($B962="","",IFERROR(INDEX(智能流水!$K$2:$K$1001,MATCH($B962,智能流水!$B$2:$B$1001,0)),""))</f>
        <v/>
      </c>
      <c r="L962" s="19">
        <f>IF($B962="","",IFERROR(INDEX(智能流水!$L$2:$L$1001,MATCH($B962,智能流水!$B$2:$B$1001,0)),""))</f>
        <v/>
      </c>
      <c r="M962" s="19">
        <f>IF($B962="","",IFERROR(INDEX(智能流水!$M$2:$M$1001,MATCH($B962,智能流水!$B$2:$B$1001,0)),""))</f>
        <v/>
      </c>
      <c r="N962" s="19">
        <f>IF($B962="","",IFERROR(INDEX(智能流水!$N$2:$N$1001,MATCH($B962,智能流水!$B$2:$B$1001,0)),""))</f>
        <v/>
      </c>
      <c r="O962" s="19">
        <f>IF($B962="","",IFERROR(INDEX(智能流水!$O$2:$O$1001,MATCH($B962,智能流水!$B$2:$B$1001,0)),""))</f>
        <v/>
      </c>
    </row>
    <row r="963">
      <c r="A963" s="19">
        <f>IF($B963="","",962)</f>
        <v/>
      </c>
      <c r="B963" s="19">
        <f>IFERROR(LARGE(智能流水!$B$2:$B$1001,962),"")</f>
        <v/>
      </c>
      <c r="C963" s="19">
        <f>IF($B963="","",IFERROR(INDEX(智能流水!$C$2:$C$1001,MATCH($B963,智能流水!$B$2:$B$1001,0)),""))</f>
        <v/>
      </c>
      <c r="D963" s="19">
        <f>IF($B963="","",IFERROR(INDEX(智能流水!$D$2:$D$1001,MATCH($B963,智能流水!$B$2:$B$1001,0)),""))</f>
        <v/>
      </c>
      <c r="E963" s="19">
        <f>IF($B963="","",IFERROR(INDEX(智能流水!$E$2:$E$1001,MATCH($B963,智能流水!$B$2:$B$1001,0)),""))</f>
        <v/>
      </c>
      <c r="F963" s="19">
        <f>IF($B963="","",IFERROR(INDEX(智能流水!$F$2:$F$1001,MATCH($B963,智能流水!$B$2:$B$1001,0)),""))</f>
        <v/>
      </c>
      <c r="G963" s="19">
        <f>IF($B963="","",IFERROR(INDEX(智能流水!$G$2:$G$1001,MATCH($B963,智能流水!$B$2:$B$1001,0)),""))</f>
        <v/>
      </c>
      <c r="H963" s="19">
        <f>IF($B963="","",IFERROR(INDEX(智能流水!$H$2:$H$1001,MATCH($B963,智能流水!$B$2:$B$1001,0)),""))</f>
        <v/>
      </c>
      <c r="I963" s="19">
        <f>IF($B963="","",IFERROR(INDEX(智能流水!$I$2:$I$1001,MATCH($B963,智能流水!$B$2:$B$1001,0)),""))</f>
        <v/>
      </c>
      <c r="J963" s="19">
        <f>IF($B963="","",IFERROR(INDEX(智能流水!$J$2:$J$1001,MATCH($B963,智能流水!$B$2:$B$1001,0)),""))</f>
        <v/>
      </c>
      <c r="K963" s="19">
        <f>IF($B963="","",IFERROR(INDEX(智能流水!$K$2:$K$1001,MATCH($B963,智能流水!$B$2:$B$1001,0)),""))</f>
        <v/>
      </c>
      <c r="L963" s="19">
        <f>IF($B963="","",IFERROR(INDEX(智能流水!$L$2:$L$1001,MATCH($B963,智能流水!$B$2:$B$1001,0)),""))</f>
        <v/>
      </c>
      <c r="M963" s="19">
        <f>IF($B963="","",IFERROR(INDEX(智能流水!$M$2:$M$1001,MATCH($B963,智能流水!$B$2:$B$1001,0)),""))</f>
        <v/>
      </c>
      <c r="N963" s="19">
        <f>IF($B963="","",IFERROR(INDEX(智能流水!$N$2:$N$1001,MATCH($B963,智能流水!$B$2:$B$1001,0)),""))</f>
        <v/>
      </c>
      <c r="O963" s="19">
        <f>IF($B963="","",IFERROR(INDEX(智能流水!$O$2:$O$1001,MATCH($B963,智能流水!$B$2:$B$1001,0)),""))</f>
        <v/>
      </c>
    </row>
    <row r="964">
      <c r="A964" s="19">
        <f>IF($B964="","",963)</f>
        <v/>
      </c>
      <c r="B964" s="19">
        <f>IFERROR(LARGE(智能流水!$B$2:$B$1001,963),"")</f>
        <v/>
      </c>
      <c r="C964" s="19">
        <f>IF($B964="","",IFERROR(INDEX(智能流水!$C$2:$C$1001,MATCH($B964,智能流水!$B$2:$B$1001,0)),""))</f>
        <v/>
      </c>
      <c r="D964" s="19">
        <f>IF($B964="","",IFERROR(INDEX(智能流水!$D$2:$D$1001,MATCH($B964,智能流水!$B$2:$B$1001,0)),""))</f>
        <v/>
      </c>
      <c r="E964" s="19">
        <f>IF($B964="","",IFERROR(INDEX(智能流水!$E$2:$E$1001,MATCH($B964,智能流水!$B$2:$B$1001,0)),""))</f>
        <v/>
      </c>
      <c r="F964" s="19">
        <f>IF($B964="","",IFERROR(INDEX(智能流水!$F$2:$F$1001,MATCH($B964,智能流水!$B$2:$B$1001,0)),""))</f>
        <v/>
      </c>
      <c r="G964" s="19">
        <f>IF($B964="","",IFERROR(INDEX(智能流水!$G$2:$G$1001,MATCH($B964,智能流水!$B$2:$B$1001,0)),""))</f>
        <v/>
      </c>
      <c r="H964" s="19">
        <f>IF($B964="","",IFERROR(INDEX(智能流水!$H$2:$H$1001,MATCH($B964,智能流水!$B$2:$B$1001,0)),""))</f>
        <v/>
      </c>
      <c r="I964" s="19">
        <f>IF($B964="","",IFERROR(INDEX(智能流水!$I$2:$I$1001,MATCH($B964,智能流水!$B$2:$B$1001,0)),""))</f>
        <v/>
      </c>
      <c r="J964" s="19">
        <f>IF($B964="","",IFERROR(INDEX(智能流水!$J$2:$J$1001,MATCH($B964,智能流水!$B$2:$B$1001,0)),""))</f>
        <v/>
      </c>
      <c r="K964" s="19">
        <f>IF($B964="","",IFERROR(INDEX(智能流水!$K$2:$K$1001,MATCH($B964,智能流水!$B$2:$B$1001,0)),""))</f>
        <v/>
      </c>
      <c r="L964" s="19">
        <f>IF($B964="","",IFERROR(INDEX(智能流水!$L$2:$L$1001,MATCH($B964,智能流水!$B$2:$B$1001,0)),""))</f>
        <v/>
      </c>
      <c r="M964" s="19">
        <f>IF($B964="","",IFERROR(INDEX(智能流水!$M$2:$M$1001,MATCH($B964,智能流水!$B$2:$B$1001,0)),""))</f>
        <v/>
      </c>
      <c r="N964" s="19">
        <f>IF($B964="","",IFERROR(INDEX(智能流水!$N$2:$N$1001,MATCH($B964,智能流水!$B$2:$B$1001,0)),""))</f>
        <v/>
      </c>
      <c r="O964" s="19">
        <f>IF($B964="","",IFERROR(INDEX(智能流水!$O$2:$O$1001,MATCH($B964,智能流水!$B$2:$B$1001,0)),""))</f>
        <v/>
      </c>
    </row>
    <row r="965">
      <c r="A965" s="19">
        <f>IF($B965="","",964)</f>
        <v/>
      </c>
      <c r="B965" s="19">
        <f>IFERROR(LARGE(智能流水!$B$2:$B$1001,964),"")</f>
        <v/>
      </c>
      <c r="C965" s="19">
        <f>IF($B965="","",IFERROR(INDEX(智能流水!$C$2:$C$1001,MATCH($B965,智能流水!$B$2:$B$1001,0)),""))</f>
        <v/>
      </c>
      <c r="D965" s="19">
        <f>IF($B965="","",IFERROR(INDEX(智能流水!$D$2:$D$1001,MATCH($B965,智能流水!$B$2:$B$1001,0)),""))</f>
        <v/>
      </c>
      <c r="E965" s="19">
        <f>IF($B965="","",IFERROR(INDEX(智能流水!$E$2:$E$1001,MATCH($B965,智能流水!$B$2:$B$1001,0)),""))</f>
        <v/>
      </c>
      <c r="F965" s="19">
        <f>IF($B965="","",IFERROR(INDEX(智能流水!$F$2:$F$1001,MATCH($B965,智能流水!$B$2:$B$1001,0)),""))</f>
        <v/>
      </c>
      <c r="G965" s="19">
        <f>IF($B965="","",IFERROR(INDEX(智能流水!$G$2:$G$1001,MATCH($B965,智能流水!$B$2:$B$1001,0)),""))</f>
        <v/>
      </c>
      <c r="H965" s="19">
        <f>IF($B965="","",IFERROR(INDEX(智能流水!$H$2:$H$1001,MATCH($B965,智能流水!$B$2:$B$1001,0)),""))</f>
        <v/>
      </c>
      <c r="I965" s="19">
        <f>IF($B965="","",IFERROR(INDEX(智能流水!$I$2:$I$1001,MATCH($B965,智能流水!$B$2:$B$1001,0)),""))</f>
        <v/>
      </c>
      <c r="J965" s="19">
        <f>IF($B965="","",IFERROR(INDEX(智能流水!$J$2:$J$1001,MATCH($B965,智能流水!$B$2:$B$1001,0)),""))</f>
        <v/>
      </c>
      <c r="K965" s="19">
        <f>IF($B965="","",IFERROR(INDEX(智能流水!$K$2:$K$1001,MATCH($B965,智能流水!$B$2:$B$1001,0)),""))</f>
        <v/>
      </c>
      <c r="L965" s="19">
        <f>IF($B965="","",IFERROR(INDEX(智能流水!$L$2:$L$1001,MATCH($B965,智能流水!$B$2:$B$1001,0)),""))</f>
        <v/>
      </c>
      <c r="M965" s="19">
        <f>IF($B965="","",IFERROR(INDEX(智能流水!$M$2:$M$1001,MATCH($B965,智能流水!$B$2:$B$1001,0)),""))</f>
        <v/>
      </c>
      <c r="N965" s="19">
        <f>IF($B965="","",IFERROR(INDEX(智能流水!$N$2:$N$1001,MATCH($B965,智能流水!$B$2:$B$1001,0)),""))</f>
        <v/>
      </c>
      <c r="O965" s="19">
        <f>IF($B965="","",IFERROR(INDEX(智能流水!$O$2:$O$1001,MATCH($B965,智能流水!$B$2:$B$1001,0)),""))</f>
        <v/>
      </c>
    </row>
    <row r="966">
      <c r="A966" s="19">
        <f>IF($B966="","",965)</f>
        <v/>
      </c>
      <c r="B966" s="19">
        <f>IFERROR(LARGE(智能流水!$B$2:$B$1001,965),"")</f>
        <v/>
      </c>
      <c r="C966" s="19">
        <f>IF($B966="","",IFERROR(INDEX(智能流水!$C$2:$C$1001,MATCH($B966,智能流水!$B$2:$B$1001,0)),""))</f>
        <v/>
      </c>
      <c r="D966" s="19">
        <f>IF($B966="","",IFERROR(INDEX(智能流水!$D$2:$D$1001,MATCH($B966,智能流水!$B$2:$B$1001,0)),""))</f>
        <v/>
      </c>
      <c r="E966" s="19">
        <f>IF($B966="","",IFERROR(INDEX(智能流水!$E$2:$E$1001,MATCH($B966,智能流水!$B$2:$B$1001,0)),""))</f>
        <v/>
      </c>
      <c r="F966" s="19">
        <f>IF($B966="","",IFERROR(INDEX(智能流水!$F$2:$F$1001,MATCH($B966,智能流水!$B$2:$B$1001,0)),""))</f>
        <v/>
      </c>
      <c r="G966" s="19">
        <f>IF($B966="","",IFERROR(INDEX(智能流水!$G$2:$G$1001,MATCH($B966,智能流水!$B$2:$B$1001,0)),""))</f>
        <v/>
      </c>
      <c r="H966" s="19">
        <f>IF($B966="","",IFERROR(INDEX(智能流水!$H$2:$H$1001,MATCH($B966,智能流水!$B$2:$B$1001,0)),""))</f>
        <v/>
      </c>
      <c r="I966" s="19">
        <f>IF($B966="","",IFERROR(INDEX(智能流水!$I$2:$I$1001,MATCH($B966,智能流水!$B$2:$B$1001,0)),""))</f>
        <v/>
      </c>
      <c r="J966" s="19">
        <f>IF($B966="","",IFERROR(INDEX(智能流水!$J$2:$J$1001,MATCH($B966,智能流水!$B$2:$B$1001,0)),""))</f>
        <v/>
      </c>
      <c r="K966" s="19">
        <f>IF($B966="","",IFERROR(INDEX(智能流水!$K$2:$K$1001,MATCH($B966,智能流水!$B$2:$B$1001,0)),""))</f>
        <v/>
      </c>
      <c r="L966" s="19">
        <f>IF($B966="","",IFERROR(INDEX(智能流水!$L$2:$L$1001,MATCH($B966,智能流水!$B$2:$B$1001,0)),""))</f>
        <v/>
      </c>
      <c r="M966" s="19">
        <f>IF($B966="","",IFERROR(INDEX(智能流水!$M$2:$M$1001,MATCH($B966,智能流水!$B$2:$B$1001,0)),""))</f>
        <v/>
      </c>
      <c r="N966" s="19">
        <f>IF($B966="","",IFERROR(INDEX(智能流水!$N$2:$N$1001,MATCH($B966,智能流水!$B$2:$B$1001,0)),""))</f>
        <v/>
      </c>
      <c r="O966" s="19">
        <f>IF($B966="","",IFERROR(INDEX(智能流水!$O$2:$O$1001,MATCH($B966,智能流水!$B$2:$B$1001,0)),""))</f>
        <v/>
      </c>
    </row>
    <row r="967">
      <c r="A967" s="19">
        <f>IF($B967="","",966)</f>
        <v/>
      </c>
      <c r="B967" s="19">
        <f>IFERROR(LARGE(智能流水!$B$2:$B$1001,966),"")</f>
        <v/>
      </c>
      <c r="C967" s="19">
        <f>IF($B967="","",IFERROR(INDEX(智能流水!$C$2:$C$1001,MATCH($B967,智能流水!$B$2:$B$1001,0)),""))</f>
        <v/>
      </c>
      <c r="D967" s="19">
        <f>IF($B967="","",IFERROR(INDEX(智能流水!$D$2:$D$1001,MATCH($B967,智能流水!$B$2:$B$1001,0)),""))</f>
        <v/>
      </c>
      <c r="E967" s="19">
        <f>IF($B967="","",IFERROR(INDEX(智能流水!$E$2:$E$1001,MATCH($B967,智能流水!$B$2:$B$1001,0)),""))</f>
        <v/>
      </c>
      <c r="F967" s="19">
        <f>IF($B967="","",IFERROR(INDEX(智能流水!$F$2:$F$1001,MATCH($B967,智能流水!$B$2:$B$1001,0)),""))</f>
        <v/>
      </c>
      <c r="G967" s="19">
        <f>IF($B967="","",IFERROR(INDEX(智能流水!$G$2:$G$1001,MATCH($B967,智能流水!$B$2:$B$1001,0)),""))</f>
        <v/>
      </c>
      <c r="H967" s="19">
        <f>IF($B967="","",IFERROR(INDEX(智能流水!$H$2:$H$1001,MATCH($B967,智能流水!$B$2:$B$1001,0)),""))</f>
        <v/>
      </c>
      <c r="I967" s="19">
        <f>IF($B967="","",IFERROR(INDEX(智能流水!$I$2:$I$1001,MATCH($B967,智能流水!$B$2:$B$1001,0)),""))</f>
        <v/>
      </c>
      <c r="J967" s="19">
        <f>IF($B967="","",IFERROR(INDEX(智能流水!$J$2:$J$1001,MATCH($B967,智能流水!$B$2:$B$1001,0)),""))</f>
        <v/>
      </c>
      <c r="K967" s="19">
        <f>IF($B967="","",IFERROR(INDEX(智能流水!$K$2:$K$1001,MATCH($B967,智能流水!$B$2:$B$1001,0)),""))</f>
        <v/>
      </c>
      <c r="L967" s="19">
        <f>IF($B967="","",IFERROR(INDEX(智能流水!$L$2:$L$1001,MATCH($B967,智能流水!$B$2:$B$1001,0)),""))</f>
        <v/>
      </c>
      <c r="M967" s="19">
        <f>IF($B967="","",IFERROR(INDEX(智能流水!$M$2:$M$1001,MATCH($B967,智能流水!$B$2:$B$1001,0)),""))</f>
        <v/>
      </c>
      <c r="N967" s="19">
        <f>IF($B967="","",IFERROR(INDEX(智能流水!$N$2:$N$1001,MATCH($B967,智能流水!$B$2:$B$1001,0)),""))</f>
        <v/>
      </c>
      <c r="O967" s="19">
        <f>IF($B967="","",IFERROR(INDEX(智能流水!$O$2:$O$1001,MATCH($B967,智能流水!$B$2:$B$1001,0)),""))</f>
        <v/>
      </c>
    </row>
    <row r="968">
      <c r="A968" s="19">
        <f>IF($B968="","",967)</f>
        <v/>
      </c>
      <c r="B968" s="19">
        <f>IFERROR(LARGE(智能流水!$B$2:$B$1001,967),"")</f>
        <v/>
      </c>
      <c r="C968" s="19">
        <f>IF($B968="","",IFERROR(INDEX(智能流水!$C$2:$C$1001,MATCH($B968,智能流水!$B$2:$B$1001,0)),""))</f>
        <v/>
      </c>
      <c r="D968" s="19">
        <f>IF($B968="","",IFERROR(INDEX(智能流水!$D$2:$D$1001,MATCH($B968,智能流水!$B$2:$B$1001,0)),""))</f>
        <v/>
      </c>
      <c r="E968" s="19">
        <f>IF($B968="","",IFERROR(INDEX(智能流水!$E$2:$E$1001,MATCH($B968,智能流水!$B$2:$B$1001,0)),""))</f>
        <v/>
      </c>
      <c r="F968" s="19">
        <f>IF($B968="","",IFERROR(INDEX(智能流水!$F$2:$F$1001,MATCH($B968,智能流水!$B$2:$B$1001,0)),""))</f>
        <v/>
      </c>
      <c r="G968" s="19">
        <f>IF($B968="","",IFERROR(INDEX(智能流水!$G$2:$G$1001,MATCH($B968,智能流水!$B$2:$B$1001,0)),""))</f>
        <v/>
      </c>
      <c r="H968" s="19">
        <f>IF($B968="","",IFERROR(INDEX(智能流水!$H$2:$H$1001,MATCH($B968,智能流水!$B$2:$B$1001,0)),""))</f>
        <v/>
      </c>
      <c r="I968" s="19">
        <f>IF($B968="","",IFERROR(INDEX(智能流水!$I$2:$I$1001,MATCH($B968,智能流水!$B$2:$B$1001,0)),""))</f>
        <v/>
      </c>
      <c r="J968" s="19">
        <f>IF($B968="","",IFERROR(INDEX(智能流水!$J$2:$J$1001,MATCH($B968,智能流水!$B$2:$B$1001,0)),""))</f>
        <v/>
      </c>
      <c r="K968" s="19">
        <f>IF($B968="","",IFERROR(INDEX(智能流水!$K$2:$K$1001,MATCH($B968,智能流水!$B$2:$B$1001,0)),""))</f>
        <v/>
      </c>
      <c r="L968" s="19">
        <f>IF($B968="","",IFERROR(INDEX(智能流水!$L$2:$L$1001,MATCH($B968,智能流水!$B$2:$B$1001,0)),""))</f>
        <v/>
      </c>
      <c r="M968" s="19">
        <f>IF($B968="","",IFERROR(INDEX(智能流水!$M$2:$M$1001,MATCH($B968,智能流水!$B$2:$B$1001,0)),""))</f>
        <v/>
      </c>
      <c r="N968" s="19">
        <f>IF($B968="","",IFERROR(INDEX(智能流水!$N$2:$N$1001,MATCH($B968,智能流水!$B$2:$B$1001,0)),""))</f>
        <v/>
      </c>
      <c r="O968" s="19">
        <f>IF($B968="","",IFERROR(INDEX(智能流水!$O$2:$O$1001,MATCH($B968,智能流水!$B$2:$B$1001,0)),""))</f>
        <v/>
      </c>
    </row>
    <row r="969">
      <c r="A969" s="19">
        <f>IF($B969="","",968)</f>
        <v/>
      </c>
      <c r="B969" s="19">
        <f>IFERROR(LARGE(智能流水!$B$2:$B$1001,968),"")</f>
        <v/>
      </c>
      <c r="C969" s="19">
        <f>IF($B969="","",IFERROR(INDEX(智能流水!$C$2:$C$1001,MATCH($B969,智能流水!$B$2:$B$1001,0)),""))</f>
        <v/>
      </c>
      <c r="D969" s="19">
        <f>IF($B969="","",IFERROR(INDEX(智能流水!$D$2:$D$1001,MATCH($B969,智能流水!$B$2:$B$1001,0)),""))</f>
        <v/>
      </c>
      <c r="E969" s="19">
        <f>IF($B969="","",IFERROR(INDEX(智能流水!$E$2:$E$1001,MATCH($B969,智能流水!$B$2:$B$1001,0)),""))</f>
        <v/>
      </c>
      <c r="F969" s="19">
        <f>IF($B969="","",IFERROR(INDEX(智能流水!$F$2:$F$1001,MATCH($B969,智能流水!$B$2:$B$1001,0)),""))</f>
        <v/>
      </c>
      <c r="G969" s="19">
        <f>IF($B969="","",IFERROR(INDEX(智能流水!$G$2:$G$1001,MATCH($B969,智能流水!$B$2:$B$1001,0)),""))</f>
        <v/>
      </c>
      <c r="H969" s="19">
        <f>IF($B969="","",IFERROR(INDEX(智能流水!$H$2:$H$1001,MATCH($B969,智能流水!$B$2:$B$1001,0)),""))</f>
        <v/>
      </c>
      <c r="I969" s="19">
        <f>IF($B969="","",IFERROR(INDEX(智能流水!$I$2:$I$1001,MATCH($B969,智能流水!$B$2:$B$1001,0)),""))</f>
        <v/>
      </c>
      <c r="J969" s="19">
        <f>IF($B969="","",IFERROR(INDEX(智能流水!$J$2:$J$1001,MATCH($B969,智能流水!$B$2:$B$1001,0)),""))</f>
        <v/>
      </c>
      <c r="K969" s="19">
        <f>IF($B969="","",IFERROR(INDEX(智能流水!$K$2:$K$1001,MATCH($B969,智能流水!$B$2:$B$1001,0)),""))</f>
        <v/>
      </c>
      <c r="L969" s="19">
        <f>IF($B969="","",IFERROR(INDEX(智能流水!$L$2:$L$1001,MATCH($B969,智能流水!$B$2:$B$1001,0)),""))</f>
        <v/>
      </c>
      <c r="M969" s="19">
        <f>IF($B969="","",IFERROR(INDEX(智能流水!$M$2:$M$1001,MATCH($B969,智能流水!$B$2:$B$1001,0)),""))</f>
        <v/>
      </c>
      <c r="N969" s="19">
        <f>IF($B969="","",IFERROR(INDEX(智能流水!$N$2:$N$1001,MATCH($B969,智能流水!$B$2:$B$1001,0)),""))</f>
        <v/>
      </c>
      <c r="O969" s="19">
        <f>IF($B969="","",IFERROR(INDEX(智能流水!$O$2:$O$1001,MATCH($B969,智能流水!$B$2:$B$1001,0)),""))</f>
        <v/>
      </c>
    </row>
    <row r="970">
      <c r="A970" s="19">
        <f>IF($B970="","",969)</f>
        <v/>
      </c>
      <c r="B970" s="19">
        <f>IFERROR(LARGE(智能流水!$B$2:$B$1001,969),"")</f>
        <v/>
      </c>
      <c r="C970" s="19">
        <f>IF($B970="","",IFERROR(INDEX(智能流水!$C$2:$C$1001,MATCH($B970,智能流水!$B$2:$B$1001,0)),""))</f>
        <v/>
      </c>
      <c r="D970" s="19">
        <f>IF($B970="","",IFERROR(INDEX(智能流水!$D$2:$D$1001,MATCH($B970,智能流水!$B$2:$B$1001,0)),""))</f>
        <v/>
      </c>
      <c r="E970" s="19">
        <f>IF($B970="","",IFERROR(INDEX(智能流水!$E$2:$E$1001,MATCH($B970,智能流水!$B$2:$B$1001,0)),""))</f>
        <v/>
      </c>
      <c r="F970" s="19">
        <f>IF($B970="","",IFERROR(INDEX(智能流水!$F$2:$F$1001,MATCH($B970,智能流水!$B$2:$B$1001,0)),""))</f>
        <v/>
      </c>
      <c r="G970" s="19">
        <f>IF($B970="","",IFERROR(INDEX(智能流水!$G$2:$G$1001,MATCH($B970,智能流水!$B$2:$B$1001,0)),""))</f>
        <v/>
      </c>
      <c r="H970" s="19">
        <f>IF($B970="","",IFERROR(INDEX(智能流水!$H$2:$H$1001,MATCH($B970,智能流水!$B$2:$B$1001,0)),""))</f>
        <v/>
      </c>
      <c r="I970" s="19">
        <f>IF($B970="","",IFERROR(INDEX(智能流水!$I$2:$I$1001,MATCH($B970,智能流水!$B$2:$B$1001,0)),""))</f>
        <v/>
      </c>
      <c r="J970" s="19">
        <f>IF($B970="","",IFERROR(INDEX(智能流水!$J$2:$J$1001,MATCH($B970,智能流水!$B$2:$B$1001,0)),""))</f>
        <v/>
      </c>
      <c r="K970" s="19">
        <f>IF($B970="","",IFERROR(INDEX(智能流水!$K$2:$K$1001,MATCH($B970,智能流水!$B$2:$B$1001,0)),""))</f>
        <v/>
      </c>
      <c r="L970" s="19">
        <f>IF($B970="","",IFERROR(INDEX(智能流水!$L$2:$L$1001,MATCH($B970,智能流水!$B$2:$B$1001,0)),""))</f>
        <v/>
      </c>
      <c r="M970" s="19">
        <f>IF($B970="","",IFERROR(INDEX(智能流水!$M$2:$M$1001,MATCH($B970,智能流水!$B$2:$B$1001,0)),""))</f>
        <v/>
      </c>
      <c r="N970" s="19">
        <f>IF($B970="","",IFERROR(INDEX(智能流水!$N$2:$N$1001,MATCH($B970,智能流水!$B$2:$B$1001,0)),""))</f>
        <v/>
      </c>
      <c r="O970" s="19">
        <f>IF($B970="","",IFERROR(INDEX(智能流水!$O$2:$O$1001,MATCH($B970,智能流水!$B$2:$B$1001,0)),""))</f>
        <v/>
      </c>
    </row>
    <row r="971">
      <c r="A971" s="19">
        <f>IF($B971="","",970)</f>
        <v/>
      </c>
      <c r="B971" s="19">
        <f>IFERROR(LARGE(智能流水!$B$2:$B$1001,970),"")</f>
        <v/>
      </c>
      <c r="C971" s="19">
        <f>IF($B971="","",IFERROR(INDEX(智能流水!$C$2:$C$1001,MATCH($B971,智能流水!$B$2:$B$1001,0)),""))</f>
        <v/>
      </c>
      <c r="D971" s="19">
        <f>IF($B971="","",IFERROR(INDEX(智能流水!$D$2:$D$1001,MATCH($B971,智能流水!$B$2:$B$1001,0)),""))</f>
        <v/>
      </c>
      <c r="E971" s="19">
        <f>IF($B971="","",IFERROR(INDEX(智能流水!$E$2:$E$1001,MATCH($B971,智能流水!$B$2:$B$1001,0)),""))</f>
        <v/>
      </c>
      <c r="F971" s="19">
        <f>IF($B971="","",IFERROR(INDEX(智能流水!$F$2:$F$1001,MATCH($B971,智能流水!$B$2:$B$1001,0)),""))</f>
        <v/>
      </c>
      <c r="G971" s="19">
        <f>IF($B971="","",IFERROR(INDEX(智能流水!$G$2:$G$1001,MATCH($B971,智能流水!$B$2:$B$1001,0)),""))</f>
        <v/>
      </c>
      <c r="H971" s="19">
        <f>IF($B971="","",IFERROR(INDEX(智能流水!$H$2:$H$1001,MATCH($B971,智能流水!$B$2:$B$1001,0)),""))</f>
        <v/>
      </c>
      <c r="I971" s="19">
        <f>IF($B971="","",IFERROR(INDEX(智能流水!$I$2:$I$1001,MATCH($B971,智能流水!$B$2:$B$1001,0)),""))</f>
        <v/>
      </c>
      <c r="J971" s="19">
        <f>IF($B971="","",IFERROR(INDEX(智能流水!$J$2:$J$1001,MATCH($B971,智能流水!$B$2:$B$1001,0)),""))</f>
        <v/>
      </c>
      <c r="K971" s="19">
        <f>IF($B971="","",IFERROR(INDEX(智能流水!$K$2:$K$1001,MATCH($B971,智能流水!$B$2:$B$1001,0)),""))</f>
        <v/>
      </c>
      <c r="L971" s="19">
        <f>IF($B971="","",IFERROR(INDEX(智能流水!$L$2:$L$1001,MATCH($B971,智能流水!$B$2:$B$1001,0)),""))</f>
        <v/>
      </c>
      <c r="M971" s="19">
        <f>IF($B971="","",IFERROR(INDEX(智能流水!$M$2:$M$1001,MATCH($B971,智能流水!$B$2:$B$1001,0)),""))</f>
        <v/>
      </c>
      <c r="N971" s="19">
        <f>IF($B971="","",IFERROR(INDEX(智能流水!$N$2:$N$1001,MATCH($B971,智能流水!$B$2:$B$1001,0)),""))</f>
        <v/>
      </c>
      <c r="O971" s="19">
        <f>IF($B971="","",IFERROR(INDEX(智能流水!$O$2:$O$1001,MATCH($B971,智能流水!$B$2:$B$1001,0)),""))</f>
        <v/>
      </c>
    </row>
    <row r="972">
      <c r="A972" s="19">
        <f>IF($B972="","",971)</f>
        <v/>
      </c>
      <c r="B972" s="19">
        <f>IFERROR(LARGE(智能流水!$B$2:$B$1001,971),"")</f>
        <v/>
      </c>
      <c r="C972" s="19">
        <f>IF($B972="","",IFERROR(INDEX(智能流水!$C$2:$C$1001,MATCH($B972,智能流水!$B$2:$B$1001,0)),""))</f>
        <v/>
      </c>
      <c r="D972" s="19">
        <f>IF($B972="","",IFERROR(INDEX(智能流水!$D$2:$D$1001,MATCH($B972,智能流水!$B$2:$B$1001,0)),""))</f>
        <v/>
      </c>
      <c r="E972" s="19">
        <f>IF($B972="","",IFERROR(INDEX(智能流水!$E$2:$E$1001,MATCH($B972,智能流水!$B$2:$B$1001,0)),""))</f>
        <v/>
      </c>
      <c r="F972" s="19">
        <f>IF($B972="","",IFERROR(INDEX(智能流水!$F$2:$F$1001,MATCH($B972,智能流水!$B$2:$B$1001,0)),""))</f>
        <v/>
      </c>
      <c r="G972" s="19">
        <f>IF($B972="","",IFERROR(INDEX(智能流水!$G$2:$G$1001,MATCH($B972,智能流水!$B$2:$B$1001,0)),""))</f>
        <v/>
      </c>
      <c r="H972" s="19">
        <f>IF($B972="","",IFERROR(INDEX(智能流水!$H$2:$H$1001,MATCH($B972,智能流水!$B$2:$B$1001,0)),""))</f>
        <v/>
      </c>
      <c r="I972" s="19">
        <f>IF($B972="","",IFERROR(INDEX(智能流水!$I$2:$I$1001,MATCH($B972,智能流水!$B$2:$B$1001,0)),""))</f>
        <v/>
      </c>
      <c r="J972" s="19">
        <f>IF($B972="","",IFERROR(INDEX(智能流水!$J$2:$J$1001,MATCH($B972,智能流水!$B$2:$B$1001,0)),""))</f>
        <v/>
      </c>
      <c r="K972" s="19">
        <f>IF($B972="","",IFERROR(INDEX(智能流水!$K$2:$K$1001,MATCH($B972,智能流水!$B$2:$B$1001,0)),""))</f>
        <v/>
      </c>
      <c r="L972" s="19">
        <f>IF($B972="","",IFERROR(INDEX(智能流水!$L$2:$L$1001,MATCH($B972,智能流水!$B$2:$B$1001,0)),""))</f>
        <v/>
      </c>
      <c r="M972" s="19">
        <f>IF($B972="","",IFERROR(INDEX(智能流水!$M$2:$M$1001,MATCH($B972,智能流水!$B$2:$B$1001,0)),""))</f>
        <v/>
      </c>
      <c r="N972" s="19">
        <f>IF($B972="","",IFERROR(INDEX(智能流水!$N$2:$N$1001,MATCH($B972,智能流水!$B$2:$B$1001,0)),""))</f>
        <v/>
      </c>
      <c r="O972" s="19">
        <f>IF($B972="","",IFERROR(INDEX(智能流水!$O$2:$O$1001,MATCH($B972,智能流水!$B$2:$B$1001,0)),""))</f>
        <v/>
      </c>
    </row>
    <row r="973">
      <c r="A973" s="19">
        <f>IF($B973="","",972)</f>
        <v/>
      </c>
      <c r="B973" s="19">
        <f>IFERROR(LARGE(智能流水!$B$2:$B$1001,972),"")</f>
        <v/>
      </c>
      <c r="C973" s="19">
        <f>IF($B973="","",IFERROR(INDEX(智能流水!$C$2:$C$1001,MATCH($B973,智能流水!$B$2:$B$1001,0)),""))</f>
        <v/>
      </c>
      <c r="D973" s="19">
        <f>IF($B973="","",IFERROR(INDEX(智能流水!$D$2:$D$1001,MATCH($B973,智能流水!$B$2:$B$1001,0)),""))</f>
        <v/>
      </c>
      <c r="E973" s="19">
        <f>IF($B973="","",IFERROR(INDEX(智能流水!$E$2:$E$1001,MATCH($B973,智能流水!$B$2:$B$1001,0)),""))</f>
        <v/>
      </c>
      <c r="F973" s="19">
        <f>IF($B973="","",IFERROR(INDEX(智能流水!$F$2:$F$1001,MATCH($B973,智能流水!$B$2:$B$1001,0)),""))</f>
        <v/>
      </c>
      <c r="G973" s="19">
        <f>IF($B973="","",IFERROR(INDEX(智能流水!$G$2:$G$1001,MATCH($B973,智能流水!$B$2:$B$1001,0)),""))</f>
        <v/>
      </c>
      <c r="H973" s="19">
        <f>IF($B973="","",IFERROR(INDEX(智能流水!$H$2:$H$1001,MATCH($B973,智能流水!$B$2:$B$1001,0)),""))</f>
        <v/>
      </c>
      <c r="I973" s="19">
        <f>IF($B973="","",IFERROR(INDEX(智能流水!$I$2:$I$1001,MATCH($B973,智能流水!$B$2:$B$1001,0)),""))</f>
        <v/>
      </c>
      <c r="J973" s="19">
        <f>IF($B973="","",IFERROR(INDEX(智能流水!$J$2:$J$1001,MATCH($B973,智能流水!$B$2:$B$1001,0)),""))</f>
        <v/>
      </c>
      <c r="K973" s="19">
        <f>IF($B973="","",IFERROR(INDEX(智能流水!$K$2:$K$1001,MATCH($B973,智能流水!$B$2:$B$1001,0)),""))</f>
        <v/>
      </c>
      <c r="L973" s="19">
        <f>IF($B973="","",IFERROR(INDEX(智能流水!$L$2:$L$1001,MATCH($B973,智能流水!$B$2:$B$1001,0)),""))</f>
        <v/>
      </c>
      <c r="M973" s="19">
        <f>IF($B973="","",IFERROR(INDEX(智能流水!$M$2:$M$1001,MATCH($B973,智能流水!$B$2:$B$1001,0)),""))</f>
        <v/>
      </c>
      <c r="N973" s="19">
        <f>IF($B973="","",IFERROR(INDEX(智能流水!$N$2:$N$1001,MATCH($B973,智能流水!$B$2:$B$1001,0)),""))</f>
        <v/>
      </c>
      <c r="O973" s="19">
        <f>IF($B973="","",IFERROR(INDEX(智能流水!$O$2:$O$1001,MATCH($B973,智能流水!$B$2:$B$1001,0)),""))</f>
        <v/>
      </c>
    </row>
    <row r="974">
      <c r="A974" s="19">
        <f>IF($B974="","",973)</f>
        <v/>
      </c>
      <c r="B974" s="19">
        <f>IFERROR(LARGE(智能流水!$B$2:$B$1001,973),"")</f>
        <v/>
      </c>
      <c r="C974" s="19">
        <f>IF($B974="","",IFERROR(INDEX(智能流水!$C$2:$C$1001,MATCH($B974,智能流水!$B$2:$B$1001,0)),""))</f>
        <v/>
      </c>
      <c r="D974" s="19">
        <f>IF($B974="","",IFERROR(INDEX(智能流水!$D$2:$D$1001,MATCH($B974,智能流水!$B$2:$B$1001,0)),""))</f>
        <v/>
      </c>
      <c r="E974" s="19">
        <f>IF($B974="","",IFERROR(INDEX(智能流水!$E$2:$E$1001,MATCH($B974,智能流水!$B$2:$B$1001,0)),""))</f>
        <v/>
      </c>
      <c r="F974" s="19">
        <f>IF($B974="","",IFERROR(INDEX(智能流水!$F$2:$F$1001,MATCH($B974,智能流水!$B$2:$B$1001,0)),""))</f>
        <v/>
      </c>
      <c r="G974" s="19">
        <f>IF($B974="","",IFERROR(INDEX(智能流水!$G$2:$G$1001,MATCH($B974,智能流水!$B$2:$B$1001,0)),""))</f>
        <v/>
      </c>
      <c r="H974" s="19">
        <f>IF($B974="","",IFERROR(INDEX(智能流水!$H$2:$H$1001,MATCH($B974,智能流水!$B$2:$B$1001,0)),""))</f>
        <v/>
      </c>
      <c r="I974" s="19">
        <f>IF($B974="","",IFERROR(INDEX(智能流水!$I$2:$I$1001,MATCH($B974,智能流水!$B$2:$B$1001,0)),""))</f>
        <v/>
      </c>
      <c r="J974" s="19">
        <f>IF($B974="","",IFERROR(INDEX(智能流水!$J$2:$J$1001,MATCH($B974,智能流水!$B$2:$B$1001,0)),""))</f>
        <v/>
      </c>
      <c r="K974" s="19">
        <f>IF($B974="","",IFERROR(INDEX(智能流水!$K$2:$K$1001,MATCH($B974,智能流水!$B$2:$B$1001,0)),""))</f>
        <v/>
      </c>
      <c r="L974" s="19">
        <f>IF($B974="","",IFERROR(INDEX(智能流水!$L$2:$L$1001,MATCH($B974,智能流水!$B$2:$B$1001,0)),""))</f>
        <v/>
      </c>
      <c r="M974" s="19">
        <f>IF($B974="","",IFERROR(INDEX(智能流水!$M$2:$M$1001,MATCH($B974,智能流水!$B$2:$B$1001,0)),""))</f>
        <v/>
      </c>
      <c r="N974" s="19">
        <f>IF($B974="","",IFERROR(INDEX(智能流水!$N$2:$N$1001,MATCH($B974,智能流水!$B$2:$B$1001,0)),""))</f>
        <v/>
      </c>
      <c r="O974" s="19">
        <f>IF($B974="","",IFERROR(INDEX(智能流水!$O$2:$O$1001,MATCH($B974,智能流水!$B$2:$B$1001,0)),""))</f>
        <v/>
      </c>
    </row>
    <row r="975">
      <c r="A975" s="19">
        <f>IF($B975="","",974)</f>
        <v/>
      </c>
      <c r="B975" s="19">
        <f>IFERROR(LARGE(智能流水!$B$2:$B$1001,974),"")</f>
        <v/>
      </c>
      <c r="C975" s="19">
        <f>IF($B975="","",IFERROR(INDEX(智能流水!$C$2:$C$1001,MATCH($B975,智能流水!$B$2:$B$1001,0)),""))</f>
        <v/>
      </c>
      <c r="D975" s="19">
        <f>IF($B975="","",IFERROR(INDEX(智能流水!$D$2:$D$1001,MATCH($B975,智能流水!$B$2:$B$1001,0)),""))</f>
        <v/>
      </c>
      <c r="E975" s="19">
        <f>IF($B975="","",IFERROR(INDEX(智能流水!$E$2:$E$1001,MATCH($B975,智能流水!$B$2:$B$1001,0)),""))</f>
        <v/>
      </c>
      <c r="F975" s="19">
        <f>IF($B975="","",IFERROR(INDEX(智能流水!$F$2:$F$1001,MATCH($B975,智能流水!$B$2:$B$1001,0)),""))</f>
        <v/>
      </c>
      <c r="G975" s="19">
        <f>IF($B975="","",IFERROR(INDEX(智能流水!$G$2:$G$1001,MATCH($B975,智能流水!$B$2:$B$1001,0)),""))</f>
        <v/>
      </c>
      <c r="H975" s="19">
        <f>IF($B975="","",IFERROR(INDEX(智能流水!$H$2:$H$1001,MATCH($B975,智能流水!$B$2:$B$1001,0)),""))</f>
        <v/>
      </c>
      <c r="I975" s="19">
        <f>IF($B975="","",IFERROR(INDEX(智能流水!$I$2:$I$1001,MATCH($B975,智能流水!$B$2:$B$1001,0)),""))</f>
        <v/>
      </c>
      <c r="J975" s="19">
        <f>IF($B975="","",IFERROR(INDEX(智能流水!$J$2:$J$1001,MATCH($B975,智能流水!$B$2:$B$1001,0)),""))</f>
        <v/>
      </c>
      <c r="K975" s="19">
        <f>IF($B975="","",IFERROR(INDEX(智能流水!$K$2:$K$1001,MATCH($B975,智能流水!$B$2:$B$1001,0)),""))</f>
        <v/>
      </c>
      <c r="L975" s="19">
        <f>IF($B975="","",IFERROR(INDEX(智能流水!$L$2:$L$1001,MATCH($B975,智能流水!$B$2:$B$1001,0)),""))</f>
        <v/>
      </c>
      <c r="M975" s="19">
        <f>IF($B975="","",IFERROR(INDEX(智能流水!$M$2:$M$1001,MATCH($B975,智能流水!$B$2:$B$1001,0)),""))</f>
        <v/>
      </c>
      <c r="N975" s="19">
        <f>IF($B975="","",IFERROR(INDEX(智能流水!$N$2:$N$1001,MATCH($B975,智能流水!$B$2:$B$1001,0)),""))</f>
        <v/>
      </c>
      <c r="O975" s="19">
        <f>IF($B975="","",IFERROR(INDEX(智能流水!$O$2:$O$1001,MATCH($B975,智能流水!$B$2:$B$1001,0)),""))</f>
        <v/>
      </c>
    </row>
    <row r="976">
      <c r="A976" s="19">
        <f>IF($B976="","",975)</f>
        <v/>
      </c>
      <c r="B976" s="19">
        <f>IFERROR(LARGE(智能流水!$B$2:$B$1001,975),"")</f>
        <v/>
      </c>
      <c r="C976" s="19">
        <f>IF($B976="","",IFERROR(INDEX(智能流水!$C$2:$C$1001,MATCH($B976,智能流水!$B$2:$B$1001,0)),""))</f>
        <v/>
      </c>
      <c r="D976" s="19">
        <f>IF($B976="","",IFERROR(INDEX(智能流水!$D$2:$D$1001,MATCH($B976,智能流水!$B$2:$B$1001,0)),""))</f>
        <v/>
      </c>
      <c r="E976" s="19">
        <f>IF($B976="","",IFERROR(INDEX(智能流水!$E$2:$E$1001,MATCH($B976,智能流水!$B$2:$B$1001,0)),""))</f>
        <v/>
      </c>
      <c r="F976" s="19">
        <f>IF($B976="","",IFERROR(INDEX(智能流水!$F$2:$F$1001,MATCH($B976,智能流水!$B$2:$B$1001,0)),""))</f>
        <v/>
      </c>
      <c r="G976" s="19">
        <f>IF($B976="","",IFERROR(INDEX(智能流水!$G$2:$G$1001,MATCH($B976,智能流水!$B$2:$B$1001,0)),""))</f>
        <v/>
      </c>
      <c r="H976" s="19">
        <f>IF($B976="","",IFERROR(INDEX(智能流水!$H$2:$H$1001,MATCH($B976,智能流水!$B$2:$B$1001,0)),""))</f>
        <v/>
      </c>
      <c r="I976" s="19">
        <f>IF($B976="","",IFERROR(INDEX(智能流水!$I$2:$I$1001,MATCH($B976,智能流水!$B$2:$B$1001,0)),""))</f>
        <v/>
      </c>
      <c r="J976" s="19">
        <f>IF($B976="","",IFERROR(INDEX(智能流水!$J$2:$J$1001,MATCH($B976,智能流水!$B$2:$B$1001,0)),""))</f>
        <v/>
      </c>
      <c r="K976" s="19">
        <f>IF($B976="","",IFERROR(INDEX(智能流水!$K$2:$K$1001,MATCH($B976,智能流水!$B$2:$B$1001,0)),""))</f>
        <v/>
      </c>
      <c r="L976" s="19">
        <f>IF($B976="","",IFERROR(INDEX(智能流水!$L$2:$L$1001,MATCH($B976,智能流水!$B$2:$B$1001,0)),""))</f>
        <v/>
      </c>
      <c r="M976" s="19">
        <f>IF($B976="","",IFERROR(INDEX(智能流水!$M$2:$M$1001,MATCH($B976,智能流水!$B$2:$B$1001,0)),""))</f>
        <v/>
      </c>
      <c r="N976" s="19">
        <f>IF($B976="","",IFERROR(INDEX(智能流水!$N$2:$N$1001,MATCH($B976,智能流水!$B$2:$B$1001,0)),""))</f>
        <v/>
      </c>
      <c r="O976" s="19">
        <f>IF($B976="","",IFERROR(INDEX(智能流水!$O$2:$O$1001,MATCH($B976,智能流水!$B$2:$B$1001,0)),""))</f>
        <v/>
      </c>
    </row>
    <row r="977">
      <c r="A977" s="19">
        <f>IF($B977="","",976)</f>
        <v/>
      </c>
      <c r="B977" s="19">
        <f>IFERROR(LARGE(智能流水!$B$2:$B$1001,976),"")</f>
        <v/>
      </c>
      <c r="C977" s="19">
        <f>IF($B977="","",IFERROR(INDEX(智能流水!$C$2:$C$1001,MATCH($B977,智能流水!$B$2:$B$1001,0)),""))</f>
        <v/>
      </c>
      <c r="D977" s="19">
        <f>IF($B977="","",IFERROR(INDEX(智能流水!$D$2:$D$1001,MATCH($B977,智能流水!$B$2:$B$1001,0)),""))</f>
        <v/>
      </c>
      <c r="E977" s="19">
        <f>IF($B977="","",IFERROR(INDEX(智能流水!$E$2:$E$1001,MATCH($B977,智能流水!$B$2:$B$1001,0)),""))</f>
        <v/>
      </c>
      <c r="F977" s="19">
        <f>IF($B977="","",IFERROR(INDEX(智能流水!$F$2:$F$1001,MATCH($B977,智能流水!$B$2:$B$1001,0)),""))</f>
        <v/>
      </c>
      <c r="G977" s="19">
        <f>IF($B977="","",IFERROR(INDEX(智能流水!$G$2:$G$1001,MATCH($B977,智能流水!$B$2:$B$1001,0)),""))</f>
        <v/>
      </c>
      <c r="H977" s="19">
        <f>IF($B977="","",IFERROR(INDEX(智能流水!$H$2:$H$1001,MATCH($B977,智能流水!$B$2:$B$1001,0)),""))</f>
        <v/>
      </c>
      <c r="I977" s="19">
        <f>IF($B977="","",IFERROR(INDEX(智能流水!$I$2:$I$1001,MATCH($B977,智能流水!$B$2:$B$1001,0)),""))</f>
        <v/>
      </c>
      <c r="J977" s="19">
        <f>IF($B977="","",IFERROR(INDEX(智能流水!$J$2:$J$1001,MATCH($B977,智能流水!$B$2:$B$1001,0)),""))</f>
        <v/>
      </c>
      <c r="K977" s="19">
        <f>IF($B977="","",IFERROR(INDEX(智能流水!$K$2:$K$1001,MATCH($B977,智能流水!$B$2:$B$1001,0)),""))</f>
        <v/>
      </c>
      <c r="L977" s="19">
        <f>IF($B977="","",IFERROR(INDEX(智能流水!$L$2:$L$1001,MATCH($B977,智能流水!$B$2:$B$1001,0)),""))</f>
        <v/>
      </c>
      <c r="M977" s="19">
        <f>IF($B977="","",IFERROR(INDEX(智能流水!$M$2:$M$1001,MATCH($B977,智能流水!$B$2:$B$1001,0)),""))</f>
        <v/>
      </c>
      <c r="N977" s="19">
        <f>IF($B977="","",IFERROR(INDEX(智能流水!$N$2:$N$1001,MATCH($B977,智能流水!$B$2:$B$1001,0)),""))</f>
        <v/>
      </c>
      <c r="O977" s="19">
        <f>IF($B977="","",IFERROR(INDEX(智能流水!$O$2:$O$1001,MATCH($B977,智能流水!$B$2:$B$1001,0)),""))</f>
        <v/>
      </c>
    </row>
    <row r="978">
      <c r="A978" s="19">
        <f>IF($B978="","",977)</f>
        <v/>
      </c>
      <c r="B978" s="19">
        <f>IFERROR(LARGE(智能流水!$B$2:$B$1001,977),"")</f>
        <v/>
      </c>
      <c r="C978" s="19">
        <f>IF($B978="","",IFERROR(INDEX(智能流水!$C$2:$C$1001,MATCH($B978,智能流水!$B$2:$B$1001,0)),""))</f>
        <v/>
      </c>
      <c r="D978" s="19">
        <f>IF($B978="","",IFERROR(INDEX(智能流水!$D$2:$D$1001,MATCH($B978,智能流水!$B$2:$B$1001,0)),""))</f>
        <v/>
      </c>
      <c r="E978" s="19">
        <f>IF($B978="","",IFERROR(INDEX(智能流水!$E$2:$E$1001,MATCH($B978,智能流水!$B$2:$B$1001,0)),""))</f>
        <v/>
      </c>
      <c r="F978" s="19">
        <f>IF($B978="","",IFERROR(INDEX(智能流水!$F$2:$F$1001,MATCH($B978,智能流水!$B$2:$B$1001,0)),""))</f>
        <v/>
      </c>
      <c r="G978" s="19">
        <f>IF($B978="","",IFERROR(INDEX(智能流水!$G$2:$G$1001,MATCH($B978,智能流水!$B$2:$B$1001,0)),""))</f>
        <v/>
      </c>
      <c r="H978" s="19">
        <f>IF($B978="","",IFERROR(INDEX(智能流水!$H$2:$H$1001,MATCH($B978,智能流水!$B$2:$B$1001,0)),""))</f>
        <v/>
      </c>
      <c r="I978" s="19">
        <f>IF($B978="","",IFERROR(INDEX(智能流水!$I$2:$I$1001,MATCH($B978,智能流水!$B$2:$B$1001,0)),""))</f>
        <v/>
      </c>
      <c r="J978" s="19">
        <f>IF($B978="","",IFERROR(INDEX(智能流水!$J$2:$J$1001,MATCH($B978,智能流水!$B$2:$B$1001,0)),""))</f>
        <v/>
      </c>
      <c r="K978" s="19">
        <f>IF($B978="","",IFERROR(INDEX(智能流水!$K$2:$K$1001,MATCH($B978,智能流水!$B$2:$B$1001,0)),""))</f>
        <v/>
      </c>
      <c r="L978" s="19">
        <f>IF($B978="","",IFERROR(INDEX(智能流水!$L$2:$L$1001,MATCH($B978,智能流水!$B$2:$B$1001,0)),""))</f>
        <v/>
      </c>
      <c r="M978" s="19">
        <f>IF($B978="","",IFERROR(INDEX(智能流水!$M$2:$M$1001,MATCH($B978,智能流水!$B$2:$B$1001,0)),""))</f>
        <v/>
      </c>
      <c r="N978" s="19">
        <f>IF($B978="","",IFERROR(INDEX(智能流水!$N$2:$N$1001,MATCH($B978,智能流水!$B$2:$B$1001,0)),""))</f>
        <v/>
      </c>
      <c r="O978" s="19">
        <f>IF($B978="","",IFERROR(INDEX(智能流水!$O$2:$O$1001,MATCH($B978,智能流水!$B$2:$B$1001,0)),""))</f>
        <v/>
      </c>
    </row>
    <row r="979">
      <c r="A979" s="19">
        <f>IF($B979="","",978)</f>
        <v/>
      </c>
      <c r="B979" s="19">
        <f>IFERROR(LARGE(智能流水!$B$2:$B$1001,978),"")</f>
        <v/>
      </c>
      <c r="C979" s="19">
        <f>IF($B979="","",IFERROR(INDEX(智能流水!$C$2:$C$1001,MATCH($B979,智能流水!$B$2:$B$1001,0)),""))</f>
        <v/>
      </c>
      <c r="D979" s="19">
        <f>IF($B979="","",IFERROR(INDEX(智能流水!$D$2:$D$1001,MATCH($B979,智能流水!$B$2:$B$1001,0)),""))</f>
        <v/>
      </c>
      <c r="E979" s="19">
        <f>IF($B979="","",IFERROR(INDEX(智能流水!$E$2:$E$1001,MATCH($B979,智能流水!$B$2:$B$1001,0)),""))</f>
        <v/>
      </c>
      <c r="F979" s="19">
        <f>IF($B979="","",IFERROR(INDEX(智能流水!$F$2:$F$1001,MATCH($B979,智能流水!$B$2:$B$1001,0)),""))</f>
        <v/>
      </c>
      <c r="G979" s="19">
        <f>IF($B979="","",IFERROR(INDEX(智能流水!$G$2:$G$1001,MATCH($B979,智能流水!$B$2:$B$1001,0)),""))</f>
        <v/>
      </c>
      <c r="H979" s="19">
        <f>IF($B979="","",IFERROR(INDEX(智能流水!$H$2:$H$1001,MATCH($B979,智能流水!$B$2:$B$1001,0)),""))</f>
        <v/>
      </c>
      <c r="I979" s="19">
        <f>IF($B979="","",IFERROR(INDEX(智能流水!$I$2:$I$1001,MATCH($B979,智能流水!$B$2:$B$1001,0)),""))</f>
        <v/>
      </c>
      <c r="J979" s="19">
        <f>IF($B979="","",IFERROR(INDEX(智能流水!$J$2:$J$1001,MATCH($B979,智能流水!$B$2:$B$1001,0)),""))</f>
        <v/>
      </c>
      <c r="K979" s="19">
        <f>IF($B979="","",IFERROR(INDEX(智能流水!$K$2:$K$1001,MATCH($B979,智能流水!$B$2:$B$1001,0)),""))</f>
        <v/>
      </c>
      <c r="L979" s="19">
        <f>IF($B979="","",IFERROR(INDEX(智能流水!$L$2:$L$1001,MATCH($B979,智能流水!$B$2:$B$1001,0)),""))</f>
        <v/>
      </c>
      <c r="M979" s="19">
        <f>IF($B979="","",IFERROR(INDEX(智能流水!$M$2:$M$1001,MATCH($B979,智能流水!$B$2:$B$1001,0)),""))</f>
        <v/>
      </c>
      <c r="N979" s="19">
        <f>IF($B979="","",IFERROR(INDEX(智能流水!$N$2:$N$1001,MATCH($B979,智能流水!$B$2:$B$1001,0)),""))</f>
        <v/>
      </c>
      <c r="O979" s="19">
        <f>IF($B979="","",IFERROR(INDEX(智能流水!$O$2:$O$1001,MATCH($B979,智能流水!$B$2:$B$1001,0)),""))</f>
        <v/>
      </c>
    </row>
    <row r="980">
      <c r="A980" s="19">
        <f>IF($B980="","",979)</f>
        <v/>
      </c>
      <c r="B980" s="19">
        <f>IFERROR(LARGE(智能流水!$B$2:$B$1001,979),"")</f>
        <v/>
      </c>
      <c r="C980" s="19">
        <f>IF($B980="","",IFERROR(INDEX(智能流水!$C$2:$C$1001,MATCH($B980,智能流水!$B$2:$B$1001,0)),""))</f>
        <v/>
      </c>
      <c r="D980" s="19">
        <f>IF($B980="","",IFERROR(INDEX(智能流水!$D$2:$D$1001,MATCH($B980,智能流水!$B$2:$B$1001,0)),""))</f>
        <v/>
      </c>
      <c r="E980" s="19">
        <f>IF($B980="","",IFERROR(INDEX(智能流水!$E$2:$E$1001,MATCH($B980,智能流水!$B$2:$B$1001,0)),""))</f>
        <v/>
      </c>
      <c r="F980" s="19">
        <f>IF($B980="","",IFERROR(INDEX(智能流水!$F$2:$F$1001,MATCH($B980,智能流水!$B$2:$B$1001,0)),""))</f>
        <v/>
      </c>
      <c r="G980" s="19">
        <f>IF($B980="","",IFERROR(INDEX(智能流水!$G$2:$G$1001,MATCH($B980,智能流水!$B$2:$B$1001,0)),""))</f>
        <v/>
      </c>
      <c r="H980" s="19">
        <f>IF($B980="","",IFERROR(INDEX(智能流水!$H$2:$H$1001,MATCH($B980,智能流水!$B$2:$B$1001,0)),""))</f>
        <v/>
      </c>
      <c r="I980" s="19">
        <f>IF($B980="","",IFERROR(INDEX(智能流水!$I$2:$I$1001,MATCH($B980,智能流水!$B$2:$B$1001,0)),""))</f>
        <v/>
      </c>
      <c r="J980" s="19">
        <f>IF($B980="","",IFERROR(INDEX(智能流水!$J$2:$J$1001,MATCH($B980,智能流水!$B$2:$B$1001,0)),""))</f>
        <v/>
      </c>
      <c r="K980" s="19">
        <f>IF($B980="","",IFERROR(INDEX(智能流水!$K$2:$K$1001,MATCH($B980,智能流水!$B$2:$B$1001,0)),""))</f>
        <v/>
      </c>
      <c r="L980" s="19">
        <f>IF($B980="","",IFERROR(INDEX(智能流水!$L$2:$L$1001,MATCH($B980,智能流水!$B$2:$B$1001,0)),""))</f>
        <v/>
      </c>
      <c r="M980" s="19">
        <f>IF($B980="","",IFERROR(INDEX(智能流水!$M$2:$M$1001,MATCH($B980,智能流水!$B$2:$B$1001,0)),""))</f>
        <v/>
      </c>
      <c r="N980" s="19">
        <f>IF($B980="","",IFERROR(INDEX(智能流水!$N$2:$N$1001,MATCH($B980,智能流水!$B$2:$B$1001,0)),""))</f>
        <v/>
      </c>
      <c r="O980" s="19">
        <f>IF($B980="","",IFERROR(INDEX(智能流水!$O$2:$O$1001,MATCH($B980,智能流水!$B$2:$B$1001,0)),""))</f>
        <v/>
      </c>
    </row>
    <row r="981">
      <c r="A981" s="19">
        <f>IF($B981="","",980)</f>
        <v/>
      </c>
      <c r="B981" s="19">
        <f>IFERROR(LARGE(智能流水!$B$2:$B$1001,980),"")</f>
        <v/>
      </c>
      <c r="C981" s="19">
        <f>IF($B981="","",IFERROR(INDEX(智能流水!$C$2:$C$1001,MATCH($B981,智能流水!$B$2:$B$1001,0)),""))</f>
        <v/>
      </c>
      <c r="D981" s="19">
        <f>IF($B981="","",IFERROR(INDEX(智能流水!$D$2:$D$1001,MATCH($B981,智能流水!$B$2:$B$1001,0)),""))</f>
        <v/>
      </c>
      <c r="E981" s="19">
        <f>IF($B981="","",IFERROR(INDEX(智能流水!$E$2:$E$1001,MATCH($B981,智能流水!$B$2:$B$1001,0)),""))</f>
        <v/>
      </c>
      <c r="F981" s="19">
        <f>IF($B981="","",IFERROR(INDEX(智能流水!$F$2:$F$1001,MATCH($B981,智能流水!$B$2:$B$1001,0)),""))</f>
        <v/>
      </c>
      <c r="G981" s="19">
        <f>IF($B981="","",IFERROR(INDEX(智能流水!$G$2:$G$1001,MATCH($B981,智能流水!$B$2:$B$1001,0)),""))</f>
        <v/>
      </c>
      <c r="H981" s="19">
        <f>IF($B981="","",IFERROR(INDEX(智能流水!$H$2:$H$1001,MATCH($B981,智能流水!$B$2:$B$1001,0)),""))</f>
        <v/>
      </c>
      <c r="I981" s="19">
        <f>IF($B981="","",IFERROR(INDEX(智能流水!$I$2:$I$1001,MATCH($B981,智能流水!$B$2:$B$1001,0)),""))</f>
        <v/>
      </c>
      <c r="J981" s="19">
        <f>IF($B981="","",IFERROR(INDEX(智能流水!$J$2:$J$1001,MATCH($B981,智能流水!$B$2:$B$1001,0)),""))</f>
        <v/>
      </c>
      <c r="K981" s="19">
        <f>IF($B981="","",IFERROR(INDEX(智能流水!$K$2:$K$1001,MATCH($B981,智能流水!$B$2:$B$1001,0)),""))</f>
        <v/>
      </c>
      <c r="L981" s="19">
        <f>IF($B981="","",IFERROR(INDEX(智能流水!$L$2:$L$1001,MATCH($B981,智能流水!$B$2:$B$1001,0)),""))</f>
        <v/>
      </c>
      <c r="M981" s="19">
        <f>IF($B981="","",IFERROR(INDEX(智能流水!$M$2:$M$1001,MATCH($B981,智能流水!$B$2:$B$1001,0)),""))</f>
        <v/>
      </c>
      <c r="N981" s="19">
        <f>IF($B981="","",IFERROR(INDEX(智能流水!$N$2:$N$1001,MATCH($B981,智能流水!$B$2:$B$1001,0)),""))</f>
        <v/>
      </c>
      <c r="O981" s="19">
        <f>IF($B981="","",IFERROR(INDEX(智能流水!$O$2:$O$1001,MATCH($B981,智能流水!$B$2:$B$1001,0)),""))</f>
        <v/>
      </c>
    </row>
    <row r="982">
      <c r="A982" s="19">
        <f>IF($B982="","",981)</f>
        <v/>
      </c>
      <c r="B982" s="19">
        <f>IFERROR(LARGE(智能流水!$B$2:$B$1001,981),"")</f>
        <v/>
      </c>
      <c r="C982" s="19">
        <f>IF($B982="","",IFERROR(INDEX(智能流水!$C$2:$C$1001,MATCH($B982,智能流水!$B$2:$B$1001,0)),""))</f>
        <v/>
      </c>
      <c r="D982" s="19">
        <f>IF($B982="","",IFERROR(INDEX(智能流水!$D$2:$D$1001,MATCH($B982,智能流水!$B$2:$B$1001,0)),""))</f>
        <v/>
      </c>
      <c r="E982" s="19">
        <f>IF($B982="","",IFERROR(INDEX(智能流水!$E$2:$E$1001,MATCH($B982,智能流水!$B$2:$B$1001,0)),""))</f>
        <v/>
      </c>
      <c r="F982" s="19">
        <f>IF($B982="","",IFERROR(INDEX(智能流水!$F$2:$F$1001,MATCH($B982,智能流水!$B$2:$B$1001,0)),""))</f>
        <v/>
      </c>
      <c r="G982" s="19">
        <f>IF($B982="","",IFERROR(INDEX(智能流水!$G$2:$G$1001,MATCH($B982,智能流水!$B$2:$B$1001,0)),""))</f>
        <v/>
      </c>
      <c r="H982" s="19">
        <f>IF($B982="","",IFERROR(INDEX(智能流水!$H$2:$H$1001,MATCH($B982,智能流水!$B$2:$B$1001,0)),""))</f>
        <v/>
      </c>
      <c r="I982" s="19">
        <f>IF($B982="","",IFERROR(INDEX(智能流水!$I$2:$I$1001,MATCH($B982,智能流水!$B$2:$B$1001,0)),""))</f>
        <v/>
      </c>
      <c r="J982" s="19">
        <f>IF($B982="","",IFERROR(INDEX(智能流水!$J$2:$J$1001,MATCH($B982,智能流水!$B$2:$B$1001,0)),""))</f>
        <v/>
      </c>
      <c r="K982" s="19">
        <f>IF($B982="","",IFERROR(INDEX(智能流水!$K$2:$K$1001,MATCH($B982,智能流水!$B$2:$B$1001,0)),""))</f>
        <v/>
      </c>
      <c r="L982" s="19">
        <f>IF($B982="","",IFERROR(INDEX(智能流水!$L$2:$L$1001,MATCH($B982,智能流水!$B$2:$B$1001,0)),""))</f>
        <v/>
      </c>
      <c r="M982" s="19">
        <f>IF($B982="","",IFERROR(INDEX(智能流水!$M$2:$M$1001,MATCH($B982,智能流水!$B$2:$B$1001,0)),""))</f>
        <v/>
      </c>
      <c r="N982" s="19">
        <f>IF($B982="","",IFERROR(INDEX(智能流水!$N$2:$N$1001,MATCH($B982,智能流水!$B$2:$B$1001,0)),""))</f>
        <v/>
      </c>
      <c r="O982" s="19">
        <f>IF($B982="","",IFERROR(INDEX(智能流水!$O$2:$O$1001,MATCH($B982,智能流水!$B$2:$B$1001,0)),""))</f>
        <v/>
      </c>
    </row>
    <row r="983">
      <c r="A983" s="19">
        <f>IF($B983="","",982)</f>
        <v/>
      </c>
      <c r="B983" s="19">
        <f>IFERROR(LARGE(智能流水!$B$2:$B$1001,982),"")</f>
        <v/>
      </c>
      <c r="C983" s="19">
        <f>IF($B983="","",IFERROR(INDEX(智能流水!$C$2:$C$1001,MATCH($B983,智能流水!$B$2:$B$1001,0)),""))</f>
        <v/>
      </c>
      <c r="D983" s="19">
        <f>IF($B983="","",IFERROR(INDEX(智能流水!$D$2:$D$1001,MATCH($B983,智能流水!$B$2:$B$1001,0)),""))</f>
        <v/>
      </c>
      <c r="E983" s="19">
        <f>IF($B983="","",IFERROR(INDEX(智能流水!$E$2:$E$1001,MATCH($B983,智能流水!$B$2:$B$1001,0)),""))</f>
        <v/>
      </c>
      <c r="F983" s="19">
        <f>IF($B983="","",IFERROR(INDEX(智能流水!$F$2:$F$1001,MATCH($B983,智能流水!$B$2:$B$1001,0)),""))</f>
        <v/>
      </c>
      <c r="G983" s="19">
        <f>IF($B983="","",IFERROR(INDEX(智能流水!$G$2:$G$1001,MATCH($B983,智能流水!$B$2:$B$1001,0)),""))</f>
        <v/>
      </c>
      <c r="H983" s="19">
        <f>IF($B983="","",IFERROR(INDEX(智能流水!$H$2:$H$1001,MATCH($B983,智能流水!$B$2:$B$1001,0)),""))</f>
        <v/>
      </c>
      <c r="I983" s="19">
        <f>IF($B983="","",IFERROR(INDEX(智能流水!$I$2:$I$1001,MATCH($B983,智能流水!$B$2:$B$1001,0)),""))</f>
        <v/>
      </c>
      <c r="J983" s="19">
        <f>IF($B983="","",IFERROR(INDEX(智能流水!$J$2:$J$1001,MATCH($B983,智能流水!$B$2:$B$1001,0)),""))</f>
        <v/>
      </c>
      <c r="K983" s="19">
        <f>IF($B983="","",IFERROR(INDEX(智能流水!$K$2:$K$1001,MATCH($B983,智能流水!$B$2:$B$1001,0)),""))</f>
        <v/>
      </c>
      <c r="L983" s="19">
        <f>IF($B983="","",IFERROR(INDEX(智能流水!$L$2:$L$1001,MATCH($B983,智能流水!$B$2:$B$1001,0)),""))</f>
        <v/>
      </c>
      <c r="M983" s="19">
        <f>IF($B983="","",IFERROR(INDEX(智能流水!$M$2:$M$1001,MATCH($B983,智能流水!$B$2:$B$1001,0)),""))</f>
        <v/>
      </c>
      <c r="N983" s="19">
        <f>IF($B983="","",IFERROR(INDEX(智能流水!$N$2:$N$1001,MATCH($B983,智能流水!$B$2:$B$1001,0)),""))</f>
        <v/>
      </c>
      <c r="O983" s="19">
        <f>IF($B983="","",IFERROR(INDEX(智能流水!$O$2:$O$1001,MATCH($B983,智能流水!$B$2:$B$1001,0)),""))</f>
        <v/>
      </c>
    </row>
    <row r="984">
      <c r="A984" s="19">
        <f>IF($B984="","",983)</f>
        <v/>
      </c>
      <c r="B984" s="19">
        <f>IFERROR(LARGE(智能流水!$B$2:$B$1001,983),"")</f>
        <v/>
      </c>
      <c r="C984" s="19">
        <f>IF($B984="","",IFERROR(INDEX(智能流水!$C$2:$C$1001,MATCH($B984,智能流水!$B$2:$B$1001,0)),""))</f>
        <v/>
      </c>
      <c r="D984" s="19">
        <f>IF($B984="","",IFERROR(INDEX(智能流水!$D$2:$D$1001,MATCH($B984,智能流水!$B$2:$B$1001,0)),""))</f>
        <v/>
      </c>
      <c r="E984" s="19">
        <f>IF($B984="","",IFERROR(INDEX(智能流水!$E$2:$E$1001,MATCH($B984,智能流水!$B$2:$B$1001,0)),""))</f>
        <v/>
      </c>
      <c r="F984" s="19">
        <f>IF($B984="","",IFERROR(INDEX(智能流水!$F$2:$F$1001,MATCH($B984,智能流水!$B$2:$B$1001,0)),""))</f>
        <v/>
      </c>
      <c r="G984" s="19">
        <f>IF($B984="","",IFERROR(INDEX(智能流水!$G$2:$G$1001,MATCH($B984,智能流水!$B$2:$B$1001,0)),""))</f>
        <v/>
      </c>
      <c r="H984" s="19">
        <f>IF($B984="","",IFERROR(INDEX(智能流水!$H$2:$H$1001,MATCH($B984,智能流水!$B$2:$B$1001,0)),""))</f>
        <v/>
      </c>
      <c r="I984" s="19">
        <f>IF($B984="","",IFERROR(INDEX(智能流水!$I$2:$I$1001,MATCH($B984,智能流水!$B$2:$B$1001,0)),""))</f>
        <v/>
      </c>
      <c r="J984" s="19">
        <f>IF($B984="","",IFERROR(INDEX(智能流水!$J$2:$J$1001,MATCH($B984,智能流水!$B$2:$B$1001,0)),""))</f>
        <v/>
      </c>
      <c r="K984" s="19">
        <f>IF($B984="","",IFERROR(INDEX(智能流水!$K$2:$K$1001,MATCH($B984,智能流水!$B$2:$B$1001,0)),""))</f>
        <v/>
      </c>
      <c r="L984" s="19">
        <f>IF($B984="","",IFERROR(INDEX(智能流水!$L$2:$L$1001,MATCH($B984,智能流水!$B$2:$B$1001,0)),""))</f>
        <v/>
      </c>
      <c r="M984" s="19">
        <f>IF($B984="","",IFERROR(INDEX(智能流水!$M$2:$M$1001,MATCH($B984,智能流水!$B$2:$B$1001,0)),""))</f>
        <v/>
      </c>
      <c r="N984" s="19">
        <f>IF($B984="","",IFERROR(INDEX(智能流水!$N$2:$N$1001,MATCH($B984,智能流水!$B$2:$B$1001,0)),""))</f>
        <v/>
      </c>
      <c r="O984" s="19">
        <f>IF($B984="","",IFERROR(INDEX(智能流水!$O$2:$O$1001,MATCH($B984,智能流水!$B$2:$B$1001,0)),""))</f>
        <v/>
      </c>
    </row>
    <row r="985">
      <c r="A985" s="19">
        <f>IF($B985="","",984)</f>
        <v/>
      </c>
      <c r="B985" s="19">
        <f>IFERROR(LARGE(智能流水!$B$2:$B$1001,984),"")</f>
        <v/>
      </c>
      <c r="C985" s="19">
        <f>IF($B985="","",IFERROR(INDEX(智能流水!$C$2:$C$1001,MATCH($B985,智能流水!$B$2:$B$1001,0)),""))</f>
        <v/>
      </c>
      <c r="D985" s="19">
        <f>IF($B985="","",IFERROR(INDEX(智能流水!$D$2:$D$1001,MATCH($B985,智能流水!$B$2:$B$1001,0)),""))</f>
        <v/>
      </c>
      <c r="E985" s="19">
        <f>IF($B985="","",IFERROR(INDEX(智能流水!$E$2:$E$1001,MATCH($B985,智能流水!$B$2:$B$1001,0)),""))</f>
        <v/>
      </c>
      <c r="F985" s="19">
        <f>IF($B985="","",IFERROR(INDEX(智能流水!$F$2:$F$1001,MATCH($B985,智能流水!$B$2:$B$1001,0)),""))</f>
        <v/>
      </c>
      <c r="G985" s="19">
        <f>IF($B985="","",IFERROR(INDEX(智能流水!$G$2:$G$1001,MATCH($B985,智能流水!$B$2:$B$1001,0)),""))</f>
        <v/>
      </c>
      <c r="H985" s="19">
        <f>IF($B985="","",IFERROR(INDEX(智能流水!$H$2:$H$1001,MATCH($B985,智能流水!$B$2:$B$1001,0)),""))</f>
        <v/>
      </c>
      <c r="I985" s="19">
        <f>IF($B985="","",IFERROR(INDEX(智能流水!$I$2:$I$1001,MATCH($B985,智能流水!$B$2:$B$1001,0)),""))</f>
        <v/>
      </c>
      <c r="J985" s="19">
        <f>IF($B985="","",IFERROR(INDEX(智能流水!$J$2:$J$1001,MATCH($B985,智能流水!$B$2:$B$1001,0)),""))</f>
        <v/>
      </c>
      <c r="K985" s="19">
        <f>IF($B985="","",IFERROR(INDEX(智能流水!$K$2:$K$1001,MATCH($B985,智能流水!$B$2:$B$1001,0)),""))</f>
        <v/>
      </c>
      <c r="L985" s="19">
        <f>IF($B985="","",IFERROR(INDEX(智能流水!$L$2:$L$1001,MATCH($B985,智能流水!$B$2:$B$1001,0)),""))</f>
        <v/>
      </c>
      <c r="M985" s="19">
        <f>IF($B985="","",IFERROR(INDEX(智能流水!$M$2:$M$1001,MATCH($B985,智能流水!$B$2:$B$1001,0)),""))</f>
        <v/>
      </c>
      <c r="N985" s="19">
        <f>IF($B985="","",IFERROR(INDEX(智能流水!$N$2:$N$1001,MATCH($B985,智能流水!$B$2:$B$1001,0)),""))</f>
        <v/>
      </c>
      <c r="O985" s="19">
        <f>IF($B985="","",IFERROR(INDEX(智能流水!$O$2:$O$1001,MATCH($B985,智能流水!$B$2:$B$1001,0)),""))</f>
        <v/>
      </c>
    </row>
    <row r="986">
      <c r="A986" s="19">
        <f>IF($B986="","",985)</f>
        <v/>
      </c>
      <c r="B986" s="19">
        <f>IFERROR(LARGE(智能流水!$B$2:$B$1001,985),"")</f>
        <v/>
      </c>
      <c r="C986" s="19">
        <f>IF($B986="","",IFERROR(INDEX(智能流水!$C$2:$C$1001,MATCH($B986,智能流水!$B$2:$B$1001,0)),""))</f>
        <v/>
      </c>
      <c r="D986" s="19">
        <f>IF($B986="","",IFERROR(INDEX(智能流水!$D$2:$D$1001,MATCH($B986,智能流水!$B$2:$B$1001,0)),""))</f>
        <v/>
      </c>
      <c r="E986" s="19">
        <f>IF($B986="","",IFERROR(INDEX(智能流水!$E$2:$E$1001,MATCH($B986,智能流水!$B$2:$B$1001,0)),""))</f>
        <v/>
      </c>
      <c r="F986" s="19">
        <f>IF($B986="","",IFERROR(INDEX(智能流水!$F$2:$F$1001,MATCH($B986,智能流水!$B$2:$B$1001,0)),""))</f>
        <v/>
      </c>
      <c r="G986" s="19">
        <f>IF($B986="","",IFERROR(INDEX(智能流水!$G$2:$G$1001,MATCH($B986,智能流水!$B$2:$B$1001,0)),""))</f>
        <v/>
      </c>
      <c r="H986" s="19">
        <f>IF($B986="","",IFERROR(INDEX(智能流水!$H$2:$H$1001,MATCH($B986,智能流水!$B$2:$B$1001,0)),""))</f>
        <v/>
      </c>
      <c r="I986" s="19">
        <f>IF($B986="","",IFERROR(INDEX(智能流水!$I$2:$I$1001,MATCH($B986,智能流水!$B$2:$B$1001,0)),""))</f>
        <v/>
      </c>
      <c r="J986" s="19">
        <f>IF($B986="","",IFERROR(INDEX(智能流水!$J$2:$J$1001,MATCH($B986,智能流水!$B$2:$B$1001,0)),""))</f>
        <v/>
      </c>
      <c r="K986" s="19">
        <f>IF($B986="","",IFERROR(INDEX(智能流水!$K$2:$K$1001,MATCH($B986,智能流水!$B$2:$B$1001,0)),""))</f>
        <v/>
      </c>
      <c r="L986" s="19">
        <f>IF($B986="","",IFERROR(INDEX(智能流水!$L$2:$L$1001,MATCH($B986,智能流水!$B$2:$B$1001,0)),""))</f>
        <v/>
      </c>
      <c r="M986" s="19">
        <f>IF($B986="","",IFERROR(INDEX(智能流水!$M$2:$M$1001,MATCH($B986,智能流水!$B$2:$B$1001,0)),""))</f>
        <v/>
      </c>
      <c r="N986" s="19">
        <f>IF($B986="","",IFERROR(INDEX(智能流水!$N$2:$N$1001,MATCH($B986,智能流水!$B$2:$B$1001,0)),""))</f>
        <v/>
      </c>
      <c r="O986" s="19">
        <f>IF($B986="","",IFERROR(INDEX(智能流水!$O$2:$O$1001,MATCH($B986,智能流水!$B$2:$B$1001,0)),""))</f>
        <v/>
      </c>
    </row>
    <row r="987">
      <c r="A987" s="19">
        <f>IF($B987="","",986)</f>
        <v/>
      </c>
      <c r="B987" s="19">
        <f>IFERROR(LARGE(智能流水!$B$2:$B$1001,986),"")</f>
        <v/>
      </c>
      <c r="C987" s="19">
        <f>IF($B987="","",IFERROR(INDEX(智能流水!$C$2:$C$1001,MATCH($B987,智能流水!$B$2:$B$1001,0)),""))</f>
        <v/>
      </c>
      <c r="D987" s="19">
        <f>IF($B987="","",IFERROR(INDEX(智能流水!$D$2:$D$1001,MATCH($B987,智能流水!$B$2:$B$1001,0)),""))</f>
        <v/>
      </c>
      <c r="E987" s="19">
        <f>IF($B987="","",IFERROR(INDEX(智能流水!$E$2:$E$1001,MATCH($B987,智能流水!$B$2:$B$1001,0)),""))</f>
        <v/>
      </c>
      <c r="F987" s="19">
        <f>IF($B987="","",IFERROR(INDEX(智能流水!$F$2:$F$1001,MATCH($B987,智能流水!$B$2:$B$1001,0)),""))</f>
        <v/>
      </c>
      <c r="G987" s="19">
        <f>IF($B987="","",IFERROR(INDEX(智能流水!$G$2:$G$1001,MATCH($B987,智能流水!$B$2:$B$1001,0)),""))</f>
        <v/>
      </c>
      <c r="H987" s="19">
        <f>IF($B987="","",IFERROR(INDEX(智能流水!$H$2:$H$1001,MATCH($B987,智能流水!$B$2:$B$1001,0)),""))</f>
        <v/>
      </c>
      <c r="I987" s="19">
        <f>IF($B987="","",IFERROR(INDEX(智能流水!$I$2:$I$1001,MATCH($B987,智能流水!$B$2:$B$1001,0)),""))</f>
        <v/>
      </c>
      <c r="J987" s="19">
        <f>IF($B987="","",IFERROR(INDEX(智能流水!$J$2:$J$1001,MATCH($B987,智能流水!$B$2:$B$1001,0)),""))</f>
        <v/>
      </c>
      <c r="K987" s="19">
        <f>IF($B987="","",IFERROR(INDEX(智能流水!$K$2:$K$1001,MATCH($B987,智能流水!$B$2:$B$1001,0)),""))</f>
        <v/>
      </c>
      <c r="L987" s="19">
        <f>IF($B987="","",IFERROR(INDEX(智能流水!$L$2:$L$1001,MATCH($B987,智能流水!$B$2:$B$1001,0)),""))</f>
        <v/>
      </c>
      <c r="M987" s="19">
        <f>IF($B987="","",IFERROR(INDEX(智能流水!$M$2:$M$1001,MATCH($B987,智能流水!$B$2:$B$1001,0)),""))</f>
        <v/>
      </c>
      <c r="N987" s="19">
        <f>IF($B987="","",IFERROR(INDEX(智能流水!$N$2:$N$1001,MATCH($B987,智能流水!$B$2:$B$1001,0)),""))</f>
        <v/>
      </c>
      <c r="O987" s="19">
        <f>IF($B987="","",IFERROR(INDEX(智能流水!$O$2:$O$1001,MATCH($B987,智能流水!$B$2:$B$1001,0)),""))</f>
        <v/>
      </c>
    </row>
    <row r="988">
      <c r="A988" s="19">
        <f>IF($B988="","",987)</f>
        <v/>
      </c>
      <c r="B988" s="19">
        <f>IFERROR(LARGE(智能流水!$B$2:$B$1001,987),"")</f>
        <v/>
      </c>
      <c r="C988" s="19">
        <f>IF($B988="","",IFERROR(INDEX(智能流水!$C$2:$C$1001,MATCH($B988,智能流水!$B$2:$B$1001,0)),""))</f>
        <v/>
      </c>
      <c r="D988" s="19">
        <f>IF($B988="","",IFERROR(INDEX(智能流水!$D$2:$D$1001,MATCH($B988,智能流水!$B$2:$B$1001,0)),""))</f>
        <v/>
      </c>
      <c r="E988" s="19">
        <f>IF($B988="","",IFERROR(INDEX(智能流水!$E$2:$E$1001,MATCH($B988,智能流水!$B$2:$B$1001,0)),""))</f>
        <v/>
      </c>
      <c r="F988" s="19">
        <f>IF($B988="","",IFERROR(INDEX(智能流水!$F$2:$F$1001,MATCH($B988,智能流水!$B$2:$B$1001,0)),""))</f>
        <v/>
      </c>
      <c r="G988" s="19">
        <f>IF($B988="","",IFERROR(INDEX(智能流水!$G$2:$G$1001,MATCH($B988,智能流水!$B$2:$B$1001,0)),""))</f>
        <v/>
      </c>
      <c r="H988" s="19">
        <f>IF($B988="","",IFERROR(INDEX(智能流水!$H$2:$H$1001,MATCH($B988,智能流水!$B$2:$B$1001,0)),""))</f>
        <v/>
      </c>
      <c r="I988" s="19">
        <f>IF($B988="","",IFERROR(INDEX(智能流水!$I$2:$I$1001,MATCH($B988,智能流水!$B$2:$B$1001,0)),""))</f>
        <v/>
      </c>
      <c r="J988" s="19">
        <f>IF($B988="","",IFERROR(INDEX(智能流水!$J$2:$J$1001,MATCH($B988,智能流水!$B$2:$B$1001,0)),""))</f>
        <v/>
      </c>
      <c r="K988" s="19">
        <f>IF($B988="","",IFERROR(INDEX(智能流水!$K$2:$K$1001,MATCH($B988,智能流水!$B$2:$B$1001,0)),""))</f>
        <v/>
      </c>
      <c r="L988" s="19">
        <f>IF($B988="","",IFERROR(INDEX(智能流水!$L$2:$L$1001,MATCH($B988,智能流水!$B$2:$B$1001,0)),""))</f>
        <v/>
      </c>
      <c r="M988" s="19">
        <f>IF($B988="","",IFERROR(INDEX(智能流水!$M$2:$M$1001,MATCH($B988,智能流水!$B$2:$B$1001,0)),""))</f>
        <v/>
      </c>
      <c r="N988" s="19">
        <f>IF($B988="","",IFERROR(INDEX(智能流水!$N$2:$N$1001,MATCH($B988,智能流水!$B$2:$B$1001,0)),""))</f>
        <v/>
      </c>
      <c r="O988" s="19">
        <f>IF($B988="","",IFERROR(INDEX(智能流水!$O$2:$O$1001,MATCH($B988,智能流水!$B$2:$B$1001,0)),""))</f>
        <v/>
      </c>
    </row>
    <row r="989">
      <c r="A989" s="19">
        <f>IF($B989="","",988)</f>
        <v/>
      </c>
      <c r="B989" s="19">
        <f>IFERROR(LARGE(智能流水!$B$2:$B$1001,988),"")</f>
        <v/>
      </c>
      <c r="C989" s="19">
        <f>IF($B989="","",IFERROR(INDEX(智能流水!$C$2:$C$1001,MATCH($B989,智能流水!$B$2:$B$1001,0)),""))</f>
        <v/>
      </c>
      <c r="D989" s="19">
        <f>IF($B989="","",IFERROR(INDEX(智能流水!$D$2:$D$1001,MATCH($B989,智能流水!$B$2:$B$1001,0)),""))</f>
        <v/>
      </c>
      <c r="E989" s="19">
        <f>IF($B989="","",IFERROR(INDEX(智能流水!$E$2:$E$1001,MATCH($B989,智能流水!$B$2:$B$1001,0)),""))</f>
        <v/>
      </c>
      <c r="F989" s="19">
        <f>IF($B989="","",IFERROR(INDEX(智能流水!$F$2:$F$1001,MATCH($B989,智能流水!$B$2:$B$1001,0)),""))</f>
        <v/>
      </c>
      <c r="G989" s="19">
        <f>IF($B989="","",IFERROR(INDEX(智能流水!$G$2:$G$1001,MATCH($B989,智能流水!$B$2:$B$1001,0)),""))</f>
        <v/>
      </c>
      <c r="H989" s="19">
        <f>IF($B989="","",IFERROR(INDEX(智能流水!$H$2:$H$1001,MATCH($B989,智能流水!$B$2:$B$1001,0)),""))</f>
        <v/>
      </c>
      <c r="I989" s="19">
        <f>IF($B989="","",IFERROR(INDEX(智能流水!$I$2:$I$1001,MATCH($B989,智能流水!$B$2:$B$1001,0)),""))</f>
        <v/>
      </c>
      <c r="J989" s="19">
        <f>IF($B989="","",IFERROR(INDEX(智能流水!$J$2:$J$1001,MATCH($B989,智能流水!$B$2:$B$1001,0)),""))</f>
        <v/>
      </c>
      <c r="K989" s="19">
        <f>IF($B989="","",IFERROR(INDEX(智能流水!$K$2:$K$1001,MATCH($B989,智能流水!$B$2:$B$1001,0)),""))</f>
        <v/>
      </c>
      <c r="L989" s="19">
        <f>IF($B989="","",IFERROR(INDEX(智能流水!$L$2:$L$1001,MATCH($B989,智能流水!$B$2:$B$1001,0)),""))</f>
        <v/>
      </c>
      <c r="M989" s="19">
        <f>IF($B989="","",IFERROR(INDEX(智能流水!$M$2:$M$1001,MATCH($B989,智能流水!$B$2:$B$1001,0)),""))</f>
        <v/>
      </c>
      <c r="N989" s="19">
        <f>IF($B989="","",IFERROR(INDEX(智能流水!$N$2:$N$1001,MATCH($B989,智能流水!$B$2:$B$1001,0)),""))</f>
        <v/>
      </c>
      <c r="O989" s="19">
        <f>IF($B989="","",IFERROR(INDEX(智能流水!$O$2:$O$1001,MATCH($B989,智能流水!$B$2:$B$1001,0)),""))</f>
        <v/>
      </c>
    </row>
    <row r="990">
      <c r="A990" s="19">
        <f>IF($B990="","",989)</f>
        <v/>
      </c>
      <c r="B990" s="19">
        <f>IFERROR(LARGE(智能流水!$B$2:$B$1001,989),"")</f>
        <v/>
      </c>
      <c r="C990" s="19">
        <f>IF($B990="","",IFERROR(INDEX(智能流水!$C$2:$C$1001,MATCH($B990,智能流水!$B$2:$B$1001,0)),""))</f>
        <v/>
      </c>
      <c r="D990" s="19">
        <f>IF($B990="","",IFERROR(INDEX(智能流水!$D$2:$D$1001,MATCH($B990,智能流水!$B$2:$B$1001,0)),""))</f>
        <v/>
      </c>
      <c r="E990" s="19">
        <f>IF($B990="","",IFERROR(INDEX(智能流水!$E$2:$E$1001,MATCH($B990,智能流水!$B$2:$B$1001,0)),""))</f>
        <v/>
      </c>
      <c r="F990" s="19">
        <f>IF($B990="","",IFERROR(INDEX(智能流水!$F$2:$F$1001,MATCH($B990,智能流水!$B$2:$B$1001,0)),""))</f>
        <v/>
      </c>
      <c r="G990" s="19">
        <f>IF($B990="","",IFERROR(INDEX(智能流水!$G$2:$G$1001,MATCH($B990,智能流水!$B$2:$B$1001,0)),""))</f>
        <v/>
      </c>
      <c r="H990" s="19">
        <f>IF($B990="","",IFERROR(INDEX(智能流水!$H$2:$H$1001,MATCH($B990,智能流水!$B$2:$B$1001,0)),""))</f>
        <v/>
      </c>
      <c r="I990" s="19">
        <f>IF($B990="","",IFERROR(INDEX(智能流水!$I$2:$I$1001,MATCH($B990,智能流水!$B$2:$B$1001,0)),""))</f>
        <v/>
      </c>
      <c r="J990" s="19">
        <f>IF($B990="","",IFERROR(INDEX(智能流水!$J$2:$J$1001,MATCH($B990,智能流水!$B$2:$B$1001,0)),""))</f>
        <v/>
      </c>
      <c r="K990" s="19">
        <f>IF($B990="","",IFERROR(INDEX(智能流水!$K$2:$K$1001,MATCH($B990,智能流水!$B$2:$B$1001,0)),""))</f>
        <v/>
      </c>
      <c r="L990" s="19">
        <f>IF($B990="","",IFERROR(INDEX(智能流水!$L$2:$L$1001,MATCH($B990,智能流水!$B$2:$B$1001,0)),""))</f>
        <v/>
      </c>
      <c r="M990" s="19">
        <f>IF($B990="","",IFERROR(INDEX(智能流水!$M$2:$M$1001,MATCH($B990,智能流水!$B$2:$B$1001,0)),""))</f>
        <v/>
      </c>
      <c r="N990" s="19">
        <f>IF($B990="","",IFERROR(INDEX(智能流水!$N$2:$N$1001,MATCH($B990,智能流水!$B$2:$B$1001,0)),""))</f>
        <v/>
      </c>
      <c r="O990" s="19">
        <f>IF($B990="","",IFERROR(INDEX(智能流水!$O$2:$O$1001,MATCH($B990,智能流水!$B$2:$B$1001,0)),""))</f>
        <v/>
      </c>
    </row>
    <row r="991">
      <c r="A991" s="19">
        <f>IF($B991="","",990)</f>
        <v/>
      </c>
      <c r="B991" s="19">
        <f>IFERROR(LARGE(智能流水!$B$2:$B$1001,990),"")</f>
        <v/>
      </c>
      <c r="C991" s="19">
        <f>IF($B991="","",IFERROR(INDEX(智能流水!$C$2:$C$1001,MATCH($B991,智能流水!$B$2:$B$1001,0)),""))</f>
        <v/>
      </c>
      <c r="D991" s="19">
        <f>IF($B991="","",IFERROR(INDEX(智能流水!$D$2:$D$1001,MATCH($B991,智能流水!$B$2:$B$1001,0)),""))</f>
        <v/>
      </c>
      <c r="E991" s="19">
        <f>IF($B991="","",IFERROR(INDEX(智能流水!$E$2:$E$1001,MATCH($B991,智能流水!$B$2:$B$1001,0)),""))</f>
        <v/>
      </c>
      <c r="F991" s="19">
        <f>IF($B991="","",IFERROR(INDEX(智能流水!$F$2:$F$1001,MATCH($B991,智能流水!$B$2:$B$1001,0)),""))</f>
        <v/>
      </c>
      <c r="G991" s="19">
        <f>IF($B991="","",IFERROR(INDEX(智能流水!$G$2:$G$1001,MATCH($B991,智能流水!$B$2:$B$1001,0)),""))</f>
        <v/>
      </c>
      <c r="H991" s="19">
        <f>IF($B991="","",IFERROR(INDEX(智能流水!$H$2:$H$1001,MATCH($B991,智能流水!$B$2:$B$1001,0)),""))</f>
        <v/>
      </c>
      <c r="I991" s="19">
        <f>IF($B991="","",IFERROR(INDEX(智能流水!$I$2:$I$1001,MATCH($B991,智能流水!$B$2:$B$1001,0)),""))</f>
        <v/>
      </c>
      <c r="J991" s="19">
        <f>IF($B991="","",IFERROR(INDEX(智能流水!$J$2:$J$1001,MATCH($B991,智能流水!$B$2:$B$1001,0)),""))</f>
        <v/>
      </c>
      <c r="K991" s="19">
        <f>IF($B991="","",IFERROR(INDEX(智能流水!$K$2:$K$1001,MATCH($B991,智能流水!$B$2:$B$1001,0)),""))</f>
        <v/>
      </c>
      <c r="L991" s="19">
        <f>IF($B991="","",IFERROR(INDEX(智能流水!$L$2:$L$1001,MATCH($B991,智能流水!$B$2:$B$1001,0)),""))</f>
        <v/>
      </c>
      <c r="M991" s="19">
        <f>IF($B991="","",IFERROR(INDEX(智能流水!$M$2:$M$1001,MATCH($B991,智能流水!$B$2:$B$1001,0)),""))</f>
        <v/>
      </c>
      <c r="N991" s="19">
        <f>IF($B991="","",IFERROR(INDEX(智能流水!$N$2:$N$1001,MATCH($B991,智能流水!$B$2:$B$1001,0)),""))</f>
        <v/>
      </c>
      <c r="O991" s="19">
        <f>IF($B991="","",IFERROR(INDEX(智能流水!$O$2:$O$1001,MATCH($B991,智能流水!$B$2:$B$1001,0)),""))</f>
        <v/>
      </c>
    </row>
    <row r="992">
      <c r="A992" s="19">
        <f>IF($B992="","",991)</f>
        <v/>
      </c>
      <c r="B992" s="19">
        <f>IFERROR(LARGE(智能流水!$B$2:$B$1001,991),"")</f>
        <v/>
      </c>
      <c r="C992" s="19">
        <f>IF($B992="","",IFERROR(INDEX(智能流水!$C$2:$C$1001,MATCH($B992,智能流水!$B$2:$B$1001,0)),""))</f>
        <v/>
      </c>
      <c r="D992" s="19">
        <f>IF($B992="","",IFERROR(INDEX(智能流水!$D$2:$D$1001,MATCH($B992,智能流水!$B$2:$B$1001,0)),""))</f>
        <v/>
      </c>
      <c r="E992" s="19">
        <f>IF($B992="","",IFERROR(INDEX(智能流水!$E$2:$E$1001,MATCH($B992,智能流水!$B$2:$B$1001,0)),""))</f>
        <v/>
      </c>
      <c r="F992" s="19">
        <f>IF($B992="","",IFERROR(INDEX(智能流水!$F$2:$F$1001,MATCH($B992,智能流水!$B$2:$B$1001,0)),""))</f>
        <v/>
      </c>
      <c r="G992" s="19">
        <f>IF($B992="","",IFERROR(INDEX(智能流水!$G$2:$G$1001,MATCH($B992,智能流水!$B$2:$B$1001,0)),""))</f>
        <v/>
      </c>
      <c r="H992" s="19">
        <f>IF($B992="","",IFERROR(INDEX(智能流水!$H$2:$H$1001,MATCH($B992,智能流水!$B$2:$B$1001,0)),""))</f>
        <v/>
      </c>
      <c r="I992" s="19">
        <f>IF($B992="","",IFERROR(INDEX(智能流水!$I$2:$I$1001,MATCH($B992,智能流水!$B$2:$B$1001,0)),""))</f>
        <v/>
      </c>
      <c r="J992" s="19">
        <f>IF($B992="","",IFERROR(INDEX(智能流水!$J$2:$J$1001,MATCH($B992,智能流水!$B$2:$B$1001,0)),""))</f>
        <v/>
      </c>
      <c r="K992" s="19">
        <f>IF($B992="","",IFERROR(INDEX(智能流水!$K$2:$K$1001,MATCH($B992,智能流水!$B$2:$B$1001,0)),""))</f>
        <v/>
      </c>
      <c r="L992" s="19">
        <f>IF($B992="","",IFERROR(INDEX(智能流水!$L$2:$L$1001,MATCH($B992,智能流水!$B$2:$B$1001,0)),""))</f>
        <v/>
      </c>
      <c r="M992" s="19">
        <f>IF($B992="","",IFERROR(INDEX(智能流水!$M$2:$M$1001,MATCH($B992,智能流水!$B$2:$B$1001,0)),""))</f>
        <v/>
      </c>
      <c r="N992" s="19">
        <f>IF($B992="","",IFERROR(INDEX(智能流水!$N$2:$N$1001,MATCH($B992,智能流水!$B$2:$B$1001,0)),""))</f>
        <v/>
      </c>
      <c r="O992" s="19">
        <f>IF($B992="","",IFERROR(INDEX(智能流水!$O$2:$O$1001,MATCH($B992,智能流水!$B$2:$B$1001,0)),""))</f>
        <v/>
      </c>
    </row>
    <row r="993">
      <c r="A993" s="19">
        <f>IF($B993="","",992)</f>
        <v/>
      </c>
      <c r="B993" s="19">
        <f>IFERROR(LARGE(智能流水!$B$2:$B$1001,992),"")</f>
        <v/>
      </c>
      <c r="C993" s="19">
        <f>IF($B993="","",IFERROR(INDEX(智能流水!$C$2:$C$1001,MATCH($B993,智能流水!$B$2:$B$1001,0)),""))</f>
        <v/>
      </c>
      <c r="D993" s="19">
        <f>IF($B993="","",IFERROR(INDEX(智能流水!$D$2:$D$1001,MATCH($B993,智能流水!$B$2:$B$1001,0)),""))</f>
        <v/>
      </c>
      <c r="E993" s="19">
        <f>IF($B993="","",IFERROR(INDEX(智能流水!$E$2:$E$1001,MATCH($B993,智能流水!$B$2:$B$1001,0)),""))</f>
        <v/>
      </c>
      <c r="F993" s="19">
        <f>IF($B993="","",IFERROR(INDEX(智能流水!$F$2:$F$1001,MATCH($B993,智能流水!$B$2:$B$1001,0)),""))</f>
        <v/>
      </c>
      <c r="G993" s="19">
        <f>IF($B993="","",IFERROR(INDEX(智能流水!$G$2:$G$1001,MATCH($B993,智能流水!$B$2:$B$1001,0)),""))</f>
        <v/>
      </c>
      <c r="H993" s="19">
        <f>IF($B993="","",IFERROR(INDEX(智能流水!$H$2:$H$1001,MATCH($B993,智能流水!$B$2:$B$1001,0)),""))</f>
        <v/>
      </c>
      <c r="I993" s="19">
        <f>IF($B993="","",IFERROR(INDEX(智能流水!$I$2:$I$1001,MATCH($B993,智能流水!$B$2:$B$1001,0)),""))</f>
        <v/>
      </c>
      <c r="J993" s="19">
        <f>IF($B993="","",IFERROR(INDEX(智能流水!$J$2:$J$1001,MATCH($B993,智能流水!$B$2:$B$1001,0)),""))</f>
        <v/>
      </c>
      <c r="K993" s="19">
        <f>IF($B993="","",IFERROR(INDEX(智能流水!$K$2:$K$1001,MATCH($B993,智能流水!$B$2:$B$1001,0)),""))</f>
        <v/>
      </c>
      <c r="L993" s="19">
        <f>IF($B993="","",IFERROR(INDEX(智能流水!$L$2:$L$1001,MATCH($B993,智能流水!$B$2:$B$1001,0)),""))</f>
        <v/>
      </c>
      <c r="M993" s="19">
        <f>IF($B993="","",IFERROR(INDEX(智能流水!$M$2:$M$1001,MATCH($B993,智能流水!$B$2:$B$1001,0)),""))</f>
        <v/>
      </c>
      <c r="N993" s="19">
        <f>IF($B993="","",IFERROR(INDEX(智能流水!$N$2:$N$1001,MATCH($B993,智能流水!$B$2:$B$1001,0)),""))</f>
        <v/>
      </c>
      <c r="O993" s="19">
        <f>IF($B993="","",IFERROR(INDEX(智能流水!$O$2:$O$1001,MATCH($B993,智能流水!$B$2:$B$1001,0)),""))</f>
        <v/>
      </c>
    </row>
    <row r="994">
      <c r="A994" s="19">
        <f>IF($B994="","",993)</f>
        <v/>
      </c>
      <c r="B994" s="19">
        <f>IFERROR(LARGE(智能流水!$B$2:$B$1001,993),"")</f>
        <v/>
      </c>
      <c r="C994" s="19">
        <f>IF($B994="","",IFERROR(INDEX(智能流水!$C$2:$C$1001,MATCH($B994,智能流水!$B$2:$B$1001,0)),""))</f>
        <v/>
      </c>
      <c r="D994" s="19">
        <f>IF($B994="","",IFERROR(INDEX(智能流水!$D$2:$D$1001,MATCH($B994,智能流水!$B$2:$B$1001,0)),""))</f>
        <v/>
      </c>
      <c r="E994" s="19">
        <f>IF($B994="","",IFERROR(INDEX(智能流水!$E$2:$E$1001,MATCH($B994,智能流水!$B$2:$B$1001,0)),""))</f>
        <v/>
      </c>
      <c r="F994" s="19">
        <f>IF($B994="","",IFERROR(INDEX(智能流水!$F$2:$F$1001,MATCH($B994,智能流水!$B$2:$B$1001,0)),""))</f>
        <v/>
      </c>
      <c r="G994" s="19">
        <f>IF($B994="","",IFERROR(INDEX(智能流水!$G$2:$G$1001,MATCH($B994,智能流水!$B$2:$B$1001,0)),""))</f>
        <v/>
      </c>
      <c r="H994" s="19">
        <f>IF($B994="","",IFERROR(INDEX(智能流水!$H$2:$H$1001,MATCH($B994,智能流水!$B$2:$B$1001,0)),""))</f>
        <v/>
      </c>
      <c r="I994" s="19">
        <f>IF($B994="","",IFERROR(INDEX(智能流水!$I$2:$I$1001,MATCH($B994,智能流水!$B$2:$B$1001,0)),""))</f>
        <v/>
      </c>
      <c r="J994" s="19">
        <f>IF($B994="","",IFERROR(INDEX(智能流水!$J$2:$J$1001,MATCH($B994,智能流水!$B$2:$B$1001,0)),""))</f>
        <v/>
      </c>
      <c r="K994" s="19">
        <f>IF($B994="","",IFERROR(INDEX(智能流水!$K$2:$K$1001,MATCH($B994,智能流水!$B$2:$B$1001,0)),""))</f>
        <v/>
      </c>
      <c r="L994" s="19">
        <f>IF($B994="","",IFERROR(INDEX(智能流水!$L$2:$L$1001,MATCH($B994,智能流水!$B$2:$B$1001,0)),""))</f>
        <v/>
      </c>
      <c r="M994" s="19">
        <f>IF($B994="","",IFERROR(INDEX(智能流水!$M$2:$M$1001,MATCH($B994,智能流水!$B$2:$B$1001,0)),""))</f>
        <v/>
      </c>
      <c r="N994" s="19">
        <f>IF($B994="","",IFERROR(INDEX(智能流水!$N$2:$N$1001,MATCH($B994,智能流水!$B$2:$B$1001,0)),""))</f>
        <v/>
      </c>
      <c r="O994" s="19">
        <f>IF($B994="","",IFERROR(INDEX(智能流水!$O$2:$O$1001,MATCH($B994,智能流水!$B$2:$B$1001,0)),""))</f>
        <v/>
      </c>
    </row>
    <row r="995">
      <c r="A995" s="19">
        <f>IF($B995="","",994)</f>
        <v/>
      </c>
      <c r="B995" s="19">
        <f>IFERROR(LARGE(智能流水!$B$2:$B$1001,994),"")</f>
        <v/>
      </c>
      <c r="C995" s="19">
        <f>IF($B995="","",IFERROR(INDEX(智能流水!$C$2:$C$1001,MATCH($B995,智能流水!$B$2:$B$1001,0)),""))</f>
        <v/>
      </c>
      <c r="D995" s="19">
        <f>IF($B995="","",IFERROR(INDEX(智能流水!$D$2:$D$1001,MATCH($B995,智能流水!$B$2:$B$1001,0)),""))</f>
        <v/>
      </c>
      <c r="E995" s="19">
        <f>IF($B995="","",IFERROR(INDEX(智能流水!$E$2:$E$1001,MATCH($B995,智能流水!$B$2:$B$1001,0)),""))</f>
        <v/>
      </c>
      <c r="F995" s="19">
        <f>IF($B995="","",IFERROR(INDEX(智能流水!$F$2:$F$1001,MATCH($B995,智能流水!$B$2:$B$1001,0)),""))</f>
        <v/>
      </c>
      <c r="G995" s="19">
        <f>IF($B995="","",IFERROR(INDEX(智能流水!$G$2:$G$1001,MATCH($B995,智能流水!$B$2:$B$1001,0)),""))</f>
        <v/>
      </c>
      <c r="H995" s="19">
        <f>IF($B995="","",IFERROR(INDEX(智能流水!$H$2:$H$1001,MATCH($B995,智能流水!$B$2:$B$1001,0)),""))</f>
        <v/>
      </c>
      <c r="I995" s="19">
        <f>IF($B995="","",IFERROR(INDEX(智能流水!$I$2:$I$1001,MATCH($B995,智能流水!$B$2:$B$1001,0)),""))</f>
        <v/>
      </c>
      <c r="J995" s="19">
        <f>IF($B995="","",IFERROR(INDEX(智能流水!$J$2:$J$1001,MATCH($B995,智能流水!$B$2:$B$1001,0)),""))</f>
        <v/>
      </c>
      <c r="K995" s="19">
        <f>IF($B995="","",IFERROR(INDEX(智能流水!$K$2:$K$1001,MATCH($B995,智能流水!$B$2:$B$1001,0)),""))</f>
        <v/>
      </c>
      <c r="L995" s="19">
        <f>IF($B995="","",IFERROR(INDEX(智能流水!$L$2:$L$1001,MATCH($B995,智能流水!$B$2:$B$1001,0)),""))</f>
        <v/>
      </c>
      <c r="M995" s="19">
        <f>IF($B995="","",IFERROR(INDEX(智能流水!$M$2:$M$1001,MATCH($B995,智能流水!$B$2:$B$1001,0)),""))</f>
        <v/>
      </c>
      <c r="N995" s="19">
        <f>IF($B995="","",IFERROR(INDEX(智能流水!$N$2:$N$1001,MATCH($B995,智能流水!$B$2:$B$1001,0)),""))</f>
        <v/>
      </c>
      <c r="O995" s="19">
        <f>IF($B995="","",IFERROR(INDEX(智能流水!$O$2:$O$1001,MATCH($B995,智能流水!$B$2:$B$1001,0)),""))</f>
        <v/>
      </c>
    </row>
    <row r="996">
      <c r="A996" s="19">
        <f>IF($B996="","",995)</f>
        <v/>
      </c>
      <c r="B996" s="19">
        <f>IFERROR(LARGE(智能流水!$B$2:$B$1001,995),"")</f>
        <v/>
      </c>
      <c r="C996" s="19">
        <f>IF($B996="","",IFERROR(INDEX(智能流水!$C$2:$C$1001,MATCH($B996,智能流水!$B$2:$B$1001,0)),""))</f>
        <v/>
      </c>
      <c r="D996" s="19">
        <f>IF($B996="","",IFERROR(INDEX(智能流水!$D$2:$D$1001,MATCH($B996,智能流水!$B$2:$B$1001,0)),""))</f>
        <v/>
      </c>
      <c r="E996" s="19">
        <f>IF($B996="","",IFERROR(INDEX(智能流水!$E$2:$E$1001,MATCH($B996,智能流水!$B$2:$B$1001,0)),""))</f>
        <v/>
      </c>
      <c r="F996" s="19">
        <f>IF($B996="","",IFERROR(INDEX(智能流水!$F$2:$F$1001,MATCH($B996,智能流水!$B$2:$B$1001,0)),""))</f>
        <v/>
      </c>
      <c r="G996" s="19">
        <f>IF($B996="","",IFERROR(INDEX(智能流水!$G$2:$G$1001,MATCH($B996,智能流水!$B$2:$B$1001,0)),""))</f>
        <v/>
      </c>
      <c r="H996" s="19">
        <f>IF($B996="","",IFERROR(INDEX(智能流水!$H$2:$H$1001,MATCH($B996,智能流水!$B$2:$B$1001,0)),""))</f>
        <v/>
      </c>
      <c r="I996" s="19">
        <f>IF($B996="","",IFERROR(INDEX(智能流水!$I$2:$I$1001,MATCH($B996,智能流水!$B$2:$B$1001,0)),""))</f>
        <v/>
      </c>
      <c r="J996" s="19">
        <f>IF($B996="","",IFERROR(INDEX(智能流水!$J$2:$J$1001,MATCH($B996,智能流水!$B$2:$B$1001,0)),""))</f>
        <v/>
      </c>
      <c r="K996" s="19">
        <f>IF($B996="","",IFERROR(INDEX(智能流水!$K$2:$K$1001,MATCH($B996,智能流水!$B$2:$B$1001,0)),""))</f>
        <v/>
      </c>
      <c r="L996" s="19">
        <f>IF($B996="","",IFERROR(INDEX(智能流水!$L$2:$L$1001,MATCH($B996,智能流水!$B$2:$B$1001,0)),""))</f>
        <v/>
      </c>
      <c r="M996" s="19">
        <f>IF($B996="","",IFERROR(INDEX(智能流水!$M$2:$M$1001,MATCH($B996,智能流水!$B$2:$B$1001,0)),""))</f>
        <v/>
      </c>
      <c r="N996" s="19">
        <f>IF($B996="","",IFERROR(INDEX(智能流水!$N$2:$N$1001,MATCH($B996,智能流水!$B$2:$B$1001,0)),""))</f>
        <v/>
      </c>
      <c r="O996" s="19">
        <f>IF($B996="","",IFERROR(INDEX(智能流水!$O$2:$O$1001,MATCH($B996,智能流水!$B$2:$B$1001,0)),""))</f>
        <v/>
      </c>
    </row>
    <row r="997">
      <c r="A997" s="19">
        <f>IF($B997="","",996)</f>
        <v/>
      </c>
      <c r="B997" s="19">
        <f>IFERROR(LARGE(智能流水!$B$2:$B$1001,996),"")</f>
        <v/>
      </c>
      <c r="C997" s="19">
        <f>IF($B997="","",IFERROR(INDEX(智能流水!$C$2:$C$1001,MATCH($B997,智能流水!$B$2:$B$1001,0)),""))</f>
        <v/>
      </c>
      <c r="D997" s="19">
        <f>IF($B997="","",IFERROR(INDEX(智能流水!$D$2:$D$1001,MATCH($B997,智能流水!$B$2:$B$1001,0)),""))</f>
        <v/>
      </c>
      <c r="E997" s="19">
        <f>IF($B997="","",IFERROR(INDEX(智能流水!$E$2:$E$1001,MATCH($B997,智能流水!$B$2:$B$1001,0)),""))</f>
        <v/>
      </c>
      <c r="F997" s="19">
        <f>IF($B997="","",IFERROR(INDEX(智能流水!$F$2:$F$1001,MATCH($B997,智能流水!$B$2:$B$1001,0)),""))</f>
        <v/>
      </c>
      <c r="G997" s="19">
        <f>IF($B997="","",IFERROR(INDEX(智能流水!$G$2:$G$1001,MATCH($B997,智能流水!$B$2:$B$1001,0)),""))</f>
        <v/>
      </c>
      <c r="H997" s="19">
        <f>IF($B997="","",IFERROR(INDEX(智能流水!$H$2:$H$1001,MATCH($B997,智能流水!$B$2:$B$1001,0)),""))</f>
        <v/>
      </c>
      <c r="I997" s="19">
        <f>IF($B997="","",IFERROR(INDEX(智能流水!$I$2:$I$1001,MATCH($B997,智能流水!$B$2:$B$1001,0)),""))</f>
        <v/>
      </c>
      <c r="J997" s="19">
        <f>IF($B997="","",IFERROR(INDEX(智能流水!$J$2:$J$1001,MATCH($B997,智能流水!$B$2:$B$1001,0)),""))</f>
        <v/>
      </c>
      <c r="K997" s="19">
        <f>IF($B997="","",IFERROR(INDEX(智能流水!$K$2:$K$1001,MATCH($B997,智能流水!$B$2:$B$1001,0)),""))</f>
        <v/>
      </c>
      <c r="L997" s="19">
        <f>IF($B997="","",IFERROR(INDEX(智能流水!$L$2:$L$1001,MATCH($B997,智能流水!$B$2:$B$1001,0)),""))</f>
        <v/>
      </c>
      <c r="M997" s="19">
        <f>IF($B997="","",IFERROR(INDEX(智能流水!$M$2:$M$1001,MATCH($B997,智能流水!$B$2:$B$1001,0)),""))</f>
        <v/>
      </c>
      <c r="N997" s="19">
        <f>IF($B997="","",IFERROR(INDEX(智能流水!$N$2:$N$1001,MATCH($B997,智能流水!$B$2:$B$1001,0)),""))</f>
        <v/>
      </c>
      <c r="O997" s="19">
        <f>IF($B997="","",IFERROR(INDEX(智能流水!$O$2:$O$1001,MATCH($B997,智能流水!$B$2:$B$1001,0)),""))</f>
        <v/>
      </c>
    </row>
    <row r="998">
      <c r="A998" s="19">
        <f>IF($B998="","",997)</f>
        <v/>
      </c>
      <c r="B998" s="19">
        <f>IFERROR(LARGE(智能流水!$B$2:$B$1001,997),"")</f>
        <v/>
      </c>
      <c r="C998" s="19">
        <f>IF($B998="","",IFERROR(INDEX(智能流水!$C$2:$C$1001,MATCH($B998,智能流水!$B$2:$B$1001,0)),""))</f>
        <v/>
      </c>
      <c r="D998" s="19">
        <f>IF($B998="","",IFERROR(INDEX(智能流水!$D$2:$D$1001,MATCH($B998,智能流水!$B$2:$B$1001,0)),""))</f>
        <v/>
      </c>
      <c r="E998" s="19">
        <f>IF($B998="","",IFERROR(INDEX(智能流水!$E$2:$E$1001,MATCH($B998,智能流水!$B$2:$B$1001,0)),""))</f>
        <v/>
      </c>
      <c r="F998" s="19">
        <f>IF($B998="","",IFERROR(INDEX(智能流水!$F$2:$F$1001,MATCH($B998,智能流水!$B$2:$B$1001,0)),""))</f>
        <v/>
      </c>
      <c r="G998" s="19">
        <f>IF($B998="","",IFERROR(INDEX(智能流水!$G$2:$G$1001,MATCH($B998,智能流水!$B$2:$B$1001,0)),""))</f>
        <v/>
      </c>
      <c r="H998" s="19">
        <f>IF($B998="","",IFERROR(INDEX(智能流水!$H$2:$H$1001,MATCH($B998,智能流水!$B$2:$B$1001,0)),""))</f>
        <v/>
      </c>
      <c r="I998" s="19">
        <f>IF($B998="","",IFERROR(INDEX(智能流水!$I$2:$I$1001,MATCH($B998,智能流水!$B$2:$B$1001,0)),""))</f>
        <v/>
      </c>
      <c r="J998" s="19">
        <f>IF($B998="","",IFERROR(INDEX(智能流水!$J$2:$J$1001,MATCH($B998,智能流水!$B$2:$B$1001,0)),""))</f>
        <v/>
      </c>
      <c r="K998" s="19">
        <f>IF($B998="","",IFERROR(INDEX(智能流水!$K$2:$K$1001,MATCH($B998,智能流水!$B$2:$B$1001,0)),""))</f>
        <v/>
      </c>
      <c r="L998" s="19">
        <f>IF($B998="","",IFERROR(INDEX(智能流水!$L$2:$L$1001,MATCH($B998,智能流水!$B$2:$B$1001,0)),""))</f>
        <v/>
      </c>
      <c r="M998" s="19">
        <f>IF($B998="","",IFERROR(INDEX(智能流水!$M$2:$M$1001,MATCH($B998,智能流水!$B$2:$B$1001,0)),""))</f>
        <v/>
      </c>
      <c r="N998" s="19">
        <f>IF($B998="","",IFERROR(INDEX(智能流水!$N$2:$N$1001,MATCH($B998,智能流水!$B$2:$B$1001,0)),""))</f>
        <v/>
      </c>
      <c r="O998" s="19">
        <f>IF($B998="","",IFERROR(INDEX(智能流水!$O$2:$O$1001,MATCH($B998,智能流水!$B$2:$B$1001,0)),""))</f>
        <v/>
      </c>
    </row>
    <row r="999">
      <c r="A999" s="19">
        <f>IF($B999="","",998)</f>
        <v/>
      </c>
      <c r="B999" s="19">
        <f>IFERROR(LARGE(智能流水!$B$2:$B$1001,998),"")</f>
        <v/>
      </c>
      <c r="C999" s="19">
        <f>IF($B999="","",IFERROR(INDEX(智能流水!$C$2:$C$1001,MATCH($B999,智能流水!$B$2:$B$1001,0)),""))</f>
        <v/>
      </c>
      <c r="D999" s="19">
        <f>IF($B999="","",IFERROR(INDEX(智能流水!$D$2:$D$1001,MATCH($B999,智能流水!$B$2:$B$1001,0)),""))</f>
        <v/>
      </c>
      <c r="E999" s="19">
        <f>IF($B999="","",IFERROR(INDEX(智能流水!$E$2:$E$1001,MATCH($B999,智能流水!$B$2:$B$1001,0)),""))</f>
        <v/>
      </c>
      <c r="F999" s="19">
        <f>IF($B999="","",IFERROR(INDEX(智能流水!$F$2:$F$1001,MATCH($B999,智能流水!$B$2:$B$1001,0)),""))</f>
        <v/>
      </c>
      <c r="G999" s="19">
        <f>IF($B999="","",IFERROR(INDEX(智能流水!$G$2:$G$1001,MATCH($B999,智能流水!$B$2:$B$1001,0)),""))</f>
        <v/>
      </c>
      <c r="H999" s="19">
        <f>IF($B999="","",IFERROR(INDEX(智能流水!$H$2:$H$1001,MATCH($B999,智能流水!$B$2:$B$1001,0)),""))</f>
        <v/>
      </c>
      <c r="I999" s="19">
        <f>IF($B999="","",IFERROR(INDEX(智能流水!$I$2:$I$1001,MATCH($B999,智能流水!$B$2:$B$1001,0)),""))</f>
        <v/>
      </c>
      <c r="J999" s="19">
        <f>IF($B999="","",IFERROR(INDEX(智能流水!$J$2:$J$1001,MATCH($B999,智能流水!$B$2:$B$1001,0)),""))</f>
        <v/>
      </c>
      <c r="K999" s="19">
        <f>IF($B999="","",IFERROR(INDEX(智能流水!$K$2:$K$1001,MATCH($B999,智能流水!$B$2:$B$1001,0)),""))</f>
        <v/>
      </c>
      <c r="L999" s="19">
        <f>IF($B999="","",IFERROR(INDEX(智能流水!$L$2:$L$1001,MATCH($B999,智能流水!$B$2:$B$1001,0)),""))</f>
        <v/>
      </c>
      <c r="M999" s="19">
        <f>IF($B999="","",IFERROR(INDEX(智能流水!$M$2:$M$1001,MATCH($B999,智能流水!$B$2:$B$1001,0)),""))</f>
        <v/>
      </c>
      <c r="N999" s="19">
        <f>IF($B999="","",IFERROR(INDEX(智能流水!$N$2:$N$1001,MATCH($B999,智能流水!$B$2:$B$1001,0)),""))</f>
        <v/>
      </c>
      <c r="O999" s="19">
        <f>IF($B999="","",IFERROR(INDEX(智能流水!$O$2:$O$1001,MATCH($B999,智能流水!$B$2:$B$1001,0)),""))</f>
        <v/>
      </c>
    </row>
    <row r="1000">
      <c r="A1000" s="19">
        <f>IF($B1000="","",999)</f>
        <v/>
      </c>
      <c r="B1000" s="19">
        <f>IFERROR(LARGE(智能流水!$B$2:$B$1001,999),"")</f>
        <v/>
      </c>
      <c r="C1000" s="19">
        <f>IF($B1000="","",IFERROR(INDEX(智能流水!$C$2:$C$1001,MATCH($B1000,智能流水!$B$2:$B$1001,0)),""))</f>
        <v/>
      </c>
      <c r="D1000" s="19">
        <f>IF($B1000="","",IFERROR(INDEX(智能流水!$D$2:$D$1001,MATCH($B1000,智能流水!$B$2:$B$1001,0)),""))</f>
        <v/>
      </c>
      <c r="E1000" s="19">
        <f>IF($B1000="","",IFERROR(INDEX(智能流水!$E$2:$E$1001,MATCH($B1000,智能流水!$B$2:$B$1001,0)),""))</f>
        <v/>
      </c>
      <c r="F1000" s="19">
        <f>IF($B1000="","",IFERROR(INDEX(智能流水!$F$2:$F$1001,MATCH($B1000,智能流水!$B$2:$B$1001,0)),""))</f>
        <v/>
      </c>
      <c r="G1000" s="19">
        <f>IF($B1000="","",IFERROR(INDEX(智能流水!$G$2:$G$1001,MATCH($B1000,智能流水!$B$2:$B$1001,0)),""))</f>
        <v/>
      </c>
      <c r="H1000" s="19">
        <f>IF($B1000="","",IFERROR(INDEX(智能流水!$H$2:$H$1001,MATCH($B1000,智能流水!$B$2:$B$1001,0)),""))</f>
        <v/>
      </c>
      <c r="I1000" s="19">
        <f>IF($B1000="","",IFERROR(INDEX(智能流水!$I$2:$I$1001,MATCH($B1000,智能流水!$B$2:$B$1001,0)),""))</f>
        <v/>
      </c>
      <c r="J1000" s="19">
        <f>IF($B1000="","",IFERROR(INDEX(智能流水!$J$2:$J$1001,MATCH($B1000,智能流水!$B$2:$B$1001,0)),""))</f>
        <v/>
      </c>
      <c r="K1000" s="19">
        <f>IF($B1000="","",IFERROR(INDEX(智能流水!$K$2:$K$1001,MATCH($B1000,智能流水!$B$2:$B$1001,0)),""))</f>
        <v/>
      </c>
      <c r="L1000" s="19">
        <f>IF($B1000="","",IFERROR(INDEX(智能流水!$L$2:$L$1001,MATCH($B1000,智能流水!$B$2:$B$1001,0)),""))</f>
        <v/>
      </c>
      <c r="M1000" s="19">
        <f>IF($B1000="","",IFERROR(INDEX(智能流水!$M$2:$M$1001,MATCH($B1000,智能流水!$B$2:$B$1001,0)),""))</f>
        <v/>
      </c>
      <c r="N1000" s="19">
        <f>IF($B1000="","",IFERROR(INDEX(智能流水!$N$2:$N$1001,MATCH($B1000,智能流水!$B$2:$B$1001,0)),""))</f>
        <v/>
      </c>
      <c r="O1000" s="19">
        <f>IF($B1000="","",IFERROR(INDEX(智能流水!$O$2:$O$1001,MATCH($B1000,智能流水!$B$2:$B$1001,0)),""))</f>
        <v/>
      </c>
    </row>
    <row r="1001">
      <c r="A1001" s="19">
        <f>IF($B1001="","",1000)</f>
        <v/>
      </c>
      <c r="B1001" s="19">
        <f>IFERROR(LARGE(智能流水!$B$2:$B$1001,1000),"")</f>
        <v/>
      </c>
      <c r="C1001" s="19">
        <f>IF($B1001="","",IFERROR(INDEX(智能流水!$C$2:$C$1001,MATCH($B1001,智能流水!$B$2:$B$1001,0)),""))</f>
        <v/>
      </c>
      <c r="D1001" s="19">
        <f>IF($B1001="","",IFERROR(INDEX(智能流水!$D$2:$D$1001,MATCH($B1001,智能流水!$B$2:$B$1001,0)),""))</f>
        <v/>
      </c>
      <c r="E1001" s="19">
        <f>IF($B1001="","",IFERROR(INDEX(智能流水!$E$2:$E$1001,MATCH($B1001,智能流水!$B$2:$B$1001,0)),""))</f>
        <v/>
      </c>
      <c r="F1001" s="19">
        <f>IF($B1001="","",IFERROR(INDEX(智能流水!$F$2:$F$1001,MATCH($B1001,智能流水!$B$2:$B$1001,0)),""))</f>
        <v/>
      </c>
      <c r="G1001" s="19">
        <f>IF($B1001="","",IFERROR(INDEX(智能流水!$G$2:$G$1001,MATCH($B1001,智能流水!$B$2:$B$1001,0)),""))</f>
        <v/>
      </c>
      <c r="H1001" s="19">
        <f>IF($B1001="","",IFERROR(INDEX(智能流水!$H$2:$H$1001,MATCH($B1001,智能流水!$B$2:$B$1001,0)),""))</f>
        <v/>
      </c>
      <c r="I1001" s="19">
        <f>IF($B1001="","",IFERROR(INDEX(智能流水!$I$2:$I$1001,MATCH($B1001,智能流水!$B$2:$B$1001,0)),""))</f>
        <v/>
      </c>
      <c r="J1001" s="19">
        <f>IF($B1001="","",IFERROR(INDEX(智能流水!$J$2:$J$1001,MATCH($B1001,智能流水!$B$2:$B$1001,0)),""))</f>
        <v/>
      </c>
      <c r="K1001" s="19">
        <f>IF($B1001="","",IFERROR(INDEX(智能流水!$K$2:$K$1001,MATCH($B1001,智能流水!$B$2:$B$1001,0)),""))</f>
        <v/>
      </c>
      <c r="L1001" s="19">
        <f>IF($B1001="","",IFERROR(INDEX(智能流水!$L$2:$L$1001,MATCH($B1001,智能流水!$B$2:$B$1001,0)),""))</f>
        <v/>
      </c>
      <c r="M1001" s="19">
        <f>IF($B1001="","",IFERROR(INDEX(智能流水!$M$2:$M$1001,MATCH($B1001,智能流水!$B$2:$B$1001,0)),""))</f>
        <v/>
      </c>
      <c r="N1001" s="19">
        <f>IF($B1001="","",IFERROR(INDEX(智能流水!$N$2:$N$1001,MATCH($B1001,智能流水!$B$2:$B$1001,0)),""))</f>
        <v/>
      </c>
      <c r="O1001" s="19">
        <f>IF($B1001="","",IFERROR(INDEX(智能流水!$O$2:$O$1001,MATCH($B1001,智能流水!$B$2:$B$1001,0)),""))</f>
        <v/>
      </c>
    </row>
  </sheetData>
  <autoFilter ref="A1:O1001"/>
  <conditionalFormatting sqref="H2:H1001">
    <cfRule type="cellIs" priority="1" operator="greaterThan" dxfId="17">
      <formula>0</formula>
    </cfRule>
    <cfRule type="cellIs" priority="2" operator="lessThan" dxfId="18">
      <formula>0</formula>
    </cfRule>
  </conditionalFormatting>
  <conditionalFormatting sqref="L2:L1001">
    <cfRule type="expression" priority="3" dxfId="19">
      <formula>L2="命中"</formula>
    </cfRule>
    <cfRule type="expression" priority="4" dxfId="20">
      <formula>L2="未命中"</formula>
    </cfRule>
  </conditionalFormatting>
  <conditionalFormatting sqref="N2:N1001">
    <cfRule type="expression" priority="5" dxfId="19">
      <formula>$O2="命中"</formula>
    </cfRule>
  </conditionalFormatting>
  <conditionalFormatting sqref="O2:O1001">
    <cfRule type="expression" priority="6" dxfId="19">
      <formula>O2="命中"</formula>
    </cfRule>
  </conditionalFormatting>
  <conditionalFormatting sqref="P2:P1001">
    <cfRule type="expression" priority="7" dxfId="19">
      <formula>$Q2="命中"</formula>
    </cfRule>
  </conditionalFormatting>
  <conditionalFormatting sqref="Q2:Q1001">
    <cfRule type="expression" priority="8" dxfId="19">
      <formula>Q2="命中"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14" customWidth="1" style="21" min="1" max="1"/>
    <col width="22" customWidth="1" style="21" min="2" max="2"/>
    <col width="12" customWidth="1" style="21" min="3" max="12"/>
  </cols>
  <sheetData>
    <row r="1" ht="24" customHeight="1" s="21">
      <c r="A1" s="22" t="inlineStr">
        <is>
          <t>期号</t>
        </is>
      </c>
      <c r="B1" s="22" t="inlineStr">
        <is>
          <t>开奖时间</t>
        </is>
      </c>
      <c r="C1" s="22" t="inlineStr">
        <is>
          <t>第1码</t>
        </is>
      </c>
      <c r="D1" s="22" t="inlineStr">
        <is>
          <t>第2码</t>
        </is>
      </c>
      <c r="E1" s="22" t="inlineStr">
        <is>
          <t>第3码</t>
        </is>
      </c>
      <c r="F1" s="22" t="inlineStr">
        <is>
          <t>第4码</t>
        </is>
      </c>
      <c r="G1" s="22" t="inlineStr">
        <is>
          <t>第5码</t>
        </is>
      </c>
      <c r="H1" s="22" t="inlineStr">
        <is>
          <t>第6码</t>
        </is>
      </c>
      <c r="I1" s="22" t="inlineStr">
        <is>
          <t>特码</t>
        </is>
      </c>
      <c r="J1" s="22" t="inlineStr">
        <is>
          <t>年份生肖</t>
        </is>
      </c>
      <c r="K1" s="22" t="inlineStr">
        <is>
          <t>特码生肖</t>
        </is>
      </c>
      <c r="L1" s="22" t="inlineStr">
        <is>
          <t>特码波色</t>
        </is>
      </c>
    </row>
    <row r="2">
      <c r="A2" s="0" t="n">
        <v>2026198</v>
      </c>
      <c r="B2" s="0" t="inlineStr">
        <is>
          <t>2026-07-17 21:35:30</t>
        </is>
      </c>
      <c r="C2" s="0" t="inlineStr">
        <is>
          <t>48</t>
        </is>
      </c>
      <c r="D2" s="0" t="inlineStr">
        <is>
          <t>35</t>
        </is>
      </c>
      <c r="E2" s="0" t="inlineStr">
        <is>
          <t>45</t>
        </is>
      </c>
      <c r="F2" s="0" t="inlineStr">
        <is>
          <t>21</t>
        </is>
      </c>
      <c r="G2" s="0" t="inlineStr">
        <is>
          <t>12</t>
        </is>
      </c>
      <c r="H2" s="0" t="inlineStr">
        <is>
          <t>24</t>
        </is>
      </c>
      <c r="I2" s="0" t="inlineStr">
        <is>
          <t>07</t>
        </is>
      </c>
      <c r="J2" s="0" t="inlineStr">
        <is>
          <t>马</t>
        </is>
      </c>
      <c r="K2" s="0" t="inlineStr">
        <is>
          <t>鼠</t>
        </is>
      </c>
      <c r="L2" s="0" t="inlineStr">
        <is>
          <t>红波</t>
        </is>
      </c>
    </row>
    <row r="3">
      <c r="A3" s="0" t="n">
        <v>2026197</v>
      </c>
      <c r="B3" s="0" t="inlineStr">
        <is>
          <t>2026-07-16 21:35:30</t>
        </is>
      </c>
      <c r="C3" s="0" t="inlineStr">
        <is>
          <t>40</t>
        </is>
      </c>
      <c r="D3" s="0" t="inlineStr">
        <is>
          <t>19</t>
        </is>
      </c>
      <c r="E3" s="0" t="inlineStr">
        <is>
          <t>30</t>
        </is>
      </c>
      <c r="F3" s="0" t="inlineStr">
        <is>
          <t>48</t>
        </is>
      </c>
      <c r="G3" s="0" t="inlineStr">
        <is>
          <t>44</t>
        </is>
      </c>
      <c r="H3" s="0" t="inlineStr">
        <is>
          <t>28</t>
        </is>
      </c>
      <c r="I3" s="0" t="inlineStr">
        <is>
          <t>08</t>
        </is>
      </c>
      <c r="J3" s="0" t="inlineStr">
        <is>
          <t>马</t>
        </is>
      </c>
      <c r="K3" s="0" t="inlineStr">
        <is>
          <t>猪</t>
        </is>
      </c>
      <c r="L3" s="0" t="inlineStr">
        <is>
          <t>红波</t>
        </is>
      </c>
    </row>
    <row r="4">
      <c r="A4" s="0" t="n">
        <v>2026196</v>
      </c>
      <c r="B4" s="0" t="inlineStr">
        <is>
          <t>2026-07-15 21:35:30</t>
        </is>
      </c>
      <c r="C4" s="0" t="inlineStr">
        <is>
          <t>03</t>
        </is>
      </c>
      <c r="D4" s="0" t="inlineStr">
        <is>
          <t>37</t>
        </is>
      </c>
      <c r="E4" s="0" t="inlineStr">
        <is>
          <t>24</t>
        </is>
      </c>
      <c r="F4" s="0" t="inlineStr">
        <is>
          <t>10</t>
        </is>
      </c>
      <c r="G4" s="0" t="inlineStr">
        <is>
          <t>41</t>
        </is>
      </c>
      <c r="H4" s="0" t="inlineStr">
        <is>
          <t>19</t>
        </is>
      </c>
      <c r="I4" s="0" t="inlineStr">
        <is>
          <t>39</t>
        </is>
      </c>
      <c r="J4" s="0" t="inlineStr">
        <is>
          <t>马</t>
        </is>
      </c>
      <c r="K4" s="0" t="inlineStr">
        <is>
          <t>龙</t>
        </is>
      </c>
      <c r="L4" s="0" t="inlineStr">
        <is>
          <t>绿波</t>
        </is>
      </c>
    </row>
    <row r="5">
      <c r="A5" s="0" t="n">
        <v>2026195</v>
      </c>
      <c r="B5" s="0" t="inlineStr">
        <is>
          <t>2026-07-14 21:35:30</t>
        </is>
      </c>
      <c r="C5" s="0" t="inlineStr">
        <is>
          <t>46</t>
        </is>
      </c>
      <c r="D5" s="0" t="inlineStr">
        <is>
          <t>23</t>
        </is>
      </c>
      <c r="E5" s="0" t="inlineStr">
        <is>
          <t>39</t>
        </is>
      </c>
      <c r="F5" s="0" t="inlineStr">
        <is>
          <t>04</t>
        </is>
      </c>
      <c r="G5" s="0" t="inlineStr">
        <is>
          <t>09</t>
        </is>
      </c>
      <c r="H5" s="0" t="inlineStr">
        <is>
          <t>19</t>
        </is>
      </c>
      <c r="I5" s="0" t="inlineStr">
        <is>
          <t>25</t>
        </is>
      </c>
      <c r="J5" s="0" t="inlineStr">
        <is>
          <t>马</t>
        </is>
      </c>
      <c r="K5" s="0" t="inlineStr">
        <is>
          <t>马</t>
        </is>
      </c>
      <c r="L5" s="0" t="inlineStr">
        <is>
          <t>蓝波</t>
        </is>
      </c>
    </row>
    <row r="6">
      <c r="A6" s="0" t="n">
        <v>2026194</v>
      </c>
      <c r="B6" s="0" t="inlineStr">
        <is>
          <t>2026-07-13 21:35:29</t>
        </is>
      </c>
      <c r="C6" s="0" t="inlineStr">
        <is>
          <t>30</t>
        </is>
      </c>
      <c r="D6" s="0" t="inlineStr">
        <is>
          <t>21</t>
        </is>
      </c>
      <c r="E6" s="0" t="inlineStr">
        <is>
          <t>22</t>
        </is>
      </c>
      <c r="F6" s="0" t="inlineStr">
        <is>
          <t>15</t>
        </is>
      </c>
      <c r="G6" s="0" t="inlineStr">
        <is>
          <t>04</t>
        </is>
      </c>
      <c r="H6" s="0" t="inlineStr">
        <is>
          <t>34</t>
        </is>
      </c>
      <c r="I6" s="0" t="inlineStr">
        <is>
          <t>26</t>
        </is>
      </c>
      <c r="J6" s="0" t="inlineStr">
        <is>
          <t>马</t>
        </is>
      </c>
      <c r="K6" s="0" t="inlineStr">
        <is>
          <t>蛇</t>
        </is>
      </c>
      <c r="L6" s="0" t="inlineStr">
        <is>
          <t>蓝波</t>
        </is>
      </c>
    </row>
    <row r="7">
      <c r="A7" s="0" t="n">
        <v>2026193</v>
      </c>
      <c r="B7" s="0" t="inlineStr">
        <is>
          <t>2026-07-12 21:35:31</t>
        </is>
      </c>
      <c r="C7" s="0" t="inlineStr">
        <is>
          <t>02</t>
        </is>
      </c>
      <c r="D7" s="0" t="inlineStr">
        <is>
          <t>49</t>
        </is>
      </c>
      <c r="E7" s="0" t="inlineStr">
        <is>
          <t>25</t>
        </is>
      </c>
      <c r="F7" s="0" t="inlineStr">
        <is>
          <t>11</t>
        </is>
      </c>
      <c r="G7" s="0" t="inlineStr">
        <is>
          <t>45</t>
        </is>
      </c>
      <c r="H7" s="0" t="inlineStr">
        <is>
          <t>29</t>
        </is>
      </c>
      <c r="I7" s="0" t="inlineStr">
        <is>
          <t>09</t>
        </is>
      </c>
      <c r="J7" s="0" t="inlineStr">
        <is>
          <t>马</t>
        </is>
      </c>
      <c r="K7" s="0" t="inlineStr">
        <is>
          <t>狗</t>
        </is>
      </c>
      <c r="L7" s="0" t="inlineStr">
        <is>
          <t>蓝波</t>
        </is>
      </c>
    </row>
    <row r="8">
      <c r="A8" s="0" t="n">
        <v>2026192</v>
      </c>
      <c r="B8" s="0" t="inlineStr">
        <is>
          <t>2026-07-11 21:35:30</t>
        </is>
      </c>
      <c r="C8" s="0" t="inlineStr">
        <is>
          <t>27</t>
        </is>
      </c>
      <c r="D8" s="0" t="inlineStr">
        <is>
          <t>30</t>
        </is>
      </c>
      <c r="E8" s="0" t="inlineStr">
        <is>
          <t>45</t>
        </is>
      </c>
      <c r="F8" s="0" t="inlineStr">
        <is>
          <t>08</t>
        </is>
      </c>
      <c r="G8" s="0" t="inlineStr">
        <is>
          <t>01</t>
        </is>
      </c>
      <c r="H8" s="0" t="inlineStr">
        <is>
          <t>37</t>
        </is>
      </c>
      <c r="I8" s="0" t="inlineStr">
        <is>
          <t>25</t>
        </is>
      </c>
      <c r="J8" s="0" t="inlineStr">
        <is>
          <t>马</t>
        </is>
      </c>
      <c r="K8" s="0" t="inlineStr">
        <is>
          <t>马</t>
        </is>
      </c>
      <c r="L8" s="0" t="inlineStr">
        <is>
          <t>蓝波</t>
        </is>
      </c>
    </row>
    <row r="9">
      <c r="A9" s="0" t="n">
        <v>2026191</v>
      </c>
      <c r="B9" s="0" t="inlineStr">
        <is>
          <t>2026-07-10 21:35:30</t>
        </is>
      </c>
      <c r="C9" s="0" t="inlineStr">
        <is>
          <t>19</t>
        </is>
      </c>
      <c r="D9" s="0" t="inlineStr">
        <is>
          <t>43</t>
        </is>
      </c>
      <c r="E9" s="0" t="inlineStr">
        <is>
          <t>39</t>
        </is>
      </c>
      <c r="F9" s="0" t="inlineStr">
        <is>
          <t>24</t>
        </is>
      </c>
      <c r="G9" s="0" t="inlineStr">
        <is>
          <t>16</t>
        </is>
      </c>
      <c r="H9" s="0" t="inlineStr">
        <is>
          <t>26</t>
        </is>
      </c>
      <c r="I9" s="0" t="inlineStr">
        <is>
          <t>29</t>
        </is>
      </c>
      <c r="J9" s="0" t="inlineStr">
        <is>
          <t>马</t>
        </is>
      </c>
      <c r="K9" s="0" t="inlineStr">
        <is>
          <t>虎</t>
        </is>
      </c>
      <c r="L9" s="0" t="inlineStr">
        <is>
          <t>红波</t>
        </is>
      </c>
    </row>
    <row r="10">
      <c r="A10" s="0" t="n">
        <v>2026190</v>
      </c>
      <c r="B10" s="0" t="inlineStr">
        <is>
          <t>2026-07-09 21:35:30</t>
        </is>
      </c>
      <c r="C10" s="0" t="inlineStr">
        <is>
          <t>46</t>
        </is>
      </c>
      <c r="D10" s="0" t="inlineStr">
        <is>
          <t>14</t>
        </is>
      </c>
      <c r="E10" s="0" t="inlineStr">
        <is>
          <t>19</t>
        </is>
      </c>
      <c r="F10" s="0" t="inlineStr">
        <is>
          <t>37</t>
        </is>
      </c>
      <c r="G10" s="0" t="inlineStr">
        <is>
          <t>48</t>
        </is>
      </c>
      <c r="H10" s="0" t="inlineStr">
        <is>
          <t>29</t>
        </is>
      </c>
      <c r="I10" s="0" t="inlineStr">
        <is>
          <t>16</t>
        </is>
      </c>
      <c r="J10" s="0" t="inlineStr">
        <is>
          <t>马</t>
        </is>
      </c>
      <c r="K10" s="0" t="inlineStr">
        <is>
          <t>兔</t>
        </is>
      </c>
      <c r="L10" s="0" t="inlineStr">
        <is>
          <t>绿波</t>
        </is>
      </c>
    </row>
    <row r="11">
      <c r="A11" s="0" t="n">
        <v>2026189</v>
      </c>
      <c r="B11" s="0" t="inlineStr">
        <is>
          <t>2026-07-08 21:35:30</t>
        </is>
      </c>
      <c r="C11" s="0" t="inlineStr">
        <is>
          <t>45</t>
        </is>
      </c>
      <c r="D11" s="0" t="inlineStr">
        <is>
          <t>12</t>
        </is>
      </c>
      <c r="E11" s="0" t="inlineStr">
        <is>
          <t>37</t>
        </is>
      </c>
      <c r="F11" s="0" t="inlineStr">
        <is>
          <t>20</t>
        </is>
      </c>
      <c r="G11" s="0" t="inlineStr">
        <is>
          <t>38</t>
        </is>
      </c>
      <c r="H11" s="0" t="inlineStr">
        <is>
          <t>43</t>
        </is>
      </c>
      <c r="I11" s="0" t="inlineStr">
        <is>
          <t>15</t>
        </is>
      </c>
      <c r="J11" s="0" t="inlineStr">
        <is>
          <t>马</t>
        </is>
      </c>
      <c r="K11" s="0" t="inlineStr">
        <is>
          <t>龙</t>
        </is>
      </c>
      <c r="L11" s="0" t="inlineStr">
        <is>
          <t>蓝波</t>
        </is>
      </c>
    </row>
    <row r="12">
      <c r="A12" s="0" t="n">
        <v>2026188</v>
      </c>
      <c r="B12" s="0" t="inlineStr">
        <is>
          <t>2026-07-07 21:35:30</t>
        </is>
      </c>
      <c r="C12" s="0" t="inlineStr">
        <is>
          <t>38</t>
        </is>
      </c>
      <c r="D12" s="0" t="inlineStr">
        <is>
          <t>05</t>
        </is>
      </c>
      <c r="E12" s="0" t="inlineStr">
        <is>
          <t>19</t>
        </is>
      </c>
      <c r="F12" s="0" t="inlineStr">
        <is>
          <t>10</t>
        </is>
      </c>
      <c r="G12" s="0" t="inlineStr">
        <is>
          <t>14</t>
        </is>
      </c>
      <c r="H12" s="0" t="inlineStr">
        <is>
          <t>01</t>
        </is>
      </c>
      <c r="I12" s="0" t="inlineStr">
        <is>
          <t>16</t>
        </is>
      </c>
      <c r="J12" s="0" t="inlineStr">
        <is>
          <t>马</t>
        </is>
      </c>
      <c r="K12" s="0" t="inlineStr">
        <is>
          <t>兔</t>
        </is>
      </c>
      <c r="L12" s="0" t="inlineStr">
        <is>
          <t>绿波</t>
        </is>
      </c>
    </row>
    <row r="13">
      <c r="A13" s="0" t="n">
        <v>2026187</v>
      </c>
      <c r="B13" s="0" t="inlineStr">
        <is>
          <t>2026-07-06 21:35:30</t>
        </is>
      </c>
      <c r="C13" s="0" t="inlineStr">
        <is>
          <t>23</t>
        </is>
      </c>
      <c r="D13" s="0" t="inlineStr">
        <is>
          <t>12</t>
        </is>
      </c>
      <c r="E13" s="0" t="inlineStr">
        <is>
          <t>36</t>
        </is>
      </c>
      <c r="F13" s="0" t="inlineStr">
        <is>
          <t>38</t>
        </is>
      </c>
      <c r="G13" s="0" t="inlineStr">
        <is>
          <t>27</t>
        </is>
      </c>
      <c r="H13" s="0" t="inlineStr">
        <is>
          <t>22</t>
        </is>
      </c>
      <c r="I13" s="0" t="inlineStr">
        <is>
          <t>01</t>
        </is>
      </c>
      <c r="J13" s="0" t="inlineStr">
        <is>
          <t>马</t>
        </is>
      </c>
      <c r="K13" s="0" t="inlineStr">
        <is>
          <t>马</t>
        </is>
      </c>
      <c r="L13" s="0" t="inlineStr">
        <is>
          <t>红波</t>
        </is>
      </c>
    </row>
    <row r="14">
      <c r="A14" s="0" t="n">
        <v>2026186</v>
      </c>
      <c r="B14" s="0" t="inlineStr">
        <is>
          <t>2026-07-05 21:35:30</t>
        </is>
      </c>
      <c r="C14" s="0" t="inlineStr">
        <is>
          <t>17</t>
        </is>
      </c>
      <c r="D14" s="0" t="inlineStr">
        <is>
          <t>29</t>
        </is>
      </c>
      <c r="E14" s="0" t="inlineStr">
        <is>
          <t>22</t>
        </is>
      </c>
      <c r="F14" s="0" t="inlineStr">
        <is>
          <t>01</t>
        </is>
      </c>
      <c r="G14" s="0" t="inlineStr">
        <is>
          <t>05</t>
        </is>
      </c>
      <c r="H14" s="0" t="inlineStr">
        <is>
          <t>38</t>
        </is>
      </c>
      <c r="I14" s="0" t="inlineStr">
        <is>
          <t>23</t>
        </is>
      </c>
      <c r="J14" s="0" t="inlineStr">
        <is>
          <t>马</t>
        </is>
      </c>
      <c r="K14" s="0" t="inlineStr">
        <is>
          <t>猴</t>
        </is>
      </c>
      <c r="L14" s="0" t="inlineStr">
        <is>
          <t>红波</t>
        </is>
      </c>
    </row>
    <row r="15">
      <c r="A15" s="0" t="n">
        <v>2026185</v>
      </c>
      <c r="B15" s="0" t="inlineStr">
        <is>
          <t>2026-07-04 21:35:30</t>
        </is>
      </c>
      <c r="C15" s="0" t="inlineStr">
        <is>
          <t>18</t>
        </is>
      </c>
      <c r="D15" s="0" t="inlineStr">
        <is>
          <t>35</t>
        </is>
      </c>
      <c r="E15" s="0" t="inlineStr">
        <is>
          <t>09</t>
        </is>
      </c>
      <c r="F15" s="0" t="inlineStr">
        <is>
          <t>41</t>
        </is>
      </c>
      <c r="G15" s="0" t="inlineStr">
        <is>
          <t>12</t>
        </is>
      </c>
      <c r="H15" s="0" t="inlineStr">
        <is>
          <t>30</t>
        </is>
      </c>
      <c r="I15" s="0" t="inlineStr">
        <is>
          <t>36</t>
        </is>
      </c>
      <c r="J15" s="0" t="inlineStr">
        <is>
          <t>马</t>
        </is>
      </c>
      <c r="K15" s="0" t="inlineStr">
        <is>
          <t>羊</t>
        </is>
      </c>
      <c r="L15" s="0" t="inlineStr">
        <is>
          <t>蓝波</t>
        </is>
      </c>
    </row>
    <row r="16">
      <c r="A16" s="0" t="n">
        <v>2026184</v>
      </c>
      <c r="B16" s="0" t="inlineStr">
        <is>
          <t>2026-07-03 21:35:30</t>
        </is>
      </c>
      <c r="C16" s="0" t="inlineStr">
        <is>
          <t>44</t>
        </is>
      </c>
      <c r="D16" s="0" t="inlineStr">
        <is>
          <t>24</t>
        </is>
      </c>
      <c r="E16" s="0" t="inlineStr">
        <is>
          <t>11</t>
        </is>
      </c>
      <c r="F16" s="0" t="inlineStr">
        <is>
          <t>36</t>
        </is>
      </c>
      <c r="G16" s="0" t="inlineStr">
        <is>
          <t>25</t>
        </is>
      </c>
      <c r="H16" s="0" t="inlineStr">
        <is>
          <t>20</t>
        </is>
      </c>
      <c r="I16" s="0" t="inlineStr">
        <is>
          <t>01</t>
        </is>
      </c>
      <c r="J16" s="0" t="inlineStr">
        <is>
          <t>马</t>
        </is>
      </c>
      <c r="K16" s="0" t="inlineStr">
        <is>
          <t>马</t>
        </is>
      </c>
      <c r="L16" s="0" t="inlineStr">
        <is>
          <t>红波</t>
        </is>
      </c>
    </row>
    <row r="17">
      <c r="A17" s="0" t="n">
        <v>2026183</v>
      </c>
      <c r="B17" s="0" t="inlineStr">
        <is>
          <t>2026-07-02 21:35:30</t>
        </is>
      </c>
      <c r="C17" s="0" t="inlineStr">
        <is>
          <t>23</t>
        </is>
      </c>
      <c r="D17" s="0" t="inlineStr">
        <is>
          <t>09</t>
        </is>
      </c>
      <c r="E17" s="0" t="inlineStr">
        <is>
          <t>46</t>
        </is>
      </c>
      <c r="F17" s="0" t="inlineStr">
        <is>
          <t>37</t>
        </is>
      </c>
      <c r="G17" s="0" t="inlineStr">
        <is>
          <t>42</t>
        </is>
      </c>
      <c r="H17" s="0" t="inlineStr">
        <is>
          <t>03</t>
        </is>
      </c>
      <c r="I17" s="0" t="inlineStr">
        <is>
          <t>24</t>
        </is>
      </c>
      <c r="J17" s="0" t="inlineStr">
        <is>
          <t>马</t>
        </is>
      </c>
      <c r="K17" s="0" t="inlineStr">
        <is>
          <t>羊</t>
        </is>
      </c>
      <c r="L17" s="0" t="inlineStr">
        <is>
          <t>红波</t>
        </is>
      </c>
    </row>
    <row r="18">
      <c r="A18" s="0" t="n">
        <v>2026182</v>
      </c>
      <c r="B18" s="0" t="inlineStr">
        <is>
          <t>2026-07-01 21:35:30</t>
        </is>
      </c>
      <c r="C18" s="0" t="inlineStr">
        <is>
          <t>15</t>
        </is>
      </c>
      <c r="D18" s="0" t="inlineStr">
        <is>
          <t>23</t>
        </is>
      </c>
      <c r="E18" s="0" t="inlineStr">
        <is>
          <t>09</t>
        </is>
      </c>
      <c r="F18" s="0" t="inlineStr">
        <is>
          <t>45</t>
        </is>
      </c>
      <c r="G18" s="0" t="inlineStr">
        <is>
          <t>24</t>
        </is>
      </c>
      <c r="H18" s="0" t="inlineStr">
        <is>
          <t>39</t>
        </is>
      </c>
      <c r="I18" s="0" t="inlineStr">
        <is>
          <t>41</t>
        </is>
      </c>
      <c r="J18" s="0" t="inlineStr">
        <is>
          <t>马</t>
        </is>
      </c>
      <c r="K18" s="0" t="inlineStr">
        <is>
          <t>虎</t>
        </is>
      </c>
      <c r="L18" s="0" t="inlineStr">
        <is>
          <t>蓝波</t>
        </is>
      </c>
    </row>
    <row r="19">
      <c r="A19" s="0" t="n">
        <v>2026181</v>
      </c>
      <c r="B19" s="0" t="inlineStr">
        <is>
          <t>2026-06-30 21:35:30</t>
        </is>
      </c>
      <c r="C19" s="0" t="inlineStr">
        <is>
          <t>17</t>
        </is>
      </c>
      <c r="D19" s="0" t="inlineStr">
        <is>
          <t>29</t>
        </is>
      </c>
      <c r="E19" s="0" t="inlineStr">
        <is>
          <t>06</t>
        </is>
      </c>
      <c r="F19" s="0" t="inlineStr">
        <is>
          <t>34</t>
        </is>
      </c>
      <c r="G19" s="0" t="inlineStr">
        <is>
          <t>47</t>
        </is>
      </c>
      <c r="H19" s="0" t="inlineStr">
        <is>
          <t>15</t>
        </is>
      </c>
      <c r="I19" s="0" t="inlineStr">
        <is>
          <t>19</t>
        </is>
      </c>
      <c r="J19" s="0" t="inlineStr">
        <is>
          <t>马</t>
        </is>
      </c>
      <c r="K19" s="0" t="inlineStr">
        <is>
          <t>鼠</t>
        </is>
      </c>
      <c r="L19" s="0" t="inlineStr">
        <is>
          <t>红波</t>
        </is>
      </c>
    </row>
    <row r="20">
      <c r="A20" s="0" t="n">
        <v>2026180</v>
      </c>
      <c r="B20" s="0" t="inlineStr">
        <is>
          <t>2026-06-29 21:35:30</t>
        </is>
      </c>
      <c r="C20" s="0" t="inlineStr">
        <is>
          <t>14</t>
        </is>
      </c>
      <c r="D20" s="0" t="inlineStr">
        <is>
          <t>10</t>
        </is>
      </c>
      <c r="E20" s="0" t="inlineStr">
        <is>
          <t>37</t>
        </is>
      </c>
      <c r="F20" s="0" t="inlineStr">
        <is>
          <t>30</t>
        </is>
      </c>
      <c r="G20" s="0" t="inlineStr">
        <is>
          <t>49</t>
        </is>
      </c>
      <c r="H20" s="0" t="inlineStr">
        <is>
          <t>19</t>
        </is>
      </c>
      <c r="I20" s="0" t="inlineStr">
        <is>
          <t>21</t>
        </is>
      </c>
      <c r="J20" s="0" t="inlineStr">
        <is>
          <t>马</t>
        </is>
      </c>
      <c r="K20" s="0" t="inlineStr">
        <is>
          <t>狗</t>
        </is>
      </c>
      <c r="L20" s="0" t="inlineStr">
        <is>
          <t>绿波</t>
        </is>
      </c>
    </row>
    <row r="21">
      <c r="A21" s="0" t="n">
        <v>2026179</v>
      </c>
      <c r="B21" s="0" t="inlineStr">
        <is>
          <t>2026-06-28 21:35:30</t>
        </is>
      </c>
      <c r="C21" s="0" t="inlineStr">
        <is>
          <t>10</t>
        </is>
      </c>
      <c r="D21" s="0" t="inlineStr">
        <is>
          <t>11</t>
        </is>
      </c>
      <c r="E21" s="0" t="inlineStr">
        <is>
          <t>26</t>
        </is>
      </c>
      <c r="F21" s="0" t="inlineStr">
        <is>
          <t>06</t>
        </is>
      </c>
      <c r="G21" s="0" t="inlineStr">
        <is>
          <t>31</t>
        </is>
      </c>
      <c r="H21" s="0" t="inlineStr">
        <is>
          <t>09</t>
        </is>
      </c>
      <c r="I21" s="0" t="inlineStr">
        <is>
          <t>15</t>
        </is>
      </c>
      <c r="J21" s="0" t="inlineStr">
        <is>
          <t>马</t>
        </is>
      </c>
      <c r="K21" s="0" t="inlineStr">
        <is>
          <t>龙</t>
        </is>
      </c>
      <c r="L21" s="0" t="inlineStr">
        <is>
          <t>蓝波</t>
        </is>
      </c>
    </row>
    <row r="22">
      <c r="A22" s="0" t="n">
        <v>2026178</v>
      </c>
      <c r="B22" s="0" t="inlineStr">
        <is>
          <t>2026-06-27 21:35:29</t>
        </is>
      </c>
      <c r="C22" s="0" t="inlineStr">
        <is>
          <t>26</t>
        </is>
      </c>
      <c r="D22" s="0" t="inlineStr">
        <is>
          <t>46</t>
        </is>
      </c>
      <c r="E22" s="0" t="inlineStr">
        <is>
          <t>22</t>
        </is>
      </c>
      <c r="F22" s="0" t="inlineStr">
        <is>
          <t>44</t>
        </is>
      </c>
      <c r="G22" s="0" t="inlineStr">
        <is>
          <t>31</t>
        </is>
      </c>
      <c r="H22" s="0" t="inlineStr">
        <is>
          <t>17</t>
        </is>
      </c>
      <c r="I22" s="0" t="inlineStr">
        <is>
          <t>18</t>
        </is>
      </c>
      <c r="J22" s="0" t="inlineStr">
        <is>
          <t>马</t>
        </is>
      </c>
      <c r="K22" s="0" t="inlineStr">
        <is>
          <t>牛</t>
        </is>
      </c>
      <c r="L22" s="0" t="inlineStr">
        <is>
          <t>红波</t>
        </is>
      </c>
    </row>
    <row r="23">
      <c r="A23" s="0" t="n">
        <v>2026177</v>
      </c>
      <c r="B23" s="0" t="inlineStr">
        <is>
          <t>2026-06-26 21:35:30</t>
        </is>
      </c>
      <c r="C23" s="0" t="inlineStr">
        <is>
          <t>19</t>
        </is>
      </c>
      <c r="D23" s="0" t="inlineStr">
        <is>
          <t>21</t>
        </is>
      </c>
      <c r="E23" s="0" t="inlineStr">
        <is>
          <t>05</t>
        </is>
      </c>
      <c r="F23" s="0" t="inlineStr">
        <is>
          <t>01</t>
        </is>
      </c>
      <c r="G23" s="0" t="inlineStr">
        <is>
          <t>02</t>
        </is>
      </c>
      <c r="H23" s="0" t="inlineStr">
        <is>
          <t>44</t>
        </is>
      </c>
      <c r="I23" s="0" t="inlineStr">
        <is>
          <t>14</t>
        </is>
      </c>
      <c r="J23" s="0" t="inlineStr">
        <is>
          <t>马</t>
        </is>
      </c>
      <c r="K23" s="0" t="inlineStr">
        <is>
          <t>蛇</t>
        </is>
      </c>
      <c r="L23" s="0" t="inlineStr">
        <is>
          <t>蓝波</t>
        </is>
      </c>
    </row>
    <row r="24">
      <c r="A24" s="0" t="n">
        <v>2026176</v>
      </c>
      <c r="B24" s="0" t="inlineStr">
        <is>
          <t>2026-06-25 21:35:30</t>
        </is>
      </c>
      <c r="C24" s="0" t="inlineStr">
        <is>
          <t>30</t>
        </is>
      </c>
      <c r="D24" s="0" t="inlineStr">
        <is>
          <t>31</t>
        </is>
      </c>
      <c r="E24" s="0" t="inlineStr">
        <is>
          <t>02</t>
        </is>
      </c>
      <c r="F24" s="0" t="inlineStr">
        <is>
          <t>36</t>
        </is>
      </c>
      <c r="G24" s="0" t="inlineStr">
        <is>
          <t>38</t>
        </is>
      </c>
      <c r="H24" s="0" t="inlineStr">
        <is>
          <t>15</t>
        </is>
      </c>
      <c r="I24" s="0" t="inlineStr">
        <is>
          <t>10</t>
        </is>
      </c>
      <c r="J24" s="0" t="inlineStr">
        <is>
          <t>马</t>
        </is>
      </c>
      <c r="K24" s="0" t="inlineStr">
        <is>
          <t>鸡</t>
        </is>
      </c>
      <c r="L24" s="0" t="inlineStr">
        <is>
          <t>蓝波</t>
        </is>
      </c>
    </row>
    <row r="25">
      <c r="A25" s="0" t="n">
        <v>2026175</v>
      </c>
      <c r="B25" s="0" t="inlineStr">
        <is>
          <t>2026-06-24 21:35:30</t>
        </is>
      </c>
      <c r="C25" s="0" t="inlineStr">
        <is>
          <t>07</t>
        </is>
      </c>
      <c r="D25" s="0" t="inlineStr">
        <is>
          <t>19</t>
        </is>
      </c>
      <c r="E25" s="0" t="inlineStr">
        <is>
          <t>30</t>
        </is>
      </c>
      <c r="F25" s="0" t="inlineStr">
        <is>
          <t>29</t>
        </is>
      </c>
      <c r="G25" s="0" t="inlineStr">
        <is>
          <t>28</t>
        </is>
      </c>
      <c r="H25" s="0" t="inlineStr">
        <is>
          <t>25</t>
        </is>
      </c>
      <c r="I25" s="0" t="inlineStr">
        <is>
          <t>26</t>
        </is>
      </c>
      <c r="J25" s="0" t="inlineStr">
        <is>
          <t>马</t>
        </is>
      </c>
      <c r="K25" s="0" t="inlineStr">
        <is>
          <t>蛇</t>
        </is>
      </c>
      <c r="L25" s="0" t="inlineStr">
        <is>
          <t>蓝波</t>
        </is>
      </c>
    </row>
    <row r="26">
      <c r="A26" s="0" t="n">
        <v>2026174</v>
      </c>
      <c r="B26" s="0" t="inlineStr">
        <is>
          <t>2026-06-23 21:35:30</t>
        </is>
      </c>
      <c r="C26" s="0" t="inlineStr">
        <is>
          <t>15</t>
        </is>
      </c>
      <c r="D26" s="0" t="inlineStr">
        <is>
          <t>08</t>
        </is>
      </c>
      <c r="E26" s="0" t="inlineStr">
        <is>
          <t>34</t>
        </is>
      </c>
      <c r="F26" s="0" t="inlineStr">
        <is>
          <t>13</t>
        </is>
      </c>
      <c r="G26" s="0" t="inlineStr">
        <is>
          <t>28</t>
        </is>
      </c>
      <c r="H26" s="0" t="inlineStr">
        <is>
          <t>21</t>
        </is>
      </c>
      <c r="I26" s="0" t="inlineStr">
        <is>
          <t>41</t>
        </is>
      </c>
      <c r="J26" s="0" t="inlineStr">
        <is>
          <t>马</t>
        </is>
      </c>
      <c r="K26" s="0" t="inlineStr">
        <is>
          <t>虎</t>
        </is>
      </c>
      <c r="L26" s="0" t="inlineStr">
        <is>
          <t>蓝波</t>
        </is>
      </c>
    </row>
    <row r="27">
      <c r="A27" s="0" t="n">
        <v>2026173</v>
      </c>
      <c r="B27" s="0" t="inlineStr">
        <is>
          <t>2026-06-22 21:35:48</t>
        </is>
      </c>
      <c r="C27" s="0" t="inlineStr">
        <is>
          <t>39</t>
        </is>
      </c>
      <c r="D27" s="0" t="inlineStr">
        <is>
          <t>06</t>
        </is>
      </c>
      <c r="E27" s="0" t="inlineStr">
        <is>
          <t>16</t>
        </is>
      </c>
      <c r="F27" s="0" t="inlineStr">
        <is>
          <t>40</t>
        </is>
      </c>
      <c r="G27" s="0" t="inlineStr">
        <is>
          <t>13</t>
        </is>
      </c>
      <c r="H27" s="0" t="inlineStr">
        <is>
          <t>19</t>
        </is>
      </c>
      <c r="I27" s="0" t="inlineStr">
        <is>
          <t>26</t>
        </is>
      </c>
      <c r="J27" s="0" t="inlineStr">
        <is>
          <t>马</t>
        </is>
      </c>
      <c r="K27" s="0" t="inlineStr">
        <is>
          <t>蛇</t>
        </is>
      </c>
      <c r="L27" s="0" t="inlineStr">
        <is>
          <t>蓝波</t>
        </is>
      </c>
    </row>
    <row r="28">
      <c r="A28" s="0" t="n">
        <v>2026172</v>
      </c>
      <c r="B28" s="0" t="inlineStr">
        <is>
          <t>2026-06-21 21:35:30</t>
        </is>
      </c>
      <c r="C28" s="0" t="inlineStr">
        <is>
          <t>28</t>
        </is>
      </c>
      <c r="D28" s="0" t="inlineStr">
        <is>
          <t>34</t>
        </is>
      </c>
      <c r="E28" s="0" t="inlineStr">
        <is>
          <t>42</t>
        </is>
      </c>
      <c r="F28" s="0" t="inlineStr">
        <is>
          <t>37</t>
        </is>
      </c>
      <c r="G28" s="0" t="inlineStr">
        <is>
          <t>45</t>
        </is>
      </c>
      <c r="H28" s="0" t="inlineStr">
        <is>
          <t>08</t>
        </is>
      </c>
      <c r="I28" s="0" t="inlineStr">
        <is>
          <t>44</t>
        </is>
      </c>
      <c r="J28" s="0" t="inlineStr">
        <is>
          <t>马</t>
        </is>
      </c>
      <c r="K28" s="0" t="inlineStr">
        <is>
          <t>猪</t>
        </is>
      </c>
      <c r="L28" s="0" t="inlineStr">
        <is>
          <t>绿波</t>
        </is>
      </c>
    </row>
    <row r="29">
      <c r="A29" s="0" t="n">
        <v>2026171</v>
      </c>
      <c r="B29" s="0" t="inlineStr">
        <is>
          <t>2026-06-20 21:35:30</t>
        </is>
      </c>
      <c r="C29" s="0" t="inlineStr">
        <is>
          <t>24</t>
        </is>
      </c>
      <c r="D29" s="0" t="inlineStr">
        <is>
          <t>38</t>
        </is>
      </c>
      <c r="E29" s="0" t="inlineStr">
        <is>
          <t>40</t>
        </is>
      </c>
      <c r="F29" s="0" t="inlineStr">
        <is>
          <t>31</t>
        </is>
      </c>
      <c r="G29" s="0" t="inlineStr">
        <is>
          <t>42</t>
        </is>
      </c>
      <c r="H29" s="0" t="inlineStr">
        <is>
          <t>46</t>
        </is>
      </c>
      <c r="I29" s="0" t="inlineStr">
        <is>
          <t>28</t>
        </is>
      </c>
      <c r="J29" s="0" t="inlineStr">
        <is>
          <t>马</t>
        </is>
      </c>
      <c r="K29" s="0" t="inlineStr">
        <is>
          <t>兔</t>
        </is>
      </c>
      <c r="L29" s="0" t="inlineStr">
        <is>
          <t>绿波</t>
        </is>
      </c>
    </row>
    <row r="30">
      <c r="A30" s="0" t="n">
        <v>2026170</v>
      </c>
      <c r="B30" s="0" t="inlineStr">
        <is>
          <t>2026-06-19 21:35:30</t>
        </is>
      </c>
      <c r="C30" s="0" t="inlineStr">
        <is>
          <t>27</t>
        </is>
      </c>
      <c r="D30" s="0" t="inlineStr">
        <is>
          <t>46</t>
        </is>
      </c>
      <c r="E30" s="0" t="inlineStr">
        <is>
          <t>06</t>
        </is>
      </c>
      <c r="F30" s="0" t="inlineStr">
        <is>
          <t>38</t>
        </is>
      </c>
      <c r="G30" s="0" t="inlineStr">
        <is>
          <t>20</t>
        </is>
      </c>
      <c r="H30" s="0" t="inlineStr">
        <is>
          <t>34</t>
        </is>
      </c>
      <c r="I30" s="0" t="inlineStr">
        <is>
          <t>03</t>
        </is>
      </c>
      <c r="J30" s="0" t="inlineStr">
        <is>
          <t>马</t>
        </is>
      </c>
      <c r="K30" s="0" t="inlineStr">
        <is>
          <t>龙</t>
        </is>
      </c>
      <c r="L30" s="0" t="inlineStr">
        <is>
          <t>蓝波</t>
        </is>
      </c>
    </row>
    <row r="31">
      <c r="A31" s="0" t="n">
        <v>2026169</v>
      </c>
      <c r="B31" s="0" t="inlineStr">
        <is>
          <t>2026-06-18 21:35:30</t>
        </is>
      </c>
      <c r="C31" s="0" t="inlineStr">
        <is>
          <t>44</t>
        </is>
      </c>
      <c r="D31" s="0" t="inlineStr">
        <is>
          <t>37</t>
        </is>
      </c>
      <c r="E31" s="0" t="inlineStr">
        <is>
          <t>30</t>
        </is>
      </c>
      <c r="F31" s="0" t="inlineStr">
        <is>
          <t>08</t>
        </is>
      </c>
      <c r="G31" s="0" t="inlineStr">
        <is>
          <t>40</t>
        </is>
      </c>
      <c r="H31" s="0" t="inlineStr">
        <is>
          <t>22</t>
        </is>
      </c>
      <c r="I31" s="0" t="inlineStr">
        <is>
          <t>24</t>
        </is>
      </c>
      <c r="J31" s="0" t="inlineStr">
        <is>
          <t>马</t>
        </is>
      </c>
      <c r="K31" s="0" t="inlineStr">
        <is>
          <t>羊</t>
        </is>
      </c>
      <c r="L31" s="0" t="inlineStr">
        <is>
          <t>红波</t>
        </is>
      </c>
    </row>
    <row r="32">
      <c r="A32" s="0" t="n">
        <v>2026168</v>
      </c>
      <c r="B32" s="0" t="inlineStr">
        <is>
          <t>2026-06-17 21:35:30</t>
        </is>
      </c>
      <c r="C32" s="0" t="inlineStr">
        <is>
          <t>27</t>
        </is>
      </c>
      <c r="D32" s="0" t="inlineStr">
        <is>
          <t>11</t>
        </is>
      </c>
      <c r="E32" s="0" t="inlineStr">
        <is>
          <t>24</t>
        </is>
      </c>
      <c r="F32" s="0" t="inlineStr">
        <is>
          <t>05</t>
        </is>
      </c>
      <c r="G32" s="0" t="inlineStr">
        <is>
          <t>40</t>
        </is>
      </c>
      <c r="H32" s="0" t="inlineStr">
        <is>
          <t>33</t>
        </is>
      </c>
      <c r="I32" s="0" t="inlineStr">
        <is>
          <t>15</t>
        </is>
      </c>
      <c r="J32" s="0" t="inlineStr">
        <is>
          <t>马</t>
        </is>
      </c>
      <c r="K32" s="0" t="inlineStr">
        <is>
          <t>龙</t>
        </is>
      </c>
      <c r="L32" s="0" t="inlineStr">
        <is>
          <t>蓝波</t>
        </is>
      </c>
    </row>
    <row r="33">
      <c r="A33" s="0" t="n">
        <v>2026167</v>
      </c>
      <c r="B33" s="0" t="inlineStr">
        <is>
          <t>2026-06-16 21:35:30</t>
        </is>
      </c>
      <c r="C33" s="0" t="inlineStr">
        <is>
          <t>23</t>
        </is>
      </c>
      <c r="D33" s="0" t="inlineStr">
        <is>
          <t>03</t>
        </is>
      </c>
      <c r="E33" s="0" t="inlineStr">
        <is>
          <t>40</t>
        </is>
      </c>
      <c r="F33" s="0" t="inlineStr">
        <is>
          <t>39</t>
        </is>
      </c>
      <c r="G33" s="0" t="inlineStr">
        <is>
          <t>07</t>
        </is>
      </c>
      <c r="H33" s="0" t="inlineStr">
        <is>
          <t>11</t>
        </is>
      </c>
      <c r="I33" s="0" t="inlineStr">
        <is>
          <t>19</t>
        </is>
      </c>
      <c r="J33" s="0" t="inlineStr">
        <is>
          <t>马</t>
        </is>
      </c>
      <c r="K33" s="0" t="inlineStr">
        <is>
          <t>鼠</t>
        </is>
      </c>
      <c r="L33" s="0" t="inlineStr">
        <is>
          <t>红波</t>
        </is>
      </c>
    </row>
    <row r="34">
      <c r="A34" s="0" t="n">
        <v>2026166</v>
      </c>
      <c r="B34" s="0" t="inlineStr">
        <is>
          <t>2026-06-15 21:35:30</t>
        </is>
      </c>
      <c r="C34" s="0" t="inlineStr">
        <is>
          <t>20</t>
        </is>
      </c>
      <c r="D34" s="0" t="inlineStr">
        <is>
          <t>15</t>
        </is>
      </c>
      <c r="E34" s="0" t="inlineStr">
        <is>
          <t>01</t>
        </is>
      </c>
      <c r="F34" s="0" t="inlineStr">
        <is>
          <t>04</t>
        </is>
      </c>
      <c r="G34" s="0" t="inlineStr">
        <is>
          <t>21</t>
        </is>
      </c>
      <c r="H34" s="0" t="inlineStr">
        <is>
          <t>28</t>
        </is>
      </c>
      <c r="I34" s="0" t="inlineStr">
        <is>
          <t>06</t>
        </is>
      </c>
      <c r="J34" s="0" t="inlineStr">
        <is>
          <t>马</t>
        </is>
      </c>
      <c r="K34" s="0" t="inlineStr">
        <is>
          <t>牛</t>
        </is>
      </c>
      <c r="L34" s="0" t="inlineStr">
        <is>
          <t>绿波</t>
        </is>
      </c>
    </row>
    <row r="35">
      <c r="A35" s="0" t="n">
        <v>2026165</v>
      </c>
      <c r="B35" s="0" t="inlineStr">
        <is>
          <t>2026-06-14 21:35:31</t>
        </is>
      </c>
      <c r="C35" s="0" t="inlineStr">
        <is>
          <t>11</t>
        </is>
      </c>
      <c r="D35" s="0" t="inlineStr">
        <is>
          <t>47</t>
        </is>
      </c>
      <c r="E35" s="0" t="inlineStr">
        <is>
          <t>09</t>
        </is>
      </c>
      <c r="F35" s="0" t="inlineStr">
        <is>
          <t>49</t>
        </is>
      </c>
      <c r="G35" s="0" t="inlineStr">
        <is>
          <t>02</t>
        </is>
      </c>
      <c r="H35" s="0" t="inlineStr">
        <is>
          <t>01</t>
        </is>
      </c>
      <c r="I35" s="0" t="inlineStr">
        <is>
          <t>03</t>
        </is>
      </c>
      <c r="J35" s="0" t="inlineStr">
        <is>
          <t>马</t>
        </is>
      </c>
      <c r="K35" s="0" t="inlineStr">
        <is>
          <t>龙</t>
        </is>
      </c>
      <c r="L35" s="0" t="inlineStr">
        <is>
          <t>蓝波</t>
        </is>
      </c>
    </row>
    <row r="36">
      <c r="A36" s="0" t="n">
        <v>2026164</v>
      </c>
      <c r="B36" s="0" t="inlineStr">
        <is>
          <t>2026-06-13 21:35:35</t>
        </is>
      </c>
      <c r="C36" s="0" t="inlineStr">
        <is>
          <t>46</t>
        </is>
      </c>
      <c r="D36" s="0" t="inlineStr">
        <is>
          <t>04</t>
        </is>
      </c>
      <c r="E36" s="0" t="inlineStr">
        <is>
          <t>38</t>
        </is>
      </c>
      <c r="F36" s="0" t="inlineStr">
        <is>
          <t>12</t>
        </is>
      </c>
      <c r="G36" s="0" t="inlineStr">
        <is>
          <t>03</t>
        </is>
      </c>
      <c r="H36" s="0" t="inlineStr">
        <is>
          <t>02</t>
        </is>
      </c>
      <c r="I36" s="0" t="inlineStr">
        <is>
          <t>21</t>
        </is>
      </c>
      <c r="J36" s="0" t="inlineStr">
        <is>
          <t>马</t>
        </is>
      </c>
      <c r="K36" s="0" t="inlineStr">
        <is>
          <t>狗</t>
        </is>
      </c>
      <c r="L36" s="0" t="inlineStr">
        <is>
          <t>绿波</t>
        </is>
      </c>
    </row>
    <row r="37">
      <c r="A37" s="0" t="n">
        <v>2026163</v>
      </c>
      <c r="B37" s="0" t="inlineStr">
        <is>
          <t>2026-06-12 21:35:30</t>
        </is>
      </c>
      <c r="C37" s="0" t="inlineStr">
        <is>
          <t>39</t>
        </is>
      </c>
      <c r="D37" s="0" t="inlineStr">
        <is>
          <t>08</t>
        </is>
      </c>
      <c r="E37" s="0" t="inlineStr">
        <is>
          <t>10</t>
        </is>
      </c>
      <c r="F37" s="0" t="inlineStr">
        <is>
          <t>33</t>
        </is>
      </c>
      <c r="G37" s="0" t="inlineStr">
        <is>
          <t>07</t>
        </is>
      </c>
      <c r="H37" s="0" t="inlineStr">
        <is>
          <t>41</t>
        </is>
      </c>
      <c r="I37" s="0" t="inlineStr">
        <is>
          <t>37</t>
        </is>
      </c>
      <c r="J37" s="0" t="inlineStr">
        <is>
          <t>马</t>
        </is>
      </c>
      <c r="K37" s="0" t="inlineStr">
        <is>
          <t>马</t>
        </is>
      </c>
      <c r="L37" s="0" t="inlineStr">
        <is>
          <t>蓝波</t>
        </is>
      </c>
    </row>
    <row r="38">
      <c r="A38" s="0" t="n">
        <v>2026162</v>
      </c>
      <c r="B38" s="0" t="inlineStr">
        <is>
          <t>2026-06-11 21:35:30</t>
        </is>
      </c>
      <c r="C38" s="0" t="inlineStr">
        <is>
          <t>23</t>
        </is>
      </c>
      <c r="D38" s="0" t="inlineStr">
        <is>
          <t>41</t>
        </is>
      </c>
      <c r="E38" s="0" t="inlineStr">
        <is>
          <t>24</t>
        </is>
      </c>
      <c r="F38" s="0" t="inlineStr">
        <is>
          <t>26</t>
        </is>
      </c>
      <c r="G38" s="0" t="inlineStr">
        <is>
          <t>33</t>
        </is>
      </c>
      <c r="H38" s="0" t="inlineStr">
        <is>
          <t>07</t>
        </is>
      </c>
      <c r="I38" s="0" t="inlineStr">
        <is>
          <t>32</t>
        </is>
      </c>
      <c r="J38" s="0" t="inlineStr">
        <is>
          <t>马</t>
        </is>
      </c>
      <c r="K38" s="0" t="inlineStr">
        <is>
          <t>猪</t>
        </is>
      </c>
      <c r="L38" s="0" t="inlineStr">
        <is>
          <t>绿波</t>
        </is>
      </c>
    </row>
    <row r="39">
      <c r="A39" s="0" t="n">
        <v>2026161</v>
      </c>
      <c r="B39" s="0" t="inlineStr">
        <is>
          <t>2026-06-10 21:35:30</t>
        </is>
      </c>
      <c r="C39" s="0" t="inlineStr">
        <is>
          <t>36</t>
        </is>
      </c>
      <c r="D39" s="0" t="inlineStr">
        <is>
          <t>40</t>
        </is>
      </c>
      <c r="E39" s="0" t="inlineStr">
        <is>
          <t>42</t>
        </is>
      </c>
      <c r="F39" s="0" t="inlineStr">
        <is>
          <t>19</t>
        </is>
      </c>
      <c r="G39" s="0" t="inlineStr">
        <is>
          <t>34</t>
        </is>
      </c>
      <c r="H39" s="0" t="inlineStr">
        <is>
          <t>46</t>
        </is>
      </c>
      <c r="I39" s="0" t="inlineStr">
        <is>
          <t>08</t>
        </is>
      </c>
      <c r="J39" s="0" t="inlineStr">
        <is>
          <t>马</t>
        </is>
      </c>
      <c r="K39" s="0" t="inlineStr">
        <is>
          <t>猪</t>
        </is>
      </c>
      <c r="L39" s="0" t="inlineStr">
        <is>
          <t>红波</t>
        </is>
      </c>
    </row>
    <row r="40">
      <c r="A40" s="0" t="n">
        <v>2026160</v>
      </c>
      <c r="B40" s="0" t="inlineStr">
        <is>
          <t>2026-06-09 21:35:31</t>
        </is>
      </c>
      <c r="C40" s="0" t="inlineStr">
        <is>
          <t>08</t>
        </is>
      </c>
      <c r="D40" s="0" t="inlineStr">
        <is>
          <t>16</t>
        </is>
      </c>
      <c r="E40" s="0" t="inlineStr">
        <is>
          <t>26</t>
        </is>
      </c>
      <c r="F40" s="0" t="inlineStr">
        <is>
          <t>01</t>
        </is>
      </c>
      <c r="G40" s="0" t="inlineStr">
        <is>
          <t>29</t>
        </is>
      </c>
      <c r="H40" s="0" t="inlineStr">
        <is>
          <t>30</t>
        </is>
      </c>
      <c r="I40" s="0" t="inlineStr">
        <is>
          <t>02</t>
        </is>
      </c>
      <c r="J40" s="0" t="inlineStr">
        <is>
          <t>马</t>
        </is>
      </c>
      <c r="K40" s="0" t="inlineStr">
        <is>
          <t>蛇</t>
        </is>
      </c>
      <c r="L40" s="0" t="inlineStr">
        <is>
          <t>红波</t>
        </is>
      </c>
    </row>
    <row r="41">
      <c r="A41" s="0" t="n">
        <v>2026159</v>
      </c>
      <c r="B41" s="0" t="inlineStr">
        <is>
          <t>2026-06-08 21:35:30</t>
        </is>
      </c>
      <c r="C41" s="0" t="inlineStr">
        <is>
          <t>12</t>
        </is>
      </c>
      <c r="D41" s="0" t="inlineStr">
        <is>
          <t>04</t>
        </is>
      </c>
      <c r="E41" s="0" t="inlineStr">
        <is>
          <t>28</t>
        </is>
      </c>
      <c r="F41" s="0" t="inlineStr">
        <is>
          <t>17</t>
        </is>
      </c>
      <c r="G41" s="0" t="inlineStr">
        <is>
          <t>20</t>
        </is>
      </c>
      <c r="H41" s="0" t="inlineStr">
        <is>
          <t>46</t>
        </is>
      </c>
      <c r="I41" s="0" t="inlineStr">
        <is>
          <t>39</t>
        </is>
      </c>
      <c r="J41" s="0" t="inlineStr">
        <is>
          <t>马</t>
        </is>
      </c>
      <c r="K41" s="0" t="inlineStr">
        <is>
          <t>龙</t>
        </is>
      </c>
      <c r="L41" s="0" t="inlineStr">
        <is>
          <t>绿波</t>
        </is>
      </c>
    </row>
    <row r="42">
      <c r="A42" s="0" t="n">
        <v>2026158</v>
      </c>
      <c r="B42" s="0" t="inlineStr">
        <is>
          <t>2026-06-07 21:35:30</t>
        </is>
      </c>
      <c r="C42" s="0" t="inlineStr">
        <is>
          <t>43</t>
        </is>
      </c>
      <c r="D42" s="0" t="inlineStr">
        <is>
          <t>48</t>
        </is>
      </c>
      <c r="E42" s="0" t="inlineStr">
        <is>
          <t>03</t>
        </is>
      </c>
      <c r="F42" s="0" t="inlineStr">
        <is>
          <t>01</t>
        </is>
      </c>
      <c r="G42" s="0" t="inlineStr">
        <is>
          <t>12</t>
        </is>
      </c>
      <c r="H42" s="0" t="inlineStr">
        <is>
          <t>23</t>
        </is>
      </c>
      <c r="I42" s="0" t="inlineStr">
        <is>
          <t>16</t>
        </is>
      </c>
      <c r="J42" s="0" t="inlineStr">
        <is>
          <t>马</t>
        </is>
      </c>
      <c r="K42" s="0" t="inlineStr">
        <is>
          <t>兔</t>
        </is>
      </c>
      <c r="L42" s="0" t="inlineStr">
        <is>
          <t>绿波</t>
        </is>
      </c>
    </row>
    <row r="43">
      <c r="A43" s="0" t="n">
        <v>2026157</v>
      </c>
      <c r="B43" s="0" t="inlineStr">
        <is>
          <t>2026-06-06 21:35:31</t>
        </is>
      </c>
      <c r="C43" s="0" t="inlineStr">
        <is>
          <t>43</t>
        </is>
      </c>
      <c r="D43" s="0" t="inlineStr">
        <is>
          <t>25</t>
        </is>
      </c>
      <c r="E43" s="0" t="inlineStr">
        <is>
          <t>11</t>
        </is>
      </c>
      <c r="F43" s="0" t="inlineStr">
        <is>
          <t>31</t>
        </is>
      </c>
      <c r="G43" s="0" t="inlineStr">
        <is>
          <t>17</t>
        </is>
      </c>
      <c r="H43" s="0" t="inlineStr">
        <is>
          <t>10</t>
        </is>
      </c>
      <c r="I43" s="0" t="inlineStr">
        <is>
          <t>40</t>
        </is>
      </c>
      <c r="J43" s="0" t="inlineStr">
        <is>
          <t>马</t>
        </is>
      </c>
      <c r="K43" s="0" t="inlineStr">
        <is>
          <t>兔</t>
        </is>
      </c>
      <c r="L43" s="0" t="inlineStr">
        <is>
          <t>红波</t>
        </is>
      </c>
    </row>
    <row r="44">
      <c r="A44" s="0" t="n">
        <v>2026156</v>
      </c>
      <c r="B44" s="0" t="inlineStr">
        <is>
          <t>2026-06-05 21:35:30</t>
        </is>
      </c>
      <c r="C44" s="0" t="inlineStr">
        <is>
          <t>31</t>
        </is>
      </c>
      <c r="D44" s="0" t="inlineStr">
        <is>
          <t>16</t>
        </is>
      </c>
      <c r="E44" s="0" t="inlineStr">
        <is>
          <t>11</t>
        </is>
      </c>
      <c r="F44" s="0" t="inlineStr">
        <is>
          <t>03</t>
        </is>
      </c>
      <c r="G44" s="0" t="inlineStr">
        <is>
          <t>37</t>
        </is>
      </c>
      <c r="H44" s="0" t="inlineStr">
        <is>
          <t>12</t>
        </is>
      </c>
      <c r="I44" s="0" t="inlineStr">
        <is>
          <t>01</t>
        </is>
      </c>
      <c r="J44" s="0" t="inlineStr">
        <is>
          <t>马</t>
        </is>
      </c>
      <c r="K44" s="0" t="inlineStr">
        <is>
          <t>马</t>
        </is>
      </c>
      <c r="L44" s="0" t="inlineStr">
        <is>
          <t>红波</t>
        </is>
      </c>
    </row>
    <row r="45">
      <c r="A45" s="0" t="n">
        <v>2026155</v>
      </c>
      <c r="B45" s="0" t="inlineStr">
        <is>
          <t>2026-06-04 21:35:30</t>
        </is>
      </c>
      <c r="C45" s="0" t="inlineStr">
        <is>
          <t>21</t>
        </is>
      </c>
      <c r="D45" s="0" t="inlineStr">
        <is>
          <t>37</t>
        </is>
      </c>
      <c r="E45" s="0" t="inlineStr">
        <is>
          <t>46</t>
        </is>
      </c>
      <c r="F45" s="0" t="inlineStr">
        <is>
          <t>13</t>
        </is>
      </c>
      <c r="G45" s="0" t="inlineStr">
        <is>
          <t>40</t>
        </is>
      </c>
      <c r="H45" s="0" t="inlineStr">
        <is>
          <t>47</t>
        </is>
      </c>
      <c r="I45" s="0" t="inlineStr">
        <is>
          <t>07</t>
        </is>
      </c>
      <c r="J45" s="0" t="inlineStr">
        <is>
          <t>马</t>
        </is>
      </c>
      <c r="K45" s="0" t="inlineStr">
        <is>
          <t>鼠</t>
        </is>
      </c>
      <c r="L45" s="0" t="inlineStr">
        <is>
          <t>红波</t>
        </is>
      </c>
    </row>
    <row r="46">
      <c r="A46" s="0" t="n">
        <v>2026154</v>
      </c>
      <c r="B46" s="0" t="inlineStr">
        <is>
          <t>2026-06-03 21:35:30</t>
        </is>
      </c>
      <c r="C46" s="0" t="inlineStr">
        <is>
          <t>46</t>
        </is>
      </c>
      <c r="D46" s="0" t="inlineStr">
        <is>
          <t>28</t>
        </is>
      </c>
      <c r="E46" s="0" t="inlineStr">
        <is>
          <t>42</t>
        </is>
      </c>
      <c r="F46" s="0" t="inlineStr">
        <is>
          <t>31</t>
        </is>
      </c>
      <c r="G46" s="0" t="inlineStr">
        <is>
          <t>23</t>
        </is>
      </c>
      <c r="H46" s="0" t="inlineStr">
        <is>
          <t>34</t>
        </is>
      </c>
      <c r="I46" s="0" t="inlineStr">
        <is>
          <t>41</t>
        </is>
      </c>
      <c r="J46" s="0" t="inlineStr">
        <is>
          <t>马</t>
        </is>
      </c>
      <c r="K46" s="0" t="inlineStr">
        <is>
          <t>虎</t>
        </is>
      </c>
      <c r="L46" s="0" t="inlineStr">
        <is>
          <t>蓝波</t>
        </is>
      </c>
    </row>
    <row r="47">
      <c r="A47" s="0" t="n">
        <v>2026153</v>
      </c>
      <c r="B47" s="0" t="inlineStr">
        <is>
          <t>2026-06-02 21:35:30</t>
        </is>
      </c>
      <c r="C47" s="0" t="inlineStr">
        <is>
          <t>01</t>
        </is>
      </c>
      <c r="D47" s="0" t="inlineStr">
        <is>
          <t>38</t>
        </is>
      </c>
      <c r="E47" s="0" t="inlineStr">
        <is>
          <t>33</t>
        </is>
      </c>
      <c r="F47" s="0" t="inlineStr">
        <is>
          <t>28</t>
        </is>
      </c>
      <c r="G47" s="0" t="inlineStr">
        <is>
          <t>06</t>
        </is>
      </c>
      <c r="H47" s="0" t="inlineStr">
        <is>
          <t>40</t>
        </is>
      </c>
      <c r="I47" s="0" t="inlineStr">
        <is>
          <t>41</t>
        </is>
      </c>
      <c r="J47" s="0" t="inlineStr">
        <is>
          <t>马</t>
        </is>
      </c>
      <c r="K47" s="0" t="inlineStr">
        <is>
          <t>虎</t>
        </is>
      </c>
      <c r="L47" s="0" t="inlineStr">
        <is>
          <t>蓝波</t>
        </is>
      </c>
    </row>
    <row r="48">
      <c r="A48" s="0" t="n">
        <v>2026152</v>
      </c>
      <c r="B48" s="0" t="inlineStr">
        <is>
          <t>2026-06-01 21:35:30</t>
        </is>
      </c>
      <c r="C48" s="0" t="inlineStr">
        <is>
          <t>34</t>
        </is>
      </c>
      <c r="D48" s="0" t="inlineStr">
        <is>
          <t>47</t>
        </is>
      </c>
      <c r="E48" s="0" t="inlineStr">
        <is>
          <t>16</t>
        </is>
      </c>
      <c r="F48" s="0" t="inlineStr">
        <is>
          <t>36</t>
        </is>
      </c>
      <c r="G48" s="0" t="inlineStr">
        <is>
          <t>44</t>
        </is>
      </c>
      <c r="H48" s="0" t="inlineStr">
        <is>
          <t>01</t>
        </is>
      </c>
      <c r="I48" s="0" t="inlineStr">
        <is>
          <t>45</t>
        </is>
      </c>
      <c r="J48" s="0" t="inlineStr">
        <is>
          <t>马</t>
        </is>
      </c>
      <c r="K48" s="0" t="inlineStr">
        <is>
          <t>狗</t>
        </is>
      </c>
      <c r="L48" s="0" t="inlineStr">
        <is>
          <t>红波</t>
        </is>
      </c>
    </row>
    <row r="49">
      <c r="A49" s="0" t="n">
        <v>2026151</v>
      </c>
      <c r="B49" s="0" t="inlineStr">
        <is>
          <t>2026-05-31 21:35:30</t>
        </is>
      </c>
      <c r="C49" s="0" t="inlineStr">
        <is>
          <t>27</t>
        </is>
      </c>
      <c r="D49" s="0" t="inlineStr">
        <is>
          <t>15</t>
        </is>
      </c>
      <c r="E49" s="0" t="inlineStr">
        <is>
          <t>29</t>
        </is>
      </c>
      <c r="F49" s="0" t="inlineStr">
        <is>
          <t>42</t>
        </is>
      </c>
      <c r="G49" s="0" t="inlineStr">
        <is>
          <t>20</t>
        </is>
      </c>
      <c r="H49" s="0" t="inlineStr">
        <is>
          <t>41</t>
        </is>
      </c>
      <c r="I49" s="0" t="inlineStr">
        <is>
          <t>31</t>
        </is>
      </c>
      <c r="J49" s="0" t="inlineStr">
        <is>
          <t>马</t>
        </is>
      </c>
      <c r="K49" s="0" t="inlineStr">
        <is>
          <t>鼠</t>
        </is>
      </c>
      <c r="L49" s="0" t="inlineStr">
        <is>
          <t>蓝波</t>
        </is>
      </c>
    </row>
    <row r="50">
      <c r="A50" s="0" t="n">
        <v>2026150</v>
      </c>
      <c r="B50" s="0" t="inlineStr">
        <is>
          <t>2026-05-30 21:35:30</t>
        </is>
      </c>
      <c r="C50" s="0" t="inlineStr">
        <is>
          <t>11</t>
        </is>
      </c>
      <c r="D50" s="0" t="inlineStr">
        <is>
          <t>04</t>
        </is>
      </c>
      <c r="E50" s="0" t="inlineStr">
        <is>
          <t>22</t>
        </is>
      </c>
      <c r="F50" s="0" t="inlineStr">
        <is>
          <t>25</t>
        </is>
      </c>
      <c r="G50" s="0" t="inlineStr">
        <is>
          <t>44</t>
        </is>
      </c>
      <c r="H50" s="0" t="inlineStr">
        <is>
          <t>19</t>
        </is>
      </c>
      <c r="I50" s="0" t="inlineStr">
        <is>
          <t>09</t>
        </is>
      </c>
      <c r="J50" s="0" t="inlineStr">
        <is>
          <t>马</t>
        </is>
      </c>
      <c r="K50" s="0" t="inlineStr">
        <is>
          <t>狗</t>
        </is>
      </c>
      <c r="L50" s="0" t="inlineStr">
        <is>
          <t>蓝波</t>
        </is>
      </c>
    </row>
    <row r="51">
      <c r="A51" s="0" t="n">
        <v>2026149</v>
      </c>
      <c r="B51" s="0" t="inlineStr">
        <is>
          <t>2026-05-29 21:35:30</t>
        </is>
      </c>
      <c r="C51" s="0" t="inlineStr">
        <is>
          <t>28</t>
        </is>
      </c>
      <c r="D51" s="0" t="inlineStr">
        <is>
          <t>30</t>
        </is>
      </c>
      <c r="E51" s="0" t="inlineStr">
        <is>
          <t>44</t>
        </is>
      </c>
      <c r="F51" s="0" t="inlineStr">
        <is>
          <t>45</t>
        </is>
      </c>
      <c r="G51" s="0" t="inlineStr">
        <is>
          <t>04</t>
        </is>
      </c>
      <c r="H51" s="0" t="inlineStr">
        <is>
          <t>20</t>
        </is>
      </c>
      <c r="I51" s="0" t="inlineStr">
        <is>
          <t>27</t>
        </is>
      </c>
      <c r="J51" s="0" t="inlineStr">
        <is>
          <t>马</t>
        </is>
      </c>
      <c r="K51" s="0" t="inlineStr">
        <is>
          <t>龙</t>
        </is>
      </c>
      <c r="L51" s="0" t="inlineStr">
        <is>
          <t>绿波</t>
        </is>
      </c>
    </row>
    <row r="52">
      <c r="A52" s="0" t="n">
        <v>2026148</v>
      </c>
      <c r="B52" s="0" t="inlineStr">
        <is>
          <t>2026-05-28 21:35:30</t>
        </is>
      </c>
      <c r="C52" s="0" t="inlineStr">
        <is>
          <t>28</t>
        </is>
      </c>
      <c r="D52" s="0" t="inlineStr">
        <is>
          <t>24</t>
        </is>
      </c>
      <c r="E52" s="0" t="inlineStr">
        <is>
          <t>31</t>
        </is>
      </c>
      <c r="F52" s="0" t="inlineStr">
        <is>
          <t>23</t>
        </is>
      </c>
      <c r="G52" s="0" t="inlineStr">
        <is>
          <t>04</t>
        </is>
      </c>
      <c r="H52" s="0" t="inlineStr">
        <is>
          <t>27</t>
        </is>
      </c>
      <c r="I52" s="0" t="inlineStr">
        <is>
          <t>48</t>
        </is>
      </c>
      <c r="J52" s="0" t="inlineStr">
        <is>
          <t>马</t>
        </is>
      </c>
      <c r="K52" s="0" t="inlineStr">
        <is>
          <t>羊</t>
        </is>
      </c>
      <c r="L52" s="0" t="inlineStr">
        <is>
          <t>蓝波</t>
        </is>
      </c>
    </row>
    <row r="53">
      <c r="A53" s="0" t="n">
        <v>2026147</v>
      </c>
      <c r="B53" s="0" t="inlineStr">
        <is>
          <t>2026-05-27 21:35:30</t>
        </is>
      </c>
      <c r="C53" s="0" t="inlineStr">
        <is>
          <t>29</t>
        </is>
      </c>
      <c r="D53" s="0" t="inlineStr">
        <is>
          <t>40</t>
        </is>
      </c>
      <c r="E53" s="0" t="inlineStr">
        <is>
          <t>06</t>
        </is>
      </c>
      <c r="F53" s="0" t="inlineStr">
        <is>
          <t>18</t>
        </is>
      </c>
      <c r="G53" s="0" t="inlineStr">
        <is>
          <t>31</t>
        </is>
      </c>
      <c r="H53" s="0" t="inlineStr">
        <is>
          <t>10</t>
        </is>
      </c>
      <c r="I53" s="0" t="inlineStr">
        <is>
          <t>13</t>
        </is>
      </c>
      <c r="J53" s="0" t="inlineStr">
        <is>
          <t>马</t>
        </is>
      </c>
      <c r="K53" s="0" t="inlineStr">
        <is>
          <t>马</t>
        </is>
      </c>
      <c r="L53" s="0" t="inlineStr">
        <is>
          <t>红波</t>
        </is>
      </c>
    </row>
    <row r="54">
      <c r="A54" s="0" t="n">
        <v>2026146</v>
      </c>
      <c r="B54" s="0" t="inlineStr">
        <is>
          <t>2026-05-26 21:35:30</t>
        </is>
      </c>
      <c r="C54" s="0" t="inlineStr">
        <is>
          <t>11</t>
        </is>
      </c>
      <c r="D54" s="0" t="inlineStr">
        <is>
          <t>30</t>
        </is>
      </c>
      <c r="E54" s="0" t="inlineStr">
        <is>
          <t>20</t>
        </is>
      </c>
      <c r="F54" s="0" t="inlineStr">
        <is>
          <t>19</t>
        </is>
      </c>
      <c r="G54" s="0" t="inlineStr">
        <is>
          <t>05</t>
        </is>
      </c>
      <c r="H54" s="0" t="inlineStr">
        <is>
          <t>16</t>
        </is>
      </c>
      <c r="I54" s="0" t="inlineStr">
        <is>
          <t>42</t>
        </is>
      </c>
      <c r="J54" s="0" t="inlineStr">
        <is>
          <t>马</t>
        </is>
      </c>
      <c r="K54" s="0" t="inlineStr">
        <is>
          <t>牛</t>
        </is>
      </c>
      <c r="L54" s="0" t="inlineStr">
        <is>
          <t>蓝波</t>
        </is>
      </c>
    </row>
    <row r="55">
      <c r="A55" s="0" t="n">
        <v>2026145</v>
      </c>
      <c r="B55" s="0" t="inlineStr">
        <is>
          <t>2026-05-25 21:35:30</t>
        </is>
      </c>
      <c r="C55" s="0" t="inlineStr">
        <is>
          <t>36</t>
        </is>
      </c>
      <c r="D55" s="0" t="inlineStr">
        <is>
          <t>43</t>
        </is>
      </c>
      <c r="E55" s="0" t="inlineStr">
        <is>
          <t>25</t>
        </is>
      </c>
      <c r="F55" s="0" t="inlineStr">
        <is>
          <t>32</t>
        </is>
      </c>
      <c r="G55" s="0" t="inlineStr">
        <is>
          <t>37</t>
        </is>
      </c>
      <c r="H55" s="0" t="inlineStr">
        <is>
          <t>18</t>
        </is>
      </c>
      <c r="I55" s="0" t="inlineStr">
        <is>
          <t>05</t>
        </is>
      </c>
      <c r="J55" s="0" t="inlineStr">
        <is>
          <t>马</t>
        </is>
      </c>
      <c r="K55" s="0" t="inlineStr">
        <is>
          <t>虎</t>
        </is>
      </c>
      <c r="L55" s="0" t="inlineStr">
        <is>
          <t>绿波</t>
        </is>
      </c>
    </row>
    <row r="56">
      <c r="A56" s="0" t="n">
        <v>2026144</v>
      </c>
      <c r="B56" s="0" t="inlineStr">
        <is>
          <t>2026-05-24 21:35:30</t>
        </is>
      </c>
      <c r="C56" s="0" t="inlineStr">
        <is>
          <t>47</t>
        </is>
      </c>
      <c r="D56" s="0" t="inlineStr">
        <is>
          <t>31</t>
        </is>
      </c>
      <c r="E56" s="0" t="inlineStr">
        <is>
          <t>29</t>
        </is>
      </c>
      <c r="F56" s="0" t="inlineStr">
        <is>
          <t>33</t>
        </is>
      </c>
      <c r="G56" s="0" t="inlineStr">
        <is>
          <t>22</t>
        </is>
      </c>
      <c r="H56" s="0" t="inlineStr">
        <is>
          <t>26</t>
        </is>
      </c>
      <c r="I56" s="0" t="inlineStr">
        <is>
          <t>43</t>
        </is>
      </c>
      <c r="J56" s="0" t="inlineStr">
        <is>
          <t>马</t>
        </is>
      </c>
      <c r="K56" s="0" t="inlineStr">
        <is>
          <t>鼠</t>
        </is>
      </c>
      <c r="L56" s="0" t="inlineStr">
        <is>
          <t>绿波</t>
        </is>
      </c>
    </row>
    <row r="57">
      <c r="A57" s="0" t="n">
        <v>2026143</v>
      </c>
      <c r="B57" s="0" t="inlineStr">
        <is>
          <t>2026-05-23 21:35:30</t>
        </is>
      </c>
      <c r="C57" s="0" t="inlineStr">
        <is>
          <t>13</t>
        </is>
      </c>
      <c r="D57" s="0" t="inlineStr">
        <is>
          <t>26</t>
        </is>
      </c>
      <c r="E57" s="0" t="inlineStr">
        <is>
          <t>18</t>
        </is>
      </c>
      <c r="F57" s="0" t="inlineStr">
        <is>
          <t>32</t>
        </is>
      </c>
      <c r="G57" s="0" t="inlineStr">
        <is>
          <t>02</t>
        </is>
      </c>
      <c r="H57" s="0" t="inlineStr">
        <is>
          <t>33</t>
        </is>
      </c>
      <c r="I57" s="0" t="inlineStr">
        <is>
          <t>44</t>
        </is>
      </c>
      <c r="J57" s="0" t="inlineStr">
        <is>
          <t>马</t>
        </is>
      </c>
      <c r="K57" s="0" t="inlineStr">
        <is>
          <t>猪</t>
        </is>
      </c>
      <c r="L57" s="0" t="inlineStr">
        <is>
          <t>绿波</t>
        </is>
      </c>
    </row>
    <row r="58">
      <c r="A58" s="0" t="n">
        <v>2026142</v>
      </c>
      <c r="B58" s="0" t="inlineStr">
        <is>
          <t>2026-05-22 21:35:30</t>
        </is>
      </c>
      <c r="C58" s="0" t="inlineStr">
        <is>
          <t>45</t>
        </is>
      </c>
      <c r="D58" s="0" t="inlineStr">
        <is>
          <t>15</t>
        </is>
      </c>
      <c r="E58" s="0" t="inlineStr">
        <is>
          <t>26</t>
        </is>
      </c>
      <c r="F58" s="0" t="inlineStr">
        <is>
          <t>21</t>
        </is>
      </c>
      <c r="G58" s="0" t="inlineStr">
        <is>
          <t>18</t>
        </is>
      </c>
      <c r="H58" s="0" t="inlineStr">
        <is>
          <t>35</t>
        </is>
      </c>
      <c r="I58" s="0" t="inlineStr">
        <is>
          <t>23</t>
        </is>
      </c>
      <c r="J58" s="0" t="inlineStr">
        <is>
          <t>马</t>
        </is>
      </c>
      <c r="K58" s="0" t="inlineStr">
        <is>
          <t>猴</t>
        </is>
      </c>
      <c r="L58" s="0" t="inlineStr">
        <is>
          <t>红波</t>
        </is>
      </c>
    </row>
    <row r="59">
      <c r="A59" s="0" t="n">
        <v>2026141</v>
      </c>
      <c r="B59" s="0" t="inlineStr">
        <is>
          <t>2026-05-21 21:35:30</t>
        </is>
      </c>
      <c r="C59" s="0" t="inlineStr">
        <is>
          <t>43</t>
        </is>
      </c>
      <c r="D59" s="0" t="inlineStr">
        <is>
          <t>08</t>
        </is>
      </c>
      <c r="E59" s="0" t="inlineStr">
        <is>
          <t>17</t>
        </is>
      </c>
      <c r="F59" s="0" t="inlineStr">
        <is>
          <t>02</t>
        </is>
      </c>
      <c r="G59" s="0" t="inlineStr">
        <is>
          <t>34</t>
        </is>
      </c>
      <c r="H59" s="0" t="inlineStr">
        <is>
          <t>32</t>
        </is>
      </c>
      <c r="I59" s="0" t="inlineStr">
        <is>
          <t>33</t>
        </is>
      </c>
      <c r="J59" s="0" t="inlineStr">
        <is>
          <t>马</t>
        </is>
      </c>
      <c r="K59" s="0" t="inlineStr">
        <is>
          <t>狗</t>
        </is>
      </c>
      <c r="L59" s="0" t="inlineStr">
        <is>
          <t>绿波</t>
        </is>
      </c>
    </row>
    <row r="60">
      <c r="A60" s="0" t="n">
        <v>2026140</v>
      </c>
      <c r="B60" s="0" t="inlineStr">
        <is>
          <t>2026-05-20 21:35:30</t>
        </is>
      </c>
      <c r="C60" s="0" t="inlineStr">
        <is>
          <t>13</t>
        </is>
      </c>
      <c r="D60" s="0" t="inlineStr">
        <is>
          <t>10</t>
        </is>
      </c>
      <c r="E60" s="0" t="inlineStr">
        <is>
          <t>42</t>
        </is>
      </c>
      <c r="F60" s="0" t="inlineStr">
        <is>
          <t>04</t>
        </is>
      </c>
      <c r="G60" s="0" t="inlineStr">
        <is>
          <t>46</t>
        </is>
      </c>
      <c r="H60" s="0" t="inlineStr">
        <is>
          <t>34</t>
        </is>
      </c>
      <c r="I60" s="0" t="inlineStr">
        <is>
          <t>16</t>
        </is>
      </c>
      <c r="J60" s="0" t="inlineStr">
        <is>
          <t>马</t>
        </is>
      </c>
      <c r="K60" s="0" t="inlineStr">
        <is>
          <t>兔</t>
        </is>
      </c>
      <c r="L60" s="0" t="inlineStr">
        <is>
          <t>绿波</t>
        </is>
      </c>
    </row>
    <row r="61">
      <c r="A61" s="0" t="n">
        <v>2026139</v>
      </c>
      <c r="B61" s="0" t="inlineStr">
        <is>
          <t>2026-05-19 21:35:31</t>
        </is>
      </c>
      <c r="C61" s="0" t="inlineStr">
        <is>
          <t>41</t>
        </is>
      </c>
      <c r="D61" s="0" t="inlineStr">
        <is>
          <t>45</t>
        </is>
      </c>
      <c r="E61" s="0" t="inlineStr">
        <is>
          <t>48</t>
        </is>
      </c>
      <c r="F61" s="0" t="inlineStr">
        <is>
          <t>01</t>
        </is>
      </c>
      <c r="G61" s="0" t="inlineStr">
        <is>
          <t>36</t>
        </is>
      </c>
      <c r="H61" s="0" t="inlineStr">
        <is>
          <t>30</t>
        </is>
      </c>
      <c r="I61" s="0" t="inlineStr">
        <is>
          <t>24</t>
        </is>
      </c>
      <c r="J61" s="0" t="inlineStr">
        <is>
          <t>马</t>
        </is>
      </c>
      <c r="K61" s="0" t="inlineStr">
        <is>
          <t>羊</t>
        </is>
      </c>
      <c r="L61" s="0" t="inlineStr">
        <is>
          <t>红波</t>
        </is>
      </c>
    </row>
    <row r="62">
      <c r="A62" s="0" t="n">
        <v>2026138</v>
      </c>
      <c r="B62" s="0" t="inlineStr">
        <is>
          <t>2026-05-18 21:35:30</t>
        </is>
      </c>
      <c r="C62" s="0" t="inlineStr">
        <is>
          <t>38</t>
        </is>
      </c>
      <c r="D62" s="0" t="inlineStr">
        <is>
          <t>22</t>
        </is>
      </c>
      <c r="E62" s="0" t="inlineStr">
        <is>
          <t>06</t>
        </is>
      </c>
      <c r="F62" s="0" t="inlineStr">
        <is>
          <t>24</t>
        </is>
      </c>
      <c r="G62" s="0" t="inlineStr">
        <is>
          <t>20</t>
        </is>
      </c>
      <c r="H62" s="0" t="inlineStr">
        <is>
          <t>46</t>
        </is>
      </c>
      <c r="I62" s="0" t="inlineStr">
        <is>
          <t>49</t>
        </is>
      </c>
      <c r="J62" s="0" t="inlineStr">
        <is>
          <t>马</t>
        </is>
      </c>
      <c r="K62" s="0" t="inlineStr">
        <is>
          <t>马</t>
        </is>
      </c>
      <c r="L62" s="0" t="inlineStr">
        <is>
          <t>绿波</t>
        </is>
      </c>
    </row>
    <row r="63">
      <c r="A63" s="0" t="n">
        <v>2026137</v>
      </c>
      <c r="B63" s="0" t="inlineStr">
        <is>
          <t>2026-05-17 21:35:30</t>
        </is>
      </c>
      <c r="C63" s="0" t="inlineStr">
        <is>
          <t>24</t>
        </is>
      </c>
      <c r="D63" s="0" t="inlineStr">
        <is>
          <t>20</t>
        </is>
      </c>
      <c r="E63" s="0" t="inlineStr">
        <is>
          <t>32</t>
        </is>
      </c>
      <c r="F63" s="0" t="inlineStr">
        <is>
          <t>05</t>
        </is>
      </c>
      <c r="G63" s="0" t="inlineStr">
        <is>
          <t>19</t>
        </is>
      </c>
      <c r="H63" s="0" t="inlineStr">
        <is>
          <t>07</t>
        </is>
      </c>
      <c r="I63" s="0" t="inlineStr">
        <is>
          <t>26</t>
        </is>
      </c>
      <c r="J63" s="0" t="inlineStr">
        <is>
          <t>马</t>
        </is>
      </c>
      <c r="K63" s="0" t="inlineStr">
        <is>
          <t>蛇</t>
        </is>
      </c>
      <c r="L63" s="0" t="inlineStr">
        <is>
          <t>蓝波</t>
        </is>
      </c>
    </row>
    <row r="64">
      <c r="A64" s="0" t="n">
        <v>2026136</v>
      </c>
      <c r="B64" s="0" t="inlineStr">
        <is>
          <t>2026-05-16 21:35:30</t>
        </is>
      </c>
      <c r="C64" s="0" t="inlineStr">
        <is>
          <t>01</t>
        </is>
      </c>
      <c r="D64" s="0" t="inlineStr">
        <is>
          <t>14</t>
        </is>
      </c>
      <c r="E64" s="0" t="inlineStr">
        <is>
          <t>24</t>
        </is>
      </c>
      <c r="F64" s="0" t="inlineStr">
        <is>
          <t>17</t>
        </is>
      </c>
      <c r="G64" s="0" t="inlineStr">
        <is>
          <t>15</t>
        </is>
      </c>
      <c r="H64" s="0" t="inlineStr">
        <is>
          <t>12</t>
        </is>
      </c>
      <c r="I64" s="0" t="inlineStr">
        <is>
          <t>48</t>
        </is>
      </c>
      <c r="J64" s="0" t="inlineStr">
        <is>
          <t>马</t>
        </is>
      </c>
      <c r="K64" s="0" t="inlineStr">
        <is>
          <t>羊</t>
        </is>
      </c>
      <c r="L64" s="0" t="inlineStr">
        <is>
          <t>蓝波</t>
        </is>
      </c>
    </row>
    <row r="65">
      <c r="A65" s="0" t="n">
        <v>2026135</v>
      </c>
      <c r="B65" s="0" t="inlineStr">
        <is>
          <t>2026-05-15 21:35:30</t>
        </is>
      </c>
      <c r="C65" s="0" t="inlineStr">
        <is>
          <t>08</t>
        </is>
      </c>
      <c r="D65" s="0" t="inlineStr">
        <is>
          <t>35</t>
        </is>
      </c>
      <c r="E65" s="0" t="inlineStr">
        <is>
          <t>09</t>
        </is>
      </c>
      <c r="F65" s="0" t="inlineStr">
        <is>
          <t>20</t>
        </is>
      </c>
      <c r="G65" s="0" t="inlineStr">
        <is>
          <t>18</t>
        </is>
      </c>
      <c r="H65" s="0" t="inlineStr">
        <is>
          <t>47</t>
        </is>
      </c>
      <c r="I65" s="0" t="inlineStr">
        <is>
          <t>30</t>
        </is>
      </c>
      <c r="J65" s="0" t="inlineStr">
        <is>
          <t>马</t>
        </is>
      </c>
      <c r="K65" s="0" t="inlineStr">
        <is>
          <t>牛</t>
        </is>
      </c>
      <c r="L65" s="0" t="inlineStr">
        <is>
          <t>红波</t>
        </is>
      </c>
    </row>
    <row r="66">
      <c r="A66" s="0" t="n">
        <v>2026134</v>
      </c>
      <c r="B66" s="0" t="inlineStr">
        <is>
          <t>2026-05-14 21:35:31</t>
        </is>
      </c>
      <c r="C66" s="0" t="inlineStr">
        <is>
          <t>24</t>
        </is>
      </c>
      <c r="D66" s="0" t="inlineStr">
        <is>
          <t>46</t>
        </is>
      </c>
      <c r="E66" s="0" t="inlineStr">
        <is>
          <t>40</t>
        </is>
      </c>
      <c r="F66" s="0" t="inlineStr">
        <is>
          <t>44</t>
        </is>
      </c>
      <c r="G66" s="0" t="inlineStr">
        <is>
          <t>22</t>
        </is>
      </c>
      <c r="H66" s="0" t="inlineStr">
        <is>
          <t>49</t>
        </is>
      </c>
      <c r="I66" s="0" t="inlineStr">
        <is>
          <t>37</t>
        </is>
      </c>
      <c r="J66" s="0" t="inlineStr">
        <is>
          <t>马</t>
        </is>
      </c>
      <c r="K66" s="0" t="inlineStr">
        <is>
          <t>马</t>
        </is>
      </c>
      <c r="L66" s="0" t="inlineStr">
        <is>
          <t>蓝波</t>
        </is>
      </c>
    </row>
    <row r="67">
      <c r="A67" s="0" t="n">
        <v>2026133</v>
      </c>
      <c r="B67" s="0" t="inlineStr">
        <is>
          <t>2026-05-13 21:35:31</t>
        </is>
      </c>
      <c r="C67" s="0" t="inlineStr">
        <is>
          <t>38</t>
        </is>
      </c>
      <c r="D67" s="0" t="inlineStr">
        <is>
          <t>14</t>
        </is>
      </c>
      <c r="E67" s="0" t="inlineStr">
        <is>
          <t>23</t>
        </is>
      </c>
      <c r="F67" s="0" t="inlineStr">
        <is>
          <t>01</t>
        </is>
      </c>
      <c r="G67" s="0" t="inlineStr">
        <is>
          <t>26</t>
        </is>
      </c>
      <c r="H67" s="0" t="inlineStr">
        <is>
          <t>44</t>
        </is>
      </c>
      <c r="I67" s="0" t="inlineStr">
        <is>
          <t>07</t>
        </is>
      </c>
      <c r="J67" s="0" t="inlineStr">
        <is>
          <t>马</t>
        </is>
      </c>
      <c r="K67" s="0" t="inlineStr">
        <is>
          <t>鼠</t>
        </is>
      </c>
      <c r="L67" s="0" t="inlineStr">
        <is>
          <t>红波</t>
        </is>
      </c>
    </row>
    <row r="68">
      <c r="A68" s="0" t="n">
        <v>2026132</v>
      </c>
      <c r="B68" s="0" t="inlineStr">
        <is>
          <t>2026-05-12 21:35:30</t>
        </is>
      </c>
      <c r="C68" s="0" t="inlineStr">
        <is>
          <t>48</t>
        </is>
      </c>
      <c r="D68" s="0" t="inlineStr">
        <is>
          <t>11</t>
        </is>
      </c>
      <c r="E68" s="0" t="inlineStr">
        <is>
          <t>20</t>
        </is>
      </c>
      <c r="F68" s="0" t="inlineStr">
        <is>
          <t>44</t>
        </is>
      </c>
      <c r="G68" s="0" t="inlineStr">
        <is>
          <t>39</t>
        </is>
      </c>
      <c r="H68" s="0" t="inlineStr">
        <is>
          <t>35</t>
        </is>
      </c>
      <c r="I68" s="0" t="inlineStr">
        <is>
          <t>30</t>
        </is>
      </c>
      <c r="J68" s="0" t="inlineStr">
        <is>
          <t>马</t>
        </is>
      </c>
      <c r="K68" s="0" t="inlineStr">
        <is>
          <t>牛</t>
        </is>
      </c>
      <c r="L68" s="0" t="inlineStr">
        <is>
          <t>红波</t>
        </is>
      </c>
    </row>
    <row r="69">
      <c r="A69" s="0" t="n">
        <v>2026131</v>
      </c>
      <c r="B69" s="0" t="inlineStr">
        <is>
          <t>2026-05-11 21:35:30</t>
        </is>
      </c>
      <c r="C69" s="0" t="inlineStr">
        <is>
          <t>12</t>
        </is>
      </c>
      <c r="D69" s="0" t="inlineStr">
        <is>
          <t>40</t>
        </is>
      </c>
      <c r="E69" s="0" t="inlineStr">
        <is>
          <t>21</t>
        </is>
      </c>
      <c r="F69" s="0" t="inlineStr">
        <is>
          <t>32</t>
        </is>
      </c>
      <c r="G69" s="0" t="inlineStr">
        <is>
          <t>01</t>
        </is>
      </c>
      <c r="H69" s="0" t="inlineStr">
        <is>
          <t>25</t>
        </is>
      </c>
      <c r="I69" s="0" t="inlineStr">
        <is>
          <t>07</t>
        </is>
      </c>
      <c r="J69" s="0" t="inlineStr">
        <is>
          <t>马</t>
        </is>
      </c>
      <c r="K69" s="0" t="inlineStr">
        <is>
          <t>鼠</t>
        </is>
      </c>
      <c r="L69" s="0" t="inlineStr">
        <is>
          <t>红波</t>
        </is>
      </c>
    </row>
    <row r="70">
      <c r="A70" s="0" t="n">
        <v>2026130</v>
      </c>
      <c r="B70" s="0" t="inlineStr">
        <is>
          <t>2026-05-10 21:35:31</t>
        </is>
      </c>
      <c r="C70" s="0" t="inlineStr">
        <is>
          <t>41</t>
        </is>
      </c>
      <c r="D70" s="0" t="inlineStr">
        <is>
          <t>26</t>
        </is>
      </c>
      <c r="E70" s="0" t="inlineStr">
        <is>
          <t>09</t>
        </is>
      </c>
      <c r="F70" s="0" t="inlineStr">
        <is>
          <t>11</t>
        </is>
      </c>
      <c r="G70" s="0" t="inlineStr">
        <is>
          <t>05</t>
        </is>
      </c>
      <c r="H70" s="0" t="inlineStr">
        <is>
          <t>25</t>
        </is>
      </c>
      <c r="I70" s="0" t="inlineStr">
        <is>
          <t>29</t>
        </is>
      </c>
      <c r="J70" s="0" t="inlineStr">
        <is>
          <t>马</t>
        </is>
      </c>
      <c r="K70" s="0" t="inlineStr">
        <is>
          <t>虎</t>
        </is>
      </c>
      <c r="L70" s="0" t="inlineStr">
        <is>
          <t>红波</t>
        </is>
      </c>
    </row>
    <row r="71">
      <c r="A71" s="0" t="n">
        <v>2026129</v>
      </c>
      <c r="B71" s="0" t="inlineStr">
        <is>
          <t>2026-05-09 21:35:31</t>
        </is>
      </c>
      <c r="C71" s="0" t="inlineStr">
        <is>
          <t>34</t>
        </is>
      </c>
      <c r="D71" s="0" t="inlineStr">
        <is>
          <t>07</t>
        </is>
      </c>
      <c r="E71" s="0" t="inlineStr">
        <is>
          <t>40</t>
        </is>
      </c>
      <c r="F71" s="0" t="inlineStr">
        <is>
          <t>21</t>
        </is>
      </c>
      <c r="G71" s="0" t="inlineStr">
        <is>
          <t>17</t>
        </is>
      </c>
      <c r="H71" s="0" t="inlineStr">
        <is>
          <t>25</t>
        </is>
      </c>
      <c r="I71" s="0" t="inlineStr">
        <is>
          <t>41</t>
        </is>
      </c>
      <c r="J71" s="0" t="inlineStr">
        <is>
          <t>马</t>
        </is>
      </c>
      <c r="K71" s="0" t="inlineStr">
        <is>
          <t>虎</t>
        </is>
      </c>
      <c r="L71" s="0" t="inlineStr">
        <is>
          <t>蓝波</t>
        </is>
      </c>
    </row>
    <row r="72">
      <c r="A72" s="0" t="n">
        <v>2026128</v>
      </c>
      <c r="B72" s="0" t="inlineStr">
        <is>
          <t>2026-05-08 21:35:30</t>
        </is>
      </c>
      <c r="C72" s="0" t="inlineStr">
        <is>
          <t>25</t>
        </is>
      </c>
      <c r="D72" s="0" t="inlineStr">
        <is>
          <t>46</t>
        </is>
      </c>
      <c r="E72" s="0" t="inlineStr">
        <is>
          <t>02</t>
        </is>
      </c>
      <c r="F72" s="0" t="inlineStr">
        <is>
          <t>07</t>
        </is>
      </c>
      <c r="G72" s="0" t="inlineStr">
        <is>
          <t>45</t>
        </is>
      </c>
      <c r="H72" s="0" t="inlineStr">
        <is>
          <t>42</t>
        </is>
      </c>
      <c r="I72" s="0" t="inlineStr">
        <is>
          <t>37</t>
        </is>
      </c>
      <c r="J72" s="0" t="inlineStr">
        <is>
          <t>马</t>
        </is>
      </c>
      <c r="K72" s="0" t="inlineStr">
        <is>
          <t>马</t>
        </is>
      </c>
      <c r="L72" s="0" t="inlineStr">
        <is>
          <t>蓝波</t>
        </is>
      </c>
    </row>
    <row r="73">
      <c r="A73" s="0" t="n">
        <v>2026127</v>
      </c>
      <c r="B73" s="0" t="inlineStr">
        <is>
          <t>2026-05-07 21:35:30</t>
        </is>
      </c>
      <c r="C73" s="0" t="inlineStr">
        <is>
          <t>14</t>
        </is>
      </c>
      <c r="D73" s="0" t="inlineStr">
        <is>
          <t>08</t>
        </is>
      </c>
      <c r="E73" s="0" t="inlineStr">
        <is>
          <t>27</t>
        </is>
      </c>
      <c r="F73" s="0" t="inlineStr">
        <is>
          <t>03</t>
        </is>
      </c>
      <c r="G73" s="0" t="inlineStr">
        <is>
          <t>07</t>
        </is>
      </c>
      <c r="H73" s="0" t="inlineStr">
        <is>
          <t>29</t>
        </is>
      </c>
      <c r="I73" s="0" t="inlineStr">
        <is>
          <t>45</t>
        </is>
      </c>
      <c r="J73" s="0" t="inlineStr">
        <is>
          <t>马</t>
        </is>
      </c>
      <c r="K73" s="0" t="inlineStr">
        <is>
          <t>狗</t>
        </is>
      </c>
      <c r="L73" s="0" t="inlineStr">
        <is>
          <t>红波</t>
        </is>
      </c>
    </row>
    <row r="74">
      <c r="A74" s="0" t="n">
        <v>2026126</v>
      </c>
      <c r="B74" s="0" t="inlineStr">
        <is>
          <t>2026-05-06 21:35:30</t>
        </is>
      </c>
      <c r="C74" s="0" t="inlineStr">
        <is>
          <t>15</t>
        </is>
      </c>
      <c r="D74" s="0" t="inlineStr">
        <is>
          <t>09</t>
        </is>
      </c>
      <c r="E74" s="0" t="inlineStr">
        <is>
          <t>05</t>
        </is>
      </c>
      <c r="F74" s="0" t="inlineStr">
        <is>
          <t>03</t>
        </is>
      </c>
      <c r="G74" s="0" t="inlineStr">
        <is>
          <t>01</t>
        </is>
      </c>
      <c r="H74" s="0" t="inlineStr">
        <is>
          <t>10</t>
        </is>
      </c>
      <c r="I74" s="0" t="inlineStr">
        <is>
          <t>49</t>
        </is>
      </c>
      <c r="J74" s="0" t="inlineStr">
        <is>
          <t>马</t>
        </is>
      </c>
      <c r="K74" s="0" t="inlineStr">
        <is>
          <t>马</t>
        </is>
      </c>
      <c r="L74" s="0" t="inlineStr">
        <is>
          <t>绿波</t>
        </is>
      </c>
    </row>
    <row r="75">
      <c r="A75" s="0" t="n">
        <v>2026125</v>
      </c>
      <c r="B75" s="0" t="inlineStr">
        <is>
          <t>2026-05-05 21:35:30</t>
        </is>
      </c>
      <c r="C75" s="0" t="inlineStr">
        <is>
          <t>16</t>
        </is>
      </c>
      <c r="D75" s="0" t="inlineStr">
        <is>
          <t>19</t>
        </is>
      </c>
      <c r="E75" s="0" t="inlineStr">
        <is>
          <t>07</t>
        </is>
      </c>
      <c r="F75" s="0" t="inlineStr">
        <is>
          <t>30</t>
        </is>
      </c>
      <c r="G75" s="0" t="inlineStr">
        <is>
          <t>38</t>
        </is>
      </c>
      <c r="H75" s="0" t="inlineStr">
        <is>
          <t>39</t>
        </is>
      </c>
      <c r="I75" s="0" t="inlineStr">
        <is>
          <t>31</t>
        </is>
      </c>
      <c r="J75" s="0" t="inlineStr">
        <is>
          <t>马</t>
        </is>
      </c>
      <c r="K75" s="0" t="inlineStr">
        <is>
          <t>鼠</t>
        </is>
      </c>
      <c r="L75" s="0" t="inlineStr">
        <is>
          <t>蓝波</t>
        </is>
      </c>
    </row>
    <row r="76">
      <c r="A76" s="0" t="n">
        <v>2026124</v>
      </c>
      <c r="B76" s="0" t="inlineStr">
        <is>
          <t>2026-05-04 21:35:30</t>
        </is>
      </c>
      <c r="C76" s="0" t="inlineStr">
        <is>
          <t>46</t>
        </is>
      </c>
      <c r="D76" s="0" t="inlineStr">
        <is>
          <t>05</t>
        </is>
      </c>
      <c r="E76" s="0" t="inlineStr">
        <is>
          <t>10</t>
        </is>
      </c>
      <c r="F76" s="0" t="inlineStr">
        <is>
          <t>17</t>
        </is>
      </c>
      <c r="G76" s="0" t="inlineStr">
        <is>
          <t>12</t>
        </is>
      </c>
      <c r="H76" s="0" t="inlineStr">
        <is>
          <t>22</t>
        </is>
      </c>
      <c r="I76" s="0" t="inlineStr">
        <is>
          <t>39</t>
        </is>
      </c>
      <c r="J76" s="0" t="inlineStr">
        <is>
          <t>马</t>
        </is>
      </c>
      <c r="K76" s="0" t="inlineStr">
        <is>
          <t>龙</t>
        </is>
      </c>
      <c r="L76" s="0" t="inlineStr">
        <is>
          <t>绿波</t>
        </is>
      </c>
    </row>
    <row r="77">
      <c r="A77" s="0" t="n">
        <v>2026123</v>
      </c>
      <c r="B77" s="0" t="inlineStr">
        <is>
          <t>2026-05-03 21:35:30</t>
        </is>
      </c>
      <c r="C77" s="0" t="inlineStr">
        <is>
          <t>39</t>
        </is>
      </c>
      <c r="D77" s="0" t="inlineStr">
        <is>
          <t>23</t>
        </is>
      </c>
      <c r="E77" s="0" t="inlineStr">
        <is>
          <t>49</t>
        </is>
      </c>
      <c r="F77" s="0" t="inlineStr">
        <is>
          <t>17</t>
        </is>
      </c>
      <c r="G77" s="0" t="inlineStr">
        <is>
          <t>42</t>
        </is>
      </c>
      <c r="H77" s="0" t="inlineStr">
        <is>
          <t>44</t>
        </is>
      </c>
      <c r="I77" s="0" t="inlineStr">
        <is>
          <t>46</t>
        </is>
      </c>
      <c r="J77" s="0" t="inlineStr">
        <is>
          <t>马</t>
        </is>
      </c>
      <c r="K77" s="0" t="inlineStr">
        <is>
          <t>鸡</t>
        </is>
      </c>
      <c r="L77" s="0" t="inlineStr">
        <is>
          <t>红波</t>
        </is>
      </c>
    </row>
    <row r="78">
      <c r="A78" s="0" t="n">
        <v>2026122</v>
      </c>
      <c r="B78" s="0" t="inlineStr">
        <is>
          <t>2026-05-02 21:35:31</t>
        </is>
      </c>
      <c r="C78" s="0" t="inlineStr">
        <is>
          <t>18</t>
        </is>
      </c>
      <c r="D78" s="0" t="inlineStr">
        <is>
          <t>23</t>
        </is>
      </c>
      <c r="E78" s="0" t="inlineStr">
        <is>
          <t>15</t>
        </is>
      </c>
      <c r="F78" s="0" t="inlineStr">
        <is>
          <t>22</t>
        </is>
      </c>
      <c r="G78" s="0" t="inlineStr">
        <is>
          <t>25</t>
        </is>
      </c>
      <c r="H78" s="0" t="inlineStr">
        <is>
          <t>45</t>
        </is>
      </c>
      <c r="I78" s="0" t="inlineStr">
        <is>
          <t>01</t>
        </is>
      </c>
      <c r="J78" s="0" t="inlineStr">
        <is>
          <t>马</t>
        </is>
      </c>
      <c r="K78" s="0" t="inlineStr">
        <is>
          <t>马</t>
        </is>
      </c>
      <c r="L78" s="0" t="inlineStr">
        <is>
          <t>红波</t>
        </is>
      </c>
    </row>
    <row r="79">
      <c r="A79" s="0" t="n">
        <v>2026121</v>
      </c>
      <c r="B79" s="0" t="inlineStr">
        <is>
          <t>2026-05-01 21:35:30</t>
        </is>
      </c>
      <c r="C79" s="0" t="inlineStr">
        <is>
          <t>45</t>
        </is>
      </c>
      <c r="D79" s="0" t="inlineStr">
        <is>
          <t>21</t>
        </is>
      </c>
      <c r="E79" s="0" t="inlineStr">
        <is>
          <t>35</t>
        </is>
      </c>
      <c r="F79" s="0" t="inlineStr">
        <is>
          <t>48</t>
        </is>
      </c>
      <c r="G79" s="0" t="inlineStr">
        <is>
          <t>06</t>
        </is>
      </c>
      <c r="H79" s="0" t="inlineStr">
        <is>
          <t>20</t>
        </is>
      </c>
      <c r="I79" s="0" t="inlineStr">
        <is>
          <t>44</t>
        </is>
      </c>
      <c r="J79" s="0" t="inlineStr">
        <is>
          <t>马</t>
        </is>
      </c>
      <c r="K79" s="0" t="inlineStr">
        <is>
          <t>猪</t>
        </is>
      </c>
      <c r="L79" s="0" t="inlineStr">
        <is>
          <t>绿波</t>
        </is>
      </c>
    </row>
    <row r="80">
      <c r="A80" s="0" t="n">
        <v>2026120</v>
      </c>
      <c r="B80" s="0" t="inlineStr">
        <is>
          <t>2026-04-30 21:35:30</t>
        </is>
      </c>
      <c r="C80" s="0" t="inlineStr">
        <is>
          <t>18</t>
        </is>
      </c>
      <c r="D80" s="0" t="inlineStr">
        <is>
          <t>24</t>
        </is>
      </c>
      <c r="E80" s="0" t="inlineStr">
        <is>
          <t>07</t>
        </is>
      </c>
      <c r="F80" s="0" t="inlineStr">
        <is>
          <t>23</t>
        </is>
      </c>
      <c r="G80" s="0" t="inlineStr">
        <is>
          <t>48</t>
        </is>
      </c>
      <c r="H80" s="0" t="inlineStr">
        <is>
          <t>20</t>
        </is>
      </c>
      <c r="I80" s="0" t="inlineStr">
        <is>
          <t>06</t>
        </is>
      </c>
      <c r="J80" s="0" t="inlineStr">
        <is>
          <t>马</t>
        </is>
      </c>
      <c r="K80" s="0" t="inlineStr">
        <is>
          <t>牛</t>
        </is>
      </c>
      <c r="L80" s="0" t="inlineStr">
        <is>
          <t>绿波</t>
        </is>
      </c>
    </row>
    <row r="81">
      <c r="A81" s="0" t="n">
        <v>2026119</v>
      </c>
      <c r="B81" s="0" t="inlineStr">
        <is>
          <t>2026-04-29 21:35:30</t>
        </is>
      </c>
      <c r="C81" s="0" t="inlineStr">
        <is>
          <t>38</t>
        </is>
      </c>
      <c r="D81" s="0" t="inlineStr">
        <is>
          <t>18</t>
        </is>
      </c>
      <c r="E81" s="0" t="inlineStr">
        <is>
          <t>32</t>
        </is>
      </c>
      <c r="F81" s="0" t="inlineStr">
        <is>
          <t>22</t>
        </is>
      </c>
      <c r="G81" s="0" t="inlineStr">
        <is>
          <t>30</t>
        </is>
      </c>
      <c r="H81" s="0" t="inlineStr">
        <is>
          <t>40</t>
        </is>
      </c>
      <c r="I81" s="0" t="inlineStr">
        <is>
          <t>11</t>
        </is>
      </c>
      <c r="J81" s="0" t="inlineStr">
        <is>
          <t>马</t>
        </is>
      </c>
      <c r="K81" s="0" t="inlineStr">
        <is>
          <t>猴</t>
        </is>
      </c>
      <c r="L81" s="0" t="inlineStr">
        <is>
          <t>绿波</t>
        </is>
      </c>
    </row>
    <row r="82">
      <c r="A82" s="0" t="n">
        <v>2026118</v>
      </c>
      <c r="B82" s="0" t="inlineStr">
        <is>
          <t>2026-04-28 21:35:30</t>
        </is>
      </c>
      <c r="C82" s="0" t="inlineStr">
        <is>
          <t>38</t>
        </is>
      </c>
      <c r="D82" s="0" t="inlineStr">
        <is>
          <t>37</t>
        </is>
      </c>
      <c r="E82" s="0" t="inlineStr">
        <is>
          <t>22</t>
        </is>
      </c>
      <c r="F82" s="0" t="inlineStr">
        <is>
          <t>46</t>
        </is>
      </c>
      <c r="G82" s="0" t="inlineStr">
        <is>
          <t>49</t>
        </is>
      </c>
      <c r="H82" s="0" t="inlineStr">
        <is>
          <t>40</t>
        </is>
      </c>
      <c r="I82" s="0" t="inlineStr">
        <is>
          <t>08</t>
        </is>
      </c>
      <c r="J82" s="0" t="inlineStr">
        <is>
          <t>马</t>
        </is>
      </c>
      <c r="K82" s="0" t="inlineStr">
        <is>
          <t>猪</t>
        </is>
      </c>
      <c r="L82" s="0" t="inlineStr">
        <is>
          <t>红波</t>
        </is>
      </c>
    </row>
    <row r="83">
      <c r="A83" s="0" t="n">
        <v>2026117</v>
      </c>
      <c r="B83" s="0" t="inlineStr">
        <is>
          <t>2026-04-27 21:35:30</t>
        </is>
      </c>
      <c r="C83" s="0" t="inlineStr">
        <is>
          <t>45</t>
        </is>
      </c>
      <c r="D83" s="0" t="inlineStr">
        <is>
          <t>02</t>
        </is>
      </c>
      <c r="E83" s="0" t="inlineStr">
        <is>
          <t>46</t>
        </is>
      </c>
      <c r="F83" s="0" t="inlineStr">
        <is>
          <t>33</t>
        </is>
      </c>
      <c r="G83" s="0" t="inlineStr">
        <is>
          <t>19</t>
        </is>
      </c>
      <c r="H83" s="0" t="inlineStr">
        <is>
          <t>07</t>
        </is>
      </c>
      <c r="I83" s="0" t="inlineStr">
        <is>
          <t>16</t>
        </is>
      </c>
      <c r="J83" s="0" t="inlineStr">
        <is>
          <t>马</t>
        </is>
      </c>
      <c r="K83" s="0" t="inlineStr">
        <is>
          <t>兔</t>
        </is>
      </c>
      <c r="L83" s="0" t="inlineStr">
        <is>
          <t>绿波</t>
        </is>
      </c>
    </row>
    <row r="84">
      <c r="A84" s="0" t="n">
        <v>2026116</v>
      </c>
      <c r="B84" s="0" t="inlineStr">
        <is>
          <t>2026-04-26 21:35:31</t>
        </is>
      </c>
      <c r="C84" s="0" t="inlineStr">
        <is>
          <t>15</t>
        </is>
      </c>
      <c r="D84" s="0" t="inlineStr">
        <is>
          <t>46</t>
        </is>
      </c>
      <c r="E84" s="0" t="inlineStr">
        <is>
          <t>16</t>
        </is>
      </c>
      <c r="F84" s="0" t="inlineStr">
        <is>
          <t>10</t>
        </is>
      </c>
      <c r="G84" s="0" t="inlineStr">
        <is>
          <t>48</t>
        </is>
      </c>
      <c r="H84" s="0" t="inlineStr">
        <is>
          <t>33</t>
        </is>
      </c>
      <c r="I84" s="0" t="inlineStr">
        <is>
          <t>22</t>
        </is>
      </c>
      <c r="J84" s="0" t="inlineStr">
        <is>
          <t>马</t>
        </is>
      </c>
      <c r="K84" s="0" t="inlineStr">
        <is>
          <t>鸡</t>
        </is>
      </c>
      <c r="L84" s="0" t="inlineStr">
        <is>
          <t>绿波</t>
        </is>
      </c>
    </row>
    <row r="85">
      <c r="A85" s="0" t="n">
        <v>2026115</v>
      </c>
      <c r="B85" s="0" t="inlineStr">
        <is>
          <t>2026-04-25 21:35:30</t>
        </is>
      </c>
      <c r="C85" s="0" t="inlineStr">
        <is>
          <t>21</t>
        </is>
      </c>
      <c r="D85" s="0" t="inlineStr">
        <is>
          <t>16</t>
        </is>
      </c>
      <c r="E85" s="0" t="inlineStr">
        <is>
          <t>25</t>
        </is>
      </c>
      <c r="F85" s="0" t="inlineStr">
        <is>
          <t>29</t>
        </is>
      </c>
      <c r="G85" s="0" t="inlineStr">
        <is>
          <t>08</t>
        </is>
      </c>
      <c r="H85" s="0" t="inlineStr">
        <is>
          <t>07</t>
        </is>
      </c>
      <c r="I85" s="0" t="inlineStr">
        <is>
          <t>04</t>
        </is>
      </c>
      <c r="J85" s="0" t="inlineStr">
        <is>
          <t>马</t>
        </is>
      </c>
      <c r="K85" s="0" t="inlineStr">
        <is>
          <t>兔</t>
        </is>
      </c>
      <c r="L85" s="0" t="inlineStr">
        <is>
          <t>蓝波</t>
        </is>
      </c>
    </row>
    <row r="86">
      <c r="A86" s="0" t="n">
        <v>2026114</v>
      </c>
      <c r="B86" s="0" t="inlineStr">
        <is>
          <t>2026-04-24 21:35:30</t>
        </is>
      </c>
      <c r="C86" s="0" t="inlineStr">
        <is>
          <t>45</t>
        </is>
      </c>
      <c r="D86" s="0" t="inlineStr">
        <is>
          <t>41</t>
        </is>
      </c>
      <c r="E86" s="0" t="inlineStr">
        <is>
          <t>10</t>
        </is>
      </c>
      <c r="F86" s="0" t="inlineStr">
        <is>
          <t>01</t>
        </is>
      </c>
      <c r="G86" s="0" t="inlineStr">
        <is>
          <t>36</t>
        </is>
      </c>
      <c r="H86" s="0" t="inlineStr">
        <is>
          <t>25</t>
        </is>
      </c>
      <c r="I86" s="0" t="inlineStr">
        <is>
          <t>30</t>
        </is>
      </c>
      <c r="J86" s="0" t="inlineStr">
        <is>
          <t>马</t>
        </is>
      </c>
      <c r="K86" s="0" t="inlineStr">
        <is>
          <t>牛</t>
        </is>
      </c>
      <c r="L86" s="0" t="inlineStr">
        <is>
          <t>红波</t>
        </is>
      </c>
    </row>
    <row r="87">
      <c r="A87" s="0" t="n">
        <v>2026113</v>
      </c>
      <c r="B87" s="0" t="inlineStr">
        <is>
          <t>2026-04-23 21:35:30</t>
        </is>
      </c>
      <c r="C87" s="0" t="inlineStr">
        <is>
          <t>42</t>
        </is>
      </c>
      <c r="D87" s="0" t="inlineStr">
        <is>
          <t>22</t>
        </is>
      </c>
      <c r="E87" s="0" t="inlineStr">
        <is>
          <t>15</t>
        </is>
      </c>
      <c r="F87" s="0" t="inlineStr">
        <is>
          <t>17</t>
        </is>
      </c>
      <c r="G87" s="0" t="inlineStr">
        <is>
          <t>32</t>
        </is>
      </c>
      <c r="H87" s="0" t="inlineStr">
        <is>
          <t>49</t>
        </is>
      </c>
      <c r="I87" s="0" t="inlineStr">
        <is>
          <t>02</t>
        </is>
      </c>
      <c r="J87" s="0" t="inlineStr">
        <is>
          <t>马</t>
        </is>
      </c>
      <c r="K87" s="0" t="inlineStr">
        <is>
          <t>蛇</t>
        </is>
      </c>
      <c r="L87" s="0" t="inlineStr">
        <is>
          <t>红波</t>
        </is>
      </c>
    </row>
    <row r="88">
      <c r="A88" s="0" t="n">
        <v>2026112</v>
      </c>
      <c r="B88" s="0" t="inlineStr">
        <is>
          <t>2026-04-22 21:35:30</t>
        </is>
      </c>
      <c r="C88" s="0" t="inlineStr">
        <is>
          <t>15</t>
        </is>
      </c>
      <c r="D88" s="0" t="inlineStr">
        <is>
          <t>19</t>
        </is>
      </c>
      <c r="E88" s="0" t="inlineStr">
        <is>
          <t>30</t>
        </is>
      </c>
      <c r="F88" s="0" t="inlineStr">
        <is>
          <t>07</t>
        </is>
      </c>
      <c r="G88" s="0" t="inlineStr">
        <is>
          <t>44</t>
        </is>
      </c>
      <c r="H88" s="0" t="inlineStr">
        <is>
          <t>10</t>
        </is>
      </c>
      <c r="I88" s="0" t="inlineStr">
        <is>
          <t>09</t>
        </is>
      </c>
      <c r="J88" s="0" t="inlineStr">
        <is>
          <t>马</t>
        </is>
      </c>
      <c r="K88" s="0" t="inlineStr">
        <is>
          <t>狗</t>
        </is>
      </c>
      <c r="L88" s="0" t="inlineStr">
        <is>
          <t>蓝波</t>
        </is>
      </c>
    </row>
    <row r="89">
      <c r="A89" s="0" t="n">
        <v>2026111</v>
      </c>
      <c r="B89" s="0" t="inlineStr">
        <is>
          <t>2026-04-21 21:35:30</t>
        </is>
      </c>
      <c r="C89" s="0" t="inlineStr">
        <is>
          <t>24</t>
        </is>
      </c>
      <c r="D89" s="0" t="inlineStr">
        <is>
          <t>23</t>
        </is>
      </c>
      <c r="E89" s="0" t="inlineStr">
        <is>
          <t>21</t>
        </is>
      </c>
      <c r="F89" s="0" t="inlineStr">
        <is>
          <t>41</t>
        </is>
      </c>
      <c r="G89" s="0" t="inlineStr">
        <is>
          <t>38</t>
        </is>
      </c>
      <c r="H89" s="0" t="inlineStr">
        <is>
          <t>33</t>
        </is>
      </c>
      <c r="I89" s="0" t="inlineStr">
        <is>
          <t>01</t>
        </is>
      </c>
      <c r="J89" s="0" t="inlineStr">
        <is>
          <t>马</t>
        </is>
      </c>
      <c r="K89" s="0" t="inlineStr">
        <is>
          <t>马</t>
        </is>
      </c>
      <c r="L89" s="0" t="inlineStr">
        <is>
          <t>红波</t>
        </is>
      </c>
    </row>
    <row r="90">
      <c r="A90" s="0" t="n">
        <v>2026110</v>
      </c>
      <c r="B90" s="0" t="inlineStr">
        <is>
          <t>2026-04-20 21:35:30</t>
        </is>
      </c>
      <c r="C90" s="0" t="inlineStr">
        <is>
          <t>40</t>
        </is>
      </c>
      <c r="D90" s="0" t="inlineStr">
        <is>
          <t>03</t>
        </is>
      </c>
      <c r="E90" s="0" t="inlineStr">
        <is>
          <t>43</t>
        </is>
      </c>
      <c r="F90" s="0" t="inlineStr">
        <is>
          <t>29</t>
        </is>
      </c>
      <c r="G90" s="0" t="inlineStr">
        <is>
          <t>45</t>
        </is>
      </c>
      <c r="H90" s="0" t="inlineStr">
        <is>
          <t>19</t>
        </is>
      </c>
      <c r="I90" s="0" t="inlineStr">
        <is>
          <t>30</t>
        </is>
      </c>
      <c r="J90" s="0" t="inlineStr">
        <is>
          <t>马</t>
        </is>
      </c>
      <c r="K90" s="0" t="inlineStr">
        <is>
          <t>牛</t>
        </is>
      </c>
      <c r="L90" s="0" t="inlineStr">
        <is>
          <t>红波</t>
        </is>
      </c>
    </row>
    <row r="91">
      <c r="A91" s="0" t="n">
        <v>2026109</v>
      </c>
      <c r="B91" s="0" t="inlineStr">
        <is>
          <t>2026-04-19 21:35:30</t>
        </is>
      </c>
      <c r="C91" s="0" t="inlineStr">
        <is>
          <t>38</t>
        </is>
      </c>
      <c r="D91" s="0" t="inlineStr">
        <is>
          <t>07</t>
        </is>
      </c>
      <c r="E91" s="0" t="inlineStr">
        <is>
          <t>19</t>
        </is>
      </c>
      <c r="F91" s="0" t="inlineStr">
        <is>
          <t>24</t>
        </is>
      </c>
      <c r="G91" s="0" t="inlineStr">
        <is>
          <t>43</t>
        </is>
      </c>
      <c r="H91" s="0" t="inlineStr">
        <is>
          <t>08</t>
        </is>
      </c>
      <c r="I91" s="0" t="inlineStr">
        <is>
          <t>16</t>
        </is>
      </c>
      <c r="J91" s="0" t="inlineStr">
        <is>
          <t>马</t>
        </is>
      </c>
      <c r="K91" s="0" t="inlineStr">
        <is>
          <t>兔</t>
        </is>
      </c>
      <c r="L91" s="0" t="inlineStr">
        <is>
          <t>绿波</t>
        </is>
      </c>
    </row>
    <row r="92">
      <c r="A92" s="0" t="n">
        <v>2026108</v>
      </c>
      <c r="B92" s="0" t="inlineStr">
        <is>
          <t>2026-04-18 21:35:31</t>
        </is>
      </c>
      <c r="C92" s="0" t="inlineStr">
        <is>
          <t>06</t>
        </is>
      </c>
      <c r="D92" s="0" t="inlineStr">
        <is>
          <t>30</t>
        </is>
      </c>
      <c r="E92" s="0" t="inlineStr">
        <is>
          <t>26</t>
        </is>
      </c>
      <c r="F92" s="0" t="inlineStr">
        <is>
          <t>14</t>
        </is>
      </c>
      <c r="G92" s="0" t="inlineStr">
        <is>
          <t>48</t>
        </is>
      </c>
      <c r="H92" s="0" t="inlineStr">
        <is>
          <t>40</t>
        </is>
      </c>
      <c r="I92" s="0" t="inlineStr">
        <is>
          <t>45</t>
        </is>
      </c>
      <c r="J92" s="0" t="inlineStr">
        <is>
          <t>马</t>
        </is>
      </c>
      <c r="K92" s="0" t="inlineStr">
        <is>
          <t>狗</t>
        </is>
      </c>
      <c r="L92" s="0" t="inlineStr">
        <is>
          <t>红波</t>
        </is>
      </c>
    </row>
    <row r="93">
      <c r="A93" s="0" t="n">
        <v>2026107</v>
      </c>
      <c r="B93" s="0" t="inlineStr">
        <is>
          <t>2026-04-17 21:35:30</t>
        </is>
      </c>
      <c r="C93" s="0" t="inlineStr">
        <is>
          <t>35</t>
        </is>
      </c>
      <c r="D93" s="0" t="inlineStr">
        <is>
          <t>10</t>
        </is>
      </c>
      <c r="E93" s="0" t="inlineStr">
        <is>
          <t>41</t>
        </is>
      </c>
      <c r="F93" s="0" t="inlineStr">
        <is>
          <t>43</t>
        </is>
      </c>
      <c r="G93" s="0" t="inlineStr">
        <is>
          <t>34</t>
        </is>
      </c>
      <c r="H93" s="0" t="inlineStr">
        <is>
          <t>06</t>
        </is>
      </c>
      <c r="I93" s="0" t="inlineStr">
        <is>
          <t>49</t>
        </is>
      </c>
      <c r="J93" s="0" t="inlineStr">
        <is>
          <t>马</t>
        </is>
      </c>
      <c r="K93" s="0" t="inlineStr">
        <is>
          <t>马</t>
        </is>
      </c>
      <c r="L93" s="0" t="inlineStr">
        <is>
          <t>绿波</t>
        </is>
      </c>
    </row>
    <row r="94">
      <c r="A94" s="0" t="n">
        <v>2026106</v>
      </c>
      <c r="B94" s="0" t="inlineStr">
        <is>
          <t>2026-04-16 21:35:30</t>
        </is>
      </c>
      <c r="C94" s="0" t="inlineStr">
        <is>
          <t>31</t>
        </is>
      </c>
      <c r="D94" s="0" t="inlineStr">
        <is>
          <t>48</t>
        </is>
      </c>
      <c r="E94" s="0" t="inlineStr">
        <is>
          <t>05</t>
        </is>
      </c>
      <c r="F94" s="0" t="inlineStr">
        <is>
          <t>11</t>
        </is>
      </c>
      <c r="G94" s="0" t="inlineStr">
        <is>
          <t>46</t>
        </is>
      </c>
      <c r="H94" s="0" t="inlineStr">
        <is>
          <t>40</t>
        </is>
      </c>
      <c r="I94" s="0" t="inlineStr">
        <is>
          <t>22</t>
        </is>
      </c>
      <c r="J94" s="0" t="inlineStr">
        <is>
          <t>马</t>
        </is>
      </c>
      <c r="K94" s="0" t="inlineStr">
        <is>
          <t>鸡</t>
        </is>
      </c>
      <c r="L94" s="0" t="inlineStr">
        <is>
          <t>绿波</t>
        </is>
      </c>
    </row>
    <row r="95">
      <c r="A95" s="0" t="n">
        <v>2026105</v>
      </c>
      <c r="B95" s="0" t="inlineStr">
        <is>
          <t>2026-04-15 21:35:30</t>
        </is>
      </c>
      <c r="C95" s="0" t="inlineStr">
        <is>
          <t>32</t>
        </is>
      </c>
      <c r="D95" s="0" t="inlineStr">
        <is>
          <t>44</t>
        </is>
      </c>
      <c r="E95" s="0" t="inlineStr">
        <is>
          <t>17</t>
        </is>
      </c>
      <c r="F95" s="0" t="inlineStr">
        <is>
          <t>19</t>
        </is>
      </c>
      <c r="G95" s="0" t="inlineStr">
        <is>
          <t>11</t>
        </is>
      </c>
      <c r="H95" s="0" t="inlineStr">
        <is>
          <t>36</t>
        </is>
      </c>
      <c r="I95" s="0" t="inlineStr">
        <is>
          <t>28</t>
        </is>
      </c>
      <c r="J95" s="0" t="inlineStr">
        <is>
          <t>马</t>
        </is>
      </c>
      <c r="K95" s="0" t="inlineStr">
        <is>
          <t>兔</t>
        </is>
      </c>
      <c r="L95" s="0" t="inlineStr">
        <is>
          <t>绿波</t>
        </is>
      </c>
    </row>
    <row r="96">
      <c r="A96" s="0" t="n">
        <v>2026104</v>
      </c>
      <c r="B96" s="0" t="inlineStr">
        <is>
          <t>2026-04-14 21:35:30</t>
        </is>
      </c>
      <c r="C96" s="0" t="inlineStr">
        <is>
          <t>20</t>
        </is>
      </c>
      <c r="D96" s="0" t="inlineStr">
        <is>
          <t>45</t>
        </is>
      </c>
      <c r="E96" s="0" t="inlineStr">
        <is>
          <t>39</t>
        </is>
      </c>
      <c r="F96" s="0" t="inlineStr">
        <is>
          <t>49</t>
        </is>
      </c>
      <c r="G96" s="0" t="inlineStr">
        <is>
          <t>03</t>
        </is>
      </c>
      <c r="H96" s="0" t="inlineStr">
        <is>
          <t>48</t>
        </is>
      </c>
      <c r="I96" s="0" t="inlineStr">
        <is>
          <t>01</t>
        </is>
      </c>
      <c r="J96" s="0" t="inlineStr">
        <is>
          <t>马</t>
        </is>
      </c>
      <c r="K96" s="0" t="inlineStr">
        <is>
          <t>马</t>
        </is>
      </c>
      <c r="L96" s="0" t="inlineStr">
        <is>
          <t>红波</t>
        </is>
      </c>
    </row>
    <row r="97">
      <c r="A97" s="0" t="n">
        <v>2026103</v>
      </c>
      <c r="B97" s="0" t="inlineStr">
        <is>
          <t>2026-04-13 21:35:30</t>
        </is>
      </c>
      <c r="C97" s="0" t="inlineStr">
        <is>
          <t>34</t>
        </is>
      </c>
      <c r="D97" s="0" t="inlineStr">
        <is>
          <t>03</t>
        </is>
      </c>
      <c r="E97" s="0" t="inlineStr">
        <is>
          <t>01</t>
        </is>
      </c>
      <c r="F97" s="0" t="inlineStr">
        <is>
          <t>30</t>
        </is>
      </c>
      <c r="G97" s="0" t="inlineStr">
        <is>
          <t>39</t>
        </is>
      </c>
      <c r="H97" s="0" t="inlineStr">
        <is>
          <t>04</t>
        </is>
      </c>
      <c r="I97" s="0" t="inlineStr">
        <is>
          <t>06</t>
        </is>
      </c>
      <c r="J97" s="0" t="inlineStr">
        <is>
          <t>马</t>
        </is>
      </c>
      <c r="K97" s="0" t="inlineStr">
        <is>
          <t>牛</t>
        </is>
      </c>
      <c r="L97" s="0" t="inlineStr">
        <is>
          <t>绿波</t>
        </is>
      </c>
    </row>
    <row r="98">
      <c r="A98" s="0" t="n">
        <v>2026102</v>
      </c>
      <c r="B98" s="0" t="inlineStr">
        <is>
          <t>2026-04-12 21:35:31</t>
        </is>
      </c>
      <c r="C98" s="0" t="inlineStr">
        <is>
          <t>47</t>
        </is>
      </c>
      <c r="D98" s="0" t="inlineStr">
        <is>
          <t>03</t>
        </is>
      </c>
      <c r="E98" s="0" t="inlineStr">
        <is>
          <t>32</t>
        </is>
      </c>
      <c r="F98" s="0" t="inlineStr">
        <is>
          <t>46</t>
        </is>
      </c>
      <c r="G98" s="0" t="inlineStr">
        <is>
          <t>39</t>
        </is>
      </c>
      <c r="H98" s="0" t="inlineStr">
        <is>
          <t>36</t>
        </is>
      </c>
      <c r="I98" s="0" t="inlineStr">
        <is>
          <t>20</t>
        </is>
      </c>
      <c r="J98" s="0" t="inlineStr">
        <is>
          <t>马</t>
        </is>
      </c>
      <c r="K98" s="0" t="inlineStr">
        <is>
          <t>猪</t>
        </is>
      </c>
      <c r="L98" s="0" t="inlineStr">
        <is>
          <t>蓝波</t>
        </is>
      </c>
    </row>
    <row r="99">
      <c r="A99" s="0" t="n">
        <v>2026101</v>
      </c>
      <c r="B99" s="0" t="inlineStr">
        <is>
          <t>2026-04-11 21:35:30</t>
        </is>
      </c>
      <c r="C99" s="0" t="inlineStr">
        <is>
          <t>22</t>
        </is>
      </c>
      <c r="D99" s="0" t="inlineStr">
        <is>
          <t>08</t>
        </is>
      </c>
      <c r="E99" s="0" t="inlineStr">
        <is>
          <t>02</t>
        </is>
      </c>
      <c r="F99" s="0" t="inlineStr">
        <is>
          <t>34</t>
        </is>
      </c>
      <c r="G99" s="0" t="inlineStr">
        <is>
          <t>20</t>
        </is>
      </c>
      <c r="H99" s="0" t="inlineStr">
        <is>
          <t>12</t>
        </is>
      </c>
      <c r="I99" s="0" t="inlineStr">
        <is>
          <t>39</t>
        </is>
      </c>
      <c r="J99" s="0" t="inlineStr">
        <is>
          <t>马</t>
        </is>
      </c>
      <c r="K99" s="0" t="inlineStr">
        <is>
          <t>龙</t>
        </is>
      </c>
      <c r="L99" s="0" t="inlineStr">
        <is>
          <t>绿波</t>
        </is>
      </c>
    </row>
    <row r="100">
      <c r="A100" s="0" t="n">
        <v>2026100</v>
      </c>
      <c r="B100" s="0" t="inlineStr">
        <is>
          <t>2026-04-10 21:35:30</t>
        </is>
      </c>
      <c r="C100" s="0" t="inlineStr">
        <is>
          <t>24</t>
        </is>
      </c>
      <c r="D100" s="0" t="inlineStr">
        <is>
          <t>45</t>
        </is>
      </c>
      <c r="E100" s="0" t="inlineStr">
        <is>
          <t>04</t>
        </is>
      </c>
      <c r="F100" s="0" t="inlineStr">
        <is>
          <t>32</t>
        </is>
      </c>
      <c r="G100" s="0" t="inlineStr">
        <is>
          <t>03</t>
        </is>
      </c>
      <c r="H100" s="0" t="inlineStr">
        <is>
          <t>48</t>
        </is>
      </c>
      <c r="I100" s="0" t="inlineStr">
        <is>
          <t>33</t>
        </is>
      </c>
      <c r="J100" s="0" t="inlineStr">
        <is>
          <t>马</t>
        </is>
      </c>
      <c r="K100" s="0" t="inlineStr">
        <is>
          <t>狗</t>
        </is>
      </c>
      <c r="L100" s="0" t="inlineStr">
        <is>
          <t>绿波</t>
        </is>
      </c>
    </row>
    <row r="101">
      <c r="A101" s="0" t="n">
        <v>2026099</v>
      </c>
      <c r="B101" s="0" t="inlineStr">
        <is>
          <t>2026-04-09 21:35:30</t>
        </is>
      </c>
      <c r="C101" s="0" t="inlineStr">
        <is>
          <t>10</t>
        </is>
      </c>
      <c r="D101" s="0" t="inlineStr">
        <is>
          <t>32</t>
        </is>
      </c>
      <c r="E101" s="0" t="inlineStr">
        <is>
          <t>22</t>
        </is>
      </c>
      <c r="F101" s="0" t="inlineStr">
        <is>
          <t>18</t>
        </is>
      </c>
      <c r="G101" s="0" t="inlineStr">
        <is>
          <t>28</t>
        </is>
      </c>
      <c r="H101" s="0" t="inlineStr">
        <is>
          <t>17</t>
        </is>
      </c>
      <c r="I101" s="0" t="inlineStr">
        <is>
          <t>12</t>
        </is>
      </c>
      <c r="J101" s="0" t="inlineStr">
        <is>
          <t>马</t>
        </is>
      </c>
      <c r="K101" s="0" t="inlineStr">
        <is>
          <t>羊</t>
        </is>
      </c>
      <c r="L101" s="0" t="inlineStr">
        <is>
          <t>红波</t>
        </is>
      </c>
    </row>
    <row r="102">
      <c r="A102" s="0" t="n">
        <v>2026098</v>
      </c>
      <c r="B102" s="0" t="inlineStr">
        <is>
          <t>2026-04-08 21:35:30</t>
        </is>
      </c>
      <c r="C102" s="0" t="inlineStr">
        <is>
          <t>24</t>
        </is>
      </c>
      <c r="D102" s="0" t="inlineStr">
        <is>
          <t>08</t>
        </is>
      </c>
      <c r="E102" s="0" t="inlineStr">
        <is>
          <t>03</t>
        </is>
      </c>
      <c r="F102" s="0" t="inlineStr">
        <is>
          <t>14</t>
        </is>
      </c>
      <c r="G102" s="0" t="inlineStr">
        <is>
          <t>32</t>
        </is>
      </c>
      <c r="H102" s="0" t="inlineStr">
        <is>
          <t>49</t>
        </is>
      </c>
      <c r="I102" s="0" t="inlineStr">
        <is>
          <t>17</t>
        </is>
      </c>
      <c r="J102" s="0" t="inlineStr">
        <is>
          <t>马</t>
        </is>
      </c>
      <c r="K102" s="0" t="inlineStr">
        <is>
          <t>虎</t>
        </is>
      </c>
      <c r="L102" s="0" t="inlineStr">
        <is>
          <t>绿波</t>
        </is>
      </c>
    </row>
    <row r="103">
      <c r="A103" s="0" t="n">
        <v>2026097</v>
      </c>
      <c r="B103" s="0" t="inlineStr">
        <is>
          <t>2026-04-07 21:35:30</t>
        </is>
      </c>
      <c r="C103" s="0" t="inlineStr">
        <is>
          <t>28</t>
        </is>
      </c>
      <c r="D103" s="0" t="inlineStr">
        <is>
          <t>08</t>
        </is>
      </c>
      <c r="E103" s="0" t="inlineStr">
        <is>
          <t>44</t>
        </is>
      </c>
      <c r="F103" s="0" t="inlineStr">
        <is>
          <t>26</t>
        </is>
      </c>
      <c r="G103" s="0" t="inlineStr">
        <is>
          <t>29</t>
        </is>
      </c>
      <c r="H103" s="0" t="inlineStr">
        <is>
          <t>46</t>
        </is>
      </c>
      <c r="I103" s="0" t="inlineStr">
        <is>
          <t>11</t>
        </is>
      </c>
      <c r="J103" s="0" t="inlineStr">
        <is>
          <t>马</t>
        </is>
      </c>
      <c r="K103" s="0" t="inlineStr">
        <is>
          <t>猴</t>
        </is>
      </c>
      <c r="L103" s="0" t="inlineStr">
        <is>
          <t>绿波</t>
        </is>
      </c>
    </row>
    <row r="104">
      <c r="A104" s="0" t="n">
        <v>2026096</v>
      </c>
      <c r="B104" s="0" t="inlineStr">
        <is>
          <t>2026-04-06 21:35:30</t>
        </is>
      </c>
      <c r="C104" s="0" t="inlineStr">
        <is>
          <t>35</t>
        </is>
      </c>
      <c r="D104" s="0" t="inlineStr">
        <is>
          <t>37</t>
        </is>
      </c>
      <c r="E104" s="0" t="inlineStr">
        <is>
          <t>26</t>
        </is>
      </c>
      <c r="F104" s="0" t="inlineStr">
        <is>
          <t>05</t>
        </is>
      </c>
      <c r="G104" s="0" t="inlineStr">
        <is>
          <t>25</t>
        </is>
      </c>
      <c r="H104" s="0" t="inlineStr">
        <is>
          <t>15</t>
        </is>
      </c>
      <c r="I104" s="0" t="inlineStr">
        <is>
          <t>43</t>
        </is>
      </c>
      <c r="J104" s="0" t="inlineStr">
        <is>
          <t>马</t>
        </is>
      </c>
      <c r="K104" s="0" t="inlineStr">
        <is>
          <t>鼠</t>
        </is>
      </c>
      <c r="L104" s="0" t="inlineStr">
        <is>
          <t>绿波</t>
        </is>
      </c>
    </row>
    <row r="105">
      <c r="A105" s="0" t="n">
        <v>2026095</v>
      </c>
      <c r="B105" s="0" t="inlineStr">
        <is>
          <t>2026-04-05 21:35:30</t>
        </is>
      </c>
      <c r="C105" s="0" t="inlineStr">
        <is>
          <t>15</t>
        </is>
      </c>
      <c r="D105" s="0" t="inlineStr">
        <is>
          <t>39</t>
        </is>
      </c>
      <c r="E105" s="0" t="inlineStr">
        <is>
          <t>01</t>
        </is>
      </c>
      <c r="F105" s="0" t="inlineStr">
        <is>
          <t>38</t>
        </is>
      </c>
      <c r="G105" s="0" t="inlineStr">
        <is>
          <t>21</t>
        </is>
      </c>
      <c r="H105" s="0" t="inlineStr">
        <is>
          <t>48</t>
        </is>
      </c>
      <c r="I105" s="0" t="inlineStr">
        <is>
          <t>35</t>
        </is>
      </c>
      <c r="J105" s="0" t="inlineStr">
        <is>
          <t>马</t>
        </is>
      </c>
      <c r="K105" s="0" t="inlineStr">
        <is>
          <t>猴</t>
        </is>
      </c>
      <c r="L105" s="0" t="inlineStr">
        <is>
          <t>红波</t>
        </is>
      </c>
    </row>
    <row r="106">
      <c r="A106" s="0" t="n">
        <v>2026094</v>
      </c>
      <c r="B106" s="0" t="inlineStr">
        <is>
          <t>2026-04-04 21:35:31</t>
        </is>
      </c>
      <c r="C106" s="0" t="inlineStr">
        <is>
          <t>16</t>
        </is>
      </c>
      <c r="D106" s="0" t="inlineStr">
        <is>
          <t>25</t>
        </is>
      </c>
      <c r="E106" s="0" t="inlineStr">
        <is>
          <t>04</t>
        </is>
      </c>
      <c r="F106" s="0" t="inlineStr">
        <is>
          <t>28</t>
        </is>
      </c>
      <c r="G106" s="0" t="inlineStr">
        <is>
          <t>43</t>
        </is>
      </c>
      <c r="H106" s="0" t="inlineStr">
        <is>
          <t>38</t>
        </is>
      </c>
      <c r="I106" s="0" t="inlineStr">
        <is>
          <t>17</t>
        </is>
      </c>
      <c r="J106" s="0" t="inlineStr">
        <is>
          <t>马</t>
        </is>
      </c>
      <c r="K106" s="0" t="inlineStr">
        <is>
          <t>虎</t>
        </is>
      </c>
      <c r="L106" s="0" t="inlineStr">
        <is>
          <t>绿波</t>
        </is>
      </c>
    </row>
    <row r="107">
      <c r="A107" s="0" t="n">
        <v>2026093</v>
      </c>
      <c r="B107" s="0" t="inlineStr">
        <is>
          <t>2026-04-03 21:35:30</t>
        </is>
      </c>
      <c r="C107" s="0" t="inlineStr">
        <is>
          <t>13</t>
        </is>
      </c>
      <c r="D107" s="0" t="inlineStr">
        <is>
          <t>18</t>
        </is>
      </c>
      <c r="E107" s="0" t="inlineStr">
        <is>
          <t>26</t>
        </is>
      </c>
      <c r="F107" s="0" t="inlineStr">
        <is>
          <t>47</t>
        </is>
      </c>
      <c r="G107" s="0" t="inlineStr">
        <is>
          <t>48</t>
        </is>
      </c>
      <c r="H107" s="0" t="inlineStr">
        <is>
          <t>04</t>
        </is>
      </c>
      <c r="I107" s="0" t="inlineStr">
        <is>
          <t>40</t>
        </is>
      </c>
      <c r="J107" s="0" t="inlineStr">
        <is>
          <t>马</t>
        </is>
      </c>
      <c r="K107" s="0" t="inlineStr">
        <is>
          <t>兔</t>
        </is>
      </c>
      <c r="L107" s="0" t="inlineStr">
        <is>
          <t>红波</t>
        </is>
      </c>
    </row>
    <row r="108">
      <c r="A108" s="0" t="n">
        <v>2026092</v>
      </c>
      <c r="B108" s="0" t="inlineStr">
        <is>
          <t>2026-04-02 21:35:30</t>
        </is>
      </c>
      <c r="C108" s="0" t="inlineStr">
        <is>
          <t>46</t>
        </is>
      </c>
      <c r="D108" s="0" t="inlineStr">
        <is>
          <t>42</t>
        </is>
      </c>
      <c r="E108" s="0" t="inlineStr">
        <is>
          <t>25</t>
        </is>
      </c>
      <c r="F108" s="0" t="inlineStr">
        <is>
          <t>47</t>
        </is>
      </c>
      <c r="G108" s="0" t="inlineStr">
        <is>
          <t>38</t>
        </is>
      </c>
      <c r="H108" s="0" t="inlineStr">
        <is>
          <t>19</t>
        </is>
      </c>
      <c r="I108" s="0" t="inlineStr">
        <is>
          <t>06</t>
        </is>
      </c>
      <c r="J108" s="0" t="inlineStr">
        <is>
          <t>马</t>
        </is>
      </c>
      <c r="K108" s="0" t="inlineStr">
        <is>
          <t>牛</t>
        </is>
      </c>
      <c r="L108" s="0" t="inlineStr">
        <is>
          <t>绿波</t>
        </is>
      </c>
    </row>
    <row r="109">
      <c r="A109" s="0" t="n">
        <v>2026091</v>
      </c>
      <c r="B109" s="0" t="inlineStr">
        <is>
          <t>2026-04-01 21:35:30</t>
        </is>
      </c>
      <c r="C109" s="0" t="inlineStr">
        <is>
          <t>08</t>
        </is>
      </c>
      <c r="D109" s="0" t="inlineStr">
        <is>
          <t>17</t>
        </is>
      </c>
      <c r="E109" s="0" t="inlineStr">
        <is>
          <t>32</t>
        </is>
      </c>
      <c r="F109" s="0" t="inlineStr">
        <is>
          <t>05</t>
        </is>
      </c>
      <c r="G109" s="0" t="inlineStr">
        <is>
          <t>42</t>
        </is>
      </c>
      <c r="H109" s="0" t="inlineStr">
        <is>
          <t>24</t>
        </is>
      </c>
      <c r="I109" s="0" t="inlineStr">
        <is>
          <t>37</t>
        </is>
      </c>
      <c r="J109" s="0" t="inlineStr">
        <is>
          <t>马</t>
        </is>
      </c>
      <c r="K109" s="0" t="inlineStr">
        <is>
          <t>马</t>
        </is>
      </c>
      <c r="L109" s="0" t="inlineStr">
        <is>
          <t>蓝波</t>
        </is>
      </c>
    </row>
    <row r="110">
      <c r="A110" s="0" t="n">
        <v>2026090</v>
      </c>
      <c r="B110" s="0" t="inlineStr">
        <is>
          <t>2026-03-31 21:35:30</t>
        </is>
      </c>
      <c r="C110" s="0" t="inlineStr">
        <is>
          <t>48</t>
        </is>
      </c>
      <c r="D110" s="0" t="inlineStr">
        <is>
          <t>29</t>
        </is>
      </c>
      <c r="E110" s="0" t="inlineStr">
        <is>
          <t>20</t>
        </is>
      </c>
      <c r="F110" s="0" t="inlineStr">
        <is>
          <t>17</t>
        </is>
      </c>
      <c r="G110" s="0" t="inlineStr">
        <is>
          <t>37</t>
        </is>
      </c>
      <c r="H110" s="0" t="inlineStr">
        <is>
          <t>08</t>
        </is>
      </c>
      <c r="I110" s="0" t="inlineStr">
        <is>
          <t>36</t>
        </is>
      </c>
      <c r="J110" s="0" t="inlineStr">
        <is>
          <t>马</t>
        </is>
      </c>
      <c r="K110" s="0" t="inlineStr">
        <is>
          <t>羊</t>
        </is>
      </c>
      <c r="L110" s="0" t="inlineStr">
        <is>
          <t>蓝波</t>
        </is>
      </c>
    </row>
    <row r="111">
      <c r="A111" s="0" t="n">
        <v>2026089</v>
      </c>
      <c r="B111" s="0" t="inlineStr">
        <is>
          <t>2026-03-30 21:35:31</t>
        </is>
      </c>
      <c r="C111" s="0" t="inlineStr">
        <is>
          <t>26</t>
        </is>
      </c>
      <c r="D111" s="0" t="inlineStr">
        <is>
          <t>44</t>
        </is>
      </c>
      <c r="E111" s="0" t="inlineStr">
        <is>
          <t>34</t>
        </is>
      </c>
      <c r="F111" s="0" t="inlineStr">
        <is>
          <t>05</t>
        </is>
      </c>
      <c r="G111" s="0" t="inlineStr">
        <is>
          <t>21</t>
        </is>
      </c>
      <c r="H111" s="0" t="inlineStr">
        <is>
          <t>22</t>
        </is>
      </c>
      <c r="I111" s="0" t="inlineStr">
        <is>
          <t>49</t>
        </is>
      </c>
      <c r="J111" s="0" t="inlineStr">
        <is>
          <t>马</t>
        </is>
      </c>
      <c r="K111" s="0" t="inlineStr">
        <is>
          <t>马</t>
        </is>
      </c>
      <c r="L111" s="0" t="inlineStr">
        <is>
          <t>绿波</t>
        </is>
      </c>
    </row>
    <row r="112">
      <c r="A112" s="0" t="n">
        <v>2026088</v>
      </c>
      <c r="B112" s="0" t="inlineStr">
        <is>
          <t>2026-03-29 21:35:30</t>
        </is>
      </c>
      <c r="C112" s="0" t="inlineStr">
        <is>
          <t>16</t>
        </is>
      </c>
      <c r="D112" s="0" t="inlineStr">
        <is>
          <t>46</t>
        </is>
      </c>
      <c r="E112" s="0" t="inlineStr">
        <is>
          <t>18</t>
        </is>
      </c>
      <c r="F112" s="0" t="inlineStr">
        <is>
          <t>10</t>
        </is>
      </c>
      <c r="G112" s="0" t="inlineStr">
        <is>
          <t>12</t>
        </is>
      </c>
      <c r="H112" s="0" t="inlineStr">
        <is>
          <t>42</t>
        </is>
      </c>
      <c r="I112" s="0" t="inlineStr">
        <is>
          <t>27</t>
        </is>
      </c>
      <c r="J112" s="0" t="inlineStr">
        <is>
          <t>马</t>
        </is>
      </c>
      <c r="K112" s="0" t="inlineStr">
        <is>
          <t>龙</t>
        </is>
      </c>
      <c r="L112" s="0" t="inlineStr">
        <is>
          <t>绿波</t>
        </is>
      </c>
    </row>
    <row r="113">
      <c r="A113" s="0" t="n">
        <v>2026087</v>
      </c>
      <c r="B113" s="0" t="inlineStr">
        <is>
          <t>2026-03-28 21:35:30</t>
        </is>
      </c>
      <c r="C113" s="0" t="inlineStr">
        <is>
          <t>17</t>
        </is>
      </c>
      <c r="D113" s="0" t="inlineStr">
        <is>
          <t>01</t>
        </is>
      </c>
      <c r="E113" s="0" t="inlineStr">
        <is>
          <t>21</t>
        </is>
      </c>
      <c r="F113" s="0" t="inlineStr">
        <is>
          <t>29</t>
        </is>
      </c>
      <c r="G113" s="0" t="inlineStr">
        <is>
          <t>47</t>
        </is>
      </c>
      <c r="H113" s="0" t="inlineStr">
        <is>
          <t>02</t>
        </is>
      </c>
      <c r="I113" s="0" t="inlineStr">
        <is>
          <t>26</t>
        </is>
      </c>
      <c r="J113" s="0" t="inlineStr">
        <is>
          <t>马</t>
        </is>
      </c>
      <c r="K113" s="0" t="inlineStr">
        <is>
          <t>蛇</t>
        </is>
      </c>
      <c r="L113" s="0" t="inlineStr">
        <is>
          <t>蓝波</t>
        </is>
      </c>
    </row>
    <row r="114">
      <c r="A114" s="0" t="n">
        <v>2026086</v>
      </c>
      <c r="B114" s="0" t="inlineStr">
        <is>
          <t>2026-03-27 21:35:30</t>
        </is>
      </c>
      <c r="C114" s="0" t="inlineStr">
        <is>
          <t>15</t>
        </is>
      </c>
      <c r="D114" s="0" t="inlineStr">
        <is>
          <t>36</t>
        </is>
      </c>
      <c r="E114" s="0" t="inlineStr">
        <is>
          <t>14</t>
        </is>
      </c>
      <c r="F114" s="0" t="inlineStr">
        <is>
          <t>24</t>
        </is>
      </c>
      <c r="G114" s="0" t="inlineStr">
        <is>
          <t>26</t>
        </is>
      </c>
      <c r="H114" s="0" t="inlineStr">
        <is>
          <t>34</t>
        </is>
      </c>
      <c r="I114" s="0" t="inlineStr">
        <is>
          <t>12</t>
        </is>
      </c>
      <c r="J114" s="0" t="inlineStr">
        <is>
          <t>马</t>
        </is>
      </c>
      <c r="K114" s="0" t="inlineStr">
        <is>
          <t>羊</t>
        </is>
      </c>
      <c r="L114" s="0" t="inlineStr">
        <is>
          <t>红波</t>
        </is>
      </c>
    </row>
    <row r="115">
      <c r="A115" s="0" t="n">
        <v>2026085</v>
      </c>
      <c r="B115" s="0" t="inlineStr">
        <is>
          <t>2026-03-26 21:35:31</t>
        </is>
      </c>
      <c r="C115" s="0" t="inlineStr">
        <is>
          <t>14</t>
        </is>
      </c>
      <c r="D115" s="0" t="inlineStr">
        <is>
          <t>13</t>
        </is>
      </c>
      <c r="E115" s="0" t="inlineStr">
        <is>
          <t>27</t>
        </is>
      </c>
      <c r="F115" s="0" t="inlineStr">
        <is>
          <t>33</t>
        </is>
      </c>
      <c r="G115" s="0" t="inlineStr">
        <is>
          <t>06</t>
        </is>
      </c>
      <c r="H115" s="0" t="inlineStr">
        <is>
          <t>20</t>
        </is>
      </c>
      <c r="I115" s="0" t="inlineStr">
        <is>
          <t>19</t>
        </is>
      </c>
      <c r="J115" s="0" t="inlineStr">
        <is>
          <t>马</t>
        </is>
      </c>
      <c r="K115" s="0" t="inlineStr">
        <is>
          <t>鼠</t>
        </is>
      </c>
      <c r="L115" s="0" t="inlineStr">
        <is>
          <t>红波</t>
        </is>
      </c>
    </row>
    <row r="116">
      <c r="A116" s="0" t="n">
        <v>2026084</v>
      </c>
      <c r="B116" s="0" t="inlineStr">
        <is>
          <t>2026-03-25 21:35:30</t>
        </is>
      </c>
      <c r="C116" s="0" t="inlineStr">
        <is>
          <t>07</t>
        </is>
      </c>
      <c r="D116" s="0" t="inlineStr">
        <is>
          <t>24</t>
        </is>
      </c>
      <c r="E116" s="0" t="inlineStr">
        <is>
          <t>02</t>
        </is>
      </c>
      <c r="F116" s="0" t="inlineStr">
        <is>
          <t>05</t>
        </is>
      </c>
      <c r="G116" s="0" t="inlineStr">
        <is>
          <t>20</t>
        </is>
      </c>
      <c r="H116" s="0" t="inlineStr">
        <is>
          <t>31</t>
        </is>
      </c>
      <c r="I116" s="0" t="inlineStr">
        <is>
          <t>16</t>
        </is>
      </c>
      <c r="J116" s="0" t="inlineStr">
        <is>
          <t>马</t>
        </is>
      </c>
      <c r="K116" s="0" t="inlineStr">
        <is>
          <t>兔</t>
        </is>
      </c>
      <c r="L116" s="0" t="inlineStr">
        <is>
          <t>绿波</t>
        </is>
      </c>
    </row>
    <row r="117">
      <c r="A117" s="0" t="n">
        <v>2026083</v>
      </c>
      <c r="B117" s="0" t="inlineStr">
        <is>
          <t>2026-03-24 21:35:30</t>
        </is>
      </c>
      <c r="C117" s="0" t="inlineStr">
        <is>
          <t>46</t>
        </is>
      </c>
      <c r="D117" s="0" t="inlineStr">
        <is>
          <t>08</t>
        </is>
      </c>
      <c r="E117" s="0" t="inlineStr">
        <is>
          <t>23</t>
        </is>
      </c>
      <c r="F117" s="0" t="inlineStr">
        <is>
          <t>36</t>
        </is>
      </c>
      <c r="G117" s="0" t="inlineStr">
        <is>
          <t>30</t>
        </is>
      </c>
      <c r="H117" s="0" t="inlineStr">
        <is>
          <t>01</t>
        </is>
      </c>
      <c r="I117" s="0" t="inlineStr">
        <is>
          <t>05</t>
        </is>
      </c>
      <c r="J117" s="0" t="inlineStr">
        <is>
          <t>马</t>
        </is>
      </c>
      <c r="K117" s="0" t="inlineStr">
        <is>
          <t>虎</t>
        </is>
      </c>
      <c r="L117" s="0" t="inlineStr">
        <is>
          <t>绿波</t>
        </is>
      </c>
    </row>
    <row r="118">
      <c r="A118" s="0" t="n">
        <v>2026082</v>
      </c>
      <c r="B118" s="0" t="inlineStr">
        <is>
          <t>2026-03-23 21:35:31</t>
        </is>
      </c>
      <c r="C118" s="0" t="inlineStr">
        <is>
          <t>03</t>
        </is>
      </c>
      <c r="D118" s="0" t="inlineStr">
        <is>
          <t>21</t>
        </is>
      </c>
      <c r="E118" s="0" t="inlineStr">
        <is>
          <t>33</t>
        </is>
      </c>
      <c r="F118" s="0" t="inlineStr">
        <is>
          <t>37</t>
        </is>
      </c>
      <c r="G118" s="0" t="inlineStr">
        <is>
          <t>41</t>
        </is>
      </c>
      <c r="H118" s="0" t="inlineStr">
        <is>
          <t>25</t>
        </is>
      </c>
      <c r="I118" s="0" t="inlineStr">
        <is>
          <t>27</t>
        </is>
      </c>
      <c r="J118" s="0" t="inlineStr">
        <is>
          <t>马</t>
        </is>
      </c>
      <c r="K118" s="0" t="inlineStr">
        <is>
          <t>龙</t>
        </is>
      </c>
      <c r="L118" s="0" t="inlineStr">
        <is>
          <t>绿波</t>
        </is>
      </c>
    </row>
    <row r="119">
      <c r="A119" s="0" t="n">
        <v>2026081</v>
      </c>
      <c r="B119" s="0" t="inlineStr">
        <is>
          <t>2026-03-22 21:35:30</t>
        </is>
      </c>
      <c r="C119" s="0" t="inlineStr">
        <is>
          <t>04</t>
        </is>
      </c>
      <c r="D119" s="0" t="inlineStr">
        <is>
          <t>36</t>
        </is>
      </c>
      <c r="E119" s="0" t="inlineStr">
        <is>
          <t>14</t>
        </is>
      </c>
      <c r="F119" s="0" t="inlineStr">
        <is>
          <t>15</t>
        </is>
      </c>
      <c r="G119" s="0" t="inlineStr">
        <is>
          <t>35</t>
        </is>
      </c>
      <c r="H119" s="0" t="inlineStr">
        <is>
          <t>41</t>
        </is>
      </c>
      <c r="I119" s="0" t="inlineStr">
        <is>
          <t>17</t>
        </is>
      </c>
      <c r="J119" s="0" t="inlineStr">
        <is>
          <t>马</t>
        </is>
      </c>
      <c r="K119" s="0" t="inlineStr">
        <is>
          <t>虎</t>
        </is>
      </c>
      <c r="L119" s="0" t="inlineStr">
        <is>
          <t>绿波</t>
        </is>
      </c>
    </row>
    <row r="120">
      <c r="A120" s="0" t="n">
        <v>2026080</v>
      </c>
      <c r="B120" s="0" t="inlineStr">
        <is>
          <t>2026-03-21 21:35:31</t>
        </is>
      </c>
      <c r="C120" s="0" t="inlineStr">
        <is>
          <t>21</t>
        </is>
      </c>
      <c r="D120" s="0" t="inlineStr">
        <is>
          <t>18</t>
        </is>
      </c>
      <c r="E120" s="0" t="inlineStr">
        <is>
          <t>17</t>
        </is>
      </c>
      <c r="F120" s="0" t="inlineStr">
        <is>
          <t>48</t>
        </is>
      </c>
      <c r="G120" s="0" t="inlineStr">
        <is>
          <t>09</t>
        </is>
      </c>
      <c r="H120" s="0" t="inlineStr">
        <is>
          <t>42</t>
        </is>
      </c>
      <c r="I120" s="0" t="inlineStr">
        <is>
          <t>03</t>
        </is>
      </c>
      <c r="J120" s="0" t="inlineStr">
        <is>
          <t>马</t>
        </is>
      </c>
      <c r="K120" s="0" t="inlineStr">
        <is>
          <t>龙</t>
        </is>
      </c>
      <c r="L120" s="0" t="inlineStr">
        <is>
          <t>蓝波</t>
        </is>
      </c>
    </row>
    <row r="121">
      <c r="A121" s="0" t="n">
        <v>2026079</v>
      </c>
      <c r="B121" s="0" t="inlineStr">
        <is>
          <t>2026-03-20 21:35:30</t>
        </is>
      </c>
      <c r="C121" s="0" t="inlineStr">
        <is>
          <t>49</t>
        </is>
      </c>
      <c r="D121" s="0" t="inlineStr">
        <is>
          <t>34</t>
        </is>
      </c>
      <c r="E121" s="0" t="inlineStr">
        <is>
          <t>06</t>
        </is>
      </c>
      <c r="F121" s="0" t="inlineStr">
        <is>
          <t>20</t>
        </is>
      </c>
      <c r="G121" s="0" t="inlineStr">
        <is>
          <t>04</t>
        </is>
      </c>
      <c r="H121" s="0" t="inlineStr">
        <is>
          <t>43</t>
        </is>
      </c>
      <c r="I121" s="0" t="inlineStr">
        <is>
          <t>35</t>
        </is>
      </c>
      <c r="J121" s="0" t="inlineStr">
        <is>
          <t>马</t>
        </is>
      </c>
      <c r="K121" s="0" t="inlineStr">
        <is>
          <t>猴</t>
        </is>
      </c>
      <c r="L121" s="0" t="inlineStr">
        <is>
          <t>红波</t>
        </is>
      </c>
    </row>
    <row r="122">
      <c r="A122" s="0" t="n">
        <v>2026078</v>
      </c>
      <c r="B122" s="0" t="inlineStr">
        <is>
          <t>2026-03-19 21:35:30</t>
        </is>
      </c>
      <c r="C122" s="0" t="inlineStr">
        <is>
          <t>18</t>
        </is>
      </c>
      <c r="D122" s="0" t="inlineStr">
        <is>
          <t>17</t>
        </is>
      </c>
      <c r="E122" s="0" t="inlineStr">
        <is>
          <t>10</t>
        </is>
      </c>
      <c r="F122" s="0" t="inlineStr">
        <is>
          <t>33</t>
        </is>
      </c>
      <c r="G122" s="0" t="inlineStr">
        <is>
          <t>02</t>
        </is>
      </c>
      <c r="H122" s="0" t="inlineStr">
        <is>
          <t>08</t>
        </is>
      </c>
      <c r="I122" s="0" t="inlineStr">
        <is>
          <t>46</t>
        </is>
      </c>
      <c r="J122" s="0" t="inlineStr">
        <is>
          <t>马</t>
        </is>
      </c>
      <c r="K122" s="0" t="inlineStr">
        <is>
          <t>鸡</t>
        </is>
      </c>
      <c r="L122" s="0" t="inlineStr">
        <is>
          <t>红波</t>
        </is>
      </c>
    </row>
    <row r="123">
      <c r="A123" s="0" t="n">
        <v>2026077</v>
      </c>
      <c r="B123" s="0" t="inlineStr">
        <is>
          <t>2026-03-18 21:35:31</t>
        </is>
      </c>
      <c r="C123" s="0" t="inlineStr">
        <is>
          <t>37</t>
        </is>
      </c>
      <c r="D123" s="0" t="inlineStr">
        <is>
          <t>32</t>
        </is>
      </c>
      <c r="E123" s="0" t="inlineStr">
        <is>
          <t>46</t>
        </is>
      </c>
      <c r="F123" s="0" t="inlineStr">
        <is>
          <t>25</t>
        </is>
      </c>
      <c r="G123" s="0" t="inlineStr">
        <is>
          <t>39</t>
        </is>
      </c>
      <c r="H123" s="0" t="inlineStr">
        <is>
          <t>30</t>
        </is>
      </c>
      <c r="I123" s="0" t="inlineStr">
        <is>
          <t>29</t>
        </is>
      </c>
      <c r="J123" s="0" t="inlineStr">
        <is>
          <t>马</t>
        </is>
      </c>
      <c r="K123" s="0" t="inlineStr">
        <is>
          <t>虎</t>
        </is>
      </c>
      <c r="L123" s="0" t="inlineStr">
        <is>
          <t>红波</t>
        </is>
      </c>
    </row>
    <row r="124">
      <c r="A124" s="0" t="n">
        <v>2026076</v>
      </c>
      <c r="B124" s="0" t="inlineStr">
        <is>
          <t>2026-03-17 21:35:32</t>
        </is>
      </c>
      <c r="C124" s="0" t="inlineStr">
        <is>
          <t>12</t>
        </is>
      </c>
      <c r="D124" s="0" t="inlineStr">
        <is>
          <t>07</t>
        </is>
      </c>
      <c r="E124" s="0" t="inlineStr">
        <is>
          <t>24</t>
        </is>
      </c>
      <c r="F124" s="0" t="inlineStr">
        <is>
          <t>22</t>
        </is>
      </c>
      <c r="G124" s="0" t="inlineStr">
        <is>
          <t>03</t>
        </is>
      </c>
      <c r="H124" s="0" t="inlineStr">
        <is>
          <t>41</t>
        </is>
      </c>
      <c r="I124" s="0" t="inlineStr">
        <is>
          <t>02</t>
        </is>
      </c>
      <c r="J124" s="0" t="inlineStr">
        <is>
          <t>马</t>
        </is>
      </c>
      <c r="K124" s="0" t="inlineStr">
        <is>
          <t>蛇</t>
        </is>
      </c>
      <c r="L124" s="0" t="inlineStr">
        <is>
          <t>红波</t>
        </is>
      </c>
    </row>
    <row r="125">
      <c r="A125" s="0" t="n">
        <v>2026075</v>
      </c>
      <c r="B125" s="0" t="inlineStr">
        <is>
          <t>2026-03-16 21:35:31</t>
        </is>
      </c>
      <c r="C125" s="0" t="inlineStr">
        <is>
          <t>19</t>
        </is>
      </c>
      <c r="D125" s="0" t="inlineStr">
        <is>
          <t>22</t>
        </is>
      </c>
      <c r="E125" s="0" t="inlineStr">
        <is>
          <t>26</t>
        </is>
      </c>
      <c r="F125" s="0" t="inlineStr">
        <is>
          <t>20</t>
        </is>
      </c>
      <c r="G125" s="0" t="inlineStr">
        <is>
          <t>41</t>
        </is>
      </c>
      <c r="H125" s="0" t="inlineStr">
        <is>
          <t>27</t>
        </is>
      </c>
      <c r="I125" s="0" t="inlineStr">
        <is>
          <t>33</t>
        </is>
      </c>
      <c r="J125" s="0" t="inlineStr">
        <is>
          <t>马</t>
        </is>
      </c>
      <c r="K125" s="0" t="inlineStr">
        <is>
          <t>狗</t>
        </is>
      </c>
      <c r="L125" s="0" t="inlineStr">
        <is>
          <t>绿波</t>
        </is>
      </c>
    </row>
    <row r="126">
      <c r="A126" s="0" t="n">
        <v>2026074</v>
      </c>
      <c r="B126" s="0" t="inlineStr">
        <is>
          <t>2026-03-15 21:35:31</t>
        </is>
      </c>
      <c r="C126" s="0" t="inlineStr">
        <is>
          <t>12</t>
        </is>
      </c>
      <c r="D126" s="0" t="inlineStr">
        <is>
          <t>31</t>
        </is>
      </c>
      <c r="E126" s="0" t="inlineStr">
        <is>
          <t>49</t>
        </is>
      </c>
      <c r="F126" s="0" t="inlineStr">
        <is>
          <t>25</t>
        </is>
      </c>
      <c r="G126" s="0" t="inlineStr">
        <is>
          <t>24</t>
        </is>
      </c>
      <c r="H126" s="0" t="inlineStr">
        <is>
          <t>32</t>
        </is>
      </c>
      <c r="I126" s="0" t="inlineStr">
        <is>
          <t>10</t>
        </is>
      </c>
      <c r="J126" s="0" t="inlineStr">
        <is>
          <t>马</t>
        </is>
      </c>
      <c r="K126" s="0" t="inlineStr">
        <is>
          <t>鸡</t>
        </is>
      </c>
      <c r="L126" s="0" t="inlineStr">
        <is>
          <t>蓝波</t>
        </is>
      </c>
    </row>
    <row r="127">
      <c r="A127" s="0" t="n">
        <v>2026073</v>
      </c>
      <c r="B127" s="0" t="inlineStr">
        <is>
          <t>2026-03-14 21:35:31</t>
        </is>
      </c>
      <c r="C127" s="0" t="inlineStr">
        <is>
          <t>07</t>
        </is>
      </c>
      <c r="D127" s="0" t="inlineStr">
        <is>
          <t>29</t>
        </is>
      </c>
      <c r="E127" s="0" t="inlineStr">
        <is>
          <t>01</t>
        </is>
      </c>
      <c r="F127" s="0" t="inlineStr">
        <is>
          <t>33</t>
        </is>
      </c>
      <c r="G127" s="0" t="inlineStr">
        <is>
          <t>36</t>
        </is>
      </c>
      <c r="H127" s="0" t="inlineStr">
        <is>
          <t>14</t>
        </is>
      </c>
      <c r="I127" s="0" t="inlineStr">
        <is>
          <t>34</t>
        </is>
      </c>
      <c r="J127" s="0" t="inlineStr">
        <is>
          <t>马</t>
        </is>
      </c>
      <c r="K127" s="0" t="inlineStr">
        <is>
          <t>鸡</t>
        </is>
      </c>
      <c r="L127" s="0" t="inlineStr">
        <is>
          <t>红波</t>
        </is>
      </c>
    </row>
    <row r="128">
      <c r="A128" s="0" t="n">
        <v>2026072</v>
      </c>
      <c r="B128" s="0" t="inlineStr">
        <is>
          <t>2026-03-13 21:35:30</t>
        </is>
      </c>
      <c r="C128" s="0" t="inlineStr">
        <is>
          <t>12</t>
        </is>
      </c>
      <c r="D128" s="0" t="inlineStr">
        <is>
          <t>28</t>
        </is>
      </c>
      <c r="E128" s="0" t="inlineStr">
        <is>
          <t>01</t>
        </is>
      </c>
      <c r="F128" s="0" t="inlineStr">
        <is>
          <t>42</t>
        </is>
      </c>
      <c r="G128" s="0" t="inlineStr">
        <is>
          <t>25</t>
        </is>
      </c>
      <c r="H128" s="0" t="inlineStr">
        <is>
          <t>44</t>
        </is>
      </c>
      <c r="I128" s="0" t="inlineStr">
        <is>
          <t>46</t>
        </is>
      </c>
      <c r="J128" s="0" t="inlineStr">
        <is>
          <t>马</t>
        </is>
      </c>
      <c r="K128" s="0" t="inlineStr">
        <is>
          <t>鸡</t>
        </is>
      </c>
      <c r="L128" s="0" t="inlineStr">
        <is>
          <t>红波</t>
        </is>
      </c>
    </row>
    <row r="129">
      <c r="A129" s="0" t="n">
        <v>2026071</v>
      </c>
      <c r="B129" s="0" t="inlineStr">
        <is>
          <t>2026-03-12 21:35:31</t>
        </is>
      </c>
      <c r="C129" s="0" t="inlineStr">
        <is>
          <t>44</t>
        </is>
      </c>
      <c r="D129" s="0" t="inlineStr">
        <is>
          <t>30</t>
        </is>
      </c>
      <c r="E129" s="0" t="inlineStr">
        <is>
          <t>25</t>
        </is>
      </c>
      <c r="F129" s="0" t="inlineStr">
        <is>
          <t>05</t>
        </is>
      </c>
      <c r="G129" s="0" t="inlineStr">
        <is>
          <t>41</t>
        </is>
      </c>
      <c r="H129" s="0" t="inlineStr">
        <is>
          <t>08</t>
        </is>
      </c>
      <c r="I129" s="0" t="inlineStr">
        <is>
          <t>48</t>
        </is>
      </c>
      <c r="J129" s="0" t="inlineStr">
        <is>
          <t>马</t>
        </is>
      </c>
      <c r="K129" s="0" t="inlineStr">
        <is>
          <t>羊</t>
        </is>
      </c>
      <c r="L129" s="0" t="inlineStr">
        <is>
          <t>蓝波</t>
        </is>
      </c>
    </row>
    <row r="130">
      <c r="A130" s="0" t="n">
        <v>2026070</v>
      </c>
      <c r="B130" s="0" t="inlineStr">
        <is>
          <t>2026-03-11 21:35:32</t>
        </is>
      </c>
      <c r="C130" s="0" t="inlineStr">
        <is>
          <t>47</t>
        </is>
      </c>
      <c r="D130" s="0" t="inlineStr">
        <is>
          <t>17</t>
        </is>
      </c>
      <c r="E130" s="0" t="inlineStr">
        <is>
          <t>23</t>
        </is>
      </c>
      <c r="F130" s="0" t="inlineStr">
        <is>
          <t>10</t>
        </is>
      </c>
      <c r="G130" s="0" t="inlineStr">
        <is>
          <t>41</t>
        </is>
      </c>
      <c r="H130" s="0" t="inlineStr">
        <is>
          <t>07</t>
        </is>
      </c>
      <c r="I130" s="0" t="inlineStr">
        <is>
          <t>25</t>
        </is>
      </c>
      <c r="J130" s="0" t="inlineStr">
        <is>
          <t>马</t>
        </is>
      </c>
      <c r="K130" s="0" t="inlineStr">
        <is>
          <t>马</t>
        </is>
      </c>
      <c r="L130" s="0" t="inlineStr">
        <is>
          <t>蓝波</t>
        </is>
      </c>
    </row>
    <row r="131">
      <c r="A131" s="0" t="n">
        <v>2026069</v>
      </c>
      <c r="B131" s="0" t="inlineStr">
        <is>
          <t>2026-03-10 21:35:30</t>
        </is>
      </c>
      <c r="C131" s="0" t="inlineStr">
        <is>
          <t>23</t>
        </is>
      </c>
      <c r="D131" s="0" t="inlineStr">
        <is>
          <t>16</t>
        </is>
      </c>
      <c r="E131" s="0" t="inlineStr">
        <is>
          <t>10</t>
        </is>
      </c>
      <c r="F131" s="0" t="inlineStr">
        <is>
          <t>34</t>
        </is>
      </c>
      <c r="G131" s="0" t="inlineStr">
        <is>
          <t>08</t>
        </is>
      </c>
      <c r="H131" s="0" t="inlineStr">
        <is>
          <t>36</t>
        </is>
      </c>
      <c r="I131" s="0" t="inlineStr">
        <is>
          <t>24</t>
        </is>
      </c>
      <c r="J131" s="0" t="inlineStr">
        <is>
          <t>马</t>
        </is>
      </c>
      <c r="K131" s="0" t="inlineStr">
        <is>
          <t>羊</t>
        </is>
      </c>
      <c r="L131" s="0" t="inlineStr">
        <is>
          <t>红波</t>
        </is>
      </c>
    </row>
    <row r="132">
      <c r="A132" s="0" t="n">
        <v>2026068</v>
      </c>
      <c r="B132" s="0" t="inlineStr">
        <is>
          <t>2026-03-09 21:35:31</t>
        </is>
      </c>
      <c r="C132" s="0" t="inlineStr">
        <is>
          <t>49</t>
        </is>
      </c>
      <c r="D132" s="0" t="inlineStr">
        <is>
          <t>02</t>
        </is>
      </c>
      <c r="E132" s="0" t="inlineStr">
        <is>
          <t>01</t>
        </is>
      </c>
      <c r="F132" s="0" t="inlineStr">
        <is>
          <t>26</t>
        </is>
      </c>
      <c r="G132" s="0" t="inlineStr">
        <is>
          <t>38</t>
        </is>
      </c>
      <c r="H132" s="0" t="inlineStr">
        <is>
          <t>21</t>
        </is>
      </c>
      <c r="I132" s="0" t="inlineStr">
        <is>
          <t>23</t>
        </is>
      </c>
      <c r="J132" s="0" t="inlineStr">
        <is>
          <t>马</t>
        </is>
      </c>
      <c r="K132" s="0" t="inlineStr">
        <is>
          <t>猴</t>
        </is>
      </c>
      <c r="L132" s="0" t="inlineStr">
        <is>
          <t>红波</t>
        </is>
      </c>
    </row>
    <row r="133">
      <c r="A133" s="0" t="n">
        <v>2026067</v>
      </c>
      <c r="B133" s="0" t="inlineStr">
        <is>
          <t>2026-03-08 21:35:36</t>
        </is>
      </c>
      <c r="C133" s="0" t="inlineStr">
        <is>
          <t>15</t>
        </is>
      </c>
      <c r="D133" s="0" t="inlineStr">
        <is>
          <t>30</t>
        </is>
      </c>
      <c r="E133" s="0" t="inlineStr">
        <is>
          <t>06</t>
        </is>
      </c>
      <c r="F133" s="0" t="inlineStr">
        <is>
          <t>01</t>
        </is>
      </c>
      <c r="G133" s="0" t="inlineStr">
        <is>
          <t>26</t>
        </is>
      </c>
      <c r="H133" s="0" t="inlineStr">
        <is>
          <t>09</t>
        </is>
      </c>
      <c r="I133" s="0" t="inlineStr">
        <is>
          <t>05</t>
        </is>
      </c>
      <c r="J133" s="0" t="inlineStr">
        <is>
          <t>马</t>
        </is>
      </c>
      <c r="K133" s="0" t="inlineStr">
        <is>
          <t>虎</t>
        </is>
      </c>
      <c r="L133" s="0" t="inlineStr">
        <is>
          <t>绿波</t>
        </is>
      </c>
    </row>
    <row r="134">
      <c r="A134" s="0" t="n">
        <v>2026066</v>
      </c>
      <c r="B134" s="0" t="inlineStr">
        <is>
          <t>2026-03-07 21:35:37</t>
        </is>
      </c>
      <c r="C134" s="0" t="inlineStr">
        <is>
          <t>24</t>
        </is>
      </c>
      <c r="D134" s="0" t="inlineStr">
        <is>
          <t>20</t>
        </is>
      </c>
      <c r="E134" s="0" t="inlineStr">
        <is>
          <t>36</t>
        </is>
      </c>
      <c r="F134" s="0" t="inlineStr">
        <is>
          <t>44</t>
        </is>
      </c>
      <c r="G134" s="0" t="inlineStr">
        <is>
          <t>02</t>
        </is>
      </c>
      <c r="H134" s="0" t="inlineStr">
        <is>
          <t>28</t>
        </is>
      </c>
      <c r="I134" s="0" t="inlineStr">
        <is>
          <t>37</t>
        </is>
      </c>
      <c r="J134" s="0" t="inlineStr">
        <is>
          <t>马</t>
        </is>
      </c>
      <c r="K134" s="0" t="inlineStr">
        <is>
          <t>马</t>
        </is>
      </c>
      <c r="L134" s="0" t="inlineStr">
        <is>
          <t>蓝波</t>
        </is>
      </c>
    </row>
    <row r="135">
      <c r="A135" s="0" t="n">
        <v>2026065</v>
      </c>
      <c r="B135" s="0" t="inlineStr">
        <is>
          <t>2026-03-06 21:35:30</t>
        </is>
      </c>
      <c r="C135" s="0" t="inlineStr">
        <is>
          <t>02</t>
        </is>
      </c>
      <c r="D135" s="0" t="inlineStr">
        <is>
          <t>45</t>
        </is>
      </c>
      <c r="E135" s="0" t="inlineStr">
        <is>
          <t>17</t>
        </is>
      </c>
      <c r="F135" s="0" t="inlineStr">
        <is>
          <t>38</t>
        </is>
      </c>
      <c r="G135" s="0" t="inlineStr">
        <is>
          <t>33</t>
        </is>
      </c>
      <c r="H135" s="0" t="inlineStr">
        <is>
          <t>24</t>
        </is>
      </c>
      <c r="I135" s="0" t="inlineStr">
        <is>
          <t>05</t>
        </is>
      </c>
      <c r="J135" s="0" t="inlineStr">
        <is>
          <t>马</t>
        </is>
      </c>
      <c r="K135" s="0" t="inlineStr">
        <is>
          <t>虎</t>
        </is>
      </c>
      <c r="L135" s="0" t="inlineStr">
        <is>
          <t>绿波</t>
        </is>
      </c>
    </row>
    <row r="136">
      <c r="A136" s="0" t="n">
        <v>2026064</v>
      </c>
      <c r="B136" s="0" t="inlineStr">
        <is>
          <t>2026-03-05 21:35:32</t>
        </is>
      </c>
      <c r="C136" s="0" t="inlineStr">
        <is>
          <t>08</t>
        </is>
      </c>
      <c r="D136" s="0" t="inlineStr">
        <is>
          <t>23</t>
        </is>
      </c>
      <c r="E136" s="0" t="inlineStr">
        <is>
          <t>40</t>
        </is>
      </c>
      <c r="F136" s="0" t="inlineStr">
        <is>
          <t>44</t>
        </is>
      </c>
      <c r="G136" s="0" t="inlineStr">
        <is>
          <t>34</t>
        </is>
      </c>
      <c r="H136" s="0" t="inlineStr">
        <is>
          <t>02</t>
        </is>
      </c>
      <c r="I136" s="0" t="inlineStr">
        <is>
          <t>18</t>
        </is>
      </c>
      <c r="J136" s="0" t="inlineStr">
        <is>
          <t>马</t>
        </is>
      </c>
      <c r="K136" s="0" t="inlineStr">
        <is>
          <t>牛</t>
        </is>
      </c>
      <c r="L136" s="0" t="inlineStr">
        <is>
          <t>红波</t>
        </is>
      </c>
    </row>
    <row r="137">
      <c r="A137" s="0" t="n">
        <v>2026063</v>
      </c>
      <c r="B137" s="0" t="inlineStr">
        <is>
          <t>2026-03-04 21:35:31</t>
        </is>
      </c>
      <c r="C137" s="0" t="inlineStr">
        <is>
          <t>36</t>
        </is>
      </c>
      <c r="D137" s="0" t="inlineStr">
        <is>
          <t>26</t>
        </is>
      </c>
      <c r="E137" s="0" t="inlineStr">
        <is>
          <t>37</t>
        </is>
      </c>
      <c r="F137" s="0" t="inlineStr">
        <is>
          <t>02</t>
        </is>
      </c>
      <c r="G137" s="0" t="inlineStr">
        <is>
          <t>44</t>
        </is>
      </c>
      <c r="H137" s="0" t="inlineStr">
        <is>
          <t>31</t>
        </is>
      </c>
      <c r="I137" s="0" t="inlineStr">
        <is>
          <t>28</t>
        </is>
      </c>
      <c r="J137" s="0" t="inlineStr">
        <is>
          <t>马</t>
        </is>
      </c>
      <c r="K137" s="0" t="inlineStr">
        <is>
          <t>兔</t>
        </is>
      </c>
      <c r="L137" s="0" t="inlineStr">
        <is>
          <t>绿波</t>
        </is>
      </c>
    </row>
    <row r="138">
      <c r="A138" s="0" t="n">
        <v>2026062</v>
      </c>
      <c r="B138" s="0" t="inlineStr">
        <is>
          <t>2026-03-03 21:35:31</t>
        </is>
      </c>
      <c r="C138" s="0" t="inlineStr">
        <is>
          <t>46</t>
        </is>
      </c>
      <c r="D138" s="0" t="inlineStr">
        <is>
          <t>29</t>
        </is>
      </c>
      <c r="E138" s="0" t="inlineStr">
        <is>
          <t>06</t>
        </is>
      </c>
      <c r="F138" s="0" t="inlineStr">
        <is>
          <t>49</t>
        </is>
      </c>
      <c r="G138" s="0" t="inlineStr">
        <is>
          <t>35</t>
        </is>
      </c>
      <c r="H138" s="0" t="inlineStr">
        <is>
          <t>42</t>
        </is>
      </c>
      <c r="I138" s="0" t="inlineStr">
        <is>
          <t>24</t>
        </is>
      </c>
      <c r="J138" s="0" t="inlineStr">
        <is>
          <t>马</t>
        </is>
      </c>
      <c r="K138" s="0" t="inlineStr">
        <is>
          <t>羊</t>
        </is>
      </c>
      <c r="L138" s="0" t="inlineStr">
        <is>
          <t>红波</t>
        </is>
      </c>
    </row>
    <row r="139">
      <c r="A139" s="0" t="n">
        <v>2026061</v>
      </c>
      <c r="B139" s="0" t="inlineStr">
        <is>
          <t>2026-03-02 21:35:30</t>
        </is>
      </c>
      <c r="C139" s="0" t="inlineStr">
        <is>
          <t>46</t>
        </is>
      </c>
      <c r="D139" s="0" t="inlineStr">
        <is>
          <t>17</t>
        </is>
      </c>
      <c r="E139" s="0" t="inlineStr">
        <is>
          <t>08</t>
        </is>
      </c>
      <c r="F139" s="0" t="inlineStr">
        <is>
          <t>25</t>
        </is>
      </c>
      <c r="G139" s="0" t="inlineStr">
        <is>
          <t>02</t>
        </is>
      </c>
      <c r="H139" s="0" t="inlineStr">
        <is>
          <t>37</t>
        </is>
      </c>
      <c r="I139" s="0" t="inlineStr">
        <is>
          <t>29</t>
        </is>
      </c>
      <c r="J139" s="0" t="inlineStr">
        <is>
          <t>马</t>
        </is>
      </c>
      <c r="K139" s="0" t="inlineStr">
        <is>
          <t>虎</t>
        </is>
      </c>
      <c r="L139" s="0" t="inlineStr">
        <is>
          <t>红波</t>
        </is>
      </c>
    </row>
    <row r="140">
      <c r="A140" s="0" t="n">
        <v>2026060</v>
      </c>
      <c r="B140" s="0" t="inlineStr">
        <is>
          <t>2026-03-01 21:35:30</t>
        </is>
      </c>
      <c r="C140" s="0" t="inlineStr">
        <is>
          <t>05</t>
        </is>
      </c>
      <c r="D140" s="0" t="inlineStr">
        <is>
          <t>27</t>
        </is>
      </c>
      <c r="E140" s="0" t="inlineStr">
        <is>
          <t>40</t>
        </is>
      </c>
      <c r="F140" s="0" t="inlineStr">
        <is>
          <t>34</t>
        </is>
      </c>
      <c r="G140" s="0" t="inlineStr">
        <is>
          <t>39</t>
        </is>
      </c>
      <c r="H140" s="0" t="inlineStr">
        <is>
          <t>01</t>
        </is>
      </c>
      <c r="I140" s="0" t="inlineStr">
        <is>
          <t>09</t>
        </is>
      </c>
      <c r="J140" s="0" t="inlineStr">
        <is>
          <t>马</t>
        </is>
      </c>
      <c r="K140" s="0" t="inlineStr">
        <is>
          <t>狗</t>
        </is>
      </c>
      <c r="L140" s="0" t="inlineStr">
        <is>
          <t>蓝波</t>
        </is>
      </c>
    </row>
    <row r="141">
      <c r="A141" s="0" t="n">
        <v>2026059</v>
      </c>
      <c r="B141" s="0" t="inlineStr">
        <is>
          <t>2026-02-28 21:35:30</t>
        </is>
      </c>
      <c r="C141" s="0" t="inlineStr">
        <is>
          <t>29</t>
        </is>
      </c>
      <c r="D141" s="0" t="inlineStr">
        <is>
          <t>19</t>
        </is>
      </c>
      <c r="E141" s="0" t="inlineStr">
        <is>
          <t>24</t>
        </is>
      </c>
      <c r="F141" s="0" t="inlineStr">
        <is>
          <t>43</t>
        </is>
      </c>
      <c r="G141" s="0" t="inlineStr">
        <is>
          <t>28</t>
        </is>
      </c>
      <c r="H141" s="0" t="inlineStr">
        <is>
          <t>12</t>
        </is>
      </c>
      <c r="I141" s="0" t="inlineStr">
        <is>
          <t>10</t>
        </is>
      </c>
      <c r="J141" s="0" t="inlineStr">
        <is>
          <t>马</t>
        </is>
      </c>
      <c r="K141" s="0" t="inlineStr">
        <is>
          <t>鸡</t>
        </is>
      </c>
      <c r="L141" s="0" t="inlineStr">
        <is>
          <t>蓝波</t>
        </is>
      </c>
    </row>
    <row r="142">
      <c r="A142" s="0" t="n">
        <v>2026058</v>
      </c>
      <c r="B142" s="0" t="inlineStr">
        <is>
          <t>2026-02-27 21:35:31</t>
        </is>
      </c>
      <c r="C142" s="0" t="inlineStr">
        <is>
          <t>20</t>
        </is>
      </c>
      <c r="D142" s="0" t="inlineStr">
        <is>
          <t>38</t>
        </is>
      </c>
      <c r="E142" s="0" t="inlineStr">
        <is>
          <t>13</t>
        </is>
      </c>
      <c r="F142" s="0" t="inlineStr">
        <is>
          <t>21</t>
        </is>
      </c>
      <c r="G142" s="0" t="inlineStr">
        <is>
          <t>33</t>
        </is>
      </c>
      <c r="H142" s="0" t="inlineStr">
        <is>
          <t>40</t>
        </is>
      </c>
      <c r="I142" s="0" t="inlineStr">
        <is>
          <t>31</t>
        </is>
      </c>
      <c r="J142" s="0" t="inlineStr">
        <is>
          <t>马</t>
        </is>
      </c>
      <c r="K142" s="0" t="inlineStr">
        <is>
          <t>鼠</t>
        </is>
      </c>
      <c r="L142" s="0" t="inlineStr">
        <is>
          <t>蓝波</t>
        </is>
      </c>
    </row>
    <row r="143">
      <c r="A143" s="0" t="n">
        <v>2026057</v>
      </c>
      <c r="B143" s="0" t="inlineStr">
        <is>
          <t>2026-02-26 21:35:30</t>
        </is>
      </c>
      <c r="C143" s="0" t="inlineStr">
        <is>
          <t>21</t>
        </is>
      </c>
      <c r="D143" s="0" t="inlineStr">
        <is>
          <t>29</t>
        </is>
      </c>
      <c r="E143" s="0" t="inlineStr">
        <is>
          <t>40</t>
        </is>
      </c>
      <c r="F143" s="0" t="inlineStr">
        <is>
          <t>30</t>
        </is>
      </c>
      <c r="G143" s="0" t="inlineStr">
        <is>
          <t>26</t>
        </is>
      </c>
      <c r="H143" s="0" t="inlineStr">
        <is>
          <t>34</t>
        </is>
      </c>
      <c r="I143" s="0" t="inlineStr">
        <is>
          <t>23</t>
        </is>
      </c>
      <c r="J143" s="0" t="inlineStr">
        <is>
          <t>马</t>
        </is>
      </c>
      <c r="K143" s="0" t="inlineStr">
        <is>
          <t>猴</t>
        </is>
      </c>
      <c r="L143" s="0" t="inlineStr">
        <is>
          <t>红波</t>
        </is>
      </c>
    </row>
    <row r="144">
      <c r="A144" s="0" t="n">
        <v>2026056</v>
      </c>
      <c r="B144" s="0" t="inlineStr">
        <is>
          <t>2026-02-25 21:35:32</t>
        </is>
      </c>
      <c r="C144" s="0" t="inlineStr">
        <is>
          <t>45</t>
        </is>
      </c>
      <c r="D144" s="0" t="inlineStr">
        <is>
          <t>09</t>
        </is>
      </c>
      <c r="E144" s="0" t="inlineStr">
        <is>
          <t>06</t>
        </is>
      </c>
      <c r="F144" s="0" t="inlineStr">
        <is>
          <t>07</t>
        </is>
      </c>
      <c r="G144" s="0" t="inlineStr">
        <is>
          <t>10</t>
        </is>
      </c>
      <c r="H144" s="0" t="inlineStr">
        <is>
          <t>26</t>
        </is>
      </c>
      <c r="I144" s="0" t="inlineStr">
        <is>
          <t>48</t>
        </is>
      </c>
      <c r="J144" s="0" t="inlineStr">
        <is>
          <t>马</t>
        </is>
      </c>
      <c r="K144" s="0" t="inlineStr">
        <is>
          <t>羊</t>
        </is>
      </c>
      <c r="L144" s="0" t="inlineStr">
        <is>
          <t>蓝波</t>
        </is>
      </c>
    </row>
    <row r="145">
      <c r="A145" s="0" t="n">
        <v>2026055</v>
      </c>
      <c r="B145" s="0" t="inlineStr">
        <is>
          <t>2026-02-24 21:35:31</t>
        </is>
      </c>
      <c r="C145" s="0" t="inlineStr">
        <is>
          <t>31</t>
        </is>
      </c>
      <c r="D145" s="0" t="inlineStr">
        <is>
          <t>28</t>
        </is>
      </c>
      <c r="E145" s="0" t="inlineStr">
        <is>
          <t>20</t>
        </is>
      </c>
      <c r="F145" s="0" t="inlineStr">
        <is>
          <t>21</t>
        </is>
      </c>
      <c r="G145" s="0" t="inlineStr">
        <is>
          <t>39</t>
        </is>
      </c>
      <c r="H145" s="0" t="inlineStr">
        <is>
          <t>09</t>
        </is>
      </c>
      <c r="I145" s="0" t="inlineStr">
        <is>
          <t>14</t>
        </is>
      </c>
      <c r="J145" s="0" t="inlineStr">
        <is>
          <t>马</t>
        </is>
      </c>
      <c r="K145" s="0" t="inlineStr">
        <is>
          <t>蛇</t>
        </is>
      </c>
      <c r="L145" s="0" t="inlineStr">
        <is>
          <t>蓝波</t>
        </is>
      </c>
    </row>
    <row r="146">
      <c r="A146" s="0" t="n">
        <v>2026054</v>
      </c>
      <c r="B146" s="0" t="inlineStr">
        <is>
          <t>2026-02-23 21:35:31</t>
        </is>
      </c>
      <c r="C146" s="0" t="inlineStr">
        <is>
          <t>37</t>
        </is>
      </c>
      <c r="D146" s="0" t="inlineStr">
        <is>
          <t>30</t>
        </is>
      </c>
      <c r="E146" s="0" t="inlineStr">
        <is>
          <t>11</t>
        </is>
      </c>
      <c r="F146" s="0" t="inlineStr">
        <is>
          <t>19</t>
        </is>
      </c>
      <c r="G146" s="0" t="inlineStr">
        <is>
          <t>49</t>
        </is>
      </c>
      <c r="H146" s="0" t="inlineStr">
        <is>
          <t>32</t>
        </is>
      </c>
      <c r="I146" s="0" t="inlineStr">
        <is>
          <t>48</t>
        </is>
      </c>
      <c r="J146" s="0" t="inlineStr">
        <is>
          <t>马</t>
        </is>
      </c>
      <c r="K146" s="0" t="inlineStr">
        <is>
          <t>羊</t>
        </is>
      </c>
      <c r="L146" s="0" t="inlineStr">
        <is>
          <t>蓝波</t>
        </is>
      </c>
    </row>
    <row r="147">
      <c r="A147" s="0" t="n">
        <v>2026053</v>
      </c>
      <c r="B147" s="0" t="inlineStr">
        <is>
          <t>2026-02-22 21:35:31</t>
        </is>
      </c>
      <c r="C147" s="0" t="inlineStr">
        <is>
          <t>16</t>
        </is>
      </c>
      <c r="D147" s="0" t="inlineStr">
        <is>
          <t>12</t>
        </is>
      </c>
      <c r="E147" s="0" t="inlineStr">
        <is>
          <t>33</t>
        </is>
      </c>
      <c r="F147" s="0" t="inlineStr">
        <is>
          <t>17</t>
        </is>
      </c>
      <c r="G147" s="0" t="inlineStr">
        <is>
          <t>41</t>
        </is>
      </c>
      <c r="H147" s="0" t="inlineStr">
        <is>
          <t>18</t>
        </is>
      </c>
      <c r="I147" s="0" t="inlineStr">
        <is>
          <t>15</t>
        </is>
      </c>
      <c r="J147" s="0" t="inlineStr">
        <is>
          <t>马</t>
        </is>
      </c>
      <c r="K147" s="0" t="inlineStr">
        <is>
          <t>龙</t>
        </is>
      </c>
      <c r="L147" s="0" t="inlineStr">
        <is>
          <t>蓝波</t>
        </is>
      </c>
    </row>
    <row r="148">
      <c r="A148" s="0" t="n">
        <v>2026052</v>
      </c>
      <c r="B148" s="0" t="inlineStr">
        <is>
          <t>2026-02-21 21:35:31</t>
        </is>
      </c>
      <c r="C148" s="0" t="inlineStr">
        <is>
          <t>15</t>
        </is>
      </c>
      <c r="D148" s="0" t="inlineStr">
        <is>
          <t>46</t>
        </is>
      </c>
      <c r="E148" s="0" t="inlineStr">
        <is>
          <t>14</t>
        </is>
      </c>
      <c r="F148" s="0" t="inlineStr">
        <is>
          <t>13</t>
        </is>
      </c>
      <c r="G148" s="0" t="inlineStr">
        <is>
          <t>40</t>
        </is>
      </c>
      <c r="H148" s="0" t="inlineStr">
        <is>
          <t>35</t>
        </is>
      </c>
      <c r="I148" s="0" t="inlineStr">
        <is>
          <t>38</t>
        </is>
      </c>
      <c r="J148" s="0" t="inlineStr">
        <is>
          <t>马</t>
        </is>
      </c>
      <c r="K148" s="0" t="inlineStr">
        <is>
          <t>蛇</t>
        </is>
      </c>
      <c r="L148" s="0" t="inlineStr">
        <is>
          <t>绿波</t>
        </is>
      </c>
    </row>
    <row r="149">
      <c r="A149" s="0" t="n">
        <v>2026051</v>
      </c>
      <c r="B149" s="0" t="inlineStr">
        <is>
          <t>2026-02-20 21:35:31</t>
        </is>
      </c>
      <c r="C149" s="0" t="inlineStr">
        <is>
          <t>40</t>
        </is>
      </c>
      <c r="D149" s="0" t="inlineStr">
        <is>
          <t>42</t>
        </is>
      </c>
      <c r="E149" s="0" t="inlineStr">
        <is>
          <t>44</t>
        </is>
      </c>
      <c r="F149" s="0" t="inlineStr">
        <is>
          <t>06</t>
        </is>
      </c>
      <c r="G149" s="0" t="inlineStr">
        <is>
          <t>14</t>
        </is>
      </c>
      <c r="H149" s="0" t="inlineStr">
        <is>
          <t>38</t>
        </is>
      </c>
      <c r="I149" s="0" t="inlineStr">
        <is>
          <t>01</t>
        </is>
      </c>
      <c r="J149" s="0" t="inlineStr">
        <is>
          <t>马</t>
        </is>
      </c>
      <c r="K149" s="0" t="inlineStr">
        <is>
          <t>马</t>
        </is>
      </c>
      <c r="L149" s="0" t="inlineStr">
        <is>
          <t>红波</t>
        </is>
      </c>
    </row>
    <row r="150">
      <c r="A150" s="0" t="n">
        <v>2026050</v>
      </c>
      <c r="B150" s="0" t="inlineStr">
        <is>
          <t>2026-02-19 21:35:39</t>
        </is>
      </c>
      <c r="C150" s="0" t="inlineStr">
        <is>
          <t>10</t>
        </is>
      </c>
      <c r="D150" s="0" t="inlineStr">
        <is>
          <t>13</t>
        </is>
      </c>
      <c r="E150" s="0" t="inlineStr">
        <is>
          <t>30</t>
        </is>
      </c>
      <c r="F150" s="0" t="inlineStr">
        <is>
          <t>37</t>
        </is>
      </c>
      <c r="G150" s="0" t="inlineStr">
        <is>
          <t>33</t>
        </is>
      </c>
      <c r="H150" s="0" t="inlineStr">
        <is>
          <t>44</t>
        </is>
      </c>
      <c r="I150" s="0" t="inlineStr">
        <is>
          <t>23</t>
        </is>
      </c>
      <c r="J150" s="0" t="inlineStr">
        <is>
          <t>马</t>
        </is>
      </c>
      <c r="K150" s="0" t="inlineStr">
        <is>
          <t>猴</t>
        </is>
      </c>
      <c r="L150" s="0" t="inlineStr">
        <is>
          <t>红波</t>
        </is>
      </c>
    </row>
    <row r="151">
      <c r="A151" s="0" t="n">
        <v>2026049</v>
      </c>
      <c r="B151" s="0" t="inlineStr">
        <is>
          <t>2026-02-18 21:35:31</t>
        </is>
      </c>
      <c r="C151" s="0" t="inlineStr">
        <is>
          <t>28</t>
        </is>
      </c>
      <c r="D151" s="0" t="inlineStr">
        <is>
          <t>42</t>
        </is>
      </c>
      <c r="E151" s="0" t="inlineStr">
        <is>
          <t>22</t>
        </is>
      </c>
      <c r="F151" s="0" t="inlineStr">
        <is>
          <t>49</t>
        </is>
      </c>
      <c r="G151" s="0" t="inlineStr">
        <is>
          <t>12</t>
        </is>
      </c>
      <c r="H151" s="0" t="inlineStr">
        <is>
          <t>31</t>
        </is>
      </c>
      <c r="I151" s="0" t="inlineStr">
        <is>
          <t>13</t>
        </is>
      </c>
      <c r="J151" s="0" t="inlineStr">
        <is>
          <t>马</t>
        </is>
      </c>
      <c r="K151" s="0" t="inlineStr">
        <is>
          <t>马</t>
        </is>
      </c>
      <c r="L151" s="0" t="inlineStr">
        <is>
          <t>红波</t>
        </is>
      </c>
    </row>
    <row r="152">
      <c r="A152" s="0" t="n">
        <v>2026048</v>
      </c>
      <c r="B152" s="0" t="inlineStr">
        <is>
          <t>2026-02-17 21:35:32</t>
        </is>
      </c>
      <c r="C152" s="0" t="inlineStr">
        <is>
          <t>08</t>
        </is>
      </c>
      <c r="D152" s="0" t="inlineStr">
        <is>
          <t>38</t>
        </is>
      </c>
      <c r="E152" s="0" t="inlineStr">
        <is>
          <t>29</t>
        </is>
      </c>
      <c r="F152" s="0" t="inlineStr">
        <is>
          <t>32</t>
        </is>
      </c>
      <c r="G152" s="0" t="inlineStr">
        <is>
          <t>46</t>
        </is>
      </c>
      <c r="H152" s="0" t="inlineStr">
        <is>
          <t>16</t>
        </is>
      </c>
      <c r="I152" s="0" t="inlineStr">
        <is>
          <t>24</t>
        </is>
      </c>
      <c r="J152" s="0" t="inlineStr">
        <is>
          <t>马</t>
        </is>
      </c>
      <c r="K152" s="0" t="inlineStr">
        <is>
          <t>羊</t>
        </is>
      </c>
      <c r="L152" s="0" t="inlineStr">
        <is>
          <t>红波</t>
        </is>
      </c>
    </row>
    <row r="153">
      <c r="A153" s="0" t="n">
        <v>2026047</v>
      </c>
      <c r="B153" s="0" t="inlineStr">
        <is>
          <t>2026-02-16 21:35:31</t>
        </is>
      </c>
      <c r="C153" s="0" t="inlineStr">
        <is>
          <t>40</t>
        </is>
      </c>
      <c r="D153" s="0" t="inlineStr">
        <is>
          <t>35</t>
        </is>
      </c>
      <c r="E153" s="0" t="inlineStr">
        <is>
          <t>23</t>
        </is>
      </c>
      <c r="F153" s="0" t="inlineStr">
        <is>
          <t>42</t>
        </is>
      </c>
      <c r="G153" s="0" t="inlineStr">
        <is>
          <t>46</t>
        </is>
      </c>
      <c r="H153" s="0" t="inlineStr">
        <is>
          <t>47</t>
        </is>
      </c>
      <c r="I153" s="0" t="inlineStr">
        <is>
          <t>39</t>
        </is>
      </c>
      <c r="J153" s="0" t="inlineStr">
        <is>
          <t>蛇</t>
        </is>
      </c>
      <c r="K153" s="0" t="inlineStr">
        <is>
          <t>兔</t>
        </is>
      </c>
      <c r="L153" s="0" t="inlineStr">
        <is>
          <t>绿波</t>
        </is>
      </c>
    </row>
    <row r="154">
      <c r="A154" s="0" t="n">
        <v>2026046</v>
      </c>
      <c r="B154" s="0" t="inlineStr">
        <is>
          <t>2026-02-15 21:35:32</t>
        </is>
      </c>
      <c r="C154" s="0" t="inlineStr">
        <is>
          <t>13</t>
        </is>
      </c>
      <c r="D154" s="0" t="inlineStr">
        <is>
          <t>09</t>
        </is>
      </c>
      <c r="E154" s="0" t="inlineStr">
        <is>
          <t>20</t>
        </is>
      </c>
      <c r="F154" s="0" t="inlineStr">
        <is>
          <t>22</t>
        </is>
      </c>
      <c r="G154" s="0" t="inlineStr">
        <is>
          <t>39</t>
        </is>
      </c>
      <c r="H154" s="0" t="inlineStr">
        <is>
          <t>36</t>
        </is>
      </c>
      <c r="I154" s="0" t="inlineStr">
        <is>
          <t>03</t>
        </is>
      </c>
      <c r="J154" s="0" t="inlineStr">
        <is>
          <t>蛇</t>
        </is>
      </c>
      <c r="K154" s="0" t="inlineStr">
        <is>
          <t>兔</t>
        </is>
      </c>
      <c r="L154" s="0" t="inlineStr">
        <is>
          <t>蓝波</t>
        </is>
      </c>
    </row>
    <row r="155">
      <c r="A155" s="0" t="n">
        <v>2026045</v>
      </c>
      <c r="B155" s="0" t="inlineStr">
        <is>
          <t>2026-02-14 21:36:38</t>
        </is>
      </c>
      <c r="C155" s="0" t="inlineStr">
        <is>
          <t>20</t>
        </is>
      </c>
      <c r="D155" s="0" t="inlineStr">
        <is>
          <t>38</t>
        </is>
      </c>
      <c r="E155" s="0" t="inlineStr">
        <is>
          <t>22</t>
        </is>
      </c>
      <c r="F155" s="0" t="inlineStr">
        <is>
          <t>13</t>
        </is>
      </c>
      <c r="G155" s="0" t="inlineStr">
        <is>
          <t>42</t>
        </is>
      </c>
      <c r="H155" s="0" t="inlineStr">
        <is>
          <t>27</t>
        </is>
      </c>
      <c r="I155" s="0" t="inlineStr">
        <is>
          <t>01</t>
        </is>
      </c>
      <c r="J155" s="0" t="inlineStr">
        <is>
          <t>蛇</t>
        </is>
      </c>
      <c r="K155" s="0" t="inlineStr">
        <is>
          <t>蛇</t>
        </is>
      </c>
      <c r="L155" s="0" t="inlineStr">
        <is>
          <t>红波</t>
        </is>
      </c>
    </row>
    <row r="156">
      <c r="A156" s="0" t="n">
        <v>2026044</v>
      </c>
      <c r="B156" s="0" t="inlineStr">
        <is>
          <t>2026-02-13 21:35:31</t>
        </is>
      </c>
      <c r="C156" s="0" t="inlineStr">
        <is>
          <t>46</t>
        </is>
      </c>
      <c r="D156" s="0" t="inlineStr">
        <is>
          <t>17</t>
        </is>
      </c>
      <c r="E156" s="0" t="inlineStr">
        <is>
          <t>39</t>
        </is>
      </c>
      <c r="F156" s="0" t="inlineStr">
        <is>
          <t>47</t>
        </is>
      </c>
      <c r="G156" s="0" t="inlineStr">
        <is>
          <t>48</t>
        </is>
      </c>
      <c r="H156" s="0" t="inlineStr">
        <is>
          <t>38</t>
        </is>
      </c>
      <c r="I156" s="0" t="inlineStr">
        <is>
          <t>19</t>
        </is>
      </c>
      <c r="J156" s="0" t="inlineStr">
        <is>
          <t>蛇</t>
        </is>
      </c>
      <c r="K156" s="0" t="inlineStr">
        <is>
          <t>猪</t>
        </is>
      </c>
      <c r="L156" s="0" t="inlineStr">
        <is>
          <t>红波</t>
        </is>
      </c>
    </row>
    <row r="157">
      <c r="A157" s="0" t="n">
        <v>2026043</v>
      </c>
      <c r="B157" s="0" t="inlineStr">
        <is>
          <t>2026-02-12 21:35:32</t>
        </is>
      </c>
      <c r="C157" s="0" t="inlineStr">
        <is>
          <t>09</t>
        </is>
      </c>
      <c r="D157" s="0" t="inlineStr">
        <is>
          <t>35</t>
        </is>
      </c>
      <c r="E157" s="0" t="inlineStr">
        <is>
          <t>42</t>
        </is>
      </c>
      <c r="F157" s="0" t="inlineStr">
        <is>
          <t>40</t>
        </is>
      </c>
      <c r="G157" s="0" t="inlineStr">
        <is>
          <t>33</t>
        </is>
      </c>
      <c r="H157" s="0" t="inlineStr">
        <is>
          <t>03</t>
        </is>
      </c>
      <c r="I157" s="0" t="inlineStr">
        <is>
          <t>13</t>
        </is>
      </c>
      <c r="J157" s="0" t="inlineStr">
        <is>
          <t>蛇</t>
        </is>
      </c>
      <c r="K157" s="0" t="inlineStr">
        <is>
          <t>蛇</t>
        </is>
      </c>
      <c r="L157" s="0" t="inlineStr">
        <is>
          <t>红波</t>
        </is>
      </c>
    </row>
    <row r="158">
      <c r="A158" s="0" t="n">
        <v>2026042</v>
      </c>
      <c r="B158" s="0" t="inlineStr">
        <is>
          <t>2026-02-11 21:35:31</t>
        </is>
      </c>
      <c r="C158" s="0" t="inlineStr">
        <is>
          <t>38</t>
        </is>
      </c>
      <c r="D158" s="0" t="inlineStr">
        <is>
          <t>22</t>
        </is>
      </c>
      <c r="E158" s="0" t="inlineStr">
        <is>
          <t>17</t>
        </is>
      </c>
      <c r="F158" s="0" t="inlineStr">
        <is>
          <t>19</t>
        </is>
      </c>
      <c r="G158" s="0" t="inlineStr">
        <is>
          <t>01</t>
        </is>
      </c>
      <c r="H158" s="0" t="inlineStr">
        <is>
          <t>18</t>
        </is>
      </c>
      <c r="I158" s="0" t="inlineStr">
        <is>
          <t>16</t>
        </is>
      </c>
      <c r="J158" s="0" t="inlineStr">
        <is>
          <t>蛇</t>
        </is>
      </c>
      <c r="K158" s="0" t="inlineStr">
        <is>
          <t>虎</t>
        </is>
      </c>
      <c r="L158" s="0" t="inlineStr">
        <is>
          <t>绿波</t>
        </is>
      </c>
    </row>
    <row r="159">
      <c r="A159" s="0" t="n">
        <v>2026041</v>
      </c>
      <c r="B159" s="0" t="inlineStr">
        <is>
          <t>2026-02-10 21:35:38</t>
        </is>
      </c>
      <c r="C159" s="0" t="inlineStr">
        <is>
          <t>02</t>
        </is>
      </c>
      <c r="D159" s="0" t="inlineStr">
        <is>
          <t>08</t>
        </is>
      </c>
      <c r="E159" s="0" t="inlineStr">
        <is>
          <t>17</t>
        </is>
      </c>
      <c r="F159" s="0" t="inlineStr">
        <is>
          <t>44</t>
        </is>
      </c>
      <c r="G159" s="0" t="inlineStr">
        <is>
          <t>32</t>
        </is>
      </c>
      <c r="H159" s="0" t="inlineStr">
        <is>
          <t>27</t>
        </is>
      </c>
      <c r="I159" s="0" t="inlineStr">
        <is>
          <t>36</t>
        </is>
      </c>
      <c r="J159" s="0" t="inlineStr">
        <is>
          <t>蛇</t>
        </is>
      </c>
      <c r="K159" s="0" t="inlineStr">
        <is>
          <t>马</t>
        </is>
      </c>
      <c r="L159" s="0" t="inlineStr">
        <is>
          <t>蓝波</t>
        </is>
      </c>
    </row>
    <row r="160">
      <c r="A160" s="0" t="n">
        <v>2026040</v>
      </c>
      <c r="B160" s="0" t="inlineStr">
        <is>
          <t>2026-02-09 21:35:31</t>
        </is>
      </c>
      <c r="C160" s="0" t="inlineStr">
        <is>
          <t>46</t>
        </is>
      </c>
      <c r="D160" s="0" t="inlineStr">
        <is>
          <t>06</t>
        </is>
      </c>
      <c r="E160" s="0" t="inlineStr">
        <is>
          <t>29</t>
        </is>
      </c>
      <c r="F160" s="0" t="inlineStr">
        <is>
          <t>27</t>
        </is>
      </c>
      <c r="G160" s="0" t="inlineStr">
        <is>
          <t>11</t>
        </is>
      </c>
      <c r="H160" s="0" t="inlineStr">
        <is>
          <t>49</t>
        </is>
      </c>
      <c r="I160" s="0" t="inlineStr">
        <is>
          <t>28</t>
        </is>
      </c>
      <c r="J160" s="0" t="inlineStr">
        <is>
          <t>蛇</t>
        </is>
      </c>
      <c r="K160" s="0" t="inlineStr">
        <is>
          <t>虎</t>
        </is>
      </c>
      <c r="L160" s="0" t="inlineStr">
        <is>
          <t>绿波</t>
        </is>
      </c>
    </row>
    <row r="161">
      <c r="A161" s="0" t="n">
        <v>2026039</v>
      </c>
      <c r="B161" s="0" t="inlineStr">
        <is>
          <t>2026-02-08 21:35:31</t>
        </is>
      </c>
      <c r="C161" s="0" t="inlineStr">
        <is>
          <t>31</t>
        </is>
      </c>
      <c r="D161" s="0" t="inlineStr">
        <is>
          <t>20</t>
        </is>
      </c>
      <c r="E161" s="0" t="inlineStr">
        <is>
          <t>08</t>
        </is>
      </c>
      <c r="F161" s="0" t="inlineStr">
        <is>
          <t>29</t>
        </is>
      </c>
      <c r="G161" s="0" t="inlineStr">
        <is>
          <t>10</t>
        </is>
      </c>
      <c r="H161" s="0" t="inlineStr">
        <is>
          <t>04</t>
        </is>
      </c>
      <c r="I161" s="0" t="inlineStr">
        <is>
          <t>11</t>
        </is>
      </c>
      <c r="J161" s="0" t="inlineStr">
        <is>
          <t>蛇</t>
        </is>
      </c>
      <c r="K161" s="0" t="inlineStr">
        <is>
          <t>羊</t>
        </is>
      </c>
      <c r="L161" s="0" t="inlineStr">
        <is>
          <t>绿波</t>
        </is>
      </c>
    </row>
    <row r="162">
      <c r="A162" s="0" t="n">
        <v>2026038</v>
      </c>
      <c r="B162" s="0" t="inlineStr">
        <is>
          <t>2026-02-07 21:35:32</t>
        </is>
      </c>
      <c r="C162" s="0" t="inlineStr">
        <is>
          <t>06</t>
        </is>
      </c>
      <c r="D162" s="0" t="inlineStr">
        <is>
          <t>40</t>
        </is>
      </c>
      <c r="E162" s="0" t="inlineStr">
        <is>
          <t>49</t>
        </is>
      </c>
      <c r="F162" s="0" t="inlineStr">
        <is>
          <t>34</t>
        </is>
      </c>
      <c r="G162" s="0" t="inlineStr">
        <is>
          <t>12</t>
        </is>
      </c>
      <c r="H162" s="0" t="inlineStr">
        <is>
          <t>20</t>
        </is>
      </c>
      <c r="I162" s="0" t="inlineStr">
        <is>
          <t>42</t>
        </is>
      </c>
      <c r="J162" s="0" t="inlineStr">
        <is>
          <t>蛇</t>
        </is>
      </c>
      <c r="K162" s="0" t="inlineStr">
        <is>
          <t>鼠</t>
        </is>
      </c>
      <c r="L162" s="0" t="inlineStr">
        <is>
          <t>蓝波</t>
        </is>
      </c>
    </row>
    <row r="163">
      <c r="A163" s="0" t="n">
        <v>2026037</v>
      </c>
      <c r="B163" s="0" t="inlineStr">
        <is>
          <t>2026-02-06 21:35:31</t>
        </is>
      </c>
      <c r="C163" s="0" t="inlineStr">
        <is>
          <t>34</t>
        </is>
      </c>
      <c r="D163" s="0" t="inlineStr">
        <is>
          <t>42</t>
        </is>
      </c>
      <c r="E163" s="0" t="inlineStr">
        <is>
          <t>39</t>
        </is>
      </c>
      <c r="F163" s="0" t="inlineStr">
        <is>
          <t>13</t>
        </is>
      </c>
      <c r="G163" s="0" t="inlineStr">
        <is>
          <t>44</t>
        </is>
      </c>
      <c r="H163" s="0" t="inlineStr">
        <is>
          <t>45</t>
        </is>
      </c>
      <c r="I163" s="0" t="inlineStr">
        <is>
          <t>43</t>
        </is>
      </c>
      <c r="J163" s="0" t="inlineStr">
        <is>
          <t>蛇</t>
        </is>
      </c>
      <c r="K163" s="0" t="inlineStr">
        <is>
          <t>猪</t>
        </is>
      </c>
      <c r="L163" s="0" t="inlineStr">
        <is>
          <t>绿波</t>
        </is>
      </c>
    </row>
    <row r="164">
      <c r="A164" s="0" t="n">
        <v>2026036</v>
      </c>
      <c r="B164" s="0" t="inlineStr">
        <is>
          <t>2026-02-05 21:35:31</t>
        </is>
      </c>
      <c r="C164" s="0" t="inlineStr">
        <is>
          <t>44</t>
        </is>
      </c>
      <c r="D164" s="0" t="inlineStr">
        <is>
          <t>39</t>
        </is>
      </c>
      <c r="E164" s="0" t="inlineStr">
        <is>
          <t>11</t>
        </is>
      </c>
      <c r="F164" s="0" t="inlineStr">
        <is>
          <t>20</t>
        </is>
      </c>
      <c r="G164" s="0" t="inlineStr">
        <is>
          <t>27</t>
        </is>
      </c>
      <c r="H164" s="0" t="inlineStr">
        <is>
          <t>48</t>
        </is>
      </c>
      <c r="I164" s="0" t="inlineStr">
        <is>
          <t>01</t>
        </is>
      </c>
      <c r="J164" s="0" t="inlineStr">
        <is>
          <t>蛇</t>
        </is>
      </c>
      <c r="K164" s="0" t="inlineStr">
        <is>
          <t>蛇</t>
        </is>
      </c>
      <c r="L164" s="0" t="inlineStr">
        <is>
          <t>红波</t>
        </is>
      </c>
    </row>
    <row r="165">
      <c r="A165" s="0" t="n">
        <v>2026035</v>
      </c>
      <c r="B165" s="0" t="inlineStr">
        <is>
          <t>2026-02-04 21:35:32</t>
        </is>
      </c>
      <c r="C165" s="0" t="inlineStr">
        <is>
          <t>32</t>
        </is>
      </c>
      <c r="D165" s="0" t="inlineStr">
        <is>
          <t>47</t>
        </is>
      </c>
      <c r="E165" s="0" t="inlineStr">
        <is>
          <t>44</t>
        </is>
      </c>
      <c r="F165" s="0" t="inlineStr">
        <is>
          <t>36</t>
        </is>
      </c>
      <c r="G165" s="0" t="inlineStr">
        <is>
          <t>19</t>
        </is>
      </c>
      <c r="H165" s="0" t="inlineStr">
        <is>
          <t>41</t>
        </is>
      </c>
      <c r="I165" s="0" t="inlineStr">
        <is>
          <t>27</t>
        </is>
      </c>
      <c r="J165" s="0" t="inlineStr">
        <is>
          <t>蛇</t>
        </is>
      </c>
      <c r="K165" s="0" t="inlineStr">
        <is>
          <t>兔</t>
        </is>
      </c>
      <c r="L165" s="0" t="inlineStr">
        <is>
          <t>绿波</t>
        </is>
      </c>
    </row>
    <row r="166">
      <c r="A166" s="0" t="n">
        <v>2026034</v>
      </c>
      <c r="B166" s="0" t="inlineStr">
        <is>
          <t>2026-02-03 21:35:32</t>
        </is>
      </c>
      <c r="C166" s="0" t="inlineStr">
        <is>
          <t>38</t>
        </is>
      </c>
      <c r="D166" s="0" t="inlineStr">
        <is>
          <t>45</t>
        </is>
      </c>
      <c r="E166" s="0" t="inlineStr">
        <is>
          <t>35</t>
        </is>
      </c>
      <c r="F166" s="0" t="inlineStr">
        <is>
          <t>24</t>
        </is>
      </c>
      <c r="G166" s="0" t="inlineStr">
        <is>
          <t>30</t>
        </is>
      </c>
      <c r="H166" s="0" t="inlineStr">
        <is>
          <t>23</t>
        </is>
      </c>
      <c r="I166" s="0" t="inlineStr">
        <is>
          <t>19</t>
        </is>
      </c>
      <c r="J166" s="0" t="inlineStr">
        <is>
          <t>蛇</t>
        </is>
      </c>
      <c r="K166" s="0" t="inlineStr">
        <is>
          <t>猪</t>
        </is>
      </c>
      <c r="L166" s="0" t="inlineStr">
        <is>
          <t>红波</t>
        </is>
      </c>
    </row>
    <row r="167">
      <c r="A167" s="0" t="n">
        <v>2026033</v>
      </c>
      <c r="B167" s="0" t="inlineStr">
        <is>
          <t>2026-02-02 21:35:33</t>
        </is>
      </c>
      <c r="C167" s="0" t="inlineStr">
        <is>
          <t>14</t>
        </is>
      </c>
      <c r="D167" s="0" t="inlineStr">
        <is>
          <t>22</t>
        </is>
      </c>
      <c r="E167" s="0" t="inlineStr">
        <is>
          <t>46</t>
        </is>
      </c>
      <c r="F167" s="0" t="inlineStr">
        <is>
          <t>33</t>
        </is>
      </c>
      <c r="G167" s="0" t="inlineStr">
        <is>
          <t>08</t>
        </is>
      </c>
      <c r="H167" s="0" t="inlineStr">
        <is>
          <t>11</t>
        </is>
      </c>
      <c r="I167" s="0" t="inlineStr">
        <is>
          <t>41</t>
        </is>
      </c>
      <c r="J167" s="0" t="inlineStr">
        <is>
          <t>蛇</t>
        </is>
      </c>
      <c r="K167" s="0" t="inlineStr">
        <is>
          <t>牛</t>
        </is>
      </c>
      <c r="L167" s="0" t="inlineStr">
        <is>
          <t>蓝波</t>
        </is>
      </c>
    </row>
    <row r="168">
      <c r="A168" s="0" t="n">
        <v>2026032</v>
      </c>
      <c r="B168" s="0" t="inlineStr">
        <is>
          <t>2026-02-01 21:35:31</t>
        </is>
      </c>
      <c r="C168" s="0" t="inlineStr">
        <is>
          <t>23</t>
        </is>
      </c>
      <c r="D168" s="0" t="inlineStr">
        <is>
          <t>17</t>
        </is>
      </c>
      <c r="E168" s="0" t="inlineStr">
        <is>
          <t>11</t>
        </is>
      </c>
      <c r="F168" s="0" t="inlineStr">
        <is>
          <t>20</t>
        </is>
      </c>
      <c r="G168" s="0" t="inlineStr">
        <is>
          <t>10</t>
        </is>
      </c>
      <c r="H168" s="0" t="inlineStr">
        <is>
          <t>39</t>
        </is>
      </c>
      <c r="I168" s="0" t="inlineStr">
        <is>
          <t>06</t>
        </is>
      </c>
      <c r="J168" s="0" t="inlineStr">
        <is>
          <t>蛇</t>
        </is>
      </c>
      <c r="K168" s="0" t="inlineStr">
        <is>
          <t>鼠</t>
        </is>
      </c>
      <c r="L168" s="0" t="inlineStr">
        <is>
          <t>绿波</t>
        </is>
      </c>
    </row>
    <row r="169">
      <c r="A169" s="0" t="n">
        <v>2026031</v>
      </c>
      <c r="B169" s="0" t="inlineStr">
        <is>
          <t>2026-01-31 21:35:30</t>
        </is>
      </c>
      <c r="C169" s="0" t="inlineStr">
        <is>
          <t>38</t>
        </is>
      </c>
      <c r="D169" s="0" t="inlineStr">
        <is>
          <t>25</t>
        </is>
      </c>
      <c r="E169" s="0" t="inlineStr">
        <is>
          <t>07</t>
        </is>
      </c>
      <c r="F169" s="0" t="inlineStr">
        <is>
          <t>19</t>
        </is>
      </c>
      <c r="G169" s="0" t="inlineStr">
        <is>
          <t>11</t>
        </is>
      </c>
      <c r="H169" s="0" t="inlineStr">
        <is>
          <t>05</t>
        </is>
      </c>
      <c r="I169" s="0" t="inlineStr">
        <is>
          <t>26</t>
        </is>
      </c>
      <c r="J169" s="0" t="inlineStr">
        <is>
          <t>蛇</t>
        </is>
      </c>
      <c r="K169" s="0" t="inlineStr">
        <is>
          <t>龙</t>
        </is>
      </c>
      <c r="L169" s="0" t="inlineStr">
        <is>
          <t>蓝波</t>
        </is>
      </c>
    </row>
    <row r="170">
      <c r="A170" s="0" t="n">
        <v>2026030</v>
      </c>
      <c r="B170" s="0" t="inlineStr">
        <is>
          <t>2026-01-30 21:35:30</t>
        </is>
      </c>
      <c r="C170" s="0" t="inlineStr">
        <is>
          <t>03</t>
        </is>
      </c>
      <c r="D170" s="0" t="inlineStr">
        <is>
          <t>06</t>
        </is>
      </c>
      <c r="E170" s="0" t="inlineStr">
        <is>
          <t>47</t>
        </is>
      </c>
      <c r="F170" s="0" t="inlineStr">
        <is>
          <t>01</t>
        </is>
      </c>
      <c r="G170" s="0" t="inlineStr">
        <is>
          <t>35</t>
        </is>
      </c>
      <c r="H170" s="0" t="inlineStr">
        <is>
          <t>04</t>
        </is>
      </c>
      <c r="I170" s="0" t="inlineStr">
        <is>
          <t>41</t>
        </is>
      </c>
      <c r="J170" s="0" t="inlineStr">
        <is>
          <t>蛇</t>
        </is>
      </c>
      <c r="K170" s="0" t="inlineStr">
        <is>
          <t>牛</t>
        </is>
      </c>
      <c r="L170" s="0" t="inlineStr">
        <is>
          <t>蓝波</t>
        </is>
      </c>
    </row>
    <row r="171">
      <c r="A171" s="0" t="n">
        <v>2026029</v>
      </c>
      <c r="B171" s="0" t="inlineStr">
        <is>
          <t>2026-01-29 21:35:30</t>
        </is>
      </c>
      <c r="C171" s="0" t="inlineStr">
        <is>
          <t>47</t>
        </is>
      </c>
      <c r="D171" s="0" t="inlineStr">
        <is>
          <t>08</t>
        </is>
      </c>
      <c r="E171" s="0" t="inlineStr">
        <is>
          <t>05</t>
        </is>
      </c>
      <c r="F171" s="0" t="inlineStr">
        <is>
          <t>04</t>
        </is>
      </c>
      <c r="G171" s="0" t="inlineStr">
        <is>
          <t>03</t>
        </is>
      </c>
      <c r="H171" s="0" t="inlineStr">
        <is>
          <t>18</t>
        </is>
      </c>
      <c r="I171" s="0" t="inlineStr">
        <is>
          <t>01</t>
        </is>
      </c>
      <c r="J171" s="0" t="inlineStr">
        <is>
          <t>蛇</t>
        </is>
      </c>
      <c r="K171" s="0" t="inlineStr">
        <is>
          <t>蛇</t>
        </is>
      </c>
      <c r="L171" s="0" t="inlineStr">
        <is>
          <t>红波</t>
        </is>
      </c>
    </row>
    <row r="172">
      <c r="A172" s="0" t="n">
        <v>2026028</v>
      </c>
      <c r="B172" s="0" t="inlineStr">
        <is>
          <t>2026-01-28 21:35:30</t>
        </is>
      </c>
      <c r="C172" s="0" t="inlineStr">
        <is>
          <t>17</t>
        </is>
      </c>
      <c r="D172" s="0" t="inlineStr">
        <is>
          <t>47</t>
        </is>
      </c>
      <c r="E172" s="0" t="inlineStr">
        <is>
          <t>28</t>
        </is>
      </c>
      <c r="F172" s="0" t="inlineStr">
        <is>
          <t>39</t>
        </is>
      </c>
      <c r="G172" s="0" t="inlineStr">
        <is>
          <t>32</t>
        </is>
      </c>
      <c r="H172" s="0" t="inlineStr">
        <is>
          <t>49</t>
        </is>
      </c>
      <c r="I172" s="0" t="inlineStr">
        <is>
          <t>03</t>
        </is>
      </c>
      <c r="J172" s="0" t="inlineStr">
        <is>
          <t>蛇</t>
        </is>
      </c>
      <c r="K172" s="0" t="inlineStr">
        <is>
          <t>兔</t>
        </is>
      </c>
      <c r="L172" s="0" t="inlineStr">
        <is>
          <t>蓝波</t>
        </is>
      </c>
    </row>
    <row r="173">
      <c r="A173" s="0" t="n">
        <v>2026027</v>
      </c>
      <c r="B173" s="0" t="inlineStr">
        <is>
          <t>2026-01-27 21:35:29</t>
        </is>
      </c>
      <c r="C173" s="0" t="inlineStr">
        <is>
          <t>11</t>
        </is>
      </c>
      <c r="D173" s="0" t="inlineStr">
        <is>
          <t>16</t>
        </is>
      </c>
      <c r="E173" s="0" t="inlineStr">
        <is>
          <t>46</t>
        </is>
      </c>
      <c r="F173" s="0" t="inlineStr">
        <is>
          <t>10</t>
        </is>
      </c>
      <c r="G173" s="0" t="inlineStr">
        <is>
          <t>18</t>
        </is>
      </c>
      <c r="H173" s="0" t="inlineStr">
        <is>
          <t>49</t>
        </is>
      </c>
      <c r="I173" s="0" t="inlineStr">
        <is>
          <t>45</t>
        </is>
      </c>
      <c r="J173" s="0" t="inlineStr">
        <is>
          <t>蛇</t>
        </is>
      </c>
      <c r="K173" s="0" t="inlineStr">
        <is>
          <t>鸡</t>
        </is>
      </c>
      <c r="L173" s="0" t="inlineStr">
        <is>
          <t>红波</t>
        </is>
      </c>
    </row>
    <row r="174">
      <c r="A174" s="0" t="n">
        <v>2026026</v>
      </c>
      <c r="B174" s="0" t="inlineStr">
        <is>
          <t>2026-01-26 21:35:33</t>
        </is>
      </c>
      <c r="C174" s="0" t="inlineStr">
        <is>
          <t>44</t>
        </is>
      </c>
      <c r="D174" s="0" t="inlineStr">
        <is>
          <t>34</t>
        </is>
      </c>
      <c r="E174" s="0" t="inlineStr">
        <is>
          <t>24</t>
        </is>
      </c>
      <c r="F174" s="0" t="inlineStr">
        <is>
          <t>13</t>
        </is>
      </c>
      <c r="G174" s="0" t="inlineStr">
        <is>
          <t>37</t>
        </is>
      </c>
      <c r="H174" s="0" t="inlineStr">
        <is>
          <t>42</t>
        </is>
      </c>
      <c r="I174" s="0" t="inlineStr">
        <is>
          <t>19</t>
        </is>
      </c>
      <c r="J174" s="0" t="inlineStr">
        <is>
          <t>蛇</t>
        </is>
      </c>
      <c r="K174" s="0" t="inlineStr">
        <is>
          <t>猪</t>
        </is>
      </c>
      <c r="L174" s="0" t="inlineStr">
        <is>
          <t>红波</t>
        </is>
      </c>
    </row>
    <row r="175">
      <c r="A175" s="0" t="n">
        <v>2026025</v>
      </c>
      <c r="B175" s="0" t="inlineStr">
        <is>
          <t>2026-01-25 21:35:30</t>
        </is>
      </c>
      <c r="C175" s="0" t="inlineStr">
        <is>
          <t>46</t>
        </is>
      </c>
      <c r="D175" s="0" t="inlineStr">
        <is>
          <t>10</t>
        </is>
      </c>
      <c r="E175" s="0" t="inlineStr">
        <is>
          <t>41</t>
        </is>
      </c>
      <c r="F175" s="0" t="inlineStr">
        <is>
          <t>06</t>
        </is>
      </c>
      <c r="G175" s="0" t="inlineStr">
        <is>
          <t>09</t>
        </is>
      </c>
      <c r="H175" s="0" t="inlineStr">
        <is>
          <t>14</t>
        </is>
      </c>
      <c r="I175" s="0" t="inlineStr">
        <is>
          <t>37</t>
        </is>
      </c>
      <c r="J175" s="0" t="inlineStr">
        <is>
          <t>蛇</t>
        </is>
      </c>
      <c r="K175" s="0" t="inlineStr">
        <is>
          <t>蛇</t>
        </is>
      </c>
      <c r="L175" s="0" t="inlineStr">
        <is>
          <t>蓝波</t>
        </is>
      </c>
    </row>
    <row r="176">
      <c r="A176" s="0" t="n">
        <v>2026024</v>
      </c>
      <c r="B176" s="0" t="inlineStr">
        <is>
          <t>2026-01-24 21:35:31</t>
        </is>
      </c>
      <c r="C176" s="0" t="inlineStr">
        <is>
          <t>10</t>
        </is>
      </c>
      <c r="D176" s="0" t="inlineStr">
        <is>
          <t>45</t>
        </is>
      </c>
      <c r="E176" s="0" t="inlineStr">
        <is>
          <t>25</t>
        </is>
      </c>
      <c r="F176" s="0" t="inlineStr">
        <is>
          <t>15</t>
        </is>
      </c>
      <c r="G176" s="0" t="inlineStr">
        <is>
          <t>23</t>
        </is>
      </c>
      <c r="H176" s="0" t="inlineStr">
        <is>
          <t>44</t>
        </is>
      </c>
      <c r="I176" s="0" t="inlineStr">
        <is>
          <t>28</t>
        </is>
      </c>
      <c r="J176" s="0" t="inlineStr">
        <is>
          <t>蛇</t>
        </is>
      </c>
      <c r="K176" s="0" t="inlineStr">
        <is>
          <t>虎</t>
        </is>
      </c>
      <c r="L176" s="0" t="inlineStr">
        <is>
          <t>绿波</t>
        </is>
      </c>
    </row>
    <row r="177">
      <c r="A177" s="0" t="n">
        <v>2026023</v>
      </c>
      <c r="B177" s="0" t="inlineStr">
        <is>
          <t>2026-01-23 21:35:31</t>
        </is>
      </c>
      <c r="C177" s="0" t="inlineStr">
        <is>
          <t>06</t>
        </is>
      </c>
      <c r="D177" s="0" t="inlineStr">
        <is>
          <t>29</t>
        </is>
      </c>
      <c r="E177" s="0" t="inlineStr">
        <is>
          <t>36</t>
        </is>
      </c>
      <c r="F177" s="0" t="inlineStr">
        <is>
          <t>38</t>
        </is>
      </c>
      <c r="G177" s="0" t="inlineStr">
        <is>
          <t>18</t>
        </is>
      </c>
      <c r="H177" s="0" t="inlineStr">
        <is>
          <t>31</t>
        </is>
      </c>
      <c r="I177" s="0" t="inlineStr">
        <is>
          <t>47</t>
        </is>
      </c>
      <c r="J177" s="0" t="inlineStr">
        <is>
          <t>蛇</t>
        </is>
      </c>
      <c r="K177" s="0" t="inlineStr">
        <is>
          <t>羊</t>
        </is>
      </c>
      <c r="L177" s="0" t="inlineStr">
        <is>
          <t>蓝波</t>
        </is>
      </c>
    </row>
    <row r="178">
      <c r="A178" s="0" t="n">
        <v>2026022</v>
      </c>
      <c r="B178" s="0" t="inlineStr">
        <is>
          <t>2026-01-22 21:35:33</t>
        </is>
      </c>
      <c r="C178" s="0" t="inlineStr">
        <is>
          <t>39</t>
        </is>
      </c>
      <c r="D178" s="0" t="inlineStr">
        <is>
          <t>08</t>
        </is>
      </c>
      <c r="E178" s="0" t="inlineStr">
        <is>
          <t>20</t>
        </is>
      </c>
      <c r="F178" s="0" t="inlineStr">
        <is>
          <t>37</t>
        </is>
      </c>
      <c r="G178" s="0" t="inlineStr">
        <is>
          <t>46</t>
        </is>
      </c>
      <c r="H178" s="0" t="inlineStr">
        <is>
          <t>30</t>
        </is>
      </c>
      <c r="I178" s="0" t="inlineStr">
        <is>
          <t>18</t>
        </is>
      </c>
      <c r="J178" s="0" t="inlineStr">
        <is>
          <t>蛇</t>
        </is>
      </c>
      <c r="K178" s="0" t="inlineStr">
        <is>
          <t>鼠</t>
        </is>
      </c>
      <c r="L178" s="0" t="inlineStr">
        <is>
          <t>红波</t>
        </is>
      </c>
    </row>
    <row r="179">
      <c r="A179" s="0" t="n">
        <v>2026021</v>
      </c>
      <c r="B179" s="0" t="inlineStr">
        <is>
          <t>2026-01-21 21:35:32</t>
        </is>
      </c>
      <c r="C179" s="0" t="inlineStr">
        <is>
          <t>47</t>
        </is>
      </c>
      <c r="D179" s="0" t="inlineStr">
        <is>
          <t>45</t>
        </is>
      </c>
      <c r="E179" s="0" t="inlineStr">
        <is>
          <t>33</t>
        </is>
      </c>
      <c r="F179" s="0" t="inlineStr">
        <is>
          <t>07</t>
        </is>
      </c>
      <c r="G179" s="0" t="inlineStr">
        <is>
          <t>24</t>
        </is>
      </c>
      <c r="H179" s="0" t="inlineStr">
        <is>
          <t>10</t>
        </is>
      </c>
      <c r="I179" s="0" t="inlineStr">
        <is>
          <t>42</t>
        </is>
      </c>
      <c r="J179" s="0" t="inlineStr">
        <is>
          <t>蛇</t>
        </is>
      </c>
      <c r="K179" s="0" t="inlineStr">
        <is>
          <t>鼠</t>
        </is>
      </c>
      <c r="L179" s="0" t="inlineStr">
        <is>
          <t>蓝波</t>
        </is>
      </c>
    </row>
    <row r="180">
      <c r="A180" s="0" t="n">
        <v>2026020</v>
      </c>
      <c r="B180" s="0" t="inlineStr">
        <is>
          <t>2026-01-20 21:35:37</t>
        </is>
      </c>
      <c r="C180" s="0" t="inlineStr">
        <is>
          <t>09</t>
        </is>
      </c>
      <c r="D180" s="0" t="inlineStr">
        <is>
          <t>37</t>
        </is>
      </c>
      <c r="E180" s="0" t="inlineStr">
        <is>
          <t>14</t>
        </is>
      </c>
      <c r="F180" s="0" t="inlineStr">
        <is>
          <t>47</t>
        </is>
      </c>
      <c r="G180" s="0" t="inlineStr">
        <is>
          <t>11</t>
        </is>
      </c>
      <c r="H180" s="0" t="inlineStr">
        <is>
          <t>24</t>
        </is>
      </c>
      <c r="I180" s="0" t="inlineStr">
        <is>
          <t>12</t>
        </is>
      </c>
      <c r="J180" s="0" t="inlineStr">
        <is>
          <t>蛇</t>
        </is>
      </c>
      <c r="K180" s="0" t="inlineStr">
        <is>
          <t>马</t>
        </is>
      </c>
      <c r="L180" s="0" t="inlineStr">
        <is>
          <t>红波</t>
        </is>
      </c>
    </row>
    <row r="181">
      <c r="A181" s="0" t="n">
        <v>2026019</v>
      </c>
      <c r="B181" s="0" t="inlineStr">
        <is>
          <t>2026-01-19 21:35:31</t>
        </is>
      </c>
      <c r="C181" s="0" t="inlineStr">
        <is>
          <t>42</t>
        </is>
      </c>
      <c r="D181" s="0" t="inlineStr">
        <is>
          <t>22</t>
        </is>
      </c>
      <c r="E181" s="0" t="inlineStr">
        <is>
          <t>45</t>
        </is>
      </c>
      <c r="F181" s="0" t="inlineStr">
        <is>
          <t>19</t>
        </is>
      </c>
      <c r="G181" s="0" t="inlineStr">
        <is>
          <t>07</t>
        </is>
      </c>
      <c r="H181" s="0" t="inlineStr">
        <is>
          <t>25</t>
        </is>
      </c>
      <c r="I181" s="0" t="inlineStr">
        <is>
          <t>46</t>
        </is>
      </c>
      <c r="J181" s="0" t="inlineStr">
        <is>
          <t>蛇</t>
        </is>
      </c>
      <c r="K181" s="0" t="inlineStr">
        <is>
          <t>猴</t>
        </is>
      </c>
      <c r="L181" s="0" t="inlineStr">
        <is>
          <t>红波</t>
        </is>
      </c>
    </row>
    <row r="182">
      <c r="A182" s="0" t="n">
        <v>2026018</v>
      </c>
      <c r="B182" s="0" t="inlineStr">
        <is>
          <t>2026-01-18 21:35:31</t>
        </is>
      </c>
      <c r="C182" s="0" t="inlineStr">
        <is>
          <t>40</t>
        </is>
      </c>
      <c r="D182" s="0" t="inlineStr">
        <is>
          <t>42</t>
        </is>
      </c>
      <c r="E182" s="0" t="inlineStr">
        <is>
          <t>43</t>
        </is>
      </c>
      <c r="F182" s="0" t="inlineStr">
        <is>
          <t>31</t>
        </is>
      </c>
      <c r="G182" s="0" t="inlineStr">
        <is>
          <t>25</t>
        </is>
      </c>
      <c r="H182" s="0" t="inlineStr">
        <is>
          <t>15</t>
        </is>
      </c>
      <c r="I182" s="0" t="inlineStr">
        <is>
          <t>39</t>
        </is>
      </c>
      <c r="J182" s="0" t="inlineStr">
        <is>
          <t>蛇</t>
        </is>
      </c>
      <c r="K182" s="0" t="inlineStr">
        <is>
          <t>兔</t>
        </is>
      </c>
      <c r="L182" s="0" t="inlineStr">
        <is>
          <t>绿波</t>
        </is>
      </c>
    </row>
    <row r="183">
      <c r="A183" s="0" t="n">
        <v>2026017</v>
      </c>
      <c r="B183" s="0" t="inlineStr">
        <is>
          <t>2026-01-17 21:35:32</t>
        </is>
      </c>
      <c r="C183" s="0" t="inlineStr">
        <is>
          <t>44</t>
        </is>
      </c>
      <c r="D183" s="0" t="inlineStr">
        <is>
          <t>18</t>
        </is>
      </c>
      <c r="E183" s="0" t="inlineStr">
        <is>
          <t>31</t>
        </is>
      </c>
      <c r="F183" s="0" t="inlineStr">
        <is>
          <t>41</t>
        </is>
      </c>
      <c r="G183" s="0" t="inlineStr">
        <is>
          <t>33</t>
        </is>
      </c>
      <c r="H183" s="0" t="inlineStr">
        <is>
          <t>02</t>
        </is>
      </c>
      <c r="I183" s="0" t="inlineStr">
        <is>
          <t>32</t>
        </is>
      </c>
      <c r="J183" s="0" t="inlineStr">
        <is>
          <t>蛇</t>
        </is>
      </c>
      <c r="K183" s="0" t="inlineStr">
        <is>
          <t>狗</t>
        </is>
      </c>
      <c r="L183" s="0" t="inlineStr">
        <is>
          <t>绿波</t>
        </is>
      </c>
    </row>
    <row r="184">
      <c r="A184" s="0" t="n">
        <v>2026016</v>
      </c>
      <c r="B184" s="0" t="inlineStr">
        <is>
          <t>2026-01-16 21:35:32</t>
        </is>
      </c>
      <c r="C184" s="0" t="inlineStr">
        <is>
          <t>34</t>
        </is>
      </c>
      <c r="D184" s="0" t="inlineStr">
        <is>
          <t>12</t>
        </is>
      </c>
      <c r="E184" s="0" t="inlineStr">
        <is>
          <t>48</t>
        </is>
      </c>
      <c r="F184" s="0" t="inlineStr">
        <is>
          <t>26</t>
        </is>
      </c>
      <c r="G184" s="0" t="inlineStr">
        <is>
          <t>40</t>
        </is>
      </c>
      <c r="H184" s="0" t="inlineStr">
        <is>
          <t>38</t>
        </is>
      </c>
      <c r="I184" s="0" t="inlineStr">
        <is>
          <t>06</t>
        </is>
      </c>
      <c r="J184" s="0" t="inlineStr">
        <is>
          <t>蛇</t>
        </is>
      </c>
      <c r="K184" s="0" t="inlineStr">
        <is>
          <t>鼠</t>
        </is>
      </c>
      <c r="L184" s="0" t="inlineStr">
        <is>
          <t>绿波</t>
        </is>
      </c>
    </row>
    <row r="185">
      <c r="A185" s="0" t="n">
        <v>2026015</v>
      </c>
      <c r="B185" s="0" t="inlineStr">
        <is>
          <t>2026-01-15 21:38:49</t>
        </is>
      </c>
      <c r="C185" s="0" t="inlineStr">
        <is>
          <t>10</t>
        </is>
      </c>
      <c r="D185" s="0" t="inlineStr">
        <is>
          <t>08</t>
        </is>
      </c>
      <c r="E185" s="0" t="inlineStr">
        <is>
          <t>30</t>
        </is>
      </c>
      <c r="F185" s="0" t="inlineStr">
        <is>
          <t>20</t>
        </is>
      </c>
      <c r="G185" s="0" t="inlineStr">
        <is>
          <t>15</t>
        </is>
      </c>
      <c r="H185" s="0" t="inlineStr">
        <is>
          <t>33</t>
        </is>
      </c>
      <c r="I185" s="0" t="inlineStr">
        <is>
          <t>31</t>
        </is>
      </c>
      <c r="J185" s="0" t="inlineStr">
        <is>
          <t>蛇</t>
        </is>
      </c>
      <c r="K185" s="0" t="inlineStr">
        <is>
          <t>猪</t>
        </is>
      </c>
      <c r="L185" s="0" t="inlineStr">
        <is>
          <t>蓝波</t>
        </is>
      </c>
    </row>
    <row r="186">
      <c r="A186" s="0" t="n">
        <v>2026014</v>
      </c>
      <c r="B186" s="0" t="inlineStr">
        <is>
          <t>2026-01-14 21:35:33</t>
        </is>
      </c>
      <c r="C186" s="0" t="inlineStr">
        <is>
          <t>38</t>
        </is>
      </c>
      <c r="D186" s="0" t="inlineStr">
        <is>
          <t>13</t>
        </is>
      </c>
      <c r="E186" s="0" t="inlineStr">
        <is>
          <t>12</t>
        </is>
      </c>
      <c r="F186" s="0" t="inlineStr">
        <is>
          <t>08</t>
        </is>
      </c>
      <c r="G186" s="0" t="inlineStr">
        <is>
          <t>43</t>
        </is>
      </c>
      <c r="H186" s="0" t="inlineStr">
        <is>
          <t>31</t>
        </is>
      </c>
      <c r="I186" s="0" t="inlineStr">
        <is>
          <t>26</t>
        </is>
      </c>
      <c r="J186" s="0" t="inlineStr">
        <is>
          <t>蛇</t>
        </is>
      </c>
      <c r="K186" s="0" t="inlineStr">
        <is>
          <t>龙</t>
        </is>
      </c>
      <c r="L186" s="0" t="inlineStr">
        <is>
          <t>蓝波</t>
        </is>
      </c>
    </row>
    <row r="187">
      <c r="A187" s="0" t="n">
        <v>2026013</v>
      </c>
      <c r="B187" s="0" t="inlineStr">
        <is>
          <t>2026-01-13 21:35:43</t>
        </is>
      </c>
      <c r="C187" s="0" t="inlineStr">
        <is>
          <t>09</t>
        </is>
      </c>
      <c r="D187" s="0" t="inlineStr">
        <is>
          <t>19</t>
        </is>
      </c>
      <c r="E187" s="0" t="inlineStr">
        <is>
          <t>44</t>
        </is>
      </c>
      <c r="F187" s="0" t="inlineStr">
        <is>
          <t>27</t>
        </is>
      </c>
      <c r="G187" s="0" t="inlineStr">
        <is>
          <t>37</t>
        </is>
      </c>
      <c r="H187" s="0" t="inlineStr">
        <is>
          <t>06</t>
        </is>
      </c>
      <c r="I187" s="0" t="inlineStr">
        <is>
          <t>01</t>
        </is>
      </c>
      <c r="J187" s="0" t="inlineStr">
        <is>
          <t>蛇</t>
        </is>
      </c>
      <c r="K187" s="0" t="inlineStr">
        <is>
          <t>蛇</t>
        </is>
      </c>
      <c r="L187" s="0" t="inlineStr">
        <is>
          <t>红波</t>
        </is>
      </c>
    </row>
    <row r="188">
      <c r="A188" s="0" t="n">
        <v>2026012</v>
      </c>
      <c r="B188" s="0" t="inlineStr">
        <is>
          <t>2026-01-12 21:35:32</t>
        </is>
      </c>
      <c r="C188" s="0" t="inlineStr">
        <is>
          <t>25</t>
        </is>
      </c>
      <c r="D188" s="0" t="inlineStr">
        <is>
          <t>26</t>
        </is>
      </c>
      <c r="E188" s="0" t="inlineStr">
        <is>
          <t>33</t>
        </is>
      </c>
      <c r="F188" s="0" t="inlineStr">
        <is>
          <t>20</t>
        </is>
      </c>
      <c r="G188" s="0" t="inlineStr">
        <is>
          <t>41</t>
        </is>
      </c>
      <c r="H188" s="0" t="inlineStr">
        <is>
          <t>45</t>
        </is>
      </c>
      <c r="I188" s="0" t="inlineStr">
        <is>
          <t>11</t>
        </is>
      </c>
      <c r="J188" s="0" t="inlineStr">
        <is>
          <t>蛇</t>
        </is>
      </c>
      <c r="K188" s="0" t="inlineStr">
        <is>
          <t>羊</t>
        </is>
      </c>
      <c r="L188" s="0" t="inlineStr">
        <is>
          <t>绿波</t>
        </is>
      </c>
    </row>
    <row r="189">
      <c r="A189" s="0" t="n">
        <v>2026011</v>
      </c>
      <c r="B189" s="0" t="inlineStr">
        <is>
          <t>2026-01-11 21:35:31</t>
        </is>
      </c>
      <c r="C189" s="0" t="inlineStr">
        <is>
          <t>32</t>
        </is>
      </c>
      <c r="D189" s="0" t="inlineStr">
        <is>
          <t>10</t>
        </is>
      </c>
      <c r="E189" s="0" t="inlineStr">
        <is>
          <t>07</t>
        </is>
      </c>
      <c r="F189" s="0" t="inlineStr">
        <is>
          <t>05</t>
        </is>
      </c>
      <c r="G189" s="0" t="inlineStr">
        <is>
          <t>48</t>
        </is>
      </c>
      <c r="H189" s="0" t="inlineStr">
        <is>
          <t>15</t>
        </is>
      </c>
      <c r="I189" s="0" t="inlineStr">
        <is>
          <t>11</t>
        </is>
      </c>
      <c r="J189" s="0" t="inlineStr">
        <is>
          <t>蛇</t>
        </is>
      </c>
      <c r="K189" s="0" t="inlineStr">
        <is>
          <t>羊</t>
        </is>
      </c>
      <c r="L189" s="0" t="inlineStr">
        <is>
          <t>绿波</t>
        </is>
      </c>
    </row>
    <row r="190">
      <c r="A190" s="0" t="n">
        <v>2026010</v>
      </c>
      <c r="B190" s="0" t="inlineStr">
        <is>
          <t>2026-01-10 21:35:38</t>
        </is>
      </c>
      <c r="C190" s="0" t="inlineStr">
        <is>
          <t>23</t>
        </is>
      </c>
      <c r="D190" s="0" t="inlineStr">
        <is>
          <t>38</t>
        </is>
      </c>
      <c r="E190" s="0" t="inlineStr">
        <is>
          <t>24</t>
        </is>
      </c>
      <c r="F190" s="0" t="inlineStr">
        <is>
          <t>49</t>
        </is>
      </c>
      <c r="G190" s="0" t="inlineStr">
        <is>
          <t>11</t>
        </is>
      </c>
      <c r="H190" s="0" t="inlineStr">
        <is>
          <t>30</t>
        </is>
      </c>
      <c r="I190" s="0" t="inlineStr">
        <is>
          <t>27</t>
        </is>
      </c>
      <c r="J190" s="0" t="inlineStr">
        <is>
          <t>蛇</t>
        </is>
      </c>
      <c r="K190" s="0" t="inlineStr">
        <is>
          <t>兔</t>
        </is>
      </c>
      <c r="L190" s="0" t="inlineStr">
        <is>
          <t>绿波</t>
        </is>
      </c>
    </row>
    <row r="191">
      <c r="A191" s="0" t="n">
        <v>2026009</v>
      </c>
      <c r="B191" s="0" t="inlineStr">
        <is>
          <t>2026-01-09 21:35:30</t>
        </is>
      </c>
      <c r="C191" s="0" t="inlineStr">
        <is>
          <t>17</t>
        </is>
      </c>
      <c r="D191" s="0" t="inlineStr">
        <is>
          <t>18</t>
        </is>
      </c>
      <c r="E191" s="0" t="inlineStr">
        <is>
          <t>06</t>
        </is>
      </c>
      <c r="F191" s="0" t="inlineStr">
        <is>
          <t>49</t>
        </is>
      </c>
      <c r="G191" s="0" t="inlineStr">
        <is>
          <t>07</t>
        </is>
      </c>
      <c r="H191" s="0" t="inlineStr">
        <is>
          <t>22</t>
        </is>
      </c>
      <c r="I191" s="0" t="inlineStr">
        <is>
          <t>28</t>
        </is>
      </c>
      <c r="J191" s="0" t="inlineStr">
        <is>
          <t>蛇</t>
        </is>
      </c>
      <c r="K191" s="0" t="inlineStr">
        <is>
          <t>虎</t>
        </is>
      </c>
      <c r="L191" s="0" t="inlineStr">
        <is>
          <t>绿波</t>
        </is>
      </c>
    </row>
    <row r="192">
      <c r="A192" s="0" t="n">
        <v>2026008</v>
      </c>
      <c r="B192" s="0" t="inlineStr">
        <is>
          <t>2026-01-08 21:35:35</t>
        </is>
      </c>
      <c r="C192" s="0" t="inlineStr">
        <is>
          <t>05</t>
        </is>
      </c>
      <c r="D192" s="0" t="inlineStr">
        <is>
          <t>39</t>
        </is>
      </c>
      <c r="E192" s="0" t="inlineStr">
        <is>
          <t>36</t>
        </is>
      </c>
      <c r="F192" s="0" t="inlineStr">
        <is>
          <t>19</t>
        </is>
      </c>
      <c r="G192" s="0" t="inlineStr">
        <is>
          <t>29</t>
        </is>
      </c>
      <c r="H192" s="0" t="inlineStr">
        <is>
          <t>45</t>
        </is>
      </c>
      <c r="I192" s="0" t="inlineStr">
        <is>
          <t>21</t>
        </is>
      </c>
      <c r="J192" s="0" t="inlineStr">
        <is>
          <t>蛇</t>
        </is>
      </c>
      <c r="K192" s="0" t="inlineStr">
        <is>
          <t>鸡</t>
        </is>
      </c>
      <c r="L192" s="0" t="inlineStr">
        <is>
          <t>绿波</t>
        </is>
      </c>
    </row>
    <row r="193">
      <c r="A193" s="0" t="n">
        <v>2026007</v>
      </c>
      <c r="B193" s="0" t="inlineStr">
        <is>
          <t>2026-01-07 21:35:40</t>
        </is>
      </c>
      <c r="C193" s="0" t="inlineStr">
        <is>
          <t>28</t>
        </is>
      </c>
      <c r="D193" s="0" t="inlineStr">
        <is>
          <t>40</t>
        </is>
      </c>
      <c r="E193" s="0" t="inlineStr">
        <is>
          <t>45</t>
        </is>
      </c>
      <c r="F193" s="0" t="inlineStr">
        <is>
          <t>34</t>
        </is>
      </c>
      <c r="G193" s="0" t="inlineStr">
        <is>
          <t>44</t>
        </is>
      </c>
      <c r="H193" s="0" t="inlineStr">
        <is>
          <t>15</t>
        </is>
      </c>
      <c r="I193" s="0" t="inlineStr">
        <is>
          <t>41</t>
        </is>
      </c>
      <c r="J193" s="0" t="inlineStr">
        <is>
          <t>蛇</t>
        </is>
      </c>
      <c r="K193" s="0" t="inlineStr">
        <is>
          <t>牛</t>
        </is>
      </c>
      <c r="L193" s="0" t="inlineStr">
        <is>
          <t>蓝波</t>
        </is>
      </c>
    </row>
    <row r="194">
      <c r="A194" s="0" t="n">
        <v>2026006</v>
      </c>
      <c r="B194" s="0" t="inlineStr">
        <is>
          <t>2026-01-06 21:35:30</t>
        </is>
      </c>
      <c r="C194" s="0" t="inlineStr">
        <is>
          <t>35</t>
        </is>
      </c>
      <c r="D194" s="0" t="inlineStr">
        <is>
          <t>41</t>
        </is>
      </c>
      <c r="E194" s="0" t="inlineStr">
        <is>
          <t>15</t>
        </is>
      </c>
      <c r="F194" s="0" t="inlineStr">
        <is>
          <t>06</t>
        </is>
      </c>
      <c r="G194" s="0" t="inlineStr">
        <is>
          <t>46</t>
        </is>
      </c>
      <c r="H194" s="0" t="inlineStr">
        <is>
          <t>21</t>
        </is>
      </c>
      <c r="I194" s="0" t="inlineStr">
        <is>
          <t>13</t>
        </is>
      </c>
      <c r="J194" s="0" t="inlineStr">
        <is>
          <t>蛇</t>
        </is>
      </c>
      <c r="K194" s="0" t="inlineStr">
        <is>
          <t>蛇</t>
        </is>
      </c>
      <c r="L194" s="0" t="inlineStr">
        <is>
          <t>红波</t>
        </is>
      </c>
    </row>
    <row r="195">
      <c r="A195" s="0" t="n">
        <v>2026005</v>
      </c>
      <c r="B195" s="0" t="inlineStr">
        <is>
          <t>2026-01-05 21:35:30</t>
        </is>
      </c>
      <c r="C195" s="0" t="inlineStr">
        <is>
          <t>46</t>
        </is>
      </c>
      <c r="D195" s="0" t="inlineStr">
        <is>
          <t>19</t>
        </is>
      </c>
      <c r="E195" s="0" t="inlineStr">
        <is>
          <t>20</t>
        </is>
      </c>
      <c r="F195" s="0" t="inlineStr">
        <is>
          <t>36</t>
        </is>
      </c>
      <c r="G195" s="0" t="inlineStr">
        <is>
          <t>13</t>
        </is>
      </c>
      <c r="H195" s="0" t="inlineStr">
        <is>
          <t>17</t>
        </is>
      </c>
      <c r="I195" s="0" t="inlineStr">
        <is>
          <t>43</t>
        </is>
      </c>
      <c r="J195" s="0" t="inlineStr">
        <is>
          <t>蛇</t>
        </is>
      </c>
      <c r="K195" s="0" t="inlineStr">
        <is>
          <t>猪</t>
        </is>
      </c>
      <c r="L195" s="0" t="inlineStr">
        <is>
          <t>绿波</t>
        </is>
      </c>
    </row>
    <row r="196">
      <c r="A196" s="0" t="n">
        <v>2026004</v>
      </c>
      <c r="B196" s="0" t="inlineStr">
        <is>
          <t>2026-01-04 21:35:34</t>
        </is>
      </c>
      <c r="C196" s="0" t="inlineStr">
        <is>
          <t>22</t>
        </is>
      </c>
      <c r="D196" s="0" t="inlineStr">
        <is>
          <t>19</t>
        </is>
      </c>
      <c r="E196" s="0" t="inlineStr">
        <is>
          <t>07</t>
        </is>
      </c>
      <c r="F196" s="0" t="inlineStr">
        <is>
          <t>35</t>
        </is>
      </c>
      <c r="G196" s="0" t="inlineStr">
        <is>
          <t>49</t>
        </is>
      </c>
      <c r="H196" s="0" t="inlineStr">
        <is>
          <t>36</t>
        </is>
      </c>
      <c r="I196" s="0" t="inlineStr">
        <is>
          <t>45</t>
        </is>
      </c>
      <c r="J196" s="0" t="inlineStr">
        <is>
          <t>蛇</t>
        </is>
      </c>
      <c r="K196" s="0" t="inlineStr">
        <is>
          <t>鸡</t>
        </is>
      </c>
      <c r="L196" s="0" t="inlineStr">
        <is>
          <t>红波</t>
        </is>
      </c>
    </row>
    <row r="197">
      <c r="A197" s="0" t="n">
        <v>2026003</v>
      </c>
      <c r="B197" s="0" t="inlineStr">
        <is>
          <t>2026-01-03 21:35:32</t>
        </is>
      </c>
      <c r="C197" s="0" t="inlineStr">
        <is>
          <t>30</t>
        </is>
      </c>
      <c r="D197" s="0" t="inlineStr">
        <is>
          <t>44</t>
        </is>
      </c>
      <c r="E197" s="0" t="inlineStr">
        <is>
          <t>07</t>
        </is>
      </c>
      <c r="F197" s="0" t="inlineStr">
        <is>
          <t>15</t>
        </is>
      </c>
      <c r="G197" s="0" t="inlineStr">
        <is>
          <t>42</t>
        </is>
      </c>
      <c r="H197" s="0" t="inlineStr">
        <is>
          <t>17</t>
        </is>
      </c>
      <c r="I197" s="0" t="inlineStr">
        <is>
          <t>09</t>
        </is>
      </c>
      <c r="J197" s="0" t="inlineStr">
        <is>
          <t>蛇</t>
        </is>
      </c>
      <c r="K197" s="0" t="inlineStr">
        <is>
          <t>鸡</t>
        </is>
      </c>
      <c r="L197" s="0" t="inlineStr">
        <is>
          <t>蓝波</t>
        </is>
      </c>
    </row>
    <row r="198">
      <c r="A198" s="0" t="n">
        <v>2026002</v>
      </c>
      <c r="B198" s="0" t="inlineStr">
        <is>
          <t>2026-01-02 21:35:32</t>
        </is>
      </c>
      <c r="C198" s="0" t="inlineStr">
        <is>
          <t>48</t>
        </is>
      </c>
      <c r="D198" s="0" t="inlineStr">
        <is>
          <t>07</t>
        </is>
      </c>
      <c r="E198" s="0" t="inlineStr">
        <is>
          <t>04</t>
        </is>
      </c>
      <c r="F198" s="0" t="inlineStr">
        <is>
          <t>03</t>
        </is>
      </c>
      <c r="G198" s="0" t="inlineStr">
        <is>
          <t>15</t>
        </is>
      </c>
      <c r="H198" s="0" t="inlineStr">
        <is>
          <t>11</t>
        </is>
      </c>
      <c r="I198" s="0" t="inlineStr">
        <is>
          <t>22</t>
        </is>
      </c>
      <c r="J198" s="0" t="inlineStr">
        <is>
          <t>蛇</t>
        </is>
      </c>
      <c r="K198" s="0" t="inlineStr">
        <is>
          <t>猴</t>
        </is>
      </c>
      <c r="L198" s="0" t="inlineStr">
        <is>
          <t>绿波</t>
        </is>
      </c>
    </row>
    <row r="199">
      <c r="A199" s="0" t="n">
        <v>2026001</v>
      </c>
      <c r="B199" s="0" t="inlineStr">
        <is>
          <t>2026-01-01 21:35:33</t>
        </is>
      </c>
      <c r="C199" s="0" t="inlineStr">
        <is>
          <t>27</t>
        </is>
      </c>
      <c r="D199" s="0" t="inlineStr">
        <is>
          <t>08</t>
        </is>
      </c>
      <c r="E199" s="0" t="inlineStr">
        <is>
          <t>43</t>
        </is>
      </c>
      <c r="F199" s="0" t="inlineStr">
        <is>
          <t>33</t>
        </is>
      </c>
      <c r="G199" s="0" t="inlineStr">
        <is>
          <t>42</t>
        </is>
      </c>
      <c r="H199" s="0" t="inlineStr">
        <is>
          <t>11</t>
        </is>
      </c>
      <c r="I199" s="0" t="inlineStr">
        <is>
          <t>29</t>
        </is>
      </c>
      <c r="J199" s="0" t="inlineStr">
        <is>
          <t>蛇</t>
        </is>
      </c>
      <c r="K199" s="0" t="inlineStr">
        <is>
          <t>牛</t>
        </is>
      </c>
      <c r="L199" s="0" t="inlineStr">
        <is>
          <t>红波</t>
        </is>
      </c>
    </row>
  </sheetData>
  <autoFilter ref="A1:L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O10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13" customWidth="1" style="21" min="2" max="2"/>
    <col width="16" customWidth="1" style="21" min="3" max="3"/>
    <col width="11" customWidth="1" style="21" min="4" max="4"/>
    <col width="11" customWidth="1" style="21" min="5" max="5"/>
    <col width="12" customWidth="1" style="21" min="6" max="6"/>
    <col width="12" customWidth="1" style="21" min="7" max="7"/>
    <col width="12" customWidth="1" style="21" min="8" max="8"/>
    <col width="21" customWidth="1" style="21" min="9" max="9"/>
    <col width="11" customWidth="1" style="21" min="10" max="10"/>
    <col width="11" customWidth="1" style="21" min="11" max="11"/>
    <col width="11" customWidth="1" style="21" min="12" max="12"/>
    <col width="28" customWidth="1" style="21" min="13" max="13"/>
    <col width="24" customWidth="1" style="21" min="14" max="14"/>
    <col width="12" customWidth="1" style="21" min="15" max="15"/>
    <col width="22" customWidth="1" style="21" min="16" max="16"/>
    <col width="12" customWidth="1" style="21" min="17" max="17"/>
  </cols>
  <sheetData>
    <row r="1" ht="30" customHeight="1" s="21">
      <c r="A1" s="31" t="inlineStr">
        <is>
          <t>序号</t>
        </is>
      </c>
      <c r="B1" s="31" t="inlineStr">
        <is>
          <t>期号</t>
        </is>
      </c>
      <c r="C1" s="31" t="inlineStr">
        <is>
          <t>原始记录</t>
        </is>
      </c>
      <c r="D1" s="31" t="inlineStr">
        <is>
          <t>命中金额</t>
        </is>
      </c>
      <c r="E1" s="31" t="inlineStr">
        <is>
          <t>亏损金额</t>
        </is>
      </c>
      <c r="F1" s="31" t="inlineStr">
        <is>
          <t>净额</t>
        </is>
      </c>
      <c r="G1" s="31" t="inlineStr">
        <is>
          <t>开奖时间</t>
        </is>
      </c>
      <c r="H1" s="31" t="inlineStr">
        <is>
          <t>实际特码</t>
        </is>
      </c>
      <c r="I1" s="31" t="inlineStr">
        <is>
          <t>实际生肖</t>
        </is>
      </c>
      <c r="J1" s="31" t="inlineStr">
        <is>
          <t>自动结果</t>
        </is>
      </c>
      <c r="K1" s="31" t="inlineStr">
        <is>
          <t>备注</t>
        </is>
      </c>
      <c r="L1" s="31" t="inlineStr">
        <is>
          <t>平码+5建议</t>
        </is>
      </c>
      <c r="M1" s="31" t="inlineStr">
        <is>
          <t>加5验算</t>
        </is>
      </c>
      <c r="N1" s="31" t="inlineStr">
        <is>
          <t>八肖建议</t>
        </is>
      </c>
      <c r="O1" s="31" t="inlineStr">
        <is>
          <t>八肖验算</t>
        </is>
      </c>
    </row>
    <row r="2" ht="23" customHeight="1" s="21">
      <c r="A2" s="32" t="n">
        <v>1</v>
      </c>
      <c r="B2" s="32" t="n">
        <v>2026001</v>
      </c>
      <c r="C2" s="33" t="inlineStr">
        <is>
          <t xml:space="preserve">牛 29 </t>
        </is>
      </c>
      <c r="D2" s="34" t="n">
        <v>1825</v>
      </c>
      <c r="E2" s="34" t="n"/>
      <c r="F2" s="34">
        <f>IF(COUNTA(D2:E2)=0,"",N(D2)-N(E2))</f>
        <v/>
      </c>
      <c r="G2" s="32">
        <f>IFERROR(VLOOKUP($B2,'开奖记录'!$A:$K,2,FALSE),"")</f>
        <v/>
      </c>
      <c r="H2" s="32">
        <f>IFERROR(VLOOKUP($B2,'开奖记录'!$A:$K,9,FALSE),"")</f>
        <v/>
      </c>
      <c r="I2" s="32">
        <f>IFERROR(VLOOKUP($B2,'开奖记录'!$A:$K,11,FALSE),"")</f>
        <v/>
      </c>
      <c r="J2" s="32">
        <f>IF($B2="","",IF(ISNUMBER($D2),"命中",IF(ISNUMBER($E2),"未命中","")))</f>
        <v/>
      </c>
      <c r="K2" s="35" t="inlineStr"/>
      <c r="L2" s="32">
        <f>IFERROR(TEXT(VLOOKUP($B2-1,开奖记录!$A:$L,3,FALSE),"00")&amp;"+5="&amp;VLOOKUP(MOD(VLOOKUP($B2-1,开奖记录!$A:$L,3,FALSE)+4,49)+1,规律参数!$A:$C,3,FALSE),"")</f>
        <v/>
      </c>
      <c r="M2" s="32">
        <f>IF(L2="","",IF(I2="","待开奖",IF(ISNUMBER(SEARCH(I2,L2)),"命中","未命中")))</f>
        <v/>
      </c>
      <c r="N2" s="32">
        <f>IFERROR(VLOOKUP(VLOOKUP($B2-1,开奖记录!$A:$L,11,FALSE),八肖参数!$A:$B,2,FALSE),"")</f>
        <v/>
      </c>
      <c r="O2" s="32">
        <f>IF(N2="","",IF(I2="","待开奖",IF(ISNUMBER(SEARCH(I2,N2)),"命中","未命中")))</f>
        <v/>
      </c>
    </row>
    <row r="3" ht="23" customHeight="1" s="21">
      <c r="A3" s="32" t="n">
        <v>2</v>
      </c>
      <c r="B3" s="32" t="n">
        <v>2026002</v>
      </c>
      <c r="C3" s="33" t="inlineStr">
        <is>
          <t xml:space="preserve">猴 22 </t>
        </is>
      </c>
      <c r="D3" s="34" t="n"/>
      <c r="E3" s="34" t="n">
        <v>890</v>
      </c>
      <c r="F3" s="34">
        <f>IF(COUNTA(D3:E3)=0,"",N(D3)-N(E3))</f>
        <v/>
      </c>
      <c r="G3" s="32">
        <f>IFERROR(VLOOKUP($B3,'开奖记录'!$A:$K,2,FALSE),"")</f>
        <v/>
      </c>
      <c r="H3" s="32">
        <f>IFERROR(VLOOKUP($B3,'开奖记录'!$A:$K,9,FALSE),"")</f>
        <v/>
      </c>
      <c r="I3" s="32">
        <f>IFERROR(VLOOKUP($B3,'开奖记录'!$A:$K,11,FALSE),"")</f>
        <v/>
      </c>
      <c r="J3" s="32">
        <f>IF($B3="","",IF(ISNUMBER($D3),"命中",IF(ISNUMBER($E3),"未命中","")))</f>
        <v/>
      </c>
      <c r="K3" s="35" t="inlineStr"/>
      <c r="L3" s="32">
        <f>IFERROR(TEXT(VLOOKUP($B3-1,开奖记录!$A:$L,3,FALSE),"00")&amp;"+5="&amp;VLOOKUP(MOD(VLOOKUP($B3-1,开奖记录!$A:$L,3,FALSE)+4,49)+1,规律参数!$A:$C,3,FALSE),"")</f>
        <v/>
      </c>
      <c r="M3" s="32">
        <f>IF(L3="","",IF(I3="","待开奖",IF(ISNUMBER(SEARCH(I3,L3)),"命中","未命中")))</f>
        <v/>
      </c>
      <c r="N3" s="32">
        <f>IFERROR(VLOOKUP(VLOOKUP($B3-1,开奖记录!$A:$L,11,FALSE),八肖参数!$A:$B,2,FALSE),"")</f>
        <v/>
      </c>
      <c r="O3" s="32">
        <f>IF(N3="","",IF(I3="","待开奖",IF(ISNUMBER(SEARCH(I3,N3)),"命中","未命中")))</f>
        <v/>
      </c>
    </row>
    <row r="4" ht="23" customHeight="1" s="21">
      <c r="A4" s="32" t="n">
        <v>3</v>
      </c>
      <c r="B4" s="32" t="n">
        <v>2026003</v>
      </c>
      <c r="C4" s="33" t="inlineStr">
        <is>
          <t xml:space="preserve">鸡 09 </t>
        </is>
      </c>
      <c r="D4" s="34" t="n"/>
      <c r="E4" s="34" t="n">
        <v>980</v>
      </c>
      <c r="F4" s="34">
        <f>IF(COUNTA(D4:E4)=0,"",N(D4)-N(E4))</f>
        <v/>
      </c>
      <c r="G4" s="32">
        <f>IFERROR(VLOOKUP($B4,'开奖记录'!$A:$K,2,FALSE),"")</f>
        <v/>
      </c>
      <c r="H4" s="32">
        <f>IFERROR(VLOOKUP($B4,'开奖记录'!$A:$K,9,FALSE),"")</f>
        <v/>
      </c>
      <c r="I4" s="32">
        <f>IFERROR(VLOOKUP($B4,'开奖记录'!$A:$K,11,FALSE),"")</f>
        <v/>
      </c>
      <c r="J4" s="32">
        <f>IF($B4="","",IF(ISNUMBER($D4),"命中",IF(ISNUMBER($E4),"未命中","")))</f>
        <v/>
      </c>
      <c r="K4" s="35" t="inlineStr"/>
      <c r="L4" s="32">
        <f>IFERROR(TEXT(VLOOKUP($B4-1,开奖记录!$A:$L,3,FALSE),"00")&amp;"+5="&amp;VLOOKUP(MOD(VLOOKUP($B4-1,开奖记录!$A:$L,3,FALSE)+4,49)+1,规律参数!$A:$C,3,FALSE),"")</f>
        <v/>
      </c>
      <c r="M4" s="32">
        <f>IF(L4="","",IF(I4="","待开奖",IF(ISNUMBER(SEARCH(I4,L4)),"命中","未命中")))</f>
        <v/>
      </c>
      <c r="N4" s="32">
        <f>IFERROR(VLOOKUP(VLOOKUP($B4-1,开奖记录!$A:$L,11,FALSE),八肖参数!$A:$B,2,FALSE),"")</f>
        <v/>
      </c>
      <c r="O4" s="32">
        <f>IF(N4="","",IF(I4="","待开奖",IF(ISNUMBER(SEARCH(I4,N4)),"命中","未命中")))</f>
        <v/>
      </c>
    </row>
    <row r="5" ht="23" customHeight="1" s="21">
      <c r="A5" s="32" t="n">
        <v>4</v>
      </c>
      <c r="B5" s="32" t="n">
        <v>2026004</v>
      </c>
      <c r="C5" s="33" t="inlineStr">
        <is>
          <t>鸡 45</t>
        </is>
      </c>
      <c r="D5" s="34" t="n"/>
      <c r="E5" s="34" t="n">
        <v>750</v>
      </c>
      <c r="F5" s="34">
        <f>IF(COUNTA(D5:E5)=0,"",N(D5)-N(E5))</f>
        <v/>
      </c>
      <c r="G5" s="32">
        <f>IFERROR(VLOOKUP($B5,'开奖记录'!$A:$K,2,FALSE),"")</f>
        <v/>
      </c>
      <c r="H5" s="32">
        <f>IFERROR(VLOOKUP($B5,'开奖记录'!$A:$K,9,FALSE),"")</f>
        <v/>
      </c>
      <c r="I5" s="32">
        <f>IFERROR(VLOOKUP($B5,'开奖记录'!$A:$K,11,FALSE),"")</f>
        <v/>
      </c>
      <c r="J5" s="32">
        <f>IF($B5="","",IF(ISNUMBER($D5),"命中",IF(ISNUMBER($E5),"未命中","")))</f>
        <v/>
      </c>
      <c r="K5" s="35" t="inlineStr"/>
      <c r="L5" s="32">
        <f>IFERROR(TEXT(VLOOKUP($B5-1,开奖记录!$A:$L,3,FALSE),"00")&amp;"+5="&amp;VLOOKUP(MOD(VLOOKUP($B5-1,开奖记录!$A:$L,3,FALSE)+4,49)+1,规律参数!$A:$C,3,FALSE),"")</f>
        <v/>
      </c>
      <c r="M5" s="32">
        <f>IF(L5="","",IF(I5="","待开奖",IF(ISNUMBER(SEARCH(I5,L5)),"命中","未命中")))</f>
        <v/>
      </c>
      <c r="N5" s="32">
        <f>IFERROR(VLOOKUP(VLOOKUP($B5-1,开奖记录!$A:$L,11,FALSE),八肖参数!$A:$B,2,FALSE),"")</f>
        <v/>
      </c>
      <c r="O5" s="32">
        <f>IF(N5="","",IF(I5="","待开奖",IF(ISNUMBER(SEARCH(I5,N5)),"命中","未命中")))</f>
        <v/>
      </c>
    </row>
    <row r="6" ht="23" customHeight="1" s="21">
      <c r="A6" s="32" t="n">
        <v>5</v>
      </c>
      <c r="B6" s="32" t="n">
        <v>2026005</v>
      </c>
      <c r="C6" s="33" t="inlineStr">
        <is>
          <t>猪 43</t>
        </is>
      </c>
      <c r="D6" s="34" t="n"/>
      <c r="E6" s="34" t="n">
        <v>540</v>
      </c>
      <c r="F6" s="34">
        <f>IF(COUNTA(D6:E6)=0,"",N(D6)-N(E6))</f>
        <v/>
      </c>
      <c r="G6" s="32">
        <f>IFERROR(VLOOKUP($B6,'开奖记录'!$A:$K,2,FALSE),"")</f>
        <v/>
      </c>
      <c r="H6" s="32">
        <f>IFERROR(VLOOKUP($B6,'开奖记录'!$A:$K,9,FALSE),"")</f>
        <v/>
      </c>
      <c r="I6" s="32">
        <f>IFERROR(VLOOKUP($B6,'开奖记录'!$A:$K,11,FALSE),"")</f>
        <v/>
      </c>
      <c r="J6" s="32">
        <f>IF($B6="","",IF(ISNUMBER($D6),"命中",IF(ISNUMBER($E6),"未命中","")))</f>
        <v/>
      </c>
      <c r="K6" s="35" t="inlineStr"/>
      <c r="L6" s="32">
        <f>IFERROR(TEXT(VLOOKUP($B6-1,开奖记录!$A:$L,3,FALSE),"00")&amp;"+5="&amp;VLOOKUP(MOD(VLOOKUP($B6-1,开奖记录!$A:$L,3,FALSE)+4,49)+1,规律参数!$A:$C,3,FALSE),"")</f>
        <v/>
      </c>
      <c r="M6" s="32">
        <f>IF(L6="","",IF(I6="","待开奖",IF(ISNUMBER(SEARCH(I6,L6)),"命中","未命中")))</f>
        <v/>
      </c>
      <c r="N6" s="32">
        <f>IFERROR(VLOOKUP(VLOOKUP($B6-1,开奖记录!$A:$L,11,FALSE),八肖参数!$A:$B,2,FALSE),"")</f>
        <v/>
      </c>
      <c r="O6" s="32">
        <f>IF(N6="","",IF(I6="","待开奖",IF(ISNUMBER(SEARCH(I6,N6)),"命中","未命中")))</f>
        <v/>
      </c>
    </row>
    <row r="7" ht="23" customHeight="1" s="21">
      <c r="A7" s="32" t="n">
        <v>6</v>
      </c>
      <c r="B7" s="32" t="n">
        <v>2026006</v>
      </c>
      <c r="C7" s="33" t="inlineStr">
        <is>
          <t>蛇 13</t>
        </is>
      </c>
      <c r="D7" s="34" t="n">
        <v>1065</v>
      </c>
      <c r="E7" s="34" t="n"/>
      <c r="F7" s="34">
        <f>IF(COUNTA(D7:E7)=0,"",N(D7)-N(E7))</f>
        <v/>
      </c>
      <c r="G7" s="32">
        <f>IFERROR(VLOOKUP($B7,'开奖记录'!$A:$K,2,FALSE),"")</f>
        <v/>
      </c>
      <c r="H7" s="32">
        <f>IFERROR(VLOOKUP($B7,'开奖记录'!$A:$K,9,FALSE),"")</f>
        <v/>
      </c>
      <c r="I7" s="32">
        <f>IFERROR(VLOOKUP($B7,'开奖记录'!$A:$K,11,FALSE),"")</f>
        <v/>
      </c>
      <c r="J7" s="32">
        <f>IF($B7="","",IF(ISNUMBER($D7),"命中",IF(ISNUMBER($E7),"未命中","")))</f>
        <v/>
      </c>
      <c r="K7" s="35" t="inlineStr"/>
      <c r="L7" s="32">
        <f>IFERROR(TEXT(VLOOKUP($B7-1,开奖记录!$A:$L,3,FALSE),"00")&amp;"+5="&amp;VLOOKUP(MOD(VLOOKUP($B7-1,开奖记录!$A:$L,3,FALSE)+4,49)+1,规律参数!$A:$C,3,FALSE),"")</f>
        <v/>
      </c>
      <c r="M7" s="32">
        <f>IF(L7="","",IF(I7="","待开奖",IF(ISNUMBER(SEARCH(I7,L7)),"命中","未命中")))</f>
        <v/>
      </c>
      <c r="N7" s="32">
        <f>IFERROR(VLOOKUP(VLOOKUP($B7-1,开奖记录!$A:$L,11,FALSE),八肖参数!$A:$B,2,FALSE),"")</f>
        <v/>
      </c>
      <c r="O7" s="32">
        <f>IF(N7="","",IF(I7="","待开奖",IF(ISNUMBER(SEARCH(I7,N7)),"命中","未命中")))</f>
        <v/>
      </c>
    </row>
    <row r="8" ht="23" customHeight="1" s="21">
      <c r="A8" s="32" t="n">
        <v>7</v>
      </c>
      <c r="B8" s="32" t="n">
        <v>2026007</v>
      </c>
      <c r="C8" s="33" t="inlineStr">
        <is>
          <t xml:space="preserve">牛 41 </t>
        </is>
      </c>
      <c r="D8" s="34" t="n">
        <v>765</v>
      </c>
      <c r="E8" s="34" t="n"/>
      <c r="F8" s="34">
        <f>IF(COUNTA(D8:E8)=0,"",N(D8)-N(E8))</f>
        <v/>
      </c>
      <c r="G8" s="32">
        <f>IFERROR(VLOOKUP($B8,'开奖记录'!$A:$K,2,FALSE),"")</f>
        <v/>
      </c>
      <c r="H8" s="32">
        <f>IFERROR(VLOOKUP($B8,'开奖记录'!$A:$K,9,FALSE),"")</f>
        <v/>
      </c>
      <c r="I8" s="32">
        <f>IFERROR(VLOOKUP($B8,'开奖记录'!$A:$K,11,FALSE),"")</f>
        <v/>
      </c>
      <c r="J8" s="32">
        <f>IF($B8="","",IF(ISNUMBER($D8),"命中",IF(ISNUMBER($E8),"未命中","")))</f>
        <v/>
      </c>
      <c r="K8" s="35" t="inlineStr"/>
      <c r="L8" s="32">
        <f>IFERROR(TEXT(VLOOKUP($B8-1,开奖记录!$A:$L,3,FALSE),"00")&amp;"+5="&amp;VLOOKUP(MOD(VLOOKUP($B8-1,开奖记录!$A:$L,3,FALSE)+4,49)+1,规律参数!$A:$C,3,FALSE),"")</f>
        <v/>
      </c>
      <c r="M8" s="32">
        <f>IF(L8="","",IF(I8="","待开奖",IF(ISNUMBER(SEARCH(I8,L8)),"命中","未命中")))</f>
        <v/>
      </c>
      <c r="N8" s="32">
        <f>IFERROR(VLOOKUP(VLOOKUP($B8-1,开奖记录!$A:$L,11,FALSE),八肖参数!$A:$B,2,FALSE),"")</f>
        <v/>
      </c>
      <c r="O8" s="32">
        <f>IF(N8="","",IF(I8="","待开奖",IF(ISNUMBER(SEARCH(I8,N8)),"命中","未命中")))</f>
        <v/>
      </c>
    </row>
    <row r="9" ht="23" customHeight="1" s="21">
      <c r="A9" s="32" t="n">
        <v>8</v>
      </c>
      <c r="B9" s="32" t="n">
        <v>2026008</v>
      </c>
      <c r="C9" s="33" t="inlineStr">
        <is>
          <t>鸡 21</t>
        </is>
      </c>
      <c r="D9" s="34" t="n">
        <v>2870</v>
      </c>
      <c r="E9" s="34" t="n"/>
      <c r="F9" s="34">
        <f>IF(COUNTA(D9:E9)=0,"",N(D9)-N(E9))</f>
        <v/>
      </c>
      <c r="G9" s="32">
        <f>IFERROR(VLOOKUP($B9,'开奖记录'!$A:$K,2,FALSE),"")</f>
        <v/>
      </c>
      <c r="H9" s="32">
        <f>IFERROR(VLOOKUP($B9,'开奖记录'!$A:$K,9,FALSE),"")</f>
        <v/>
      </c>
      <c r="I9" s="32">
        <f>IFERROR(VLOOKUP($B9,'开奖记录'!$A:$K,11,FALSE),"")</f>
        <v/>
      </c>
      <c r="J9" s="32">
        <f>IF($B9="","",IF(ISNUMBER($D9),"命中",IF(ISNUMBER($E9),"未命中","")))</f>
        <v/>
      </c>
      <c r="K9" s="35" t="inlineStr"/>
      <c r="L9" s="32">
        <f>IFERROR(TEXT(VLOOKUP($B9-1,开奖记录!$A:$L,3,FALSE),"00")&amp;"+5="&amp;VLOOKUP(MOD(VLOOKUP($B9-1,开奖记录!$A:$L,3,FALSE)+4,49)+1,规律参数!$A:$C,3,FALSE),"")</f>
        <v/>
      </c>
      <c r="M9" s="32">
        <f>IF(L9="","",IF(I9="","待开奖",IF(ISNUMBER(SEARCH(I9,L9)),"命中","未命中")))</f>
        <v/>
      </c>
      <c r="N9" s="32">
        <f>IFERROR(VLOOKUP(VLOOKUP($B9-1,开奖记录!$A:$L,11,FALSE),八肖参数!$A:$B,2,FALSE),"")</f>
        <v/>
      </c>
      <c r="O9" s="32">
        <f>IF(N9="","",IF(I9="","待开奖",IF(ISNUMBER(SEARCH(I9,N9)),"命中","未命中")))</f>
        <v/>
      </c>
    </row>
    <row r="10" ht="23" customHeight="1" s="21">
      <c r="A10" s="32" t="n">
        <v>9</v>
      </c>
      <c r="B10" s="32" t="n">
        <v>2026009</v>
      </c>
      <c r="C10" s="33" t="inlineStr">
        <is>
          <t xml:space="preserve">虎 28 </t>
        </is>
      </c>
      <c r="D10" s="34" t="n"/>
      <c r="E10" s="34" t="n">
        <v>880</v>
      </c>
      <c r="F10" s="34">
        <f>IF(COUNTA(D10:E10)=0,"",N(D10)-N(E10))</f>
        <v/>
      </c>
      <c r="G10" s="32">
        <f>IFERROR(VLOOKUP($B10,'开奖记录'!$A:$K,2,FALSE),"")</f>
        <v/>
      </c>
      <c r="H10" s="32">
        <f>IFERROR(VLOOKUP($B10,'开奖记录'!$A:$K,9,FALSE),"")</f>
        <v/>
      </c>
      <c r="I10" s="32">
        <f>IFERROR(VLOOKUP($B10,'开奖记录'!$A:$K,11,FALSE),"")</f>
        <v/>
      </c>
      <c r="J10" s="32">
        <f>IF($B10="","",IF(ISNUMBER($D10),"命中",IF(ISNUMBER($E10),"未命中","")))</f>
        <v/>
      </c>
      <c r="K10" s="35" t="inlineStr"/>
      <c r="L10" s="32">
        <f>IFERROR(TEXT(VLOOKUP($B10-1,开奖记录!$A:$L,3,FALSE),"00")&amp;"+5="&amp;VLOOKUP(MOD(VLOOKUP($B10-1,开奖记录!$A:$L,3,FALSE)+4,49)+1,规律参数!$A:$C,3,FALSE),"")</f>
        <v/>
      </c>
      <c r="M10" s="32">
        <f>IF(L10="","",IF(I10="","待开奖",IF(ISNUMBER(SEARCH(I10,L10)),"命中","未命中")))</f>
        <v/>
      </c>
      <c r="N10" s="32">
        <f>IFERROR(VLOOKUP(VLOOKUP($B10-1,开奖记录!$A:$L,11,FALSE),八肖参数!$A:$B,2,FALSE),"")</f>
        <v/>
      </c>
      <c r="O10" s="32">
        <f>IF(N10="","",IF(I10="","待开奖",IF(ISNUMBER(SEARCH(I10,N10)),"命中","未命中")))</f>
        <v/>
      </c>
    </row>
    <row r="11" ht="23" customHeight="1" s="21">
      <c r="A11" s="32" t="n">
        <v>10</v>
      </c>
      <c r="B11" s="32" t="n">
        <v>2026010</v>
      </c>
      <c r="C11" s="33" t="inlineStr">
        <is>
          <t>兔 27</t>
        </is>
      </c>
      <c r="D11" s="34" t="n">
        <v>130</v>
      </c>
      <c r="E11" s="34" t="n"/>
      <c r="F11" s="34">
        <f>IF(COUNTA(D11:E11)=0,"",N(D11)-N(E11))</f>
        <v/>
      </c>
      <c r="G11" s="32">
        <f>IFERROR(VLOOKUP($B11,'开奖记录'!$A:$K,2,FALSE),"")</f>
        <v/>
      </c>
      <c r="H11" s="32">
        <f>IFERROR(VLOOKUP($B11,'开奖记录'!$A:$K,9,FALSE),"")</f>
        <v/>
      </c>
      <c r="I11" s="32">
        <f>IFERROR(VLOOKUP($B11,'开奖记录'!$A:$K,11,FALSE),"")</f>
        <v/>
      </c>
      <c r="J11" s="32">
        <f>IF($B11="","",IF(ISNUMBER($D11),"命中",IF(ISNUMBER($E11),"未命中","")))</f>
        <v/>
      </c>
      <c r="K11" s="35" t="inlineStr"/>
      <c r="L11" s="32">
        <f>IFERROR(TEXT(VLOOKUP($B11-1,开奖记录!$A:$L,3,FALSE),"00")&amp;"+5="&amp;VLOOKUP(MOD(VLOOKUP($B11-1,开奖记录!$A:$L,3,FALSE)+4,49)+1,规律参数!$A:$C,3,FALSE),"")</f>
        <v/>
      </c>
      <c r="M11" s="32">
        <f>IF(L11="","",IF(I11="","待开奖",IF(ISNUMBER(SEARCH(I11,L11)),"命中","未命中")))</f>
        <v/>
      </c>
      <c r="N11" s="32">
        <f>IFERROR(VLOOKUP(VLOOKUP($B11-1,开奖记录!$A:$L,11,FALSE),八肖参数!$A:$B,2,FALSE),"")</f>
        <v/>
      </c>
      <c r="O11" s="32">
        <f>IF(N11="","",IF(I11="","待开奖",IF(ISNUMBER(SEARCH(I11,N11)),"命中","未命中")))</f>
        <v/>
      </c>
    </row>
    <row r="12" ht="23" customHeight="1" s="21">
      <c r="A12" s="32" t="n">
        <v>11</v>
      </c>
      <c r="B12" s="32" t="n">
        <v>2026011</v>
      </c>
      <c r="C12" s="33" t="inlineStr">
        <is>
          <t xml:space="preserve">羊 11 </t>
        </is>
      </c>
      <c r="D12" s="34" t="n"/>
      <c r="E12" s="34" t="n">
        <v>330</v>
      </c>
      <c r="F12" s="34">
        <f>IF(COUNTA(D12:E12)=0,"",N(D12)-N(E12))</f>
        <v/>
      </c>
      <c r="G12" s="32">
        <f>IFERROR(VLOOKUP($B12,'开奖记录'!$A:$K,2,FALSE),"")</f>
        <v/>
      </c>
      <c r="H12" s="32">
        <f>IFERROR(VLOOKUP($B12,'开奖记录'!$A:$K,9,FALSE),"")</f>
        <v/>
      </c>
      <c r="I12" s="32">
        <f>IFERROR(VLOOKUP($B12,'开奖记录'!$A:$K,11,FALSE),"")</f>
        <v/>
      </c>
      <c r="J12" s="32">
        <f>IF($B12="","",IF(ISNUMBER($D12),"命中",IF(ISNUMBER($E12),"未命中","")))</f>
        <v/>
      </c>
      <c r="K12" s="35" t="inlineStr"/>
      <c r="L12" s="32">
        <f>IFERROR(TEXT(VLOOKUP($B12-1,开奖记录!$A:$L,3,FALSE),"00")&amp;"+5="&amp;VLOOKUP(MOD(VLOOKUP($B12-1,开奖记录!$A:$L,3,FALSE)+4,49)+1,规律参数!$A:$C,3,FALSE),"")</f>
        <v/>
      </c>
      <c r="M12" s="32">
        <f>IF(L12="","",IF(I12="","待开奖",IF(ISNUMBER(SEARCH(I12,L12)),"命中","未命中")))</f>
        <v/>
      </c>
      <c r="N12" s="32">
        <f>IFERROR(VLOOKUP(VLOOKUP($B12-1,开奖记录!$A:$L,11,FALSE),八肖参数!$A:$B,2,FALSE),"")</f>
        <v/>
      </c>
      <c r="O12" s="32">
        <f>IF(N12="","",IF(I12="","待开奖",IF(ISNUMBER(SEARCH(I12,N12)),"命中","未命中")))</f>
        <v/>
      </c>
    </row>
    <row r="13" ht="23" customHeight="1" s="21">
      <c r="A13" s="32" t="n">
        <v>12</v>
      </c>
      <c r="B13" s="32" t="n">
        <v>2026012</v>
      </c>
      <c r="C13" s="33" t="inlineStr">
        <is>
          <t xml:space="preserve">羊 11 </t>
        </is>
      </c>
      <c r="D13" s="34" t="n"/>
      <c r="E13" s="34" t="n">
        <v>450</v>
      </c>
      <c r="F13" s="34">
        <f>IF(COUNTA(D13:E13)=0,"",N(D13)-N(E13))</f>
        <v/>
      </c>
      <c r="G13" s="32">
        <f>IFERROR(VLOOKUP($B13,'开奖记录'!$A:$K,2,FALSE),"")</f>
        <v/>
      </c>
      <c r="H13" s="32">
        <f>IFERROR(VLOOKUP($B13,'开奖记录'!$A:$K,9,FALSE),"")</f>
        <v/>
      </c>
      <c r="I13" s="32">
        <f>IFERROR(VLOOKUP($B13,'开奖记录'!$A:$K,11,FALSE),"")</f>
        <v/>
      </c>
      <c r="J13" s="32">
        <f>IF($B13="","",IF(ISNUMBER($D13),"命中",IF(ISNUMBER($E13),"未命中","")))</f>
        <v/>
      </c>
      <c r="K13" s="35" t="inlineStr"/>
      <c r="L13" s="32">
        <f>IFERROR(TEXT(VLOOKUP($B13-1,开奖记录!$A:$L,3,FALSE),"00")&amp;"+5="&amp;VLOOKUP(MOD(VLOOKUP($B13-1,开奖记录!$A:$L,3,FALSE)+4,49)+1,规律参数!$A:$C,3,FALSE),"")</f>
        <v/>
      </c>
      <c r="M13" s="32">
        <f>IF(L13="","",IF(I13="","待开奖",IF(ISNUMBER(SEARCH(I13,L13)),"命中","未命中")))</f>
        <v/>
      </c>
      <c r="N13" s="32">
        <f>IFERROR(VLOOKUP(VLOOKUP($B13-1,开奖记录!$A:$L,11,FALSE),八肖参数!$A:$B,2,FALSE),"")</f>
        <v/>
      </c>
      <c r="O13" s="32">
        <f>IF(N13="","",IF(I13="","待开奖",IF(ISNUMBER(SEARCH(I13,N13)),"命中","未命中")))</f>
        <v/>
      </c>
    </row>
    <row r="14" ht="23" customHeight="1" s="21">
      <c r="A14" s="32" t="n">
        <v>13</v>
      </c>
      <c r="B14" s="32" t="n">
        <v>2026013</v>
      </c>
      <c r="C14" s="33" t="inlineStr">
        <is>
          <t>蛇 01</t>
        </is>
      </c>
      <c r="D14" s="34" t="n"/>
      <c r="E14" s="34" t="n">
        <v>127</v>
      </c>
      <c r="F14" s="34">
        <f>IF(COUNTA(D14:E14)=0,"",N(D14)-N(E14))</f>
        <v/>
      </c>
      <c r="G14" s="32">
        <f>IFERROR(VLOOKUP($B14,'开奖记录'!$A:$K,2,FALSE),"")</f>
        <v/>
      </c>
      <c r="H14" s="32">
        <f>IFERROR(VLOOKUP($B14,'开奖记录'!$A:$K,9,FALSE),"")</f>
        <v/>
      </c>
      <c r="I14" s="32">
        <f>IFERROR(VLOOKUP($B14,'开奖记录'!$A:$K,11,FALSE),"")</f>
        <v/>
      </c>
      <c r="J14" s="32">
        <f>IF($B14="","",IF(ISNUMBER($D14),"命中",IF(ISNUMBER($E14),"未命中","")))</f>
        <v/>
      </c>
      <c r="K14" s="35" t="inlineStr"/>
      <c r="L14" s="32">
        <f>IFERROR(TEXT(VLOOKUP($B14-1,开奖记录!$A:$L,3,FALSE),"00")&amp;"+5="&amp;VLOOKUP(MOD(VLOOKUP($B14-1,开奖记录!$A:$L,3,FALSE)+4,49)+1,规律参数!$A:$C,3,FALSE),"")</f>
        <v/>
      </c>
      <c r="M14" s="32">
        <f>IF(L14="","",IF(I14="","待开奖",IF(ISNUMBER(SEARCH(I14,L14)),"命中","未命中")))</f>
        <v/>
      </c>
      <c r="N14" s="32">
        <f>IFERROR(VLOOKUP(VLOOKUP($B14-1,开奖记录!$A:$L,11,FALSE),八肖参数!$A:$B,2,FALSE),"")</f>
        <v/>
      </c>
      <c r="O14" s="32">
        <f>IF(N14="","",IF(I14="","待开奖",IF(ISNUMBER(SEARCH(I14,N14)),"命中","未命中")))</f>
        <v/>
      </c>
    </row>
    <row r="15" ht="23" customHeight="1" s="21">
      <c r="A15" s="32" t="n">
        <v>14</v>
      </c>
      <c r="B15" s="32" t="n">
        <v>2026014</v>
      </c>
      <c r="C15" s="33" t="inlineStr">
        <is>
          <t>龙26</t>
        </is>
      </c>
      <c r="D15" s="34" t="n"/>
      <c r="E15" s="34" t="n">
        <v>750</v>
      </c>
      <c r="F15" s="34">
        <f>IF(COUNTA(D15:E15)=0,"",N(D15)-N(E15))</f>
        <v/>
      </c>
      <c r="G15" s="32">
        <f>IFERROR(VLOOKUP($B15,'开奖记录'!$A:$K,2,FALSE),"")</f>
        <v/>
      </c>
      <c r="H15" s="32">
        <f>IFERROR(VLOOKUP($B15,'开奖记录'!$A:$K,9,FALSE),"")</f>
        <v/>
      </c>
      <c r="I15" s="32">
        <f>IFERROR(VLOOKUP($B15,'开奖记录'!$A:$K,11,FALSE),"")</f>
        <v/>
      </c>
      <c r="J15" s="32">
        <f>IF($B15="","",IF(ISNUMBER($D15),"命中",IF(ISNUMBER($E15),"未命中","")))</f>
        <v/>
      </c>
      <c r="K15" s="35" t="inlineStr"/>
      <c r="L15" s="32">
        <f>IFERROR(TEXT(VLOOKUP($B15-1,开奖记录!$A:$L,3,FALSE),"00")&amp;"+5="&amp;VLOOKUP(MOD(VLOOKUP($B15-1,开奖记录!$A:$L,3,FALSE)+4,49)+1,规律参数!$A:$C,3,FALSE),"")</f>
        <v/>
      </c>
      <c r="M15" s="32">
        <f>IF(L15="","",IF(I15="","待开奖",IF(ISNUMBER(SEARCH(I15,L15)),"命中","未命中")))</f>
        <v/>
      </c>
      <c r="N15" s="32">
        <f>IFERROR(VLOOKUP(VLOOKUP($B15-1,开奖记录!$A:$L,11,FALSE),八肖参数!$A:$B,2,FALSE),"")</f>
        <v/>
      </c>
      <c r="O15" s="32">
        <f>IF(N15="","",IF(I15="","待开奖",IF(ISNUMBER(SEARCH(I15,N15)),"命中","未命中")))</f>
        <v/>
      </c>
    </row>
    <row r="16" ht="23" customHeight="1" s="21">
      <c r="A16" s="32" t="n">
        <v>15</v>
      </c>
      <c r="B16" s="32" t="n">
        <v>2026015</v>
      </c>
      <c r="C16" s="33" t="inlineStr">
        <is>
          <t>猪31</t>
        </is>
      </c>
      <c r="D16" s="34" t="n">
        <v>120</v>
      </c>
      <c r="E16" s="34" t="n"/>
      <c r="F16" s="34">
        <f>IF(COUNTA(D16:E16)=0,"",N(D16)-N(E16))</f>
        <v/>
      </c>
      <c r="G16" s="32">
        <f>IFERROR(VLOOKUP($B16,'开奖记录'!$A:$K,2,FALSE),"")</f>
        <v/>
      </c>
      <c r="H16" s="32">
        <f>IFERROR(VLOOKUP($B16,'开奖记录'!$A:$K,9,FALSE),"")</f>
        <v/>
      </c>
      <c r="I16" s="32">
        <f>IFERROR(VLOOKUP($B16,'开奖记录'!$A:$K,11,FALSE),"")</f>
        <v/>
      </c>
      <c r="J16" s="32">
        <f>IF($B16="","",IF(ISNUMBER($D16),"命中",IF(ISNUMBER($E16),"未命中","")))</f>
        <v/>
      </c>
      <c r="K16" s="35" t="inlineStr"/>
      <c r="L16" s="32">
        <f>IFERROR(TEXT(VLOOKUP($B16-1,开奖记录!$A:$L,3,FALSE),"00")&amp;"+5="&amp;VLOOKUP(MOD(VLOOKUP($B16-1,开奖记录!$A:$L,3,FALSE)+4,49)+1,规律参数!$A:$C,3,FALSE),"")</f>
        <v/>
      </c>
      <c r="M16" s="32">
        <f>IF(L16="","",IF(I16="","待开奖",IF(ISNUMBER(SEARCH(I16,L16)),"命中","未命中")))</f>
        <v/>
      </c>
      <c r="N16" s="32">
        <f>IFERROR(VLOOKUP(VLOOKUP($B16-1,开奖记录!$A:$L,11,FALSE),八肖参数!$A:$B,2,FALSE),"")</f>
        <v/>
      </c>
      <c r="O16" s="32">
        <f>IF(N16="","",IF(I16="","待开奖",IF(ISNUMBER(SEARCH(I16,N16)),"命中","未命中")))</f>
        <v/>
      </c>
    </row>
    <row r="17" ht="23" customHeight="1" s="21">
      <c r="A17" s="32" t="n">
        <v>16</v>
      </c>
      <c r="B17" s="32" t="n">
        <v>2026016</v>
      </c>
      <c r="C17" s="33" t="inlineStr">
        <is>
          <t>鼠06</t>
        </is>
      </c>
      <c r="D17" s="34" t="n"/>
      <c r="E17" s="34" t="n">
        <v>60</v>
      </c>
      <c r="F17" s="34">
        <f>IF(COUNTA(D17:E17)=0,"",N(D17)-N(E17))</f>
        <v/>
      </c>
      <c r="G17" s="32">
        <f>IFERROR(VLOOKUP($B17,'开奖记录'!$A:$K,2,FALSE),"")</f>
        <v/>
      </c>
      <c r="H17" s="32">
        <f>IFERROR(VLOOKUP($B17,'开奖记录'!$A:$K,9,FALSE),"")</f>
        <v/>
      </c>
      <c r="I17" s="32">
        <f>IFERROR(VLOOKUP($B17,'开奖记录'!$A:$K,11,FALSE),"")</f>
        <v/>
      </c>
      <c r="J17" s="32">
        <f>IF($B17="","",IF(ISNUMBER($D17),"命中",IF(ISNUMBER($E17),"未命中","")))</f>
        <v/>
      </c>
      <c r="K17" s="35" t="inlineStr"/>
      <c r="L17" s="32">
        <f>IFERROR(TEXT(VLOOKUP($B17-1,开奖记录!$A:$L,3,FALSE),"00")&amp;"+5="&amp;VLOOKUP(MOD(VLOOKUP($B17-1,开奖记录!$A:$L,3,FALSE)+4,49)+1,规律参数!$A:$C,3,FALSE),"")</f>
        <v/>
      </c>
      <c r="M17" s="32">
        <f>IF(L17="","",IF(I17="","待开奖",IF(ISNUMBER(SEARCH(I17,L17)),"命中","未命中")))</f>
        <v/>
      </c>
      <c r="N17" s="32">
        <f>IFERROR(VLOOKUP(VLOOKUP($B17-1,开奖记录!$A:$L,11,FALSE),八肖参数!$A:$B,2,FALSE),"")</f>
        <v/>
      </c>
      <c r="O17" s="32">
        <f>IF(N17="","",IF(I17="","待开奖",IF(ISNUMBER(SEARCH(I17,N17)),"命中","未命中")))</f>
        <v/>
      </c>
    </row>
    <row r="18" ht="23" customHeight="1" s="21">
      <c r="A18" s="32" t="n">
        <v>17</v>
      </c>
      <c r="B18" s="32" t="n">
        <v>2026017</v>
      </c>
      <c r="C18" s="33" t="inlineStr">
        <is>
          <t>狗32</t>
        </is>
      </c>
      <c r="D18" s="34" t="n">
        <v>1145</v>
      </c>
      <c r="E18" s="34" t="n"/>
      <c r="F18" s="34">
        <f>IF(COUNTA(D18:E18)=0,"",N(D18)-N(E18))</f>
        <v/>
      </c>
      <c r="G18" s="32">
        <f>IFERROR(VLOOKUP($B18,'开奖记录'!$A:$K,2,FALSE),"")</f>
        <v/>
      </c>
      <c r="H18" s="32">
        <f>IFERROR(VLOOKUP($B18,'开奖记录'!$A:$K,9,FALSE),"")</f>
        <v/>
      </c>
      <c r="I18" s="32">
        <f>IFERROR(VLOOKUP($B18,'开奖记录'!$A:$K,11,FALSE),"")</f>
        <v/>
      </c>
      <c r="J18" s="32">
        <f>IF($B18="","",IF(ISNUMBER($D18),"命中",IF(ISNUMBER($E18),"未命中","")))</f>
        <v/>
      </c>
      <c r="K18" s="35" t="inlineStr"/>
      <c r="L18" s="32">
        <f>IFERROR(TEXT(VLOOKUP($B18-1,开奖记录!$A:$L,3,FALSE),"00")&amp;"+5="&amp;VLOOKUP(MOD(VLOOKUP($B18-1,开奖记录!$A:$L,3,FALSE)+4,49)+1,规律参数!$A:$C,3,FALSE),"")</f>
        <v/>
      </c>
      <c r="M18" s="32">
        <f>IF(L18="","",IF(I18="","待开奖",IF(ISNUMBER(SEARCH(I18,L18)),"命中","未命中")))</f>
        <v/>
      </c>
      <c r="N18" s="32">
        <f>IFERROR(VLOOKUP(VLOOKUP($B18-1,开奖记录!$A:$L,11,FALSE),八肖参数!$A:$B,2,FALSE),"")</f>
        <v/>
      </c>
      <c r="O18" s="32">
        <f>IF(N18="","",IF(I18="","待开奖",IF(ISNUMBER(SEARCH(I18,N18)),"命中","未命中")))</f>
        <v/>
      </c>
    </row>
    <row r="19" ht="23" customHeight="1" s="21">
      <c r="A19" s="32" t="n">
        <v>18</v>
      </c>
      <c r="B19" s="32" t="n">
        <v>2026018</v>
      </c>
      <c r="C19" s="33" t="inlineStr">
        <is>
          <t>兔39</t>
        </is>
      </c>
      <c r="D19" s="34" t="n">
        <v>715</v>
      </c>
      <c r="E19" s="34" t="n"/>
      <c r="F19" s="34">
        <f>IF(COUNTA(D19:E19)=0,"",N(D19)-N(E19))</f>
        <v/>
      </c>
      <c r="G19" s="32">
        <f>IFERROR(VLOOKUP($B19,'开奖记录'!$A:$K,2,FALSE),"")</f>
        <v/>
      </c>
      <c r="H19" s="32">
        <f>IFERROR(VLOOKUP($B19,'开奖记录'!$A:$K,9,FALSE),"")</f>
        <v/>
      </c>
      <c r="I19" s="32">
        <f>IFERROR(VLOOKUP($B19,'开奖记录'!$A:$K,11,FALSE),"")</f>
        <v/>
      </c>
      <c r="J19" s="32">
        <f>IF($B19="","",IF(ISNUMBER($D19),"命中",IF(ISNUMBER($E19),"未命中","")))</f>
        <v/>
      </c>
      <c r="K19" s="35" t="inlineStr"/>
      <c r="L19" s="32">
        <f>IFERROR(TEXT(VLOOKUP($B19-1,开奖记录!$A:$L,3,FALSE),"00")&amp;"+5="&amp;VLOOKUP(MOD(VLOOKUP($B19-1,开奖记录!$A:$L,3,FALSE)+4,49)+1,规律参数!$A:$C,3,FALSE),"")</f>
        <v/>
      </c>
      <c r="M19" s="32">
        <f>IF(L19="","",IF(I19="","待开奖",IF(ISNUMBER(SEARCH(I19,L19)),"命中","未命中")))</f>
        <v/>
      </c>
      <c r="N19" s="32">
        <f>IFERROR(VLOOKUP(VLOOKUP($B19-1,开奖记录!$A:$L,11,FALSE),八肖参数!$A:$B,2,FALSE),"")</f>
        <v/>
      </c>
      <c r="O19" s="32">
        <f>IF(N19="","",IF(I19="","待开奖",IF(ISNUMBER(SEARCH(I19,N19)),"命中","未命中")))</f>
        <v/>
      </c>
    </row>
    <row r="20" ht="23" customHeight="1" s="21">
      <c r="A20" s="32" t="n">
        <v>19</v>
      </c>
      <c r="B20" s="32" t="n">
        <v>2026019</v>
      </c>
      <c r="C20" s="33" t="inlineStr">
        <is>
          <t>猴46</t>
        </is>
      </c>
      <c r="D20" s="34" t="n"/>
      <c r="E20" s="34" t="n">
        <v>815</v>
      </c>
      <c r="F20" s="34">
        <f>IF(COUNTA(D20:E20)=0,"",N(D20)-N(E20))</f>
        <v/>
      </c>
      <c r="G20" s="32">
        <f>IFERROR(VLOOKUP($B20,'开奖记录'!$A:$K,2,FALSE),"")</f>
        <v/>
      </c>
      <c r="H20" s="32">
        <f>IFERROR(VLOOKUP($B20,'开奖记录'!$A:$K,9,FALSE),"")</f>
        <v/>
      </c>
      <c r="I20" s="32">
        <f>IFERROR(VLOOKUP($B20,'开奖记录'!$A:$K,11,FALSE),"")</f>
        <v/>
      </c>
      <c r="J20" s="32">
        <f>IF($B20="","",IF(ISNUMBER($D20),"命中",IF(ISNUMBER($E20),"未命中","")))</f>
        <v/>
      </c>
      <c r="K20" s="35" t="inlineStr"/>
      <c r="L20" s="32">
        <f>IFERROR(TEXT(VLOOKUP($B20-1,开奖记录!$A:$L,3,FALSE),"00")&amp;"+5="&amp;VLOOKUP(MOD(VLOOKUP($B20-1,开奖记录!$A:$L,3,FALSE)+4,49)+1,规律参数!$A:$C,3,FALSE),"")</f>
        <v/>
      </c>
      <c r="M20" s="32">
        <f>IF(L20="","",IF(I20="","待开奖",IF(ISNUMBER(SEARCH(I20,L20)),"命中","未命中")))</f>
        <v/>
      </c>
      <c r="N20" s="32">
        <f>IFERROR(VLOOKUP(VLOOKUP($B20-1,开奖记录!$A:$L,11,FALSE),八肖参数!$A:$B,2,FALSE),"")</f>
        <v/>
      </c>
      <c r="O20" s="32">
        <f>IF(N20="","",IF(I20="","待开奖",IF(ISNUMBER(SEARCH(I20,N20)),"命中","未命中")))</f>
        <v/>
      </c>
    </row>
    <row r="21" ht="23" customHeight="1" s="21">
      <c r="A21" s="32" t="n">
        <v>20</v>
      </c>
      <c r="B21" s="32" t="n">
        <v>2026020</v>
      </c>
      <c r="C21" s="33" t="inlineStr">
        <is>
          <t>马12</t>
        </is>
      </c>
      <c r="D21" s="34" t="n"/>
      <c r="E21" s="34" t="n">
        <v>910</v>
      </c>
      <c r="F21" s="34">
        <f>IF(COUNTA(D21:E21)=0,"",N(D21)-N(E21))</f>
        <v/>
      </c>
      <c r="G21" s="32">
        <f>IFERROR(VLOOKUP($B21,'开奖记录'!$A:$K,2,FALSE),"")</f>
        <v/>
      </c>
      <c r="H21" s="32">
        <f>IFERROR(VLOOKUP($B21,'开奖记录'!$A:$K,9,FALSE),"")</f>
        <v/>
      </c>
      <c r="I21" s="32">
        <f>IFERROR(VLOOKUP($B21,'开奖记录'!$A:$K,11,FALSE),"")</f>
        <v/>
      </c>
      <c r="J21" s="32">
        <f>IF($B21="","",IF(ISNUMBER($D21),"命中",IF(ISNUMBER($E21),"未命中","")))</f>
        <v/>
      </c>
      <c r="K21" s="35" t="inlineStr"/>
      <c r="L21" s="32">
        <f>IFERROR(TEXT(VLOOKUP($B21-1,开奖记录!$A:$L,3,FALSE),"00")&amp;"+5="&amp;VLOOKUP(MOD(VLOOKUP($B21-1,开奖记录!$A:$L,3,FALSE)+4,49)+1,规律参数!$A:$C,3,FALSE),"")</f>
        <v/>
      </c>
      <c r="M21" s="32">
        <f>IF(L21="","",IF(I21="","待开奖",IF(ISNUMBER(SEARCH(I21,L21)),"命中","未命中")))</f>
        <v/>
      </c>
      <c r="N21" s="32">
        <f>IFERROR(VLOOKUP(VLOOKUP($B21-1,开奖记录!$A:$L,11,FALSE),八肖参数!$A:$B,2,FALSE),"")</f>
        <v/>
      </c>
      <c r="O21" s="32">
        <f>IF(N21="","",IF(I21="","待开奖",IF(ISNUMBER(SEARCH(I21,N21)),"命中","未命中")))</f>
        <v/>
      </c>
    </row>
    <row r="22" ht="23" customHeight="1" s="21">
      <c r="A22" s="32" t="n">
        <v>21</v>
      </c>
      <c r="B22" s="32" t="n">
        <v>2026021</v>
      </c>
      <c r="C22" s="33" t="inlineStr">
        <is>
          <t>鼠42</t>
        </is>
      </c>
      <c r="D22" s="34" t="n">
        <v>1510</v>
      </c>
      <c r="E22" s="34" t="n"/>
      <c r="F22" s="34">
        <f>IF(COUNTA(D22:E22)=0,"",N(D22)-N(E22))</f>
        <v/>
      </c>
      <c r="G22" s="32">
        <f>IFERROR(VLOOKUP($B22,'开奖记录'!$A:$K,2,FALSE),"")</f>
        <v/>
      </c>
      <c r="H22" s="32">
        <f>IFERROR(VLOOKUP($B22,'开奖记录'!$A:$K,9,FALSE),"")</f>
        <v/>
      </c>
      <c r="I22" s="32">
        <f>IFERROR(VLOOKUP($B22,'开奖记录'!$A:$K,11,FALSE),"")</f>
        <v/>
      </c>
      <c r="J22" s="32">
        <f>IF($B22="","",IF(ISNUMBER($D22),"命中",IF(ISNUMBER($E22),"未命中","")))</f>
        <v/>
      </c>
      <c r="K22" s="35" t="inlineStr"/>
      <c r="L22" s="32">
        <f>IFERROR(TEXT(VLOOKUP($B22-1,开奖记录!$A:$L,3,FALSE),"00")&amp;"+5="&amp;VLOOKUP(MOD(VLOOKUP($B22-1,开奖记录!$A:$L,3,FALSE)+4,49)+1,规律参数!$A:$C,3,FALSE),"")</f>
        <v/>
      </c>
      <c r="M22" s="32">
        <f>IF(L22="","",IF(I22="","待开奖",IF(ISNUMBER(SEARCH(I22,L22)),"命中","未命中")))</f>
        <v/>
      </c>
      <c r="N22" s="32">
        <f>IFERROR(VLOOKUP(VLOOKUP($B22-1,开奖记录!$A:$L,11,FALSE),八肖参数!$A:$B,2,FALSE),"")</f>
        <v/>
      </c>
      <c r="O22" s="32">
        <f>IF(N22="","",IF(I22="","待开奖",IF(ISNUMBER(SEARCH(I22,N22)),"命中","未命中")))</f>
        <v/>
      </c>
    </row>
    <row r="23" ht="23" customHeight="1" s="21">
      <c r="A23" s="32" t="n">
        <v>22</v>
      </c>
      <c r="B23" s="32" t="n">
        <v>2026022</v>
      </c>
      <c r="C23" s="33" t="inlineStr">
        <is>
          <t>鼠18</t>
        </is>
      </c>
      <c r="D23" s="34" t="n"/>
      <c r="E23" s="34" t="n">
        <v>1060</v>
      </c>
      <c r="F23" s="34">
        <f>IF(COUNTA(D23:E23)=0,"",N(D23)-N(E23))</f>
        <v/>
      </c>
      <c r="G23" s="32">
        <f>IFERROR(VLOOKUP($B23,'开奖记录'!$A:$K,2,FALSE),"")</f>
        <v/>
      </c>
      <c r="H23" s="32">
        <f>IFERROR(VLOOKUP($B23,'开奖记录'!$A:$K,9,FALSE),"")</f>
        <v/>
      </c>
      <c r="I23" s="32">
        <f>IFERROR(VLOOKUP($B23,'开奖记录'!$A:$K,11,FALSE),"")</f>
        <v/>
      </c>
      <c r="J23" s="32">
        <f>IF($B23="","",IF(ISNUMBER($D23),"命中",IF(ISNUMBER($E23),"未命中","")))</f>
        <v/>
      </c>
      <c r="K23" s="35" t="inlineStr"/>
      <c r="L23" s="32">
        <f>IFERROR(TEXT(VLOOKUP($B23-1,开奖记录!$A:$L,3,FALSE),"00")&amp;"+5="&amp;VLOOKUP(MOD(VLOOKUP($B23-1,开奖记录!$A:$L,3,FALSE)+4,49)+1,规律参数!$A:$C,3,FALSE),"")</f>
        <v/>
      </c>
      <c r="M23" s="32">
        <f>IF(L23="","",IF(I23="","待开奖",IF(ISNUMBER(SEARCH(I23,L23)),"命中","未命中")))</f>
        <v/>
      </c>
      <c r="N23" s="32">
        <f>IFERROR(VLOOKUP(VLOOKUP($B23-1,开奖记录!$A:$L,11,FALSE),八肖参数!$A:$B,2,FALSE),"")</f>
        <v/>
      </c>
      <c r="O23" s="32">
        <f>IF(N23="","",IF(I23="","待开奖",IF(ISNUMBER(SEARCH(I23,N23)),"命中","未命中")))</f>
        <v/>
      </c>
    </row>
    <row r="24" ht="23" customHeight="1" s="21">
      <c r="A24" s="32" t="n">
        <v>23</v>
      </c>
      <c r="B24" s="32" t="n">
        <v>2026023</v>
      </c>
      <c r="C24" s="33" t="inlineStr">
        <is>
          <t>羊47</t>
        </is>
      </c>
      <c r="D24" s="34" t="n">
        <v>2480</v>
      </c>
      <c r="E24" s="34" t="n"/>
      <c r="F24" s="34">
        <f>IF(COUNTA(D24:E24)=0,"",N(D24)-N(E24))</f>
        <v/>
      </c>
      <c r="G24" s="32">
        <f>IFERROR(VLOOKUP($B24,'开奖记录'!$A:$K,2,FALSE),"")</f>
        <v/>
      </c>
      <c r="H24" s="32">
        <f>IFERROR(VLOOKUP($B24,'开奖记录'!$A:$K,9,FALSE),"")</f>
        <v/>
      </c>
      <c r="I24" s="32">
        <f>IFERROR(VLOOKUP($B24,'开奖记录'!$A:$K,11,FALSE),"")</f>
        <v/>
      </c>
      <c r="J24" s="32">
        <f>IF($B24="","",IF(ISNUMBER($D24),"命中",IF(ISNUMBER($E24),"未命中","")))</f>
        <v/>
      </c>
      <c r="K24" s="35" t="inlineStr"/>
      <c r="L24" s="32">
        <f>IFERROR(TEXT(VLOOKUP($B24-1,开奖记录!$A:$L,3,FALSE),"00")&amp;"+5="&amp;VLOOKUP(MOD(VLOOKUP($B24-1,开奖记录!$A:$L,3,FALSE)+4,49)+1,规律参数!$A:$C,3,FALSE),"")</f>
        <v/>
      </c>
      <c r="M24" s="32">
        <f>IF(L24="","",IF(I24="","待开奖",IF(ISNUMBER(SEARCH(I24,L24)),"命中","未命中")))</f>
        <v/>
      </c>
      <c r="N24" s="32">
        <f>IFERROR(VLOOKUP(VLOOKUP($B24-1,开奖记录!$A:$L,11,FALSE),八肖参数!$A:$B,2,FALSE),"")</f>
        <v/>
      </c>
      <c r="O24" s="32">
        <f>IF(N24="","",IF(I24="","待开奖",IF(ISNUMBER(SEARCH(I24,N24)),"命中","未命中")))</f>
        <v/>
      </c>
    </row>
    <row r="25" ht="23" customHeight="1" s="21">
      <c r="A25" s="32" t="n">
        <v>24</v>
      </c>
      <c r="B25" s="32" t="n">
        <v>2026024</v>
      </c>
      <c r="C25" s="33" t="inlineStr">
        <is>
          <t xml:space="preserve">虎 28 </t>
        </is>
      </c>
      <c r="D25" s="34" t="n">
        <v>1425</v>
      </c>
      <c r="E25" s="34" t="n"/>
      <c r="F25" s="34">
        <f>IF(COUNTA(D25:E25)=0,"",N(D25)-N(E25))</f>
        <v/>
      </c>
      <c r="G25" s="32">
        <f>IFERROR(VLOOKUP($B25,'开奖记录'!$A:$K,2,FALSE),"")</f>
        <v/>
      </c>
      <c r="H25" s="32">
        <f>IFERROR(VLOOKUP($B25,'开奖记录'!$A:$K,9,FALSE),"")</f>
        <v/>
      </c>
      <c r="I25" s="32">
        <f>IFERROR(VLOOKUP($B25,'开奖记录'!$A:$K,11,FALSE),"")</f>
        <v/>
      </c>
      <c r="J25" s="32">
        <f>IF($B25="","",IF(ISNUMBER($D25),"命中",IF(ISNUMBER($E25),"未命中","")))</f>
        <v/>
      </c>
      <c r="K25" s="35" t="inlineStr"/>
      <c r="L25" s="32">
        <f>IFERROR(TEXT(VLOOKUP($B25-1,开奖记录!$A:$L,3,FALSE),"00")&amp;"+5="&amp;VLOOKUP(MOD(VLOOKUP($B25-1,开奖记录!$A:$L,3,FALSE)+4,49)+1,规律参数!$A:$C,3,FALSE),"")</f>
        <v/>
      </c>
      <c r="M25" s="32">
        <f>IF(L25="","",IF(I25="","待开奖",IF(ISNUMBER(SEARCH(I25,L25)),"命中","未命中")))</f>
        <v/>
      </c>
      <c r="N25" s="32">
        <f>IFERROR(VLOOKUP(VLOOKUP($B25-1,开奖记录!$A:$L,11,FALSE),八肖参数!$A:$B,2,FALSE),"")</f>
        <v/>
      </c>
      <c r="O25" s="32">
        <f>IF(N25="","",IF(I25="","待开奖",IF(ISNUMBER(SEARCH(I25,N25)),"命中","未命中")))</f>
        <v/>
      </c>
    </row>
    <row r="26" ht="23" customHeight="1" s="21">
      <c r="A26" s="32" t="n">
        <v>25</v>
      </c>
      <c r="B26" s="32" t="n">
        <v>2026025</v>
      </c>
      <c r="C26" s="33" t="inlineStr">
        <is>
          <t>蛇37</t>
        </is>
      </c>
      <c r="D26" s="34" t="n"/>
      <c r="E26" s="34" t="n">
        <v>1250</v>
      </c>
      <c r="F26" s="34">
        <f>IF(COUNTA(D26:E26)=0,"",N(D26)-N(E26))</f>
        <v/>
      </c>
      <c r="G26" s="32">
        <f>IFERROR(VLOOKUP($B26,'开奖记录'!$A:$K,2,FALSE),"")</f>
        <v/>
      </c>
      <c r="H26" s="32">
        <f>IFERROR(VLOOKUP($B26,'开奖记录'!$A:$K,9,FALSE),"")</f>
        <v/>
      </c>
      <c r="I26" s="32">
        <f>IFERROR(VLOOKUP($B26,'开奖记录'!$A:$K,11,FALSE),"")</f>
        <v/>
      </c>
      <c r="J26" s="32">
        <f>IF($B26="","",IF(ISNUMBER($D26),"命中",IF(ISNUMBER($E26),"未命中","")))</f>
        <v/>
      </c>
      <c r="K26" s="35" t="inlineStr"/>
      <c r="L26" s="32">
        <f>IFERROR(TEXT(VLOOKUP($B26-1,开奖记录!$A:$L,3,FALSE),"00")&amp;"+5="&amp;VLOOKUP(MOD(VLOOKUP($B26-1,开奖记录!$A:$L,3,FALSE)+4,49)+1,规律参数!$A:$C,3,FALSE),"")</f>
        <v/>
      </c>
      <c r="M26" s="32">
        <f>IF(L26="","",IF(I26="","待开奖",IF(ISNUMBER(SEARCH(I26,L26)),"命中","未命中")))</f>
        <v/>
      </c>
      <c r="N26" s="32">
        <f>IFERROR(VLOOKUP(VLOOKUP($B26-1,开奖记录!$A:$L,11,FALSE),八肖参数!$A:$B,2,FALSE),"")</f>
        <v/>
      </c>
      <c r="O26" s="32">
        <f>IF(N26="","",IF(I26="","待开奖",IF(ISNUMBER(SEARCH(I26,N26)),"命中","未命中")))</f>
        <v/>
      </c>
    </row>
    <row r="27" ht="23" customHeight="1" s="21">
      <c r="A27" s="32" t="n">
        <v>26</v>
      </c>
      <c r="B27" s="32" t="n">
        <v>2026026</v>
      </c>
      <c r="C27" s="33" t="inlineStr">
        <is>
          <t>猪19</t>
        </is>
      </c>
      <c r="D27" s="34" t="n">
        <v>1175</v>
      </c>
      <c r="E27" s="34" t="n"/>
      <c r="F27" s="34">
        <f>IF(COUNTA(D27:E27)=0,"",N(D27)-N(E27))</f>
        <v/>
      </c>
      <c r="G27" s="32">
        <f>IFERROR(VLOOKUP($B27,'开奖记录'!$A:$K,2,FALSE),"")</f>
        <v/>
      </c>
      <c r="H27" s="32">
        <f>IFERROR(VLOOKUP($B27,'开奖记录'!$A:$K,9,FALSE),"")</f>
        <v/>
      </c>
      <c r="I27" s="32">
        <f>IFERROR(VLOOKUP($B27,'开奖记录'!$A:$K,11,FALSE),"")</f>
        <v/>
      </c>
      <c r="J27" s="32">
        <f>IF($B27="","",IF(ISNUMBER($D27),"命中",IF(ISNUMBER($E27),"未命中","")))</f>
        <v/>
      </c>
      <c r="K27" s="35" t="inlineStr"/>
      <c r="L27" s="32">
        <f>IFERROR(TEXT(VLOOKUP($B27-1,开奖记录!$A:$L,3,FALSE),"00")&amp;"+5="&amp;VLOOKUP(MOD(VLOOKUP($B27-1,开奖记录!$A:$L,3,FALSE)+4,49)+1,规律参数!$A:$C,3,FALSE),"")</f>
        <v/>
      </c>
      <c r="M27" s="32">
        <f>IF(L27="","",IF(I27="","待开奖",IF(ISNUMBER(SEARCH(I27,L27)),"命中","未命中")))</f>
        <v/>
      </c>
      <c r="N27" s="32">
        <f>IFERROR(VLOOKUP(VLOOKUP($B27-1,开奖记录!$A:$L,11,FALSE),八肖参数!$A:$B,2,FALSE),"")</f>
        <v/>
      </c>
      <c r="O27" s="32">
        <f>IF(N27="","",IF(I27="","待开奖",IF(ISNUMBER(SEARCH(I27,N27)),"命中","未命中")))</f>
        <v/>
      </c>
    </row>
    <row r="28" ht="23" customHeight="1" s="21">
      <c r="A28" s="32" t="n">
        <v>27</v>
      </c>
      <c r="B28" s="32" t="n">
        <v>2026027</v>
      </c>
      <c r="C28" s="33" t="inlineStr">
        <is>
          <t>鸡 45</t>
        </is>
      </c>
      <c r="D28" s="34" t="n">
        <v>2670</v>
      </c>
      <c r="E28" s="34" t="n"/>
      <c r="F28" s="34">
        <f>IF(COUNTA(D28:E28)=0,"",N(D28)-N(E28))</f>
        <v/>
      </c>
      <c r="G28" s="32">
        <f>IFERROR(VLOOKUP($B28,'开奖记录'!$A:$K,2,FALSE),"")</f>
        <v/>
      </c>
      <c r="H28" s="32">
        <f>IFERROR(VLOOKUP($B28,'开奖记录'!$A:$K,9,FALSE),"")</f>
        <v/>
      </c>
      <c r="I28" s="32">
        <f>IFERROR(VLOOKUP($B28,'开奖记录'!$A:$K,11,FALSE),"")</f>
        <v/>
      </c>
      <c r="J28" s="32">
        <f>IF($B28="","",IF(ISNUMBER($D28),"命中",IF(ISNUMBER($E28),"未命中","")))</f>
        <v/>
      </c>
      <c r="K28" s="35" t="inlineStr"/>
      <c r="L28" s="32">
        <f>IFERROR(TEXT(VLOOKUP($B28-1,开奖记录!$A:$L,3,FALSE),"00")&amp;"+5="&amp;VLOOKUP(MOD(VLOOKUP($B28-1,开奖记录!$A:$L,3,FALSE)+4,49)+1,规律参数!$A:$C,3,FALSE),"")</f>
        <v/>
      </c>
      <c r="M28" s="32">
        <f>IF(L28="","",IF(I28="","待开奖",IF(ISNUMBER(SEARCH(I28,L28)),"命中","未命中")))</f>
        <v/>
      </c>
      <c r="N28" s="32">
        <f>IFERROR(VLOOKUP(VLOOKUP($B28-1,开奖记录!$A:$L,11,FALSE),八肖参数!$A:$B,2,FALSE),"")</f>
        <v/>
      </c>
      <c r="O28" s="32">
        <f>IF(N28="","",IF(I28="","待开奖",IF(ISNUMBER(SEARCH(I28,N28)),"命中","未命中")))</f>
        <v/>
      </c>
    </row>
    <row r="29" ht="23" customHeight="1" s="21">
      <c r="A29" s="32" t="n">
        <v>28</v>
      </c>
      <c r="B29" s="32" t="n">
        <v>2026028</v>
      </c>
      <c r="C29" s="33" t="inlineStr">
        <is>
          <t>兔03</t>
        </is>
      </c>
      <c r="D29" s="34" t="n"/>
      <c r="E29" s="34" t="n">
        <v>1320</v>
      </c>
      <c r="F29" s="34">
        <f>IF(COUNTA(D29:E29)=0,"",N(D29)-N(E29))</f>
        <v/>
      </c>
      <c r="G29" s="32">
        <f>IFERROR(VLOOKUP($B29,'开奖记录'!$A:$K,2,FALSE),"")</f>
        <v/>
      </c>
      <c r="H29" s="32">
        <f>IFERROR(VLOOKUP($B29,'开奖记录'!$A:$K,9,FALSE),"")</f>
        <v/>
      </c>
      <c r="I29" s="32">
        <f>IFERROR(VLOOKUP($B29,'开奖记录'!$A:$K,11,FALSE),"")</f>
        <v/>
      </c>
      <c r="J29" s="32">
        <f>IF($B29="","",IF(ISNUMBER($D29),"命中",IF(ISNUMBER($E29),"未命中","")))</f>
        <v/>
      </c>
      <c r="K29" s="35" t="inlineStr"/>
      <c r="L29" s="32">
        <f>IFERROR(TEXT(VLOOKUP($B29-1,开奖记录!$A:$L,3,FALSE),"00")&amp;"+5="&amp;VLOOKUP(MOD(VLOOKUP($B29-1,开奖记录!$A:$L,3,FALSE)+4,49)+1,规律参数!$A:$C,3,FALSE),"")</f>
        <v/>
      </c>
      <c r="M29" s="32">
        <f>IF(L29="","",IF(I29="","待开奖",IF(ISNUMBER(SEARCH(I29,L29)),"命中","未命中")))</f>
        <v/>
      </c>
      <c r="N29" s="32">
        <f>IFERROR(VLOOKUP(VLOOKUP($B29-1,开奖记录!$A:$L,11,FALSE),八肖参数!$A:$B,2,FALSE),"")</f>
        <v/>
      </c>
      <c r="O29" s="32">
        <f>IF(N29="","",IF(I29="","待开奖",IF(ISNUMBER(SEARCH(I29,N29)),"命中","未命中")))</f>
        <v/>
      </c>
    </row>
    <row r="30" ht="23" customHeight="1" s="21">
      <c r="A30" s="32" t="n">
        <v>29</v>
      </c>
      <c r="B30" s="32" t="n">
        <v>2026029</v>
      </c>
      <c r="C30" s="33" t="inlineStr">
        <is>
          <t>蛇 01</t>
        </is>
      </c>
      <c r="D30" s="34" t="n"/>
      <c r="E30" s="34" t="n">
        <v>1170</v>
      </c>
      <c r="F30" s="34">
        <f>IF(COUNTA(D30:E30)=0,"",N(D30)-N(E30))</f>
        <v/>
      </c>
      <c r="G30" s="32">
        <f>IFERROR(VLOOKUP($B30,'开奖记录'!$A:$K,2,FALSE),"")</f>
        <v/>
      </c>
      <c r="H30" s="32">
        <f>IFERROR(VLOOKUP($B30,'开奖记录'!$A:$K,9,FALSE),"")</f>
        <v/>
      </c>
      <c r="I30" s="32">
        <f>IFERROR(VLOOKUP($B30,'开奖记录'!$A:$K,11,FALSE),"")</f>
        <v/>
      </c>
      <c r="J30" s="32">
        <f>IF($B30="","",IF(ISNUMBER($D30),"命中",IF(ISNUMBER($E30),"未命中","")))</f>
        <v/>
      </c>
      <c r="K30" s="35" t="inlineStr"/>
      <c r="L30" s="32">
        <f>IFERROR(TEXT(VLOOKUP($B30-1,开奖记录!$A:$L,3,FALSE),"00")&amp;"+5="&amp;VLOOKUP(MOD(VLOOKUP($B30-1,开奖记录!$A:$L,3,FALSE)+4,49)+1,规律参数!$A:$C,3,FALSE),"")</f>
        <v/>
      </c>
      <c r="M30" s="32">
        <f>IF(L30="","",IF(I30="","待开奖",IF(ISNUMBER(SEARCH(I30,L30)),"命中","未命中")))</f>
        <v/>
      </c>
      <c r="N30" s="32">
        <f>IFERROR(VLOOKUP(VLOOKUP($B30-1,开奖记录!$A:$L,11,FALSE),八肖参数!$A:$B,2,FALSE),"")</f>
        <v/>
      </c>
      <c r="O30" s="32">
        <f>IF(N30="","",IF(I30="","待开奖",IF(ISNUMBER(SEARCH(I30,N30)),"命中","未命中")))</f>
        <v/>
      </c>
    </row>
    <row r="31" ht="23" customHeight="1" s="21">
      <c r="A31" s="32" t="n">
        <v>30</v>
      </c>
      <c r="B31" s="32" t="n">
        <v>2026030</v>
      </c>
      <c r="C31" s="33" t="inlineStr">
        <is>
          <t xml:space="preserve">牛 41 </t>
        </is>
      </c>
      <c r="D31" s="34" t="n">
        <v>130</v>
      </c>
      <c r="E31" s="34" t="n"/>
      <c r="F31" s="34">
        <f>IF(COUNTA(D31:E31)=0,"",N(D31)-N(E31))</f>
        <v/>
      </c>
      <c r="G31" s="32">
        <f>IFERROR(VLOOKUP($B31,'开奖记录'!$A:$K,2,FALSE),"")</f>
        <v/>
      </c>
      <c r="H31" s="32">
        <f>IFERROR(VLOOKUP($B31,'开奖记录'!$A:$K,9,FALSE),"")</f>
        <v/>
      </c>
      <c r="I31" s="32">
        <f>IFERROR(VLOOKUP($B31,'开奖记录'!$A:$K,11,FALSE),"")</f>
        <v/>
      </c>
      <c r="J31" s="32">
        <f>IF($B31="","",IF(ISNUMBER($D31),"命中",IF(ISNUMBER($E31),"未命中","")))</f>
        <v/>
      </c>
      <c r="K31" s="35" t="inlineStr"/>
      <c r="L31" s="32">
        <f>IFERROR(TEXT(VLOOKUP($B31-1,开奖记录!$A:$L,3,FALSE),"00")&amp;"+5="&amp;VLOOKUP(MOD(VLOOKUP($B31-1,开奖记录!$A:$L,3,FALSE)+4,49)+1,规律参数!$A:$C,3,FALSE),"")</f>
        <v/>
      </c>
      <c r="M31" s="32">
        <f>IF(L31="","",IF(I31="","待开奖",IF(ISNUMBER(SEARCH(I31,L31)),"命中","未命中")))</f>
        <v/>
      </c>
      <c r="N31" s="32">
        <f>IFERROR(VLOOKUP(VLOOKUP($B31-1,开奖记录!$A:$L,11,FALSE),八肖参数!$A:$B,2,FALSE),"")</f>
        <v/>
      </c>
      <c r="O31" s="32">
        <f>IF(N31="","",IF(I31="","待开奖",IF(ISNUMBER(SEARCH(I31,N31)),"命中","未命中")))</f>
        <v/>
      </c>
    </row>
    <row r="32" ht="23" customHeight="1" s="21">
      <c r="A32" s="32" t="n">
        <v>31</v>
      </c>
      <c r="B32" s="32" t="n">
        <v>2026031</v>
      </c>
      <c r="C32" s="33" t="inlineStr">
        <is>
          <t>龙26</t>
        </is>
      </c>
      <c r="D32" s="34" t="n">
        <v>25</v>
      </c>
      <c r="E32" s="34" t="n"/>
      <c r="F32" s="34">
        <f>IF(COUNTA(D32:E32)=0,"",N(D32)-N(E32))</f>
        <v/>
      </c>
      <c r="G32" s="32">
        <f>IFERROR(VLOOKUP($B32,'开奖记录'!$A:$K,2,FALSE),"")</f>
        <v/>
      </c>
      <c r="H32" s="32">
        <f>IFERROR(VLOOKUP($B32,'开奖记录'!$A:$K,9,FALSE),"")</f>
        <v/>
      </c>
      <c r="I32" s="32">
        <f>IFERROR(VLOOKUP($B32,'开奖记录'!$A:$K,11,FALSE),"")</f>
        <v/>
      </c>
      <c r="J32" s="32">
        <f>IF($B32="","",IF(ISNUMBER($D32),"命中",IF(ISNUMBER($E32),"未命中","")))</f>
        <v/>
      </c>
      <c r="K32" s="35" t="inlineStr"/>
      <c r="L32" s="32">
        <f>IFERROR(TEXT(VLOOKUP($B32-1,开奖记录!$A:$L,3,FALSE),"00")&amp;"+5="&amp;VLOOKUP(MOD(VLOOKUP($B32-1,开奖记录!$A:$L,3,FALSE)+4,49)+1,规律参数!$A:$C,3,FALSE),"")</f>
        <v/>
      </c>
      <c r="M32" s="32">
        <f>IF(L32="","",IF(I32="","待开奖",IF(ISNUMBER(SEARCH(I32,L32)),"命中","未命中")))</f>
        <v/>
      </c>
      <c r="N32" s="32">
        <f>IFERROR(VLOOKUP(VLOOKUP($B32-1,开奖记录!$A:$L,11,FALSE),八肖参数!$A:$B,2,FALSE),"")</f>
        <v/>
      </c>
      <c r="O32" s="32">
        <f>IF(N32="","",IF(I32="","待开奖",IF(ISNUMBER(SEARCH(I32,N32)),"命中","未命中")))</f>
        <v/>
      </c>
    </row>
    <row r="33" ht="23" customHeight="1" s="21">
      <c r="A33" s="32" t="n">
        <v>32</v>
      </c>
      <c r="B33" s="32" t="n">
        <v>2026032</v>
      </c>
      <c r="C33" s="33" t="inlineStr">
        <is>
          <t>鼠06</t>
        </is>
      </c>
      <c r="D33" s="34" t="n"/>
      <c r="E33" s="34" t="n">
        <v>750</v>
      </c>
      <c r="F33" s="34">
        <f>IF(COUNTA(D33:E33)=0,"",N(D33)-N(E33))</f>
        <v/>
      </c>
      <c r="G33" s="32">
        <f>IFERROR(VLOOKUP($B33,'开奖记录'!$A:$K,2,FALSE),"")</f>
        <v/>
      </c>
      <c r="H33" s="32">
        <f>IFERROR(VLOOKUP($B33,'开奖记录'!$A:$K,9,FALSE),"")</f>
        <v/>
      </c>
      <c r="I33" s="32">
        <f>IFERROR(VLOOKUP($B33,'开奖记录'!$A:$K,11,FALSE),"")</f>
        <v/>
      </c>
      <c r="J33" s="32">
        <f>IF($B33="","",IF(ISNUMBER($D33),"命中",IF(ISNUMBER($E33),"未命中","")))</f>
        <v/>
      </c>
      <c r="K33" s="35" t="inlineStr"/>
      <c r="L33" s="32">
        <f>IFERROR(TEXT(VLOOKUP($B33-1,开奖记录!$A:$L,3,FALSE),"00")&amp;"+5="&amp;VLOOKUP(MOD(VLOOKUP($B33-1,开奖记录!$A:$L,3,FALSE)+4,49)+1,规律参数!$A:$C,3,FALSE),"")</f>
        <v/>
      </c>
      <c r="M33" s="32">
        <f>IF(L33="","",IF(I33="","待开奖",IF(ISNUMBER(SEARCH(I33,L33)),"命中","未命中")))</f>
        <v/>
      </c>
      <c r="N33" s="32">
        <f>IFERROR(VLOOKUP(VLOOKUP($B33-1,开奖记录!$A:$L,11,FALSE),八肖参数!$A:$B,2,FALSE),"")</f>
        <v/>
      </c>
      <c r="O33" s="32">
        <f>IF(N33="","",IF(I33="","待开奖",IF(ISNUMBER(SEARCH(I33,N33)),"命中","未命中")))</f>
        <v/>
      </c>
    </row>
    <row r="34" ht="23" customHeight="1" s="21">
      <c r="A34" s="32" t="n">
        <v>33</v>
      </c>
      <c r="B34" s="32" t="n">
        <v>2026033</v>
      </c>
      <c r="C34" s="33" t="inlineStr">
        <is>
          <t xml:space="preserve">牛 41 </t>
        </is>
      </c>
      <c r="D34" s="34" t="n"/>
      <c r="E34" s="34" t="n">
        <v>650</v>
      </c>
      <c r="F34" s="34">
        <f>IF(COUNTA(D34:E34)=0,"",N(D34)-N(E34))</f>
        <v/>
      </c>
      <c r="G34" s="32">
        <f>IFERROR(VLOOKUP($B34,'开奖记录'!$A:$K,2,FALSE),"")</f>
        <v/>
      </c>
      <c r="H34" s="32">
        <f>IFERROR(VLOOKUP($B34,'开奖记录'!$A:$K,9,FALSE),"")</f>
        <v/>
      </c>
      <c r="I34" s="32">
        <f>IFERROR(VLOOKUP($B34,'开奖记录'!$A:$K,11,FALSE),"")</f>
        <v/>
      </c>
      <c r="J34" s="32">
        <f>IF($B34="","",IF(ISNUMBER($D34),"命中",IF(ISNUMBER($E34),"未命中","")))</f>
        <v/>
      </c>
      <c r="K34" s="35" t="inlineStr"/>
      <c r="L34" s="32">
        <f>IFERROR(TEXT(VLOOKUP($B34-1,开奖记录!$A:$L,3,FALSE),"00")&amp;"+5="&amp;VLOOKUP(MOD(VLOOKUP($B34-1,开奖记录!$A:$L,3,FALSE)+4,49)+1,规律参数!$A:$C,3,FALSE),"")</f>
        <v/>
      </c>
      <c r="M34" s="32">
        <f>IF(L34="","",IF(I34="","待开奖",IF(ISNUMBER(SEARCH(I34,L34)),"命中","未命中")))</f>
        <v/>
      </c>
      <c r="N34" s="32">
        <f>IFERROR(VLOOKUP(VLOOKUP($B34-1,开奖记录!$A:$L,11,FALSE),八肖参数!$A:$B,2,FALSE),"")</f>
        <v/>
      </c>
      <c r="O34" s="32">
        <f>IF(N34="","",IF(I34="","待开奖",IF(ISNUMBER(SEARCH(I34,N34)),"命中","未命中")))</f>
        <v/>
      </c>
    </row>
    <row r="35" ht="23" customHeight="1" s="21">
      <c r="A35" s="32" t="n">
        <v>34</v>
      </c>
      <c r="B35" s="32" t="n">
        <v>2026034</v>
      </c>
      <c r="C35" s="33" t="inlineStr">
        <is>
          <t>猪19</t>
        </is>
      </c>
      <c r="D35" s="34" t="n"/>
      <c r="E35" s="34" t="n">
        <v>940</v>
      </c>
      <c r="F35" s="34">
        <f>IF(COUNTA(D35:E35)=0,"",N(D35)-N(E35))</f>
        <v/>
      </c>
      <c r="G35" s="32">
        <f>IFERROR(VLOOKUP($B35,'开奖记录'!$A:$K,2,FALSE),"")</f>
        <v/>
      </c>
      <c r="H35" s="32">
        <f>IFERROR(VLOOKUP($B35,'开奖记录'!$A:$K,9,FALSE),"")</f>
        <v/>
      </c>
      <c r="I35" s="32">
        <f>IFERROR(VLOOKUP($B35,'开奖记录'!$A:$K,11,FALSE),"")</f>
        <v/>
      </c>
      <c r="J35" s="32">
        <f>IF($B35="","",IF(ISNUMBER($D35),"命中",IF(ISNUMBER($E35),"未命中","")))</f>
        <v/>
      </c>
      <c r="K35" s="35" t="inlineStr"/>
      <c r="L35" s="32">
        <f>IFERROR(TEXT(VLOOKUP($B35-1,开奖记录!$A:$L,3,FALSE),"00")&amp;"+5="&amp;VLOOKUP(MOD(VLOOKUP($B35-1,开奖记录!$A:$L,3,FALSE)+4,49)+1,规律参数!$A:$C,3,FALSE),"")</f>
        <v/>
      </c>
      <c r="M35" s="32">
        <f>IF(L35="","",IF(I35="","待开奖",IF(ISNUMBER(SEARCH(I35,L35)),"命中","未命中")))</f>
        <v/>
      </c>
      <c r="N35" s="32">
        <f>IFERROR(VLOOKUP(VLOOKUP($B35-1,开奖记录!$A:$L,11,FALSE),八肖参数!$A:$B,2,FALSE),"")</f>
        <v/>
      </c>
      <c r="O35" s="32">
        <f>IF(N35="","",IF(I35="","待开奖",IF(ISNUMBER(SEARCH(I35,N35)),"命中","未命中")))</f>
        <v/>
      </c>
    </row>
    <row r="36" ht="23" customHeight="1" s="21">
      <c r="A36" s="32" t="n">
        <v>35</v>
      </c>
      <c r="B36" s="32" t="n">
        <v>2026035</v>
      </c>
      <c r="C36" s="33" t="inlineStr">
        <is>
          <t>兔 27</t>
        </is>
      </c>
      <c r="D36" s="34" t="n"/>
      <c r="E36" s="34" t="n">
        <v>540</v>
      </c>
      <c r="F36" s="34">
        <f>IF(COUNTA(D36:E36)=0,"",N(D36)-N(E36))</f>
        <v/>
      </c>
      <c r="G36" s="32">
        <f>IFERROR(VLOOKUP($B36,'开奖记录'!$A:$K,2,FALSE),"")</f>
        <v/>
      </c>
      <c r="H36" s="32">
        <f>IFERROR(VLOOKUP($B36,'开奖记录'!$A:$K,9,FALSE),"")</f>
        <v/>
      </c>
      <c r="I36" s="32">
        <f>IFERROR(VLOOKUP($B36,'开奖记录'!$A:$K,11,FALSE),"")</f>
        <v/>
      </c>
      <c r="J36" s="32">
        <f>IF($B36="","",IF(ISNUMBER($D36),"命中",IF(ISNUMBER($E36),"未命中","")))</f>
        <v/>
      </c>
      <c r="K36" s="35" t="inlineStr"/>
      <c r="L36" s="32">
        <f>IFERROR(TEXT(VLOOKUP($B36-1,开奖记录!$A:$L,3,FALSE),"00")&amp;"+5="&amp;VLOOKUP(MOD(VLOOKUP($B36-1,开奖记录!$A:$L,3,FALSE)+4,49)+1,规律参数!$A:$C,3,FALSE),"")</f>
        <v/>
      </c>
      <c r="M36" s="32">
        <f>IF(L36="","",IF(I36="","待开奖",IF(ISNUMBER(SEARCH(I36,L36)),"命中","未命中")))</f>
        <v/>
      </c>
      <c r="N36" s="32">
        <f>IFERROR(VLOOKUP(VLOOKUP($B36-1,开奖记录!$A:$L,11,FALSE),八肖参数!$A:$B,2,FALSE),"")</f>
        <v/>
      </c>
      <c r="O36" s="32">
        <f>IF(N36="","",IF(I36="","待开奖",IF(ISNUMBER(SEARCH(I36,N36)),"命中","未命中")))</f>
        <v/>
      </c>
    </row>
    <row r="37" ht="23" customHeight="1" s="21">
      <c r="A37" s="32" t="n">
        <v>36</v>
      </c>
      <c r="B37" s="32" t="n">
        <v>2026036</v>
      </c>
      <c r="C37" s="33" t="inlineStr">
        <is>
          <t>蛇 01</t>
        </is>
      </c>
      <c r="D37" s="34" t="n"/>
      <c r="E37" s="34" t="n">
        <v>480</v>
      </c>
      <c r="F37" s="34">
        <f>IF(COUNTA(D37:E37)=0,"",N(D37)-N(E37))</f>
        <v/>
      </c>
      <c r="G37" s="32">
        <f>IFERROR(VLOOKUP($B37,'开奖记录'!$A:$K,2,FALSE),"")</f>
        <v/>
      </c>
      <c r="H37" s="32">
        <f>IFERROR(VLOOKUP($B37,'开奖记录'!$A:$K,9,FALSE),"")</f>
        <v/>
      </c>
      <c r="I37" s="32">
        <f>IFERROR(VLOOKUP($B37,'开奖记录'!$A:$K,11,FALSE),"")</f>
        <v/>
      </c>
      <c r="J37" s="32">
        <f>IF($B37="","",IF(ISNUMBER($D37),"命中",IF(ISNUMBER($E37),"未命中","")))</f>
        <v/>
      </c>
      <c r="K37" s="35" t="inlineStr"/>
      <c r="L37" s="32">
        <f>IFERROR(TEXT(VLOOKUP($B37-1,开奖记录!$A:$L,3,FALSE),"00")&amp;"+5="&amp;VLOOKUP(MOD(VLOOKUP($B37-1,开奖记录!$A:$L,3,FALSE)+4,49)+1,规律参数!$A:$C,3,FALSE),"")</f>
        <v/>
      </c>
      <c r="M37" s="32">
        <f>IF(L37="","",IF(I37="","待开奖",IF(ISNUMBER(SEARCH(I37,L37)),"命中","未命中")))</f>
        <v/>
      </c>
      <c r="N37" s="32">
        <f>IFERROR(VLOOKUP(VLOOKUP($B37-1,开奖记录!$A:$L,11,FALSE),八肖参数!$A:$B,2,FALSE),"")</f>
        <v/>
      </c>
      <c r="O37" s="32">
        <f>IF(N37="","",IF(I37="","待开奖",IF(ISNUMBER(SEARCH(I37,N37)),"命中","未命中")))</f>
        <v/>
      </c>
    </row>
    <row r="38" ht="23" customHeight="1" s="21">
      <c r="A38" s="32" t="n">
        <v>37</v>
      </c>
      <c r="B38" s="32" t="n">
        <v>2026037</v>
      </c>
      <c r="C38" s="33" t="inlineStr">
        <is>
          <t>猪 43</t>
        </is>
      </c>
      <c r="D38" s="34" t="n"/>
      <c r="E38" s="34" t="n"/>
      <c r="F38" s="34">
        <f>IF(COUNTA(D38:E38)=0,"",N(D38)-N(E38))</f>
        <v/>
      </c>
      <c r="G38" s="32">
        <f>IFERROR(VLOOKUP($B38,'开奖记录'!$A:$K,2,FALSE),"")</f>
        <v/>
      </c>
      <c r="H38" s="32">
        <f>IFERROR(VLOOKUP($B38,'开奖记录'!$A:$K,9,FALSE),"")</f>
        <v/>
      </c>
      <c r="I38" s="32">
        <f>IFERROR(VLOOKUP($B38,'开奖记录'!$A:$K,11,FALSE),"")</f>
        <v/>
      </c>
      <c r="J38" s="32">
        <f>IF($B38="","",IF(ISNUMBER($D38),"命中",IF(ISNUMBER($E38),"未命中","")))</f>
        <v/>
      </c>
      <c r="K38" s="35" t="inlineStr"/>
      <c r="L38" s="32">
        <f>IFERROR(TEXT(VLOOKUP($B38-1,开奖记录!$A:$L,3,FALSE),"00")&amp;"+5="&amp;VLOOKUP(MOD(VLOOKUP($B38-1,开奖记录!$A:$L,3,FALSE)+4,49)+1,规律参数!$A:$C,3,FALSE),"")</f>
        <v/>
      </c>
      <c r="M38" s="32">
        <f>IF(L38="","",IF(I38="","待开奖",IF(ISNUMBER(SEARCH(I38,L38)),"命中","未命中")))</f>
        <v/>
      </c>
      <c r="N38" s="32">
        <f>IFERROR(VLOOKUP(VLOOKUP($B38-1,开奖记录!$A:$L,11,FALSE),八肖参数!$A:$B,2,FALSE),"")</f>
        <v/>
      </c>
      <c r="O38" s="32">
        <f>IF(N38="","",IF(I38="","待开奖",IF(ISNUMBER(SEARCH(I38,N38)),"命中","未命中")))</f>
        <v/>
      </c>
    </row>
    <row r="39" ht="23" customHeight="1" s="21">
      <c r="A39" s="32" t="n">
        <v>38</v>
      </c>
      <c r="B39" s="32" t="n">
        <v>2026038</v>
      </c>
      <c r="C39" s="33" t="inlineStr">
        <is>
          <t>鼠42</t>
        </is>
      </c>
      <c r="D39" s="34" t="n"/>
      <c r="E39" s="34" t="n">
        <v>470</v>
      </c>
      <c r="F39" s="34">
        <f>IF(COUNTA(D39:E39)=0,"",N(D39)-N(E39))</f>
        <v/>
      </c>
      <c r="G39" s="32">
        <f>IFERROR(VLOOKUP($B39,'开奖记录'!$A:$K,2,FALSE),"")</f>
        <v/>
      </c>
      <c r="H39" s="32">
        <f>IFERROR(VLOOKUP($B39,'开奖记录'!$A:$K,9,FALSE),"")</f>
        <v/>
      </c>
      <c r="I39" s="32">
        <f>IFERROR(VLOOKUP($B39,'开奖记录'!$A:$K,11,FALSE),"")</f>
        <v/>
      </c>
      <c r="J39" s="32">
        <f>IF($B39="","",IF(ISNUMBER($D39),"命中",IF(ISNUMBER($E39),"未命中","")))</f>
        <v/>
      </c>
      <c r="K39" s="35" t="inlineStr"/>
      <c r="L39" s="32">
        <f>IFERROR(TEXT(VLOOKUP($B39-1,开奖记录!$A:$L,3,FALSE),"00")&amp;"+5="&amp;VLOOKUP(MOD(VLOOKUP($B39-1,开奖记录!$A:$L,3,FALSE)+4,49)+1,规律参数!$A:$C,3,FALSE),"")</f>
        <v/>
      </c>
      <c r="M39" s="32">
        <f>IF(L39="","",IF(I39="","待开奖",IF(ISNUMBER(SEARCH(I39,L39)),"命中","未命中")))</f>
        <v/>
      </c>
      <c r="N39" s="32">
        <f>IFERROR(VLOOKUP(VLOOKUP($B39-1,开奖记录!$A:$L,11,FALSE),八肖参数!$A:$B,2,FALSE),"")</f>
        <v/>
      </c>
      <c r="O39" s="32">
        <f>IF(N39="","",IF(I39="","待开奖",IF(ISNUMBER(SEARCH(I39,N39)),"命中","未命中")))</f>
        <v/>
      </c>
    </row>
    <row r="40" ht="23" customHeight="1" s="21">
      <c r="A40" s="32" t="n">
        <v>39</v>
      </c>
      <c r="B40" s="32" t="n">
        <v>2026039</v>
      </c>
      <c r="C40" s="33" t="inlineStr">
        <is>
          <t xml:space="preserve">羊 11 </t>
        </is>
      </c>
      <c r="D40" s="34" t="n"/>
      <c r="E40" s="34" t="n">
        <v>195</v>
      </c>
      <c r="F40" s="34">
        <f>IF(COUNTA(D40:E40)=0,"",N(D40)-N(E40))</f>
        <v/>
      </c>
      <c r="G40" s="32">
        <f>IFERROR(VLOOKUP($B40,'开奖记录'!$A:$K,2,FALSE),"")</f>
        <v/>
      </c>
      <c r="H40" s="32">
        <f>IFERROR(VLOOKUP($B40,'开奖记录'!$A:$K,9,FALSE),"")</f>
        <v/>
      </c>
      <c r="I40" s="32">
        <f>IFERROR(VLOOKUP($B40,'开奖记录'!$A:$K,11,FALSE),"")</f>
        <v/>
      </c>
      <c r="J40" s="32">
        <f>IF($B40="","",IF(ISNUMBER($D40),"命中",IF(ISNUMBER($E40),"未命中","")))</f>
        <v/>
      </c>
      <c r="K40" s="35" t="inlineStr"/>
      <c r="L40" s="32">
        <f>IFERROR(TEXT(VLOOKUP($B40-1,开奖记录!$A:$L,3,FALSE),"00")&amp;"+5="&amp;VLOOKUP(MOD(VLOOKUP($B40-1,开奖记录!$A:$L,3,FALSE)+4,49)+1,规律参数!$A:$C,3,FALSE),"")</f>
        <v/>
      </c>
      <c r="M40" s="32">
        <f>IF(L40="","",IF(I40="","待开奖",IF(ISNUMBER(SEARCH(I40,L40)),"命中","未命中")))</f>
        <v/>
      </c>
      <c r="N40" s="32">
        <f>IFERROR(VLOOKUP(VLOOKUP($B40-1,开奖记录!$A:$L,11,FALSE),八肖参数!$A:$B,2,FALSE),"")</f>
        <v/>
      </c>
      <c r="O40" s="32">
        <f>IF(N40="","",IF(I40="","待开奖",IF(ISNUMBER(SEARCH(I40,N40)),"命中","未命中")))</f>
        <v/>
      </c>
    </row>
    <row r="41" ht="23" customHeight="1" s="21">
      <c r="A41" s="32" t="n">
        <v>40</v>
      </c>
      <c r="B41" s="32" t="n">
        <v>2026040</v>
      </c>
      <c r="C41" s="33" t="inlineStr">
        <is>
          <t xml:space="preserve">虎 28 </t>
        </is>
      </c>
      <c r="D41" s="34" t="n">
        <v>210</v>
      </c>
      <c r="E41" s="34" t="n"/>
      <c r="F41" s="34">
        <f>IF(COUNTA(D41:E41)=0,"",N(D41)-N(E41))</f>
        <v/>
      </c>
      <c r="G41" s="32">
        <f>IFERROR(VLOOKUP($B41,'开奖记录'!$A:$K,2,FALSE),"")</f>
        <v/>
      </c>
      <c r="H41" s="32">
        <f>IFERROR(VLOOKUP($B41,'开奖记录'!$A:$K,9,FALSE),"")</f>
        <v/>
      </c>
      <c r="I41" s="32">
        <f>IFERROR(VLOOKUP($B41,'开奖记录'!$A:$K,11,FALSE),"")</f>
        <v/>
      </c>
      <c r="J41" s="32">
        <f>IF($B41="","",IF(ISNUMBER($D41),"命中",IF(ISNUMBER($E41),"未命中","")))</f>
        <v/>
      </c>
      <c r="K41" s="35" t="inlineStr"/>
      <c r="L41" s="32">
        <f>IFERROR(TEXT(VLOOKUP($B41-1,开奖记录!$A:$L,3,FALSE),"00")&amp;"+5="&amp;VLOOKUP(MOD(VLOOKUP($B41-1,开奖记录!$A:$L,3,FALSE)+4,49)+1,规律参数!$A:$C,3,FALSE),"")</f>
        <v/>
      </c>
      <c r="M41" s="32">
        <f>IF(L41="","",IF(I41="","待开奖",IF(ISNUMBER(SEARCH(I41,L41)),"命中","未命中")))</f>
        <v/>
      </c>
      <c r="N41" s="32">
        <f>IFERROR(VLOOKUP(VLOOKUP($B41-1,开奖记录!$A:$L,11,FALSE),八肖参数!$A:$B,2,FALSE),"")</f>
        <v/>
      </c>
      <c r="O41" s="32">
        <f>IF(N41="","",IF(I41="","待开奖",IF(ISNUMBER(SEARCH(I41,N41)),"命中","未命中")))</f>
        <v/>
      </c>
    </row>
    <row r="42" ht="23" customHeight="1" s="21">
      <c r="A42" s="32" t="n">
        <v>41</v>
      </c>
      <c r="B42" s="32" t="n">
        <v>2026041</v>
      </c>
      <c r="C42" s="33" t="inlineStr">
        <is>
          <t>马48</t>
        </is>
      </c>
      <c r="D42" s="34" t="n">
        <v>825</v>
      </c>
      <c r="E42" s="34" t="n"/>
      <c r="F42" s="34">
        <f>IF(COUNTA(D42:E42)=0,"",N(D42)-N(E42))</f>
        <v/>
      </c>
      <c r="G42" s="32">
        <f>IFERROR(VLOOKUP($B42,'开奖记录'!$A:$K,2,FALSE),"")</f>
        <v/>
      </c>
      <c r="H42" s="32">
        <f>IFERROR(VLOOKUP($B42,'开奖记录'!$A:$K,9,FALSE),"")</f>
        <v/>
      </c>
      <c r="I42" s="32">
        <f>IFERROR(VLOOKUP($B42,'开奖记录'!$A:$K,11,FALSE),"")</f>
        <v/>
      </c>
      <c r="J42" s="32">
        <f>IF($B42="","",IF(ISNUMBER($D42),"命中",IF(ISNUMBER($E42),"未命中","")))</f>
        <v/>
      </c>
      <c r="K42" s="35" t="inlineStr"/>
      <c r="L42" s="32">
        <f>IFERROR(TEXT(VLOOKUP($B42-1,开奖记录!$A:$L,3,FALSE),"00")&amp;"+5="&amp;VLOOKUP(MOD(VLOOKUP($B42-1,开奖记录!$A:$L,3,FALSE)+4,49)+1,规律参数!$A:$C,3,FALSE),"")</f>
        <v/>
      </c>
      <c r="M42" s="32">
        <f>IF(L42="","",IF(I42="","待开奖",IF(ISNUMBER(SEARCH(I42,L42)),"命中","未命中")))</f>
        <v/>
      </c>
      <c r="N42" s="32">
        <f>IFERROR(VLOOKUP(VLOOKUP($B42-1,开奖记录!$A:$L,11,FALSE),八肖参数!$A:$B,2,FALSE),"")</f>
        <v/>
      </c>
      <c r="O42" s="32">
        <f>IF(N42="","",IF(I42="","待开奖",IF(ISNUMBER(SEARCH(I42,N42)),"命中","未命中")))</f>
        <v/>
      </c>
    </row>
    <row r="43" ht="23" customHeight="1" s="21">
      <c r="A43" s="32" t="n">
        <v>42</v>
      </c>
      <c r="B43" s="32" t="n">
        <v>2026042</v>
      </c>
      <c r="C43" s="33" t="inlineStr">
        <is>
          <t>虎16</t>
        </is>
      </c>
      <c r="D43" s="34" t="n">
        <v>1070</v>
      </c>
      <c r="E43" s="34" t="n"/>
      <c r="F43" s="34">
        <f>IF(COUNTA(D43:E43)=0,"",N(D43)-N(E43))</f>
        <v/>
      </c>
      <c r="G43" s="32">
        <f>IFERROR(VLOOKUP($B43,'开奖记录'!$A:$K,2,FALSE),"")</f>
        <v/>
      </c>
      <c r="H43" s="32">
        <f>IFERROR(VLOOKUP($B43,'开奖记录'!$A:$K,9,FALSE),"")</f>
        <v/>
      </c>
      <c r="I43" s="32">
        <f>IFERROR(VLOOKUP($B43,'开奖记录'!$A:$K,11,FALSE),"")</f>
        <v/>
      </c>
      <c r="J43" s="32">
        <f>IF($B43="","",IF(ISNUMBER($D43),"命中",IF(ISNUMBER($E43),"未命中","")))</f>
        <v/>
      </c>
      <c r="K43" s="35" t="inlineStr"/>
      <c r="L43" s="32">
        <f>IFERROR(TEXT(VLOOKUP($B43-1,开奖记录!$A:$L,3,FALSE),"00")&amp;"+5="&amp;VLOOKUP(MOD(VLOOKUP($B43-1,开奖记录!$A:$L,3,FALSE)+4,49)+1,规律参数!$A:$C,3,FALSE),"")</f>
        <v/>
      </c>
      <c r="M43" s="32">
        <f>IF(L43="","",IF(I43="","待开奖",IF(ISNUMBER(SEARCH(I43,L43)),"命中","未命中")))</f>
        <v/>
      </c>
      <c r="N43" s="32">
        <f>IFERROR(VLOOKUP(VLOOKUP($B43-1,开奖记录!$A:$L,11,FALSE),八肖参数!$A:$B,2,FALSE),"")</f>
        <v/>
      </c>
      <c r="O43" s="32">
        <f>IF(N43="","",IF(I43="","待开奖",IF(ISNUMBER(SEARCH(I43,N43)),"命中","未命中")))</f>
        <v/>
      </c>
    </row>
    <row r="44" ht="23" customHeight="1" s="21">
      <c r="A44" s="32" t="n">
        <v>43</v>
      </c>
      <c r="B44" s="32" t="n">
        <v>2026043</v>
      </c>
      <c r="C44" s="33" t="inlineStr">
        <is>
          <t>蛇 13</t>
        </is>
      </c>
      <c r="D44" s="34" t="n">
        <v>2680</v>
      </c>
      <c r="E44" s="34" t="n"/>
      <c r="F44" s="34">
        <f>IF(COUNTA(D44:E44)=0,"",N(D44)-N(E44))</f>
        <v/>
      </c>
      <c r="G44" s="32">
        <f>IFERROR(VLOOKUP($B44,'开奖记录'!$A:$K,2,FALSE),"")</f>
        <v/>
      </c>
      <c r="H44" s="32">
        <f>IFERROR(VLOOKUP($B44,'开奖记录'!$A:$K,9,FALSE),"")</f>
        <v/>
      </c>
      <c r="I44" s="32">
        <f>IFERROR(VLOOKUP($B44,'开奖记录'!$A:$K,11,FALSE),"")</f>
        <v/>
      </c>
      <c r="J44" s="32">
        <f>IF($B44="","",IF(ISNUMBER($D44),"命中",IF(ISNUMBER($E44),"未命中","")))</f>
        <v/>
      </c>
      <c r="K44" s="35" t="inlineStr"/>
      <c r="L44" s="32">
        <f>IFERROR(TEXT(VLOOKUP($B44-1,开奖记录!$A:$L,3,FALSE),"00")&amp;"+5="&amp;VLOOKUP(MOD(VLOOKUP($B44-1,开奖记录!$A:$L,3,FALSE)+4,49)+1,规律参数!$A:$C,3,FALSE),"")</f>
        <v/>
      </c>
      <c r="M44" s="32">
        <f>IF(L44="","",IF(I44="","待开奖",IF(ISNUMBER(SEARCH(I44,L44)),"命中","未命中")))</f>
        <v/>
      </c>
      <c r="N44" s="32">
        <f>IFERROR(VLOOKUP(VLOOKUP($B44-1,开奖记录!$A:$L,11,FALSE),八肖参数!$A:$B,2,FALSE),"")</f>
        <v/>
      </c>
      <c r="O44" s="32">
        <f>IF(N44="","",IF(I44="","待开奖",IF(ISNUMBER(SEARCH(I44,N44)),"命中","未命中")))</f>
        <v/>
      </c>
    </row>
    <row r="45" ht="23" customHeight="1" s="21">
      <c r="A45" s="32" t="n">
        <v>44</v>
      </c>
      <c r="B45" s="32" t="n">
        <v>2026044</v>
      </c>
      <c r="C45" s="33" t="inlineStr">
        <is>
          <t>猪19</t>
        </is>
      </c>
      <c r="D45" s="34" t="n"/>
      <c r="E45" s="34" t="n">
        <v>2740</v>
      </c>
      <c r="F45" s="34">
        <f>IF(COUNTA(D45:E45)=0,"",N(D45)-N(E45))</f>
        <v/>
      </c>
      <c r="G45" s="32">
        <f>IFERROR(VLOOKUP($B45,'开奖记录'!$A:$K,2,FALSE),"")</f>
        <v/>
      </c>
      <c r="H45" s="32">
        <f>IFERROR(VLOOKUP($B45,'开奖记录'!$A:$K,9,FALSE),"")</f>
        <v/>
      </c>
      <c r="I45" s="32">
        <f>IFERROR(VLOOKUP($B45,'开奖记录'!$A:$K,11,FALSE),"")</f>
        <v/>
      </c>
      <c r="J45" s="32">
        <f>IF($B45="","",IF(ISNUMBER($D45),"命中",IF(ISNUMBER($E45),"未命中","")))</f>
        <v/>
      </c>
      <c r="K45" s="35" t="inlineStr"/>
      <c r="L45" s="32">
        <f>IFERROR(TEXT(VLOOKUP($B45-1,开奖记录!$A:$L,3,FALSE),"00")&amp;"+5="&amp;VLOOKUP(MOD(VLOOKUP($B45-1,开奖记录!$A:$L,3,FALSE)+4,49)+1,规律参数!$A:$C,3,FALSE),"")</f>
        <v/>
      </c>
      <c r="M45" s="32">
        <f>IF(L45="","",IF(I45="","待开奖",IF(ISNUMBER(SEARCH(I45,L45)),"命中","未命中")))</f>
        <v/>
      </c>
      <c r="N45" s="32">
        <f>IFERROR(VLOOKUP(VLOOKUP($B45-1,开奖记录!$A:$L,11,FALSE),八肖参数!$A:$B,2,FALSE),"")</f>
        <v/>
      </c>
      <c r="O45" s="32">
        <f>IF(N45="","",IF(I45="","待开奖",IF(ISNUMBER(SEARCH(I45,N45)),"命中","未命中")))</f>
        <v/>
      </c>
    </row>
    <row r="46" ht="23" customHeight="1" s="21">
      <c r="A46" s="32" t="n">
        <v>45</v>
      </c>
      <c r="B46" s="32" t="n">
        <v>2026045</v>
      </c>
      <c r="C46" s="33" t="inlineStr">
        <is>
          <t xml:space="preserve">蛇 01 </t>
        </is>
      </c>
      <c r="D46" s="34" t="n"/>
      <c r="E46" s="34" t="n">
        <v>690</v>
      </c>
      <c r="F46" s="34">
        <f>IF(COUNTA(D46:E46)=0,"",N(D46)-N(E46))</f>
        <v/>
      </c>
      <c r="G46" s="32">
        <f>IFERROR(VLOOKUP($B46,'开奖记录'!$A:$K,2,FALSE),"")</f>
        <v/>
      </c>
      <c r="H46" s="32">
        <f>IFERROR(VLOOKUP($B46,'开奖记录'!$A:$K,9,FALSE),"")</f>
        <v/>
      </c>
      <c r="I46" s="32">
        <f>IFERROR(VLOOKUP($B46,'开奖记录'!$A:$K,11,FALSE),"")</f>
        <v/>
      </c>
      <c r="J46" s="32">
        <f>IF($B46="","",IF(ISNUMBER($D46),"命中",IF(ISNUMBER($E46),"未命中","")))</f>
        <v/>
      </c>
      <c r="K46" s="35" t="inlineStr"/>
      <c r="L46" s="32">
        <f>IFERROR(TEXT(VLOOKUP($B46-1,开奖记录!$A:$L,3,FALSE),"00")&amp;"+5="&amp;VLOOKUP(MOD(VLOOKUP($B46-1,开奖记录!$A:$L,3,FALSE)+4,49)+1,规律参数!$A:$C,3,FALSE),"")</f>
        <v/>
      </c>
      <c r="M46" s="32">
        <f>IF(L46="","",IF(I46="","待开奖",IF(ISNUMBER(SEARCH(I46,L46)),"命中","未命中")))</f>
        <v/>
      </c>
      <c r="N46" s="32">
        <f>IFERROR(VLOOKUP(VLOOKUP($B46-1,开奖记录!$A:$L,11,FALSE),八肖参数!$A:$B,2,FALSE),"")</f>
        <v/>
      </c>
      <c r="O46" s="32">
        <f>IF(N46="","",IF(I46="","待开奖",IF(ISNUMBER(SEARCH(I46,N46)),"命中","未命中")))</f>
        <v/>
      </c>
    </row>
    <row r="47" ht="23" customHeight="1" s="21">
      <c r="A47" s="32" t="n">
        <v>46</v>
      </c>
      <c r="B47" s="32" t="n">
        <v>2026046</v>
      </c>
      <c r="C47" s="33" t="inlineStr">
        <is>
          <t>兔 03</t>
        </is>
      </c>
      <c r="D47" s="34" t="n">
        <v>1120</v>
      </c>
      <c r="E47" s="34" t="n"/>
      <c r="F47" s="34">
        <f>IF(COUNTA(D47:E47)=0,"",N(D47)-N(E47))</f>
        <v/>
      </c>
      <c r="G47" s="32">
        <f>IFERROR(VLOOKUP($B47,'开奖记录'!$A:$K,2,FALSE),"")</f>
        <v/>
      </c>
      <c r="H47" s="32">
        <f>IFERROR(VLOOKUP($B47,'开奖记录'!$A:$K,9,FALSE),"")</f>
        <v/>
      </c>
      <c r="I47" s="32">
        <f>IFERROR(VLOOKUP($B47,'开奖记录'!$A:$K,11,FALSE),"")</f>
        <v/>
      </c>
      <c r="J47" s="32">
        <f>IF($B47="","",IF(ISNUMBER($D47),"命中",IF(ISNUMBER($E47),"未命中","")))</f>
        <v/>
      </c>
      <c r="K47" s="35" t="inlineStr"/>
      <c r="L47" s="32">
        <f>IFERROR(TEXT(VLOOKUP($B47-1,开奖记录!$A:$L,3,FALSE),"00")&amp;"+5="&amp;VLOOKUP(MOD(VLOOKUP($B47-1,开奖记录!$A:$L,3,FALSE)+4,49)+1,规律参数!$A:$C,3,FALSE),"")</f>
        <v/>
      </c>
      <c r="M47" s="32">
        <f>IF(L47="","",IF(I47="","待开奖",IF(ISNUMBER(SEARCH(I47,L47)),"命中","未命中")))</f>
        <v/>
      </c>
      <c r="N47" s="32">
        <f>IFERROR(VLOOKUP(VLOOKUP($B47-1,开奖记录!$A:$L,11,FALSE),八肖参数!$A:$B,2,FALSE),"")</f>
        <v/>
      </c>
      <c r="O47" s="32">
        <f>IF(N47="","",IF(I47="","待开奖",IF(ISNUMBER(SEARCH(I47,N47)),"命中","未命中")))</f>
        <v/>
      </c>
    </row>
    <row r="48" ht="23" customHeight="1" s="21">
      <c r="A48" s="32" t="n">
        <v>47</v>
      </c>
      <c r="B48" s="32" t="n">
        <v>2026047</v>
      </c>
      <c r="C48" s="33" t="inlineStr">
        <is>
          <t>兔39</t>
        </is>
      </c>
      <c r="D48" s="34" t="n">
        <v>620</v>
      </c>
      <c r="E48" s="34" t="n"/>
      <c r="F48" s="34">
        <f>IF(COUNTA(D48:E48)=0,"",N(D48)-N(E48))</f>
        <v/>
      </c>
      <c r="G48" s="32">
        <f>IFERROR(VLOOKUP($B48,'开奖记录'!$A:$K,2,FALSE),"")</f>
        <v/>
      </c>
      <c r="H48" s="32">
        <f>IFERROR(VLOOKUP($B48,'开奖记录'!$A:$K,9,FALSE),"")</f>
        <v/>
      </c>
      <c r="I48" s="32">
        <f>IFERROR(VLOOKUP($B48,'开奖记录'!$A:$K,11,FALSE),"")</f>
        <v/>
      </c>
      <c r="J48" s="32">
        <f>IF($B48="","",IF(ISNUMBER($D48),"命中",IF(ISNUMBER($E48),"未命中","")))</f>
        <v/>
      </c>
      <c r="K48" s="35" t="inlineStr"/>
      <c r="L48" s="32">
        <f>IFERROR(TEXT(VLOOKUP($B48-1,开奖记录!$A:$L,3,FALSE),"00")&amp;"+5="&amp;VLOOKUP(MOD(VLOOKUP($B48-1,开奖记录!$A:$L,3,FALSE)+4,49)+1,规律参数!$A:$C,3,FALSE),"")</f>
        <v/>
      </c>
      <c r="M48" s="32">
        <f>IF(L48="","",IF(I48="","待开奖",IF(ISNUMBER(SEARCH(I48,L48)),"命中","未命中")))</f>
        <v/>
      </c>
      <c r="N48" s="32">
        <f>IFERROR(VLOOKUP(VLOOKUP($B48-1,开奖记录!$A:$L,11,FALSE),八肖参数!$A:$B,2,FALSE),"")</f>
        <v/>
      </c>
      <c r="O48" s="32">
        <f>IF(N48="","",IF(I48="","待开奖",IF(ISNUMBER(SEARCH(I48,N48)),"命中","未命中")))</f>
        <v/>
      </c>
    </row>
    <row r="49" ht="23" customHeight="1" s="21">
      <c r="A49" s="32" t="n">
        <v>48</v>
      </c>
      <c r="B49" s="32" t="n">
        <v>2026048</v>
      </c>
      <c r="C49" s="33" t="inlineStr">
        <is>
          <t xml:space="preserve">羊 24 </t>
        </is>
      </c>
      <c r="D49" s="34" t="n"/>
      <c r="E49" s="34" t="n">
        <v>1200</v>
      </c>
      <c r="F49" s="34">
        <f>IF(COUNTA(D49:E49)=0,"",N(D49)-N(E49))</f>
        <v/>
      </c>
      <c r="G49" s="32">
        <f>IFERROR(VLOOKUP($B49,'开奖记录'!$A:$K,2,FALSE),"")</f>
        <v/>
      </c>
      <c r="H49" s="32">
        <f>IFERROR(VLOOKUP($B49,'开奖记录'!$A:$K,9,FALSE),"")</f>
        <v/>
      </c>
      <c r="I49" s="32">
        <f>IFERROR(VLOOKUP($B49,'开奖记录'!$A:$K,11,FALSE),"")</f>
        <v/>
      </c>
      <c r="J49" s="32">
        <f>IF($B49="","",IF(ISNUMBER($D49),"命中",IF(ISNUMBER($E49),"未命中","")))</f>
        <v/>
      </c>
      <c r="K49" s="35" t="inlineStr"/>
      <c r="L49" s="32">
        <f>IFERROR(TEXT(VLOOKUP($B49-1,开奖记录!$A:$L,3,FALSE),"00")&amp;"+5="&amp;VLOOKUP(MOD(VLOOKUP($B49-1,开奖记录!$A:$L,3,FALSE)+4,49)+1,规律参数!$A:$C,3,FALSE),"")</f>
        <v/>
      </c>
      <c r="M49" s="32">
        <f>IF(L49="","",IF(I49="","待开奖",IF(ISNUMBER(SEARCH(I49,L49)),"命中","未命中")))</f>
        <v/>
      </c>
      <c r="N49" s="32">
        <f>IFERROR(VLOOKUP(VLOOKUP($B49-1,开奖记录!$A:$L,11,FALSE),八肖参数!$A:$B,2,FALSE),"")</f>
        <v/>
      </c>
      <c r="O49" s="32">
        <f>IF(N49="","",IF(I49="","待开奖",IF(ISNUMBER(SEARCH(I49,N49)),"命中","未命中")))</f>
        <v/>
      </c>
    </row>
    <row r="50" ht="23" customHeight="1" s="21">
      <c r="A50" s="32" t="n">
        <v>49</v>
      </c>
      <c r="B50" s="32" t="n">
        <v>2026049</v>
      </c>
      <c r="C50" s="33" t="inlineStr">
        <is>
          <t xml:space="preserve">马 13 </t>
        </is>
      </c>
      <c r="D50" s="34" t="n"/>
      <c r="E50" s="34" t="n">
        <v>1150</v>
      </c>
      <c r="F50" s="34">
        <f>IF(COUNTA(D50:E50)=0,"",N(D50)-N(E50))</f>
        <v/>
      </c>
      <c r="G50" s="32">
        <f>IFERROR(VLOOKUP($B50,'开奖记录'!$A:$K,2,FALSE),"")</f>
        <v/>
      </c>
      <c r="H50" s="32">
        <f>IFERROR(VLOOKUP($B50,'开奖记录'!$A:$K,9,FALSE),"")</f>
        <v/>
      </c>
      <c r="I50" s="32">
        <f>IFERROR(VLOOKUP($B50,'开奖记录'!$A:$K,11,FALSE),"")</f>
        <v/>
      </c>
      <c r="J50" s="32">
        <f>IF($B50="","",IF(ISNUMBER($D50),"命中",IF(ISNUMBER($E50),"未命中","")))</f>
        <v/>
      </c>
      <c r="K50" s="35" t="inlineStr"/>
      <c r="L50" s="32">
        <f>IFERROR(TEXT(VLOOKUP($B50-1,开奖记录!$A:$L,3,FALSE),"00")&amp;"+5="&amp;VLOOKUP(MOD(VLOOKUP($B50-1,开奖记录!$A:$L,3,FALSE)+4,49)+1,规律参数!$A:$C,3,FALSE),"")</f>
        <v/>
      </c>
      <c r="M50" s="32">
        <f>IF(L50="","",IF(I50="","待开奖",IF(ISNUMBER(SEARCH(I50,L50)),"命中","未命中")))</f>
        <v/>
      </c>
      <c r="N50" s="32">
        <f>IFERROR(VLOOKUP(VLOOKUP($B50-1,开奖记录!$A:$L,11,FALSE),八肖参数!$A:$B,2,FALSE),"")</f>
        <v/>
      </c>
      <c r="O50" s="32">
        <f>IF(N50="","",IF(I50="","待开奖",IF(ISNUMBER(SEARCH(I50,N50)),"命中","未命中")))</f>
        <v/>
      </c>
    </row>
    <row r="51" ht="23" customHeight="1" s="21">
      <c r="A51" s="32" t="n">
        <v>50</v>
      </c>
      <c r="B51" s="32" t="n">
        <v>2026050</v>
      </c>
      <c r="C51" s="33" t="inlineStr">
        <is>
          <t>猴 23</t>
        </is>
      </c>
      <c r="D51" s="34" t="n"/>
      <c r="E51" s="34" t="n">
        <v>700</v>
      </c>
      <c r="F51" s="34">
        <f>IF(COUNTA(D51:E51)=0,"",N(D51)-N(E51))</f>
        <v/>
      </c>
      <c r="G51" s="32">
        <f>IFERROR(VLOOKUP($B51,'开奖记录'!$A:$K,2,FALSE),"")</f>
        <v/>
      </c>
      <c r="H51" s="32">
        <f>IFERROR(VLOOKUP($B51,'开奖记录'!$A:$K,9,FALSE),"")</f>
        <v/>
      </c>
      <c r="I51" s="32">
        <f>IFERROR(VLOOKUP($B51,'开奖记录'!$A:$K,11,FALSE),"")</f>
        <v/>
      </c>
      <c r="J51" s="32">
        <f>IF($B51="","",IF(ISNUMBER($D51),"命中",IF(ISNUMBER($E51),"未命中","")))</f>
        <v/>
      </c>
      <c r="K51" s="35" t="inlineStr"/>
      <c r="L51" s="32">
        <f>IFERROR(TEXT(VLOOKUP($B51-1,开奖记录!$A:$L,3,FALSE),"00")&amp;"+5="&amp;VLOOKUP(MOD(VLOOKUP($B51-1,开奖记录!$A:$L,3,FALSE)+4,49)+1,规律参数!$A:$C,3,FALSE),"")</f>
        <v/>
      </c>
      <c r="M51" s="32">
        <f>IF(L51="","",IF(I51="","待开奖",IF(ISNUMBER(SEARCH(I51,L51)),"命中","未命中")))</f>
        <v/>
      </c>
      <c r="N51" s="32">
        <f>IFERROR(VLOOKUP(VLOOKUP($B51-1,开奖记录!$A:$L,11,FALSE),八肖参数!$A:$B,2,FALSE),"")</f>
        <v/>
      </c>
      <c r="O51" s="32">
        <f>IF(N51="","",IF(I51="","待开奖",IF(ISNUMBER(SEARCH(I51,N51)),"命中","未命中")))</f>
        <v/>
      </c>
    </row>
    <row r="52" ht="23" customHeight="1" s="21">
      <c r="A52" s="32" t="n">
        <v>51</v>
      </c>
      <c r="B52" s="32" t="n">
        <v>2026051</v>
      </c>
      <c r="C52" s="33" t="inlineStr">
        <is>
          <t>马 01</t>
        </is>
      </c>
      <c r="D52" s="34" t="n"/>
      <c r="E52" s="34" t="n">
        <v>300</v>
      </c>
      <c r="F52" s="34">
        <f>IF(COUNTA(D52:E52)=0,"",N(D52)-N(E52))</f>
        <v/>
      </c>
      <c r="G52" s="32">
        <f>IFERROR(VLOOKUP($B52,'开奖记录'!$A:$K,2,FALSE),"")</f>
        <v/>
      </c>
      <c r="H52" s="32">
        <f>IFERROR(VLOOKUP($B52,'开奖记录'!$A:$K,9,FALSE),"")</f>
        <v/>
      </c>
      <c r="I52" s="32">
        <f>IFERROR(VLOOKUP($B52,'开奖记录'!$A:$K,11,FALSE),"")</f>
        <v/>
      </c>
      <c r="J52" s="32">
        <f>IF($B52="","",IF(ISNUMBER($D52),"命中",IF(ISNUMBER($E52),"未命中","")))</f>
        <v/>
      </c>
      <c r="K52" s="35" t="inlineStr"/>
      <c r="L52" s="32">
        <f>IFERROR(TEXT(VLOOKUP($B52-1,开奖记录!$A:$L,3,FALSE),"00")&amp;"+5="&amp;VLOOKUP(MOD(VLOOKUP($B52-1,开奖记录!$A:$L,3,FALSE)+4,49)+1,规律参数!$A:$C,3,FALSE),"")</f>
        <v/>
      </c>
      <c r="M52" s="32">
        <f>IF(L52="","",IF(I52="","待开奖",IF(ISNUMBER(SEARCH(I52,L52)),"命中","未命中")))</f>
        <v/>
      </c>
      <c r="N52" s="32">
        <f>IFERROR(VLOOKUP(VLOOKUP($B52-1,开奖记录!$A:$L,11,FALSE),八肖参数!$A:$B,2,FALSE),"")</f>
        <v/>
      </c>
      <c r="O52" s="32">
        <f>IF(N52="","",IF(I52="","待开奖",IF(ISNUMBER(SEARCH(I52,N52)),"命中","未命中")))</f>
        <v/>
      </c>
    </row>
    <row r="53" ht="23" customHeight="1" s="21">
      <c r="A53" s="32" t="n">
        <v>52</v>
      </c>
      <c r="B53" s="32" t="n">
        <v>2026052</v>
      </c>
      <c r="C53" s="33" t="inlineStr">
        <is>
          <t xml:space="preserve">蛇 38 </t>
        </is>
      </c>
      <c r="D53" s="34" t="n"/>
      <c r="E53" s="34" t="n">
        <v>275</v>
      </c>
      <c r="F53" s="34">
        <f>IF(COUNTA(D53:E53)=0,"",N(D53)-N(E53))</f>
        <v/>
      </c>
      <c r="G53" s="32">
        <f>IFERROR(VLOOKUP($B53,'开奖记录'!$A:$K,2,FALSE),"")</f>
        <v/>
      </c>
      <c r="H53" s="32">
        <f>IFERROR(VLOOKUP($B53,'开奖记录'!$A:$K,9,FALSE),"")</f>
        <v/>
      </c>
      <c r="I53" s="32">
        <f>IFERROR(VLOOKUP($B53,'开奖记录'!$A:$K,11,FALSE),"")</f>
        <v/>
      </c>
      <c r="J53" s="32">
        <f>IF($B53="","",IF(ISNUMBER($D53),"命中",IF(ISNUMBER($E53),"未命中","")))</f>
        <v/>
      </c>
      <c r="K53" s="35" t="inlineStr"/>
      <c r="L53" s="32">
        <f>IFERROR(TEXT(VLOOKUP($B53-1,开奖记录!$A:$L,3,FALSE),"00")&amp;"+5="&amp;VLOOKUP(MOD(VLOOKUP($B53-1,开奖记录!$A:$L,3,FALSE)+4,49)+1,规律参数!$A:$C,3,FALSE),"")</f>
        <v/>
      </c>
      <c r="M53" s="32">
        <f>IF(L53="","",IF(I53="","待开奖",IF(ISNUMBER(SEARCH(I53,L53)),"命中","未命中")))</f>
        <v/>
      </c>
      <c r="N53" s="32">
        <f>IFERROR(VLOOKUP(VLOOKUP($B53-1,开奖记录!$A:$L,11,FALSE),八肖参数!$A:$B,2,FALSE),"")</f>
        <v/>
      </c>
      <c r="O53" s="32">
        <f>IF(N53="","",IF(I53="","待开奖",IF(ISNUMBER(SEARCH(I53,N53)),"命中","未命中")))</f>
        <v/>
      </c>
    </row>
    <row r="54" ht="23" customHeight="1" s="21">
      <c r="A54" s="32" t="n">
        <v>53</v>
      </c>
      <c r="B54" s="32" t="n">
        <v>2026053</v>
      </c>
      <c r="C54" s="33" t="inlineStr">
        <is>
          <t>龙 15</t>
        </is>
      </c>
      <c r="D54" s="34" t="n"/>
      <c r="E54" s="34" t="n">
        <v>385</v>
      </c>
      <c r="F54" s="34">
        <f>IF(COUNTA(D54:E54)=0,"",N(D54)-N(E54))</f>
        <v/>
      </c>
      <c r="G54" s="32">
        <f>IFERROR(VLOOKUP($B54,'开奖记录'!$A:$K,2,FALSE),"")</f>
        <v/>
      </c>
      <c r="H54" s="32">
        <f>IFERROR(VLOOKUP($B54,'开奖记录'!$A:$K,9,FALSE),"")</f>
        <v/>
      </c>
      <c r="I54" s="32">
        <f>IFERROR(VLOOKUP($B54,'开奖记录'!$A:$K,11,FALSE),"")</f>
        <v/>
      </c>
      <c r="J54" s="32">
        <f>IF($B54="","",IF(ISNUMBER($D54),"命中",IF(ISNUMBER($E54),"未命中","")))</f>
        <v/>
      </c>
      <c r="K54" s="35" t="inlineStr"/>
      <c r="L54" s="32">
        <f>IFERROR(TEXT(VLOOKUP($B54-1,开奖记录!$A:$L,3,FALSE),"00")&amp;"+5="&amp;VLOOKUP(MOD(VLOOKUP($B54-1,开奖记录!$A:$L,3,FALSE)+4,49)+1,规律参数!$A:$C,3,FALSE),"")</f>
        <v/>
      </c>
      <c r="M54" s="32">
        <f>IF(L54="","",IF(I54="","待开奖",IF(ISNUMBER(SEARCH(I54,L54)),"命中","未命中")))</f>
        <v/>
      </c>
      <c r="N54" s="32">
        <f>IFERROR(VLOOKUP(VLOOKUP($B54-1,开奖记录!$A:$L,11,FALSE),八肖参数!$A:$B,2,FALSE),"")</f>
        <v/>
      </c>
      <c r="O54" s="32">
        <f>IF(N54="","",IF(I54="","待开奖",IF(ISNUMBER(SEARCH(I54,N54)),"命中","未命中")))</f>
        <v/>
      </c>
    </row>
    <row r="55" ht="23" customHeight="1" s="21">
      <c r="A55" s="32" t="n">
        <v>54</v>
      </c>
      <c r="B55" s="32" t="n">
        <v>2026054</v>
      </c>
      <c r="C55" s="33" t="inlineStr">
        <is>
          <t xml:space="preserve">羊 48 </t>
        </is>
      </c>
      <c r="D55" s="34" t="n"/>
      <c r="E55" s="34" t="n">
        <v>240</v>
      </c>
      <c r="F55" s="34">
        <f>IF(COUNTA(D55:E55)=0,"",N(D55)-N(E55))</f>
        <v/>
      </c>
      <c r="G55" s="32">
        <f>IFERROR(VLOOKUP($B55,'开奖记录'!$A:$K,2,FALSE),"")</f>
        <v/>
      </c>
      <c r="H55" s="32">
        <f>IFERROR(VLOOKUP($B55,'开奖记录'!$A:$K,9,FALSE),"")</f>
        <v/>
      </c>
      <c r="I55" s="32">
        <f>IFERROR(VLOOKUP($B55,'开奖记录'!$A:$K,11,FALSE),"")</f>
        <v/>
      </c>
      <c r="J55" s="32">
        <f>IF($B55="","",IF(ISNUMBER($D55),"命中",IF(ISNUMBER($E55),"未命中","")))</f>
        <v/>
      </c>
      <c r="K55" s="35" t="inlineStr"/>
      <c r="L55" s="32">
        <f>IFERROR(TEXT(VLOOKUP($B55-1,开奖记录!$A:$L,3,FALSE),"00")&amp;"+5="&amp;VLOOKUP(MOD(VLOOKUP($B55-1,开奖记录!$A:$L,3,FALSE)+4,49)+1,规律参数!$A:$C,3,FALSE),"")</f>
        <v/>
      </c>
      <c r="M55" s="32">
        <f>IF(L55="","",IF(I55="","待开奖",IF(ISNUMBER(SEARCH(I55,L55)),"命中","未命中")))</f>
        <v/>
      </c>
      <c r="N55" s="32">
        <f>IFERROR(VLOOKUP(VLOOKUP($B55-1,开奖记录!$A:$L,11,FALSE),八肖参数!$A:$B,2,FALSE),"")</f>
        <v/>
      </c>
      <c r="O55" s="32">
        <f>IF(N55="","",IF(I55="","待开奖",IF(ISNUMBER(SEARCH(I55,N55)),"命中","未命中")))</f>
        <v/>
      </c>
    </row>
    <row r="56" ht="23" customHeight="1" s="21">
      <c r="A56" s="32" t="n">
        <v>55</v>
      </c>
      <c r="B56" s="32" t="n">
        <v>2026055</v>
      </c>
      <c r="C56" s="33" t="inlineStr">
        <is>
          <t xml:space="preserve">蛇 14 </t>
        </is>
      </c>
      <c r="D56" s="34" t="n"/>
      <c r="E56" s="34" t="n">
        <v>340</v>
      </c>
      <c r="F56" s="34">
        <f>IF(COUNTA(D56:E56)=0,"",N(D56)-N(E56))</f>
        <v/>
      </c>
      <c r="G56" s="32">
        <f>IFERROR(VLOOKUP($B56,'开奖记录'!$A:$K,2,FALSE),"")</f>
        <v/>
      </c>
      <c r="H56" s="32">
        <f>IFERROR(VLOOKUP($B56,'开奖记录'!$A:$K,9,FALSE),"")</f>
        <v/>
      </c>
      <c r="I56" s="32">
        <f>IFERROR(VLOOKUP($B56,'开奖记录'!$A:$K,11,FALSE),"")</f>
        <v/>
      </c>
      <c r="J56" s="32">
        <f>IF($B56="","",IF(ISNUMBER($D56),"命中",IF(ISNUMBER($E56),"未命中","")))</f>
        <v/>
      </c>
      <c r="K56" s="35" t="inlineStr"/>
      <c r="L56" s="32">
        <f>IFERROR(TEXT(VLOOKUP($B56-1,开奖记录!$A:$L,3,FALSE),"00")&amp;"+5="&amp;VLOOKUP(MOD(VLOOKUP($B56-1,开奖记录!$A:$L,3,FALSE)+4,49)+1,规律参数!$A:$C,3,FALSE),"")</f>
        <v/>
      </c>
      <c r="M56" s="32">
        <f>IF(L56="","",IF(I56="","待开奖",IF(ISNUMBER(SEARCH(I56,L56)),"命中","未命中")))</f>
        <v/>
      </c>
      <c r="N56" s="32">
        <f>IFERROR(VLOOKUP(VLOOKUP($B56-1,开奖记录!$A:$L,11,FALSE),八肖参数!$A:$B,2,FALSE),"")</f>
        <v/>
      </c>
      <c r="O56" s="32">
        <f>IF(N56="","",IF(I56="","待开奖",IF(ISNUMBER(SEARCH(I56,N56)),"命中","未命中")))</f>
        <v/>
      </c>
    </row>
    <row r="57" ht="23" customHeight="1" s="21">
      <c r="A57" s="32" t="n">
        <v>56</v>
      </c>
      <c r="B57" s="32" t="n">
        <v>2026056</v>
      </c>
      <c r="C57" s="33" t="inlineStr">
        <is>
          <t xml:space="preserve">羊 48 </t>
        </is>
      </c>
      <c r="D57" s="34" t="n"/>
      <c r="E57" s="34" t="n">
        <v>150</v>
      </c>
      <c r="F57" s="34">
        <f>IF(COUNTA(D57:E57)=0,"",N(D57)-N(E57))</f>
        <v/>
      </c>
      <c r="G57" s="32">
        <f>IFERROR(VLOOKUP($B57,'开奖记录'!$A:$K,2,FALSE),"")</f>
        <v/>
      </c>
      <c r="H57" s="32">
        <f>IFERROR(VLOOKUP($B57,'开奖记录'!$A:$K,9,FALSE),"")</f>
        <v/>
      </c>
      <c r="I57" s="32">
        <f>IFERROR(VLOOKUP($B57,'开奖记录'!$A:$K,11,FALSE),"")</f>
        <v/>
      </c>
      <c r="J57" s="32">
        <f>IF($B57="","",IF(ISNUMBER($D57),"命中",IF(ISNUMBER($E57),"未命中","")))</f>
        <v/>
      </c>
      <c r="K57" s="35" t="inlineStr"/>
      <c r="L57" s="32">
        <f>IFERROR(TEXT(VLOOKUP($B57-1,开奖记录!$A:$L,3,FALSE),"00")&amp;"+5="&amp;VLOOKUP(MOD(VLOOKUP($B57-1,开奖记录!$A:$L,3,FALSE)+4,49)+1,规律参数!$A:$C,3,FALSE),"")</f>
        <v/>
      </c>
      <c r="M57" s="32">
        <f>IF(L57="","",IF(I57="","待开奖",IF(ISNUMBER(SEARCH(I57,L57)),"命中","未命中")))</f>
        <v/>
      </c>
      <c r="N57" s="32">
        <f>IFERROR(VLOOKUP(VLOOKUP($B57-1,开奖记录!$A:$L,11,FALSE),八肖参数!$A:$B,2,FALSE),"")</f>
        <v/>
      </c>
      <c r="O57" s="32">
        <f>IF(N57="","",IF(I57="","待开奖",IF(ISNUMBER(SEARCH(I57,N57)),"命中","未命中")))</f>
        <v/>
      </c>
    </row>
    <row r="58" ht="23" customHeight="1" s="21">
      <c r="A58" s="32" t="n">
        <v>57</v>
      </c>
      <c r="B58" s="32" t="n">
        <v>2026057</v>
      </c>
      <c r="C58" s="33" t="inlineStr">
        <is>
          <t>猴 23</t>
        </is>
      </c>
      <c r="D58" s="34" t="n"/>
      <c r="E58" s="34" t="n"/>
      <c r="F58" s="34">
        <f>IF(COUNTA(D58:E58)=0,"",N(D58)-N(E58))</f>
        <v/>
      </c>
      <c r="G58" s="32">
        <f>IFERROR(VLOOKUP($B58,'开奖记录'!$A:$K,2,FALSE),"")</f>
        <v/>
      </c>
      <c r="H58" s="32">
        <f>IFERROR(VLOOKUP($B58,'开奖记录'!$A:$K,9,FALSE),"")</f>
        <v/>
      </c>
      <c r="I58" s="32">
        <f>IFERROR(VLOOKUP($B58,'开奖记录'!$A:$K,11,FALSE),"")</f>
        <v/>
      </c>
      <c r="J58" s="32">
        <f>IF($B58="","",IF(ISNUMBER($D58),"命中",IF(ISNUMBER($E58),"未命中","")))</f>
        <v/>
      </c>
      <c r="K58" s="35" t="inlineStr"/>
      <c r="L58" s="32">
        <f>IFERROR(TEXT(VLOOKUP($B58-1,开奖记录!$A:$L,3,FALSE),"00")&amp;"+5="&amp;VLOOKUP(MOD(VLOOKUP($B58-1,开奖记录!$A:$L,3,FALSE)+4,49)+1,规律参数!$A:$C,3,FALSE),"")</f>
        <v/>
      </c>
      <c r="M58" s="32">
        <f>IF(L58="","",IF(I58="","待开奖",IF(ISNUMBER(SEARCH(I58,L58)),"命中","未命中")))</f>
        <v/>
      </c>
      <c r="N58" s="32">
        <f>IFERROR(VLOOKUP(VLOOKUP($B58-1,开奖记录!$A:$L,11,FALSE),八肖参数!$A:$B,2,FALSE),"")</f>
        <v/>
      </c>
      <c r="O58" s="32">
        <f>IF(N58="","",IF(I58="","待开奖",IF(ISNUMBER(SEARCH(I58,N58)),"命中","未命中")))</f>
        <v/>
      </c>
    </row>
    <row r="59" ht="23" customHeight="1" s="21">
      <c r="A59" s="32" t="n">
        <v>58</v>
      </c>
      <c r="B59" s="32" t="n">
        <v>2026058</v>
      </c>
      <c r="C59" s="33" t="inlineStr">
        <is>
          <t xml:space="preserve">鼠 31 </t>
        </is>
      </c>
      <c r="D59" s="34" t="n"/>
      <c r="E59" s="34" t="n">
        <v>130</v>
      </c>
      <c r="F59" s="34">
        <f>IF(COUNTA(D59:E59)=0,"",N(D59)-N(E59))</f>
        <v/>
      </c>
      <c r="G59" s="32">
        <f>IFERROR(VLOOKUP($B59,'开奖记录'!$A:$K,2,FALSE),"")</f>
        <v/>
      </c>
      <c r="H59" s="32">
        <f>IFERROR(VLOOKUP($B59,'开奖记录'!$A:$K,9,FALSE),"")</f>
        <v/>
      </c>
      <c r="I59" s="32">
        <f>IFERROR(VLOOKUP($B59,'开奖记录'!$A:$K,11,FALSE),"")</f>
        <v/>
      </c>
      <c r="J59" s="32">
        <f>IF($B59="","",IF(ISNUMBER($D59),"命中",IF(ISNUMBER($E59),"未命中","")))</f>
        <v/>
      </c>
      <c r="K59" s="35" t="inlineStr"/>
      <c r="L59" s="32">
        <f>IFERROR(TEXT(VLOOKUP($B59-1,开奖记录!$A:$L,3,FALSE),"00")&amp;"+5="&amp;VLOOKUP(MOD(VLOOKUP($B59-1,开奖记录!$A:$L,3,FALSE)+4,49)+1,规律参数!$A:$C,3,FALSE),"")</f>
        <v/>
      </c>
      <c r="M59" s="32">
        <f>IF(L59="","",IF(I59="","待开奖",IF(ISNUMBER(SEARCH(I59,L59)),"命中","未命中")))</f>
        <v/>
      </c>
      <c r="N59" s="32">
        <f>IFERROR(VLOOKUP(VLOOKUP($B59-1,开奖记录!$A:$L,11,FALSE),八肖参数!$A:$B,2,FALSE),"")</f>
        <v/>
      </c>
      <c r="O59" s="32">
        <f>IF(N59="","",IF(I59="","待开奖",IF(ISNUMBER(SEARCH(I59,N59)),"命中","未命中")))</f>
        <v/>
      </c>
    </row>
    <row r="60" ht="23" customHeight="1" s="21">
      <c r="A60" s="32" t="n">
        <v>59</v>
      </c>
      <c r="B60" s="32" t="n">
        <v>2026059</v>
      </c>
      <c r="C60" s="33" t="inlineStr">
        <is>
          <t>鸡 10</t>
        </is>
      </c>
      <c r="D60" s="34" t="n">
        <v>215</v>
      </c>
      <c r="E60" s="34" t="n"/>
      <c r="F60" s="34">
        <f>IF(COUNTA(D60:E60)=0,"",N(D60)-N(E60))</f>
        <v/>
      </c>
      <c r="G60" s="32">
        <f>IFERROR(VLOOKUP($B60,'开奖记录'!$A:$K,2,FALSE),"")</f>
        <v/>
      </c>
      <c r="H60" s="32">
        <f>IFERROR(VLOOKUP($B60,'开奖记录'!$A:$K,9,FALSE),"")</f>
        <v/>
      </c>
      <c r="I60" s="32">
        <f>IFERROR(VLOOKUP($B60,'开奖记录'!$A:$K,11,FALSE),"")</f>
        <v/>
      </c>
      <c r="J60" s="32">
        <f>IF($B60="","",IF(ISNUMBER($D60),"命中",IF(ISNUMBER($E60),"未命中","")))</f>
        <v/>
      </c>
      <c r="K60" s="35" t="inlineStr"/>
      <c r="L60" s="32">
        <f>IFERROR(TEXT(VLOOKUP($B60-1,开奖记录!$A:$L,3,FALSE),"00")&amp;"+5="&amp;VLOOKUP(MOD(VLOOKUP($B60-1,开奖记录!$A:$L,3,FALSE)+4,49)+1,规律参数!$A:$C,3,FALSE),"")</f>
        <v/>
      </c>
      <c r="M60" s="32">
        <f>IF(L60="","",IF(I60="","待开奖",IF(ISNUMBER(SEARCH(I60,L60)),"命中","未命中")))</f>
        <v/>
      </c>
      <c r="N60" s="32">
        <f>IFERROR(VLOOKUP(VLOOKUP($B60-1,开奖记录!$A:$L,11,FALSE),八肖参数!$A:$B,2,FALSE),"")</f>
        <v/>
      </c>
      <c r="O60" s="32">
        <f>IF(N60="","",IF(I60="","待开奖",IF(ISNUMBER(SEARCH(I60,N60)),"命中","未命中")))</f>
        <v/>
      </c>
    </row>
    <row r="61" ht="23" customHeight="1" s="21">
      <c r="A61" s="32" t="n">
        <v>60</v>
      </c>
      <c r="B61" s="32" t="n">
        <v>2026060</v>
      </c>
      <c r="C61" s="33" t="inlineStr">
        <is>
          <t xml:space="preserve">狗 09 </t>
        </is>
      </c>
      <c r="D61" s="34" t="n"/>
      <c r="E61" s="34" t="n"/>
      <c r="F61" s="34">
        <f>IF(COUNTA(D61:E61)=0,"",N(D61)-N(E61))</f>
        <v/>
      </c>
      <c r="G61" s="32">
        <f>IFERROR(VLOOKUP($B61,'开奖记录'!$A:$K,2,FALSE),"")</f>
        <v/>
      </c>
      <c r="H61" s="32">
        <f>IFERROR(VLOOKUP($B61,'开奖记录'!$A:$K,9,FALSE),"")</f>
        <v/>
      </c>
      <c r="I61" s="32">
        <f>IFERROR(VLOOKUP($B61,'开奖记录'!$A:$K,11,FALSE),"")</f>
        <v/>
      </c>
      <c r="J61" s="32">
        <f>IF($B61="","",IF(ISNUMBER($D61),"命中",IF(ISNUMBER($E61),"未命中","")))</f>
        <v/>
      </c>
      <c r="K61" s="35" t="inlineStr"/>
      <c r="L61" s="32">
        <f>IFERROR(TEXT(VLOOKUP($B61-1,开奖记录!$A:$L,3,FALSE),"00")&amp;"+5="&amp;VLOOKUP(MOD(VLOOKUP($B61-1,开奖记录!$A:$L,3,FALSE)+4,49)+1,规律参数!$A:$C,3,FALSE),"")</f>
        <v/>
      </c>
      <c r="M61" s="32">
        <f>IF(L61="","",IF(I61="","待开奖",IF(ISNUMBER(SEARCH(I61,L61)),"命中","未命中")))</f>
        <v/>
      </c>
      <c r="N61" s="32">
        <f>IFERROR(VLOOKUP(VLOOKUP($B61-1,开奖记录!$A:$L,11,FALSE),八肖参数!$A:$B,2,FALSE),"")</f>
        <v/>
      </c>
      <c r="O61" s="32">
        <f>IF(N61="","",IF(I61="","待开奖",IF(ISNUMBER(SEARCH(I61,N61)),"命中","未命中")))</f>
        <v/>
      </c>
    </row>
    <row r="62" ht="23" customHeight="1" s="21">
      <c r="A62" s="32" t="n">
        <v>61</v>
      </c>
      <c r="B62" s="32" t="n">
        <v>2026061</v>
      </c>
      <c r="C62" s="33" t="inlineStr">
        <is>
          <t>虎 29</t>
        </is>
      </c>
      <c r="D62" s="34" t="n"/>
      <c r="E62" s="34" t="n">
        <v>170</v>
      </c>
      <c r="F62" s="34">
        <f>IF(COUNTA(D62:E62)=0,"",N(D62)-N(E62))</f>
        <v/>
      </c>
      <c r="G62" s="32">
        <f>IFERROR(VLOOKUP($B62,'开奖记录'!$A:$K,2,FALSE),"")</f>
        <v/>
      </c>
      <c r="H62" s="32">
        <f>IFERROR(VLOOKUP($B62,'开奖记录'!$A:$K,9,FALSE),"")</f>
        <v/>
      </c>
      <c r="I62" s="32">
        <f>IFERROR(VLOOKUP($B62,'开奖记录'!$A:$K,11,FALSE),"")</f>
        <v/>
      </c>
      <c r="J62" s="32">
        <f>IF($B62="","",IF(ISNUMBER($D62),"命中",IF(ISNUMBER($E62),"未命中","")))</f>
        <v/>
      </c>
      <c r="K62" s="35" t="inlineStr"/>
      <c r="L62" s="32">
        <f>IFERROR(TEXT(VLOOKUP($B62-1,开奖记录!$A:$L,3,FALSE),"00")&amp;"+5="&amp;VLOOKUP(MOD(VLOOKUP($B62-1,开奖记录!$A:$L,3,FALSE)+4,49)+1,规律参数!$A:$C,3,FALSE),"")</f>
        <v/>
      </c>
      <c r="M62" s="32">
        <f>IF(L62="","",IF(I62="","待开奖",IF(ISNUMBER(SEARCH(I62,L62)),"命中","未命中")))</f>
        <v/>
      </c>
      <c r="N62" s="32">
        <f>IFERROR(VLOOKUP(VLOOKUP($B62-1,开奖记录!$A:$L,11,FALSE),八肖参数!$A:$B,2,FALSE),"")</f>
        <v/>
      </c>
      <c r="O62" s="32">
        <f>IF(N62="","",IF(I62="","待开奖",IF(ISNUMBER(SEARCH(I62,N62)),"命中","未命中")))</f>
        <v/>
      </c>
    </row>
    <row r="63" ht="23" customHeight="1" s="21">
      <c r="A63" s="32" t="n">
        <v>62</v>
      </c>
      <c r="B63" s="32" t="n">
        <v>2026062</v>
      </c>
      <c r="C63" s="33" t="inlineStr">
        <is>
          <t xml:space="preserve">羊 24 </t>
        </is>
      </c>
      <c r="D63" s="34" t="n">
        <v>135</v>
      </c>
      <c r="E63" s="34" t="n"/>
      <c r="F63" s="34">
        <f>IF(COUNTA(D63:E63)=0,"",N(D63)-N(E63))</f>
        <v/>
      </c>
      <c r="G63" s="32">
        <f>IFERROR(VLOOKUP($B63,'开奖记录'!$A:$K,2,FALSE),"")</f>
        <v/>
      </c>
      <c r="H63" s="32">
        <f>IFERROR(VLOOKUP($B63,'开奖记录'!$A:$K,9,FALSE),"")</f>
        <v/>
      </c>
      <c r="I63" s="32">
        <f>IFERROR(VLOOKUP($B63,'开奖记录'!$A:$K,11,FALSE),"")</f>
        <v/>
      </c>
      <c r="J63" s="32">
        <f>IF($B63="","",IF(ISNUMBER($D63),"命中",IF(ISNUMBER($E63),"未命中","")))</f>
        <v/>
      </c>
      <c r="K63" s="35" t="inlineStr"/>
      <c r="L63" s="32">
        <f>IFERROR(TEXT(VLOOKUP($B63-1,开奖记录!$A:$L,3,FALSE),"00")&amp;"+5="&amp;VLOOKUP(MOD(VLOOKUP($B63-1,开奖记录!$A:$L,3,FALSE)+4,49)+1,规律参数!$A:$C,3,FALSE),"")</f>
        <v/>
      </c>
      <c r="M63" s="32">
        <f>IF(L63="","",IF(I63="","待开奖",IF(ISNUMBER(SEARCH(I63,L63)),"命中","未命中")))</f>
        <v/>
      </c>
      <c r="N63" s="32">
        <f>IFERROR(VLOOKUP(VLOOKUP($B63-1,开奖记录!$A:$L,11,FALSE),八肖参数!$A:$B,2,FALSE),"")</f>
        <v/>
      </c>
      <c r="O63" s="32">
        <f>IF(N63="","",IF(I63="","待开奖",IF(ISNUMBER(SEARCH(I63,N63)),"命中","未命中")))</f>
        <v/>
      </c>
    </row>
    <row r="64" ht="23" customHeight="1" s="21">
      <c r="A64" s="32" t="n">
        <v>63</v>
      </c>
      <c r="B64" s="32" t="n">
        <v>2026063</v>
      </c>
      <c r="C64" s="33" t="inlineStr">
        <is>
          <t>兔 28</t>
        </is>
      </c>
      <c r="D64" s="34" t="n">
        <v>270</v>
      </c>
      <c r="E64" s="34" t="n"/>
      <c r="F64" s="34">
        <f>IF(COUNTA(D64:E64)=0,"",N(D64)-N(E64))</f>
        <v/>
      </c>
      <c r="G64" s="32">
        <f>IFERROR(VLOOKUP($B64,'开奖记录'!$A:$K,2,FALSE),"")</f>
        <v/>
      </c>
      <c r="H64" s="32">
        <f>IFERROR(VLOOKUP($B64,'开奖记录'!$A:$K,9,FALSE),"")</f>
        <v/>
      </c>
      <c r="I64" s="32">
        <f>IFERROR(VLOOKUP($B64,'开奖记录'!$A:$K,11,FALSE),"")</f>
        <v/>
      </c>
      <c r="J64" s="32">
        <f>IF($B64="","",IF(ISNUMBER($D64),"命中",IF(ISNUMBER($E64),"未命中","")))</f>
        <v/>
      </c>
      <c r="K64" s="35" t="inlineStr"/>
      <c r="L64" s="32">
        <f>IFERROR(TEXT(VLOOKUP($B64-1,开奖记录!$A:$L,3,FALSE),"00")&amp;"+5="&amp;VLOOKUP(MOD(VLOOKUP($B64-1,开奖记录!$A:$L,3,FALSE)+4,49)+1,规律参数!$A:$C,3,FALSE),"")</f>
        <v/>
      </c>
      <c r="M64" s="32">
        <f>IF(L64="","",IF(I64="","待开奖",IF(ISNUMBER(SEARCH(I64,L64)),"命中","未命中")))</f>
        <v/>
      </c>
      <c r="N64" s="32">
        <f>IFERROR(VLOOKUP(VLOOKUP($B64-1,开奖记录!$A:$L,11,FALSE),八肖参数!$A:$B,2,FALSE),"")</f>
        <v/>
      </c>
      <c r="O64" s="32">
        <f>IF(N64="","",IF(I64="","待开奖",IF(ISNUMBER(SEARCH(I64,N64)),"命中","未命中")))</f>
        <v/>
      </c>
    </row>
    <row r="65" ht="23" customHeight="1" s="21">
      <c r="A65" s="32" t="n">
        <v>64</v>
      </c>
      <c r="B65" s="32" t="n">
        <v>2026064</v>
      </c>
      <c r="C65" s="33" t="inlineStr">
        <is>
          <t>牛 28</t>
        </is>
      </c>
      <c r="D65" s="34" t="n"/>
      <c r="E65" s="34" t="n">
        <v>270</v>
      </c>
      <c r="F65" s="34">
        <f>IF(COUNTA(D65:E65)=0,"",N(D65)-N(E65))</f>
        <v/>
      </c>
      <c r="G65" s="32">
        <f>IFERROR(VLOOKUP($B65,'开奖记录'!$A:$K,2,FALSE),"")</f>
        <v/>
      </c>
      <c r="H65" s="32">
        <f>IFERROR(VLOOKUP($B65,'开奖记录'!$A:$K,9,FALSE),"")</f>
        <v/>
      </c>
      <c r="I65" s="32">
        <f>IFERROR(VLOOKUP($B65,'开奖记录'!$A:$K,11,FALSE),"")</f>
        <v/>
      </c>
      <c r="J65" s="32">
        <f>IF($B65="","",IF(ISNUMBER($D65),"命中",IF(ISNUMBER($E65),"未命中","")))</f>
        <v/>
      </c>
      <c r="K65" s="35" t="inlineStr"/>
      <c r="L65" s="32">
        <f>IFERROR(TEXT(VLOOKUP($B65-1,开奖记录!$A:$L,3,FALSE),"00")&amp;"+5="&amp;VLOOKUP(MOD(VLOOKUP($B65-1,开奖记录!$A:$L,3,FALSE)+4,49)+1,规律参数!$A:$C,3,FALSE),"")</f>
        <v/>
      </c>
      <c r="M65" s="32">
        <f>IF(L65="","",IF(I65="","待开奖",IF(ISNUMBER(SEARCH(I65,L65)),"命中","未命中")))</f>
        <v/>
      </c>
      <c r="N65" s="32">
        <f>IFERROR(VLOOKUP(VLOOKUP($B65-1,开奖记录!$A:$L,11,FALSE),八肖参数!$A:$B,2,FALSE),"")</f>
        <v/>
      </c>
      <c r="O65" s="32">
        <f>IF(N65="","",IF(I65="","待开奖",IF(ISNUMBER(SEARCH(I65,N65)),"命中","未命中")))</f>
        <v/>
      </c>
    </row>
    <row r="66" ht="23" customHeight="1" s="21">
      <c r="A66" s="32" t="n">
        <v>65</v>
      </c>
      <c r="B66" s="32" t="n">
        <v>2026065</v>
      </c>
      <c r="C66" s="33" t="inlineStr">
        <is>
          <t xml:space="preserve">虎 05 </t>
        </is>
      </c>
      <c r="D66" s="34" t="n"/>
      <c r="E66" s="34" t="n"/>
      <c r="F66" s="34">
        <f>IF(COUNTA(D66:E66)=0,"",N(D66)-N(E66))</f>
        <v/>
      </c>
      <c r="G66" s="32">
        <f>IFERROR(VLOOKUP($B66,'开奖记录'!$A:$K,2,FALSE),"")</f>
        <v/>
      </c>
      <c r="H66" s="32">
        <f>IFERROR(VLOOKUP($B66,'开奖记录'!$A:$K,9,FALSE),"")</f>
        <v/>
      </c>
      <c r="I66" s="32">
        <f>IFERROR(VLOOKUP($B66,'开奖记录'!$A:$K,11,FALSE),"")</f>
        <v/>
      </c>
      <c r="J66" s="32">
        <f>IF($B66="","",IF(ISNUMBER($D66),"命中",IF(ISNUMBER($E66),"未命中","")))</f>
        <v/>
      </c>
      <c r="K66" s="35" t="inlineStr"/>
      <c r="L66" s="32">
        <f>IFERROR(TEXT(VLOOKUP($B66-1,开奖记录!$A:$L,3,FALSE),"00")&amp;"+5="&amp;VLOOKUP(MOD(VLOOKUP($B66-1,开奖记录!$A:$L,3,FALSE)+4,49)+1,规律参数!$A:$C,3,FALSE),"")</f>
        <v/>
      </c>
      <c r="M66" s="32">
        <f>IF(L66="","",IF(I66="","待开奖",IF(ISNUMBER(SEARCH(I66,L66)),"命中","未命中")))</f>
        <v/>
      </c>
      <c r="N66" s="32">
        <f>IFERROR(VLOOKUP(VLOOKUP($B66-1,开奖记录!$A:$L,11,FALSE),八肖参数!$A:$B,2,FALSE),"")</f>
        <v/>
      </c>
      <c r="O66" s="32">
        <f>IF(N66="","",IF(I66="","待开奖",IF(ISNUMBER(SEARCH(I66,N66)),"命中","未命中")))</f>
        <v/>
      </c>
    </row>
    <row r="67" ht="23" customHeight="1" s="21">
      <c r="A67" s="32" t="n">
        <v>66</v>
      </c>
      <c r="B67" s="32" t="n">
        <v>2026066</v>
      </c>
      <c r="C67" s="33" t="inlineStr">
        <is>
          <t xml:space="preserve">马 37 </t>
        </is>
      </c>
      <c r="D67" s="34" t="n"/>
      <c r="E67" s="34" t="n">
        <v>400</v>
      </c>
      <c r="F67" s="34">
        <f>IF(COUNTA(D67:E67)=0,"",N(D67)-N(E67))</f>
        <v/>
      </c>
      <c r="G67" s="32">
        <f>IFERROR(VLOOKUP($B67,'开奖记录'!$A:$K,2,FALSE),"")</f>
        <v/>
      </c>
      <c r="H67" s="32">
        <f>IFERROR(VLOOKUP($B67,'开奖记录'!$A:$K,9,FALSE),"")</f>
        <v/>
      </c>
      <c r="I67" s="32">
        <f>IFERROR(VLOOKUP($B67,'开奖记录'!$A:$K,11,FALSE),"")</f>
        <v/>
      </c>
      <c r="J67" s="32">
        <f>IF($B67="","",IF(ISNUMBER($D67),"命中",IF(ISNUMBER($E67),"未命中","")))</f>
        <v/>
      </c>
      <c r="K67" s="35" t="inlineStr"/>
      <c r="L67" s="32">
        <f>IFERROR(TEXT(VLOOKUP($B67-1,开奖记录!$A:$L,3,FALSE),"00")&amp;"+5="&amp;VLOOKUP(MOD(VLOOKUP($B67-1,开奖记录!$A:$L,3,FALSE)+4,49)+1,规律参数!$A:$C,3,FALSE),"")</f>
        <v/>
      </c>
      <c r="M67" s="32">
        <f>IF(L67="","",IF(I67="","待开奖",IF(ISNUMBER(SEARCH(I67,L67)),"命中","未命中")))</f>
        <v/>
      </c>
      <c r="N67" s="32">
        <f>IFERROR(VLOOKUP(VLOOKUP($B67-1,开奖记录!$A:$L,11,FALSE),八肖参数!$A:$B,2,FALSE),"")</f>
        <v/>
      </c>
      <c r="O67" s="32">
        <f>IF(N67="","",IF(I67="","待开奖",IF(ISNUMBER(SEARCH(I67,N67)),"命中","未命中")))</f>
        <v/>
      </c>
    </row>
    <row r="68" ht="23" customHeight="1" s="21">
      <c r="A68" s="32" t="n">
        <v>67</v>
      </c>
      <c r="B68" s="32" t="n">
        <v>2026067</v>
      </c>
      <c r="C68" s="33" t="inlineStr">
        <is>
          <t xml:space="preserve">虎 05 </t>
        </is>
      </c>
      <c r="D68" s="34" t="n">
        <v>650</v>
      </c>
      <c r="E68" s="34" t="n"/>
      <c r="F68" s="34">
        <f>IF(COUNTA(D68:E68)=0,"",N(D68)-N(E68))</f>
        <v/>
      </c>
      <c r="G68" s="32">
        <f>IFERROR(VLOOKUP($B68,'开奖记录'!$A:$K,2,FALSE),"")</f>
        <v/>
      </c>
      <c r="H68" s="32">
        <f>IFERROR(VLOOKUP($B68,'开奖记录'!$A:$K,9,FALSE),"")</f>
        <v/>
      </c>
      <c r="I68" s="32">
        <f>IFERROR(VLOOKUP($B68,'开奖记录'!$A:$K,11,FALSE),"")</f>
        <v/>
      </c>
      <c r="J68" s="32">
        <f>IF($B68="","",IF(ISNUMBER($D68),"命中",IF(ISNUMBER($E68),"未命中","")))</f>
        <v/>
      </c>
      <c r="K68" s="35" t="inlineStr"/>
      <c r="L68" s="32">
        <f>IFERROR(TEXT(VLOOKUP($B68-1,开奖记录!$A:$L,3,FALSE),"00")&amp;"+5="&amp;VLOOKUP(MOD(VLOOKUP($B68-1,开奖记录!$A:$L,3,FALSE)+4,49)+1,规律参数!$A:$C,3,FALSE),"")</f>
        <v/>
      </c>
      <c r="M68" s="32">
        <f>IF(L68="","",IF(I68="","待开奖",IF(ISNUMBER(SEARCH(I68,L68)),"命中","未命中")))</f>
        <v/>
      </c>
      <c r="N68" s="32">
        <f>IFERROR(VLOOKUP(VLOOKUP($B68-1,开奖记录!$A:$L,11,FALSE),八肖参数!$A:$B,2,FALSE),"")</f>
        <v/>
      </c>
      <c r="O68" s="32">
        <f>IF(N68="","",IF(I68="","待开奖",IF(ISNUMBER(SEARCH(I68,N68)),"命中","未命中")))</f>
        <v/>
      </c>
    </row>
    <row r="69" ht="23" customHeight="1" s="21">
      <c r="A69" s="32" t="n">
        <v>68</v>
      </c>
      <c r="B69" s="32" t="n">
        <v>2026068</v>
      </c>
      <c r="C69" s="33" t="inlineStr">
        <is>
          <t>猴 23</t>
        </is>
      </c>
      <c r="D69" s="34" t="n"/>
      <c r="E69" s="34" t="n">
        <v>345</v>
      </c>
      <c r="F69" s="34">
        <f>IF(COUNTA(D69:E69)=0,"",N(D69)-N(E69))</f>
        <v/>
      </c>
      <c r="G69" s="32">
        <f>IFERROR(VLOOKUP($B69,'开奖记录'!$A:$K,2,FALSE),"")</f>
        <v/>
      </c>
      <c r="H69" s="32">
        <f>IFERROR(VLOOKUP($B69,'开奖记录'!$A:$K,9,FALSE),"")</f>
        <v/>
      </c>
      <c r="I69" s="32">
        <f>IFERROR(VLOOKUP($B69,'开奖记录'!$A:$K,11,FALSE),"")</f>
        <v/>
      </c>
      <c r="J69" s="32">
        <f>IF($B69="","",IF(ISNUMBER($D69),"命中",IF(ISNUMBER($E69),"未命中","")))</f>
        <v/>
      </c>
      <c r="K69" s="35" t="inlineStr"/>
      <c r="L69" s="32">
        <f>IFERROR(TEXT(VLOOKUP($B69-1,开奖记录!$A:$L,3,FALSE),"00")&amp;"+5="&amp;VLOOKUP(MOD(VLOOKUP($B69-1,开奖记录!$A:$L,3,FALSE)+4,49)+1,规律参数!$A:$C,3,FALSE),"")</f>
        <v/>
      </c>
      <c r="M69" s="32">
        <f>IF(L69="","",IF(I69="","待开奖",IF(ISNUMBER(SEARCH(I69,L69)),"命中","未命中")))</f>
        <v/>
      </c>
      <c r="N69" s="32">
        <f>IFERROR(VLOOKUP(VLOOKUP($B69-1,开奖记录!$A:$L,11,FALSE),八肖参数!$A:$B,2,FALSE),"")</f>
        <v/>
      </c>
      <c r="O69" s="32">
        <f>IF(N69="","",IF(I69="","待开奖",IF(ISNUMBER(SEARCH(I69,N69)),"命中","未命中")))</f>
        <v/>
      </c>
    </row>
    <row r="70" ht="23" customHeight="1" s="21">
      <c r="A70" s="32" t="n">
        <v>69</v>
      </c>
      <c r="B70" s="32" t="n">
        <v>2026069</v>
      </c>
      <c r="C70" s="33" t="inlineStr">
        <is>
          <t xml:space="preserve">羊 24 </t>
        </is>
      </c>
      <c r="D70" s="34" t="n"/>
      <c r="E70" s="34" t="n">
        <v>465</v>
      </c>
      <c r="F70" s="34">
        <f>IF(COUNTA(D70:E70)=0,"",N(D70)-N(E70))</f>
        <v/>
      </c>
      <c r="G70" s="32">
        <f>IFERROR(VLOOKUP($B70,'开奖记录'!$A:$K,2,FALSE),"")</f>
        <v/>
      </c>
      <c r="H70" s="32">
        <f>IFERROR(VLOOKUP($B70,'开奖记录'!$A:$K,9,FALSE),"")</f>
        <v/>
      </c>
      <c r="I70" s="32">
        <f>IFERROR(VLOOKUP($B70,'开奖记录'!$A:$K,11,FALSE),"")</f>
        <v/>
      </c>
      <c r="J70" s="32">
        <f>IF($B70="","",IF(ISNUMBER($D70),"命中",IF(ISNUMBER($E70),"未命中","")))</f>
        <v/>
      </c>
      <c r="K70" s="35" t="inlineStr"/>
      <c r="L70" s="32">
        <f>IFERROR(TEXT(VLOOKUP($B70-1,开奖记录!$A:$L,3,FALSE),"00")&amp;"+5="&amp;VLOOKUP(MOD(VLOOKUP($B70-1,开奖记录!$A:$L,3,FALSE)+4,49)+1,规律参数!$A:$C,3,FALSE),"")</f>
        <v/>
      </c>
      <c r="M70" s="32">
        <f>IF(L70="","",IF(I70="","待开奖",IF(ISNUMBER(SEARCH(I70,L70)),"命中","未命中")))</f>
        <v/>
      </c>
      <c r="N70" s="32">
        <f>IFERROR(VLOOKUP(VLOOKUP($B70-1,开奖记录!$A:$L,11,FALSE),八肖参数!$A:$B,2,FALSE),"")</f>
        <v/>
      </c>
      <c r="O70" s="32">
        <f>IF(N70="","",IF(I70="","待开奖",IF(ISNUMBER(SEARCH(I70,N70)),"命中","未命中")))</f>
        <v/>
      </c>
    </row>
    <row r="71" ht="23" customHeight="1" s="21">
      <c r="A71" s="32" t="n">
        <v>70</v>
      </c>
      <c r="B71" s="32" t="n">
        <v>2026070</v>
      </c>
      <c r="C71" s="33" t="inlineStr">
        <is>
          <t>马24</t>
        </is>
      </c>
      <c r="D71" s="34" t="n"/>
      <c r="E71" s="34" t="n">
        <v>245</v>
      </c>
      <c r="F71" s="34">
        <f>IF(COUNTA(D71:E71)=0,"",N(D71)-N(E71))</f>
        <v/>
      </c>
      <c r="G71" s="32">
        <f>IFERROR(VLOOKUP($B71,'开奖记录'!$A:$K,2,FALSE),"")</f>
        <v/>
      </c>
      <c r="H71" s="32">
        <f>IFERROR(VLOOKUP($B71,'开奖记录'!$A:$K,9,FALSE),"")</f>
        <v/>
      </c>
      <c r="I71" s="32">
        <f>IFERROR(VLOOKUP($B71,'开奖记录'!$A:$K,11,FALSE),"")</f>
        <v/>
      </c>
      <c r="J71" s="32">
        <f>IF($B71="","",IF(ISNUMBER($D71),"命中",IF(ISNUMBER($E71),"未命中","")))</f>
        <v/>
      </c>
      <c r="K71" s="35" t="inlineStr"/>
      <c r="L71" s="32">
        <f>IFERROR(TEXT(VLOOKUP($B71-1,开奖记录!$A:$L,3,FALSE),"00")&amp;"+5="&amp;VLOOKUP(MOD(VLOOKUP($B71-1,开奖记录!$A:$L,3,FALSE)+4,49)+1,规律参数!$A:$C,3,FALSE),"")</f>
        <v/>
      </c>
      <c r="M71" s="32">
        <f>IF(L71="","",IF(I71="","待开奖",IF(ISNUMBER(SEARCH(I71,L71)),"命中","未命中")))</f>
        <v/>
      </c>
      <c r="N71" s="32">
        <f>IFERROR(VLOOKUP(VLOOKUP($B71-1,开奖记录!$A:$L,11,FALSE),八肖参数!$A:$B,2,FALSE),"")</f>
        <v/>
      </c>
      <c r="O71" s="32">
        <f>IF(N71="","",IF(I71="","待开奖",IF(ISNUMBER(SEARCH(I71,N71)),"命中","未命中")))</f>
        <v/>
      </c>
    </row>
    <row r="72" ht="23" customHeight="1" s="21">
      <c r="A72" s="32" t="n">
        <v>71</v>
      </c>
      <c r="B72" s="32" t="n">
        <v>2026071</v>
      </c>
      <c r="C72" s="33" t="inlineStr">
        <is>
          <t xml:space="preserve">羊 48 </t>
        </is>
      </c>
      <c r="D72" s="34" t="n"/>
      <c r="E72" s="34" t="n">
        <v>160</v>
      </c>
      <c r="F72" s="34">
        <f>IF(COUNTA(D72:E72)=0,"",N(D72)-N(E72))</f>
        <v/>
      </c>
      <c r="G72" s="32">
        <f>IFERROR(VLOOKUP($B72,'开奖记录'!$A:$K,2,FALSE),"")</f>
        <v/>
      </c>
      <c r="H72" s="32">
        <f>IFERROR(VLOOKUP($B72,'开奖记录'!$A:$K,9,FALSE),"")</f>
        <v/>
      </c>
      <c r="I72" s="32">
        <f>IFERROR(VLOOKUP($B72,'开奖记录'!$A:$K,11,FALSE),"")</f>
        <v/>
      </c>
      <c r="J72" s="32">
        <f>IF($B72="","",IF(ISNUMBER($D72),"命中",IF(ISNUMBER($E72),"未命中","")))</f>
        <v/>
      </c>
      <c r="K72" s="35" t="inlineStr"/>
      <c r="L72" s="32">
        <f>IFERROR(TEXT(VLOOKUP($B72-1,开奖记录!$A:$L,3,FALSE),"00")&amp;"+5="&amp;VLOOKUP(MOD(VLOOKUP($B72-1,开奖记录!$A:$L,3,FALSE)+4,49)+1,规律参数!$A:$C,3,FALSE),"")</f>
        <v/>
      </c>
      <c r="M72" s="32">
        <f>IF(L72="","",IF(I72="","待开奖",IF(ISNUMBER(SEARCH(I72,L72)),"命中","未命中")))</f>
        <v/>
      </c>
      <c r="N72" s="32">
        <f>IFERROR(VLOOKUP(VLOOKUP($B72-1,开奖记录!$A:$L,11,FALSE),八肖参数!$A:$B,2,FALSE),"")</f>
        <v/>
      </c>
      <c r="O72" s="32">
        <f>IF(N72="","",IF(I72="","待开奖",IF(ISNUMBER(SEARCH(I72,N72)),"命中","未命中")))</f>
        <v/>
      </c>
    </row>
    <row r="73" ht="23" customHeight="1" s="21">
      <c r="A73" s="32" t="n">
        <v>72</v>
      </c>
      <c r="B73" s="32" t="n">
        <v>2026072</v>
      </c>
      <c r="C73" s="33" t="inlineStr">
        <is>
          <t>鸡46</t>
        </is>
      </c>
      <c r="D73" s="34" t="n">
        <v>70</v>
      </c>
      <c r="E73" s="34" t="n"/>
      <c r="F73" s="34">
        <f>IF(COUNTA(D73:E73)=0,"",N(D73)-N(E73))</f>
        <v/>
      </c>
      <c r="G73" s="32">
        <f>IFERROR(VLOOKUP($B73,'开奖记录'!$A:$K,2,FALSE),"")</f>
        <v/>
      </c>
      <c r="H73" s="32">
        <f>IFERROR(VLOOKUP($B73,'开奖记录'!$A:$K,9,FALSE),"")</f>
        <v/>
      </c>
      <c r="I73" s="32">
        <f>IFERROR(VLOOKUP($B73,'开奖记录'!$A:$K,11,FALSE),"")</f>
        <v/>
      </c>
      <c r="J73" s="32">
        <f>IF($B73="","",IF(ISNUMBER($D73),"命中",IF(ISNUMBER($E73),"未命中","")))</f>
        <v/>
      </c>
      <c r="K73" s="35" t="inlineStr"/>
      <c r="L73" s="32">
        <f>IFERROR(TEXT(VLOOKUP($B73-1,开奖记录!$A:$L,3,FALSE),"00")&amp;"+5="&amp;VLOOKUP(MOD(VLOOKUP($B73-1,开奖记录!$A:$L,3,FALSE)+4,49)+1,规律参数!$A:$C,3,FALSE),"")</f>
        <v/>
      </c>
      <c r="M73" s="32">
        <f>IF(L73="","",IF(I73="","待开奖",IF(ISNUMBER(SEARCH(I73,L73)),"命中","未命中")))</f>
        <v/>
      </c>
      <c r="N73" s="32">
        <f>IFERROR(VLOOKUP(VLOOKUP($B73-1,开奖记录!$A:$L,11,FALSE),八肖参数!$A:$B,2,FALSE),"")</f>
        <v/>
      </c>
      <c r="O73" s="32">
        <f>IF(N73="","",IF(I73="","待开奖",IF(ISNUMBER(SEARCH(I73,N73)),"命中","未命中")))</f>
        <v/>
      </c>
    </row>
    <row r="74" ht="23" customHeight="1" s="21">
      <c r="A74" s="32" t="n">
        <v>73</v>
      </c>
      <c r="B74" s="32" t="n">
        <v>2026073</v>
      </c>
      <c r="C74" s="33" t="inlineStr">
        <is>
          <t>鸡36</t>
        </is>
      </c>
      <c r="D74" s="34" t="n"/>
      <c r="E74" s="34" t="n">
        <v>180</v>
      </c>
      <c r="F74" s="34">
        <f>IF(COUNTA(D74:E74)=0,"",N(D74)-N(E74))</f>
        <v/>
      </c>
      <c r="G74" s="32">
        <f>IFERROR(VLOOKUP($B74,'开奖记录'!$A:$K,2,FALSE),"")</f>
        <v/>
      </c>
      <c r="H74" s="32">
        <f>IFERROR(VLOOKUP($B74,'开奖记录'!$A:$K,9,FALSE),"")</f>
        <v/>
      </c>
      <c r="I74" s="32">
        <f>IFERROR(VLOOKUP($B74,'开奖记录'!$A:$K,11,FALSE),"")</f>
        <v/>
      </c>
      <c r="J74" s="32">
        <f>IF($B74="","",IF(ISNUMBER($D74),"命中",IF(ISNUMBER($E74),"未命中","")))</f>
        <v/>
      </c>
      <c r="K74" s="35" t="inlineStr"/>
      <c r="L74" s="32">
        <f>IFERROR(TEXT(VLOOKUP($B74-1,开奖记录!$A:$L,3,FALSE),"00")&amp;"+5="&amp;VLOOKUP(MOD(VLOOKUP($B74-1,开奖记录!$A:$L,3,FALSE)+4,49)+1,规律参数!$A:$C,3,FALSE),"")</f>
        <v/>
      </c>
      <c r="M74" s="32">
        <f>IF(L74="","",IF(I74="","待开奖",IF(ISNUMBER(SEARCH(I74,L74)),"命中","未命中")))</f>
        <v/>
      </c>
      <c r="N74" s="32">
        <f>IFERROR(VLOOKUP(VLOOKUP($B74-1,开奖记录!$A:$L,11,FALSE),八肖参数!$A:$B,2,FALSE),"")</f>
        <v/>
      </c>
      <c r="O74" s="32">
        <f>IF(N74="","",IF(I74="","待开奖",IF(ISNUMBER(SEARCH(I74,N74)),"命中","未命中")))</f>
        <v/>
      </c>
    </row>
    <row r="75" ht="23" customHeight="1" s="21">
      <c r="A75" s="32" t="n">
        <v>74</v>
      </c>
      <c r="B75" s="32" t="n">
        <v>2026074</v>
      </c>
      <c r="C75" s="33" t="inlineStr">
        <is>
          <t>鸡 10</t>
        </is>
      </c>
      <c r="D75" s="34" t="n"/>
      <c r="E75" s="34" t="n">
        <v>180</v>
      </c>
      <c r="F75" s="34">
        <f>IF(COUNTA(D75:E75)=0,"",N(D75)-N(E75))</f>
        <v/>
      </c>
      <c r="G75" s="32">
        <f>IFERROR(VLOOKUP($B75,'开奖记录'!$A:$K,2,FALSE),"")</f>
        <v/>
      </c>
      <c r="H75" s="32">
        <f>IFERROR(VLOOKUP($B75,'开奖记录'!$A:$K,9,FALSE),"")</f>
        <v/>
      </c>
      <c r="I75" s="32">
        <f>IFERROR(VLOOKUP($B75,'开奖记录'!$A:$K,11,FALSE),"")</f>
        <v/>
      </c>
      <c r="J75" s="32">
        <f>IF($B75="","",IF(ISNUMBER($D75),"命中",IF(ISNUMBER($E75),"未命中","")))</f>
        <v/>
      </c>
      <c r="K75" s="35" t="inlineStr"/>
      <c r="L75" s="32">
        <f>IFERROR(TEXT(VLOOKUP($B75-1,开奖记录!$A:$L,3,FALSE),"00")&amp;"+5="&amp;VLOOKUP(MOD(VLOOKUP($B75-1,开奖记录!$A:$L,3,FALSE)+4,49)+1,规律参数!$A:$C,3,FALSE),"")</f>
        <v/>
      </c>
      <c r="M75" s="32">
        <f>IF(L75="","",IF(I75="","待开奖",IF(ISNUMBER(SEARCH(I75,L75)),"命中","未命中")))</f>
        <v/>
      </c>
      <c r="N75" s="32">
        <f>IFERROR(VLOOKUP(VLOOKUP($B75-1,开奖记录!$A:$L,11,FALSE),八肖参数!$A:$B,2,FALSE),"")</f>
        <v/>
      </c>
      <c r="O75" s="32">
        <f>IF(N75="","",IF(I75="","待开奖",IF(ISNUMBER(SEARCH(I75,N75)),"命中","未命中")))</f>
        <v/>
      </c>
    </row>
    <row r="76" ht="23" customHeight="1" s="21">
      <c r="A76" s="32" t="n">
        <v>75</v>
      </c>
      <c r="B76" s="32" t="n">
        <v>2026075</v>
      </c>
      <c r="C76" s="33" t="inlineStr">
        <is>
          <t>狗33</t>
        </is>
      </c>
      <c r="D76" s="34" t="n"/>
      <c r="E76" s="34" t="n">
        <v>150</v>
      </c>
      <c r="F76" s="34">
        <f>IF(COUNTA(D76:E76)=0,"",N(D76)-N(E76))</f>
        <v/>
      </c>
      <c r="G76" s="32">
        <f>IFERROR(VLOOKUP($B76,'开奖记录'!$A:$K,2,FALSE),"")</f>
        <v/>
      </c>
      <c r="H76" s="32">
        <f>IFERROR(VLOOKUP($B76,'开奖记录'!$A:$K,9,FALSE),"")</f>
        <v/>
      </c>
      <c r="I76" s="32">
        <f>IFERROR(VLOOKUP($B76,'开奖记录'!$A:$K,11,FALSE),"")</f>
        <v/>
      </c>
      <c r="J76" s="32">
        <f>IF($B76="","",IF(ISNUMBER($D76),"命中",IF(ISNUMBER($E76),"未命中","")))</f>
        <v/>
      </c>
      <c r="K76" s="35" t="inlineStr"/>
      <c r="L76" s="32">
        <f>IFERROR(TEXT(VLOOKUP($B76-1,开奖记录!$A:$L,3,FALSE),"00")&amp;"+5="&amp;VLOOKUP(MOD(VLOOKUP($B76-1,开奖记录!$A:$L,3,FALSE)+4,49)+1,规律参数!$A:$C,3,FALSE),"")</f>
        <v/>
      </c>
      <c r="M76" s="32">
        <f>IF(L76="","",IF(I76="","待开奖",IF(ISNUMBER(SEARCH(I76,L76)),"命中","未命中")))</f>
        <v/>
      </c>
      <c r="N76" s="32">
        <f>IFERROR(VLOOKUP(VLOOKUP($B76-1,开奖记录!$A:$L,11,FALSE),八肖参数!$A:$B,2,FALSE),"")</f>
        <v/>
      </c>
      <c r="O76" s="32">
        <f>IF(N76="","",IF(I76="","待开奖",IF(ISNUMBER(SEARCH(I76,N76)),"命中","未命中")))</f>
        <v/>
      </c>
    </row>
    <row r="77" ht="23" customHeight="1" s="21">
      <c r="A77" s="32" t="n">
        <v>76</v>
      </c>
      <c r="B77" s="32" t="n">
        <v>2026076</v>
      </c>
      <c r="C77" s="33" t="inlineStr">
        <is>
          <t>蛇02</t>
        </is>
      </c>
      <c r="D77" s="34" t="n"/>
      <c r="E77" s="34" t="n"/>
      <c r="F77" s="34">
        <f>IF(COUNTA(D77:E77)=0,"",N(D77)-N(E77))</f>
        <v/>
      </c>
      <c r="G77" s="32">
        <f>IFERROR(VLOOKUP($B77,'开奖记录'!$A:$K,2,FALSE),"")</f>
        <v/>
      </c>
      <c r="H77" s="32">
        <f>IFERROR(VLOOKUP($B77,'开奖记录'!$A:$K,9,FALSE),"")</f>
        <v/>
      </c>
      <c r="I77" s="32">
        <f>IFERROR(VLOOKUP($B77,'开奖记录'!$A:$K,11,FALSE),"")</f>
        <v/>
      </c>
      <c r="J77" s="32">
        <f>IF($B77="","",IF(ISNUMBER($D77),"命中",IF(ISNUMBER($E77),"未命中","")))</f>
        <v/>
      </c>
      <c r="K77" s="35" t="inlineStr"/>
      <c r="L77" s="32">
        <f>IFERROR(TEXT(VLOOKUP($B77-1,开奖记录!$A:$L,3,FALSE),"00")&amp;"+5="&amp;VLOOKUP(MOD(VLOOKUP($B77-1,开奖记录!$A:$L,3,FALSE)+4,49)+1,规律参数!$A:$C,3,FALSE),"")</f>
        <v/>
      </c>
      <c r="M77" s="32">
        <f>IF(L77="","",IF(I77="","待开奖",IF(ISNUMBER(SEARCH(I77,L77)),"命中","未命中")))</f>
        <v/>
      </c>
      <c r="N77" s="32">
        <f>IFERROR(VLOOKUP(VLOOKUP($B77-1,开奖记录!$A:$L,11,FALSE),八肖参数!$A:$B,2,FALSE),"")</f>
        <v/>
      </c>
      <c r="O77" s="32">
        <f>IF(N77="","",IF(I77="","待开奖",IF(ISNUMBER(SEARCH(I77,N77)),"命中","未命中")))</f>
        <v/>
      </c>
    </row>
    <row r="78" ht="23" customHeight="1" s="21">
      <c r="A78" s="32" t="n">
        <v>77</v>
      </c>
      <c r="B78" s="32" t="n">
        <v>2026077</v>
      </c>
      <c r="C78" s="33" t="inlineStr">
        <is>
          <t>虎 29</t>
        </is>
      </c>
      <c r="D78" s="34" t="n"/>
      <c r="E78" s="34" t="n"/>
      <c r="F78" s="34">
        <f>IF(COUNTA(D78:E78)=0,"",N(D78)-N(E78))</f>
        <v/>
      </c>
      <c r="G78" s="32">
        <f>IFERROR(VLOOKUP($B78,'开奖记录'!$A:$K,2,FALSE),"")</f>
        <v/>
      </c>
      <c r="H78" s="32">
        <f>IFERROR(VLOOKUP($B78,'开奖记录'!$A:$K,9,FALSE),"")</f>
        <v/>
      </c>
      <c r="I78" s="32">
        <f>IFERROR(VLOOKUP($B78,'开奖记录'!$A:$K,11,FALSE),"")</f>
        <v/>
      </c>
      <c r="J78" s="32">
        <f>IF($B78="","",IF(ISNUMBER($D78),"命中",IF(ISNUMBER($E78),"未命中","")))</f>
        <v/>
      </c>
      <c r="K78" s="35" t="inlineStr"/>
      <c r="L78" s="32">
        <f>IFERROR(TEXT(VLOOKUP($B78-1,开奖记录!$A:$L,3,FALSE),"00")&amp;"+5="&amp;VLOOKUP(MOD(VLOOKUP($B78-1,开奖记录!$A:$L,3,FALSE)+4,49)+1,规律参数!$A:$C,3,FALSE),"")</f>
        <v/>
      </c>
      <c r="M78" s="32">
        <f>IF(L78="","",IF(I78="","待开奖",IF(ISNUMBER(SEARCH(I78,L78)),"命中","未命中")))</f>
        <v/>
      </c>
      <c r="N78" s="32">
        <f>IFERROR(VLOOKUP(VLOOKUP($B78-1,开奖记录!$A:$L,11,FALSE),八肖参数!$A:$B,2,FALSE),"")</f>
        <v/>
      </c>
      <c r="O78" s="32">
        <f>IF(N78="","",IF(I78="","待开奖",IF(ISNUMBER(SEARCH(I78,N78)),"命中","未命中")))</f>
        <v/>
      </c>
    </row>
    <row r="79" ht="23" customHeight="1" s="21">
      <c r="A79" s="32" t="n">
        <v>78</v>
      </c>
      <c r="B79" s="32" t="n">
        <v>2026078</v>
      </c>
      <c r="C79" s="33" t="inlineStr">
        <is>
          <t>鸡46</t>
        </is>
      </c>
      <c r="D79" s="34" t="n"/>
      <c r="E79" s="34" t="n">
        <v>60</v>
      </c>
      <c r="F79" s="34">
        <f>IF(COUNTA(D79:E79)=0,"",N(D79)-N(E79))</f>
        <v/>
      </c>
      <c r="G79" s="32">
        <f>IFERROR(VLOOKUP($B79,'开奖记录'!$A:$K,2,FALSE),"")</f>
        <v/>
      </c>
      <c r="H79" s="32">
        <f>IFERROR(VLOOKUP($B79,'开奖记录'!$A:$K,9,FALSE),"")</f>
        <v/>
      </c>
      <c r="I79" s="32">
        <f>IFERROR(VLOOKUP($B79,'开奖记录'!$A:$K,11,FALSE),"")</f>
        <v/>
      </c>
      <c r="J79" s="32">
        <f>IF($B79="","",IF(ISNUMBER($D79),"命中",IF(ISNUMBER($E79),"未命中","")))</f>
        <v/>
      </c>
      <c r="K79" s="35" t="inlineStr"/>
      <c r="L79" s="32">
        <f>IFERROR(TEXT(VLOOKUP($B79-1,开奖记录!$A:$L,3,FALSE),"00")&amp;"+5="&amp;VLOOKUP(MOD(VLOOKUP($B79-1,开奖记录!$A:$L,3,FALSE)+4,49)+1,规律参数!$A:$C,3,FALSE),"")</f>
        <v/>
      </c>
      <c r="M79" s="32">
        <f>IF(L79="","",IF(I79="","待开奖",IF(ISNUMBER(SEARCH(I79,L79)),"命中","未命中")))</f>
        <v/>
      </c>
      <c r="N79" s="32">
        <f>IFERROR(VLOOKUP(VLOOKUP($B79-1,开奖记录!$A:$L,11,FALSE),八肖参数!$A:$B,2,FALSE),"")</f>
        <v/>
      </c>
      <c r="O79" s="32">
        <f>IF(N79="","",IF(I79="","待开奖",IF(ISNUMBER(SEARCH(I79,N79)),"命中","未命中")))</f>
        <v/>
      </c>
    </row>
    <row r="80" ht="23" customHeight="1" s="21">
      <c r="A80" s="32" t="n">
        <v>79</v>
      </c>
      <c r="B80" s="32" t="n">
        <v>2026079</v>
      </c>
      <c r="C80" s="33" t="inlineStr">
        <is>
          <t>猴35</t>
        </is>
      </c>
      <c r="D80" s="34" t="n"/>
      <c r="E80" s="34" t="n"/>
      <c r="F80" s="34">
        <f>IF(COUNTA(D80:E80)=0,"",N(D80)-N(E80))</f>
        <v/>
      </c>
      <c r="G80" s="32">
        <f>IFERROR(VLOOKUP($B80,'开奖记录'!$A:$K,2,FALSE),"")</f>
        <v/>
      </c>
      <c r="H80" s="32">
        <f>IFERROR(VLOOKUP($B80,'开奖记录'!$A:$K,9,FALSE),"")</f>
        <v/>
      </c>
      <c r="I80" s="32">
        <f>IFERROR(VLOOKUP($B80,'开奖记录'!$A:$K,11,FALSE),"")</f>
        <v/>
      </c>
      <c r="J80" s="32">
        <f>IF($B80="","",IF(ISNUMBER($D80),"命中",IF(ISNUMBER($E80),"未命中","")))</f>
        <v/>
      </c>
      <c r="K80" s="35" t="inlineStr"/>
      <c r="L80" s="32">
        <f>IFERROR(TEXT(VLOOKUP($B80-1,开奖记录!$A:$L,3,FALSE),"00")&amp;"+5="&amp;VLOOKUP(MOD(VLOOKUP($B80-1,开奖记录!$A:$L,3,FALSE)+4,49)+1,规律参数!$A:$C,3,FALSE),"")</f>
        <v/>
      </c>
      <c r="M80" s="32">
        <f>IF(L80="","",IF(I80="","待开奖",IF(ISNUMBER(SEARCH(I80,L80)),"命中","未命中")))</f>
        <v/>
      </c>
      <c r="N80" s="32">
        <f>IFERROR(VLOOKUP(VLOOKUP($B80-1,开奖记录!$A:$L,11,FALSE),八肖参数!$A:$B,2,FALSE),"")</f>
        <v/>
      </c>
      <c r="O80" s="32">
        <f>IF(N80="","",IF(I80="","待开奖",IF(ISNUMBER(SEARCH(I80,N80)),"命中","未命中")))</f>
        <v/>
      </c>
    </row>
    <row r="81" ht="23" customHeight="1" s="21">
      <c r="A81" s="32" t="n">
        <v>80</v>
      </c>
      <c r="B81" s="32" t="n">
        <v>2026080</v>
      </c>
      <c r="C81" s="33" t="inlineStr">
        <is>
          <t>龙03</t>
        </is>
      </c>
      <c r="D81" s="34" t="n"/>
      <c r="E81" s="34" t="n"/>
      <c r="F81" s="34">
        <f>IF(COUNTA(D81:E81)=0,"",N(D81)-N(E81))</f>
        <v/>
      </c>
      <c r="G81" s="32">
        <f>IFERROR(VLOOKUP($B81,'开奖记录'!$A:$K,2,FALSE),"")</f>
        <v/>
      </c>
      <c r="H81" s="32">
        <f>IFERROR(VLOOKUP($B81,'开奖记录'!$A:$K,9,FALSE),"")</f>
        <v/>
      </c>
      <c r="I81" s="32">
        <f>IFERROR(VLOOKUP($B81,'开奖记录'!$A:$K,11,FALSE),"")</f>
        <v/>
      </c>
      <c r="J81" s="32">
        <f>IF($B81="","",IF(ISNUMBER($D81),"命中",IF(ISNUMBER($E81),"未命中","")))</f>
        <v/>
      </c>
      <c r="K81" s="35" t="inlineStr"/>
      <c r="L81" s="32">
        <f>IFERROR(TEXT(VLOOKUP($B81-1,开奖记录!$A:$L,3,FALSE),"00")&amp;"+5="&amp;VLOOKUP(MOD(VLOOKUP($B81-1,开奖记录!$A:$L,3,FALSE)+4,49)+1,规律参数!$A:$C,3,FALSE),"")</f>
        <v/>
      </c>
      <c r="M81" s="32">
        <f>IF(L81="","",IF(I81="","待开奖",IF(ISNUMBER(SEARCH(I81,L81)),"命中","未命中")))</f>
        <v/>
      </c>
      <c r="N81" s="32">
        <f>IFERROR(VLOOKUP(VLOOKUP($B81-1,开奖记录!$A:$L,11,FALSE),八肖参数!$A:$B,2,FALSE),"")</f>
        <v/>
      </c>
      <c r="O81" s="32">
        <f>IF(N81="","",IF(I81="","待开奖",IF(ISNUMBER(SEARCH(I81,N81)),"命中","未命中")))</f>
        <v/>
      </c>
    </row>
    <row r="82" ht="23" customHeight="1" s="21">
      <c r="A82" s="32" t="n">
        <v>81</v>
      </c>
      <c r="B82" s="32" t="n">
        <v>2026081</v>
      </c>
      <c r="C82" s="33" t="inlineStr">
        <is>
          <t>虎17</t>
        </is>
      </c>
      <c r="D82" s="34" t="n"/>
      <c r="E82" s="34" t="n"/>
      <c r="F82" s="34">
        <f>IF(COUNTA(D82:E82)=0,"",N(D82)-N(E82))</f>
        <v/>
      </c>
      <c r="G82" s="32">
        <f>IFERROR(VLOOKUP($B82,'开奖记录'!$A:$K,2,FALSE),"")</f>
        <v/>
      </c>
      <c r="H82" s="32">
        <f>IFERROR(VLOOKUP($B82,'开奖记录'!$A:$K,9,FALSE),"")</f>
        <v/>
      </c>
      <c r="I82" s="32">
        <f>IFERROR(VLOOKUP($B82,'开奖记录'!$A:$K,11,FALSE),"")</f>
        <v/>
      </c>
      <c r="J82" s="32">
        <f>IF($B82="","",IF(ISNUMBER($D82),"命中",IF(ISNUMBER($E82),"未命中","")))</f>
        <v/>
      </c>
      <c r="K82" s="35" t="inlineStr">
        <is>
          <t>尾+反</t>
        </is>
      </c>
      <c r="L82" s="32">
        <f>IFERROR(TEXT(VLOOKUP($B82-1,开奖记录!$A:$L,3,FALSE),"00")&amp;"+5="&amp;VLOOKUP(MOD(VLOOKUP($B82-1,开奖记录!$A:$L,3,FALSE)+4,49)+1,规律参数!$A:$C,3,FALSE),"")</f>
        <v/>
      </c>
      <c r="M82" s="32">
        <f>IF(L82="","",IF(I82="","待开奖",IF(ISNUMBER(SEARCH(I82,L82)),"命中","未命中")))</f>
        <v/>
      </c>
      <c r="N82" s="32">
        <f>IFERROR(VLOOKUP(VLOOKUP($B82-1,开奖记录!$A:$L,11,FALSE),八肖参数!$A:$B,2,FALSE),"")</f>
        <v/>
      </c>
      <c r="O82" s="32">
        <f>IF(N82="","",IF(I82="","待开奖",IF(ISNUMBER(SEARCH(I82,N82)),"命中","未命中")))</f>
        <v/>
      </c>
    </row>
    <row r="83" ht="23" customHeight="1" s="21">
      <c r="A83" s="32" t="n">
        <v>82</v>
      </c>
      <c r="B83" s="32" t="n">
        <v>2026082</v>
      </c>
      <c r="C83" s="33" t="inlineStr">
        <is>
          <t>龙27</t>
        </is>
      </c>
      <c r="D83" s="34" t="n"/>
      <c r="E83" s="34" t="n"/>
      <c r="F83" s="34">
        <f>IF(COUNTA(D83:E83)=0,"",N(D83)-N(E83))</f>
        <v/>
      </c>
      <c r="G83" s="32">
        <f>IFERROR(VLOOKUP($B83,'开奖记录'!$A:$K,2,FALSE),"")</f>
        <v/>
      </c>
      <c r="H83" s="32">
        <f>IFERROR(VLOOKUP($B83,'开奖记录'!$A:$K,9,FALSE),"")</f>
        <v/>
      </c>
      <c r="I83" s="32">
        <f>IFERROR(VLOOKUP($B83,'开奖记录'!$A:$K,11,FALSE),"")</f>
        <v/>
      </c>
      <c r="J83" s="32">
        <f>IF($B83="","",IF(ISNUMBER($D83),"命中",IF(ISNUMBER($E83),"未命中","")))</f>
        <v/>
      </c>
      <c r="K83" s="35" t="inlineStr">
        <is>
          <t>八肖中</t>
        </is>
      </c>
      <c r="L83" s="32">
        <f>IFERROR(TEXT(VLOOKUP($B83-1,开奖记录!$A:$L,3,FALSE),"00")&amp;"+5="&amp;VLOOKUP(MOD(VLOOKUP($B83-1,开奖记录!$A:$L,3,FALSE)+4,49)+1,规律参数!$A:$C,3,FALSE),"")</f>
        <v/>
      </c>
      <c r="M83" s="32">
        <f>IF(L83="","",IF(I83="","待开奖",IF(ISNUMBER(SEARCH(I83,L83)),"命中","未命中")))</f>
        <v/>
      </c>
      <c r="N83" s="32">
        <f>IFERROR(VLOOKUP(VLOOKUP($B83-1,开奖记录!$A:$L,11,FALSE),八肖参数!$A:$B,2,FALSE),"")</f>
        <v/>
      </c>
      <c r="O83" s="32">
        <f>IF(N83="","",IF(I83="","待开奖",IF(ISNUMBER(SEARCH(I83,N83)),"命中","未命中")))</f>
        <v/>
      </c>
    </row>
    <row r="84" ht="23" customHeight="1" s="21">
      <c r="A84" s="32" t="n">
        <v>83</v>
      </c>
      <c r="B84" s="32" t="n">
        <v>2026083</v>
      </c>
      <c r="C84" s="33" t="inlineStr">
        <is>
          <t xml:space="preserve">虎 05 </t>
        </is>
      </c>
      <c r="D84" s="34" t="n"/>
      <c r="E84" s="34" t="n"/>
      <c r="F84" s="34">
        <f>IF(COUNTA(D84:E84)=0,"",N(D84)-N(E84))</f>
        <v/>
      </c>
      <c r="G84" s="32">
        <f>IFERROR(VLOOKUP($B84,'开奖记录'!$A:$K,2,FALSE),"")</f>
        <v/>
      </c>
      <c r="H84" s="32">
        <f>IFERROR(VLOOKUP($B84,'开奖记录'!$A:$K,9,FALSE),"")</f>
        <v/>
      </c>
      <c r="I84" s="32">
        <f>IFERROR(VLOOKUP($B84,'开奖记录'!$A:$K,11,FALSE),"")</f>
        <v/>
      </c>
      <c r="J84" s="32">
        <f>IF($B84="","",IF(ISNUMBER($D84),"命中",IF(ISNUMBER($E84),"未命中","")))</f>
        <v/>
      </c>
      <c r="K84" s="35" t="inlineStr"/>
      <c r="L84" s="32">
        <f>IFERROR(TEXT(VLOOKUP($B84-1,开奖记录!$A:$L,3,FALSE),"00")&amp;"+5="&amp;VLOOKUP(MOD(VLOOKUP($B84-1,开奖记录!$A:$L,3,FALSE)+4,49)+1,规律参数!$A:$C,3,FALSE),"")</f>
        <v/>
      </c>
      <c r="M84" s="32">
        <f>IF(L84="","",IF(I84="","待开奖",IF(ISNUMBER(SEARCH(I84,L84)),"命中","未命中")))</f>
        <v/>
      </c>
      <c r="N84" s="32">
        <f>IFERROR(VLOOKUP(VLOOKUP($B84-1,开奖记录!$A:$L,11,FALSE),八肖参数!$A:$B,2,FALSE),"")</f>
        <v/>
      </c>
      <c r="O84" s="32">
        <f>IF(N84="","",IF(I84="","待开奖",IF(ISNUMBER(SEARCH(I84,N84)),"命中","未命中")))</f>
        <v/>
      </c>
    </row>
    <row r="85" ht="23" customHeight="1" s="21">
      <c r="A85" s="32" t="n">
        <v>84</v>
      </c>
      <c r="B85" s="32" t="n">
        <v>2026084</v>
      </c>
      <c r="C85" s="33" t="inlineStr">
        <is>
          <t>兔16</t>
        </is>
      </c>
      <c r="D85" s="34" t="n"/>
      <c r="E85" s="34" t="n"/>
      <c r="F85" s="34">
        <f>IF(COUNTA(D85:E85)=0,"",N(D85)-N(E85))</f>
        <v/>
      </c>
      <c r="G85" s="32">
        <f>IFERROR(VLOOKUP($B85,'开奖记录'!$A:$K,2,FALSE),"")</f>
        <v/>
      </c>
      <c r="H85" s="32">
        <f>IFERROR(VLOOKUP($B85,'开奖记录'!$A:$K,9,FALSE),"")</f>
        <v/>
      </c>
      <c r="I85" s="32">
        <f>IFERROR(VLOOKUP($B85,'开奖记录'!$A:$K,11,FALSE),"")</f>
        <v/>
      </c>
      <c r="J85" s="32">
        <f>IF($B85="","",IF(ISNUMBER($D85),"命中",IF(ISNUMBER($E85),"未命中","")))</f>
        <v/>
      </c>
      <c r="K85" s="35" t="inlineStr"/>
      <c r="L85" s="32">
        <f>IFERROR(TEXT(VLOOKUP($B85-1,开奖记录!$A:$L,3,FALSE),"00")&amp;"+5="&amp;VLOOKUP(MOD(VLOOKUP($B85-1,开奖记录!$A:$L,3,FALSE)+4,49)+1,规律参数!$A:$C,3,FALSE),"")</f>
        <v/>
      </c>
      <c r="M85" s="32">
        <f>IF(L85="","",IF(I85="","待开奖",IF(ISNUMBER(SEARCH(I85,L85)),"命中","未命中")))</f>
        <v/>
      </c>
      <c r="N85" s="32">
        <f>IFERROR(VLOOKUP(VLOOKUP($B85-1,开奖记录!$A:$L,11,FALSE),八肖参数!$A:$B,2,FALSE),"")</f>
        <v/>
      </c>
      <c r="O85" s="32">
        <f>IF(N85="","",IF(I85="","待开奖",IF(ISNUMBER(SEARCH(I85,N85)),"命中","未命中")))</f>
        <v/>
      </c>
    </row>
    <row r="86" ht="23" customHeight="1" s="21">
      <c r="A86" s="32" t="n">
        <v>85</v>
      </c>
      <c r="B86" s="32" t="n">
        <v>2026085</v>
      </c>
      <c r="C86" s="33" t="inlineStr">
        <is>
          <t>鼠19</t>
        </is>
      </c>
      <c r="D86" s="34" t="n"/>
      <c r="E86" s="34" t="n"/>
      <c r="F86" s="34">
        <f>IF(COUNTA(D86:E86)=0,"",N(D86)-N(E86))</f>
        <v/>
      </c>
      <c r="G86" s="32">
        <f>IFERROR(VLOOKUP($B86,'开奖记录'!$A:$K,2,FALSE),"")</f>
        <v/>
      </c>
      <c r="H86" s="32">
        <f>IFERROR(VLOOKUP($B86,'开奖记录'!$A:$K,9,FALSE),"")</f>
        <v/>
      </c>
      <c r="I86" s="32">
        <f>IFERROR(VLOOKUP($B86,'开奖记录'!$A:$K,11,FALSE),"")</f>
        <v/>
      </c>
      <c r="J86" s="32">
        <f>IF($B86="","",IF(ISNUMBER($D86),"命中",IF(ISNUMBER($E86),"未命中","")))</f>
        <v/>
      </c>
      <c r="K86" s="35" t="inlineStr"/>
      <c r="L86" s="32">
        <f>IFERROR(TEXT(VLOOKUP($B86-1,开奖记录!$A:$L,3,FALSE),"00")&amp;"+5="&amp;VLOOKUP(MOD(VLOOKUP($B86-1,开奖记录!$A:$L,3,FALSE)+4,49)+1,规律参数!$A:$C,3,FALSE),"")</f>
        <v/>
      </c>
      <c r="M86" s="32">
        <f>IF(L86="","",IF(I86="","待开奖",IF(ISNUMBER(SEARCH(I86,L86)),"命中","未命中")))</f>
        <v/>
      </c>
      <c r="N86" s="32">
        <f>IFERROR(VLOOKUP(VLOOKUP($B86-1,开奖记录!$A:$L,11,FALSE),八肖参数!$A:$B,2,FALSE),"")</f>
        <v/>
      </c>
      <c r="O86" s="32">
        <f>IF(N86="","",IF(I86="","待开奖",IF(ISNUMBER(SEARCH(I86,N86)),"命中","未命中")))</f>
        <v/>
      </c>
    </row>
    <row r="87" ht="23" customHeight="1" s="21">
      <c r="A87" s="32" t="n">
        <v>86</v>
      </c>
      <c r="B87" s="32" t="n">
        <v>2026086</v>
      </c>
      <c r="C87" s="33" t="inlineStr">
        <is>
          <t>羊12</t>
        </is>
      </c>
      <c r="D87" s="34" t="n"/>
      <c r="E87" s="34" t="n"/>
      <c r="F87" s="34">
        <f>IF(COUNTA(D87:E87)=0,"",N(D87)-N(E87))</f>
        <v/>
      </c>
      <c r="G87" s="32">
        <f>IFERROR(VLOOKUP($B87,'开奖记录'!$A:$K,2,FALSE),"")</f>
        <v/>
      </c>
      <c r="H87" s="32">
        <f>IFERROR(VLOOKUP($B87,'开奖记录'!$A:$K,9,FALSE),"")</f>
        <v/>
      </c>
      <c r="I87" s="32">
        <f>IFERROR(VLOOKUP($B87,'开奖记录'!$A:$K,11,FALSE),"")</f>
        <v/>
      </c>
      <c r="J87" s="32">
        <f>IF($B87="","",IF(ISNUMBER($D87),"命中",IF(ISNUMBER($E87),"未命中","")))</f>
        <v/>
      </c>
      <c r="K87" s="35" t="inlineStr"/>
      <c r="L87" s="32">
        <f>IFERROR(TEXT(VLOOKUP($B87-1,开奖记录!$A:$L,3,FALSE),"00")&amp;"+5="&amp;VLOOKUP(MOD(VLOOKUP($B87-1,开奖记录!$A:$L,3,FALSE)+4,49)+1,规律参数!$A:$C,3,FALSE),"")</f>
        <v/>
      </c>
      <c r="M87" s="32">
        <f>IF(L87="","",IF(I87="","待开奖",IF(ISNUMBER(SEARCH(I87,L87)),"命中","未命中")))</f>
        <v/>
      </c>
      <c r="N87" s="32">
        <f>IFERROR(VLOOKUP(VLOOKUP($B87-1,开奖记录!$A:$L,11,FALSE),八肖参数!$A:$B,2,FALSE),"")</f>
        <v/>
      </c>
      <c r="O87" s="32">
        <f>IF(N87="","",IF(I87="","待开奖",IF(ISNUMBER(SEARCH(I87,N87)),"命中","未命中")))</f>
        <v/>
      </c>
    </row>
    <row r="88" ht="23" customHeight="1" s="21">
      <c r="A88" s="32" t="n">
        <v>87</v>
      </c>
      <c r="B88" s="32" t="n">
        <v>2026087</v>
      </c>
      <c r="C88" s="33" t="inlineStr">
        <is>
          <t>蛇26</t>
        </is>
      </c>
      <c r="D88" s="34" t="n"/>
      <c r="E88" s="34" t="n"/>
      <c r="F88" s="34">
        <f>IF(COUNTA(D88:E88)=0,"",N(D88)-N(E88))</f>
        <v/>
      </c>
      <c r="G88" s="32">
        <f>IFERROR(VLOOKUP($B88,'开奖记录'!$A:$K,2,FALSE),"")</f>
        <v/>
      </c>
      <c r="H88" s="32">
        <f>IFERROR(VLOOKUP($B88,'开奖记录'!$A:$K,9,FALSE),"")</f>
        <v/>
      </c>
      <c r="I88" s="32">
        <f>IFERROR(VLOOKUP($B88,'开奖记录'!$A:$K,11,FALSE),"")</f>
        <v/>
      </c>
      <c r="J88" s="32">
        <f>IF($B88="","",IF(ISNUMBER($D88),"命中",IF(ISNUMBER($E88),"未命中","")))</f>
        <v/>
      </c>
      <c r="K88" s="35" t="inlineStr"/>
      <c r="L88" s="32">
        <f>IFERROR(TEXT(VLOOKUP($B88-1,开奖记录!$A:$L,3,FALSE),"00")&amp;"+5="&amp;VLOOKUP(MOD(VLOOKUP($B88-1,开奖记录!$A:$L,3,FALSE)+4,49)+1,规律参数!$A:$C,3,FALSE),"")</f>
        <v/>
      </c>
      <c r="M88" s="32">
        <f>IF(L88="","",IF(I88="","待开奖",IF(ISNUMBER(SEARCH(I88,L88)),"命中","未命中")))</f>
        <v/>
      </c>
      <c r="N88" s="32">
        <f>IFERROR(VLOOKUP(VLOOKUP($B88-1,开奖记录!$A:$L,11,FALSE),八肖参数!$A:$B,2,FALSE),"")</f>
        <v/>
      </c>
      <c r="O88" s="32">
        <f>IF(N88="","",IF(I88="","待开奖",IF(ISNUMBER(SEARCH(I88,N88)),"命中","未命中")))</f>
        <v/>
      </c>
    </row>
    <row r="89" ht="23" customHeight="1" s="21">
      <c r="A89" s="32" t="n">
        <v>88</v>
      </c>
      <c r="B89" s="32" t="n">
        <v>2026088</v>
      </c>
      <c r="C89" s="33" t="inlineStr">
        <is>
          <t>龙27</t>
        </is>
      </c>
      <c r="D89" s="34" t="n"/>
      <c r="E89" s="34" t="n"/>
      <c r="F89" s="34">
        <f>IF(COUNTA(D89:E89)=0,"",N(D89)-N(E89))</f>
        <v/>
      </c>
      <c r="G89" s="32">
        <f>IFERROR(VLOOKUP($B89,'开奖记录'!$A:$K,2,FALSE),"")</f>
        <v/>
      </c>
      <c r="H89" s="32">
        <f>IFERROR(VLOOKUP($B89,'开奖记录'!$A:$K,9,FALSE),"")</f>
        <v/>
      </c>
      <c r="I89" s="32">
        <f>IFERROR(VLOOKUP($B89,'开奖记录'!$A:$K,11,FALSE),"")</f>
        <v/>
      </c>
      <c r="J89" s="32">
        <f>IF($B89="","",IF(ISNUMBER($D89),"命中",IF(ISNUMBER($E89),"未命中","")))</f>
        <v/>
      </c>
      <c r="K89" s="35" t="inlineStr"/>
      <c r="L89" s="32">
        <f>IFERROR(TEXT(VLOOKUP($B89-1,开奖记录!$A:$L,3,FALSE),"00")&amp;"+5="&amp;VLOOKUP(MOD(VLOOKUP($B89-1,开奖记录!$A:$L,3,FALSE)+4,49)+1,规律参数!$A:$C,3,FALSE),"")</f>
        <v/>
      </c>
      <c r="M89" s="32">
        <f>IF(L89="","",IF(I89="","待开奖",IF(ISNUMBER(SEARCH(I89,L89)),"命中","未命中")))</f>
        <v/>
      </c>
      <c r="N89" s="32">
        <f>IFERROR(VLOOKUP(VLOOKUP($B89-1,开奖记录!$A:$L,11,FALSE),八肖参数!$A:$B,2,FALSE),"")</f>
        <v/>
      </c>
      <c r="O89" s="32">
        <f>IF(N89="","",IF(I89="","待开奖",IF(ISNUMBER(SEARCH(I89,N89)),"命中","未命中")))</f>
        <v/>
      </c>
    </row>
    <row r="90" ht="23" customHeight="1" s="21">
      <c r="A90" s="32" t="n">
        <v>89</v>
      </c>
      <c r="B90" s="32" t="n">
        <v>2026089</v>
      </c>
      <c r="C90" s="33" t="inlineStr">
        <is>
          <t>马49</t>
        </is>
      </c>
      <c r="D90" s="34" t="n"/>
      <c r="E90" s="34" t="n"/>
      <c r="F90" s="34">
        <f>IF(COUNTA(D90:E90)=0,"",N(D90)-N(E90))</f>
        <v/>
      </c>
      <c r="G90" s="32">
        <f>IFERROR(VLOOKUP($B90,'开奖记录'!$A:$K,2,FALSE),"")</f>
        <v/>
      </c>
      <c r="H90" s="32">
        <f>IFERROR(VLOOKUP($B90,'开奖记录'!$A:$K,9,FALSE),"")</f>
        <v/>
      </c>
      <c r="I90" s="32">
        <f>IFERROR(VLOOKUP($B90,'开奖记录'!$A:$K,11,FALSE),"")</f>
        <v/>
      </c>
      <c r="J90" s="32">
        <f>IF($B90="","",IF(ISNUMBER($D90),"命中",IF(ISNUMBER($E90),"未命中","")))</f>
        <v/>
      </c>
      <c r="K90" s="35" t="inlineStr"/>
      <c r="L90" s="32">
        <f>IFERROR(TEXT(VLOOKUP($B90-1,开奖记录!$A:$L,3,FALSE),"00")&amp;"+5="&amp;VLOOKUP(MOD(VLOOKUP($B90-1,开奖记录!$A:$L,3,FALSE)+4,49)+1,规律参数!$A:$C,3,FALSE),"")</f>
        <v/>
      </c>
      <c r="M90" s="32">
        <f>IF(L90="","",IF(I90="","待开奖",IF(ISNUMBER(SEARCH(I90,L90)),"命中","未命中")))</f>
        <v/>
      </c>
      <c r="N90" s="32">
        <f>IFERROR(VLOOKUP(VLOOKUP($B90-1,开奖记录!$A:$L,11,FALSE),八肖参数!$A:$B,2,FALSE),"")</f>
        <v/>
      </c>
      <c r="O90" s="32">
        <f>IF(N90="","",IF(I90="","待开奖",IF(ISNUMBER(SEARCH(I90,N90)),"命中","未命中")))</f>
        <v/>
      </c>
    </row>
    <row r="91" ht="23" customHeight="1" s="21">
      <c r="A91" s="32" t="n">
        <v>90</v>
      </c>
      <c r="B91" s="32" t="n">
        <v>2026090</v>
      </c>
      <c r="C91" s="33" t="inlineStr">
        <is>
          <t>羊36</t>
        </is>
      </c>
      <c r="D91" s="34" t="n"/>
      <c r="E91" s="34" t="n"/>
      <c r="F91" s="34">
        <f>IF(COUNTA(D91:E91)=0,"",N(D91)-N(E91))</f>
        <v/>
      </c>
      <c r="G91" s="32">
        <f>IFERROR(VLOOKUP($B91,'开奖记录'!$A:$K,2,FALSE),"")</f>
        <v/>
      </c>
      <c r="H91" s="32">
        <f>IFERROR(VLOOKUP($B91,'开奖记录'!$A:$K,9,FALSE),"")</f>
        <v/>
      </c>
      <c r="I91" s="32">
        <f>IFERROR(VLOOKUP($B91,'开奖记录'!$A:$K,11,FALSE),"")</f>
        <v/>
      </c>
      <c r="J91" s="32">
        <f>IF($B91="","",IF(ISNUMBER($D91),"命中",IF(ISNUMBER($E91),"未命中","")))</f>
        <v/>
      </c>
      <c r="K91" s="35" t="inlineStr"/>
      <c r="L91" s="32">
        <f>IFERROR(TEXT(VLOOKUP($B91-1,开奖记录!$A:$L,3,FALSE),"00")&amp;"+5="&amp;VLOOKUP(MOD(VLOOKUP($B91-1,开奖记录!$A:$L,3,FALSE)+4,49)+1,规律参数!$A:$C,3,FALSE),"")</f>
        <v/>
      </c>
      <c r="M91" s="32">
        <f>IF(L91="","",IF(I91="","待开奖",IF(ISNUMBER(SEARCH(I91,L91)),"命中","未命中")))</f>
        <v/>
      </c>
      <c r="N91" s="32">
        <f>IFERROR(VLOOKUP(VLOOKUP($B91-1,开奖记录!$A:$L,11,FALSE),八肖参数!$A:$B,2,FALSE),"")</f>
        <v/>
      </c>
      <c r="O91" s="32">
        <f>IF(N91="","",IF(I91="","待开奖",IF(ISNUMBER(SEARCH(I91,N91)),"命中","未命中")))</f>
        <v/>
      </c>
    </row>
    <row r="92" ht="23" customHeight="1" s="21">
      <c r="A92" s="32" t="n">
        <v>91</v>
      </c>
      <c r="B92" s="32" t="n">
        <v>2026091</v>
      </c>
      <c r="C92" s="33" t="inlineStr">
        <is>
          <t xml:space="preserve">马 37 </t>
        </is>
      </c>
      <c r="D92" s="34" t="n"/>
      <c r="E92" s="34" t="n"/>
      <c r="F92" s="34">
        <f>IF(COUNTA(D92:E92)=0,"",N(D92)-N(E92))</f>
        <v/>
      </c>
      <c r="G92" s="32">
        <f>IFERROR(VLOOKUP($B92,'开奖记录'!$A:$K,2,FALSE),"")</f>
        <v/>
      </c>
      <c r="H92" s="32">
        <f>IFERROR(VLOOKUP($B92,'开奖记录'!$A:$K,9,FALSE),"")</f>
        <v/>
      </c>
      <c r="I92" s="32">
        <f>IFERROR(VLOOKUP($B92,'开奖记录'!$A:$K,11,FALSE),"")</f>
        <v/>
      </c>
      <c r="J92" s="32">
        <f>IF($B92="","",IF(ISNUMBER($D92),"命中",IF(ISNUMBER($E92),"未命中","")))</f>
        <v/>
      </c>
      <c r="K92" s="35" t="inlineStr"/>
      <c r="L92" s="32">
        <f>IFERROR(TEXT(VLOOKUP($B92-1,开奖记录!$A:$L,3,FALSE),"00")&amp;"+5="&amp;VLOOKUP(MOD(VLOOKUP($B92-1,开奖记录!$A:$L,3,FALSE)+4,49)+1,规律参数!$A:$C,3,FALSE),"")</f>
        <v/>
      </c>
      <c r="M92" s="32">
        <f>IF(L92="","",IF(I92="","待开奖",IF(ISNUMBER(SEARCH(I92,L92)),"命中","未命中")))</f>
        <v/>
      </c>
      <c r="N92" s="32">
        <f>IFERROR(VLOOKUP(VLOOKUP($B92-1,开奖记录!$A:$L,11,FALSE),八肖参数!$A:$B,2,FALSE),"")</f>
        <v/>
      </c>
      <c r="O92" s="32">
        <f>IF(N92="","",IF(I92="","待开奖",IF(ISNUMBER(SEARCH(I92,N92)),"命中","未命中")))</f>
        <v/>
      </c>
    </row>
    <row r="93" ht="23" customHeight="1" s="21">
      <c r="A93" s="32" t="n">
        <v>92</v>
      </c>
      <c r="B93" s="32" t="n">
        <v>2026092</v>
      </c>
      <c r="C93" s="33" t="inlineStr">
        <is>
          <t>牛06</t>
        </is>
      </c>
      <c r="D93" s="34" t="n"/>
      <c r="E93" s="34" t="n"/>
      <c r="F93" s="34">
        <f>IF(COUNTA(D93:E93)=0,"",N(D93)-N(E93))</f>
        <v/>
      </c>
      <c r="G93" s="32">
        <f>IFERROR(VLOOKUP($B93,'开奖记录'!$A:$K,2,FALSE),"")</f>
        <v/>
      </c>
      <c r="H93" s="32">
        <f>IFERROR(VLOOKUP($B93,'开奖记录'!$A:$K,9,FALSE),"")</f>
        <v/>
      </c>
      <c r="I93" s="32">
        <f>IFERROR(VLOOKUP($B93,'开奖记录'!$A:$K,11,FALSE),"")</f>
        <v/>
      </c>
      <c r="J93" s="32">
        <f>IF($B93="","",IF(ISNUMBER($D93),"命中",IF(ISNUMBER($E93),"未命中","")))</f>
        <v/>
      </c>
      <c r="K93" s="35" t="inlineStr"/>
      <c r="L93" s="32">
        <f>IFERROR(TEXT(VLOOKUP($B93-1,开奖记录!$A:$L,3,FALSE),"00")&amp;"+5="&amp;VLOOKUP(MOD(VLOOKUP($B93-1,开奖记录!$A:$L,3,FALSE)+4,49)+1,规律参数!$A:$C,3,FALSE),"")</f>
        <v/>
      </c>
      <c r="M93" s="32">
        <f>IF(L93="","",IF(I93="","待开奖",IF(ISNUMBER(SEARCH(I93,L93)),"命中","未命中")))</f>
        <v/>
      </c>
      <c r="N93" s="32">
        <f>IFERROR(VLOOKUP(VLOOKUP($B93-1,开奖记录!$A:$L,11,FALSE),八肖参数!$A:$B,2,FALSE),"")</f>
        <v/>
      </c>
      <c r="O93" s="32">
        <f>IF(N93="","",IF(I93="","待开奖",IF(ISNUMBER(SEARCH(I93,N93)),"命中","未命中")))</f>
        <v/>
      </c>
    </row>
    <row r="94" ht="23" customHeight="1" s="21">
      <c r="A94" s="32" t="n">
        <v>93</v>
      </c>
      <c r="B94" s="32" t="n">
        <v>2026093</v>
      </c>
      <c r="C94" s="33" t="inlineStr">
        <is>
          <t>兔40</t>
        </is>
      </c>
      <c r="D94" s="34" t="n"/>
      <c r="E94" s="34" t="n"/>
      <c r="F94" s="34">
        <f>IF(COUNTA(D94:E94)=0,"",N(D94)-N(E94))</f>
        <v/>
      </c>
      <c r="G94" s="32">
        <f>IFERROR(VLOOKUP($B94,'开奖记录'!$A:$K,2,FALSE),"")</f>
        <v/>
      </c>
      <c r="H94" s="32">
        <f>IFERROR(VLOOKUP($B94,'开奖记录'!$A:$K,9,FALSE),"")</f>
        <v/>
      </c>
      <c r="I94" s="32">
        <f>IFERROR(VLOOKUP($B94,'开奖记录'!$A:$K,11,FALSE),"")</f>
        <v/>
      </c>
      <c r="J94" s="32">
        <f>IF($B94="","",IF(ISNUMBER($D94),"命中",IF(ISNUMBER($E94),"未命中","")))</f>
        <v/>
      </c>
      <c r="K94" s="35" t="inlineStr"/>
      <c r="L94" s="32">
        <f>IFERROR(TEXT(VLOOKUP($B94-1,开奖记录!$A:$L,3,FALSE),"00")&amp;"+5="&amp;VLOOKUP(MOD(VLOOKUP($B94-1,开奖记录!$A:$L,3,FALSE)+4,49)+1,规律参数!$A:$C,3,FALSE),"")</f>
        <v/>
      </c>
      <c r="M94" s="32">
        <f>IF(L94="","",IF(I94="","待开奖",IF(ISNUMBER(SEARCH(I94,L94)),"命中","未命中")))</f>
        <v/>
      </c>
      <c r="N94" s="32">
        <f>IFERROR(VLOOKUP(VLOOKUP($B94-1,开奖记录!$A:$L,11,FALSE),八肖参数!$A:$B,2,FALSE),"")</f>
        <v/>
      </c>
      <c r="O94" s="32">
        <f>IF(N94="","",IF(I94="","待开奖",IF(ISNUMBER(SEARCH(I94,N94)),"命中","未命中")))</f>
        <v/>
      </c>
    </row>
    <row r="95" ht="23" customHeight="1" s="21">
      <c r="A95" s="32" t="n">
        <v>94</v>
      </c>
      <c r="B95" s="32" t="n">
        <v>2026094</v>
      </c>
      <c r="C95" s="33" t="inlineStr">
        <is>
          <t>虎17</t>
        </is>
      </c>
      <c r="D95" s="34" t="n"/>
      <c r="E95" s="34" t="n"/>
      <c r="F95" s="34">
        <f>IF(COUNTA(D95:E95)=0,"",N(D95)-N(E95))</f>
        <v/>
      </c>
      <c r="G95" s="32">
        <f>IFERROR(VLOOKUP($B95,'开奖记录'!$A:$K,2,FALSE),"")</f>
        <v/>
      </c>
      <c r="H95" s="32">
        <f>IFERROR(VLOOKUP($B95,'开奖记录'!$A:$K,9,FALSE),"")</f>
        <v/>
      </c>
      <c r="I95" s="32">
        <f>IFERROR(VLOOKUP($B95,'开奖记录'!$A:$K,11,FALSE),"")</f>
        <v/>
      </c>
      <c r="J95" s="32">
        <f>IF($B95="","",IF(ISNUMBER($D95),"命中",IF(ISNUMBER($E95),"未命中","")))</f>
        <v/>
      </c>
      <c r="K95" s="35" t="inlineStr"/>
      <c r="L95" s="32">
        <f>IFERROR(TEXT(VLOOKUP($B95-1,开奖记录!$A:$L,3,FALSE),"00")&amp;"+5="&amp;VLOOKUP(MOD(VLOOKUP($B95-1,开奖记录!$A:$L,3,FALSE)+4,49)+1,规律参数!$A:$C,3,FALSE),"")</f>
        <v/>
      </c>
      <c r="M95" s="32">
        <f>IF(L95="","",IF(I95="","待开奖",IF(ISNUMBER(SEARCH(I95,L95)),"命中","未命中")))</f>
        <v/>
      </c>
      <c r="N95" s="32">
        <f>IFERROR(VLOOKUP(VLOOKUP($B95-1,开奖记录!$A:$L,11,FALSE),八肖参数!$A:$B,2,FALSE),"")</f>
        <v/>
      </c>
      <c r="O95" s="32">
        <f>IF(N95="","",IF(I95="","待开奖",IF(ISNUMBER(SEARCH(I95,N95)),"命中","未命中")))</f>
        <v/>
      </c>
    </row>
    <row r="96" ht="23" customHeight="1" s="21">
      <c r="A96" s="32" t="n">
        <v>95</v>
      </c>
      <c r="B96" s="32" t="n">
        <v>2026095</v>
      </c>
      <c r="C96" s="33" t="inlineStr">
        <is>
          <t>猴35</t>
        </is>
      </c>
      <c r="D96" s="34" t="n"/>
      <c r="E96" s="34" t="n"/>
      <c r="F96" s="34">
        <f>IF(COUNTA(D96:E96)=0,"",N(D96)-N(E96))</f>
        <v/>
      </c>
      <c r="G96" s="32">
        <f>IFERROR(VLOOKUP($B96,'开奖记录'!$A:$K,2,FALSE),"")</f>
        <v/>
      </c>
      <c r="H96" s="32">
        <f>IFERROR(VLOOKUP($B96,'开奖记录'!$A:$K,9,FALSE),"")</f>
        <v/>
      </c>
      <c r="I96" s="32">
        <f>IFERROR(VLOOKUP($B96,'开奖记录'!$A:$K,11,FALSE),"")</f>
        <v/>
      </c>
      <c r="J96" s="32">
        <f>IF($B96="","",IF(ISNUMBER($D96),"命中",IF(ISNUMBER($E96),"未命中","")))</f>
        <v/>
      </c>
      <c r="K96" s="35" t="inlineStr"/>
      <c r="L96" s="32">
        <f>IFERROR(TEXT(VLOOKUP($B96-1,开奖记录!$A:$L,3,FALSE),"00")&amp;"+5="&amp;VLOOKUP(MOD(VLOOKUP($B96-1,开奖记录!$A:$L,3,FALSE)+4,49)+1,规律参数!$A:$C,3,FALSE),"")</f>
        <v/>
      </c>
      <c r="M96" s="32">
        <f>IF(L96="","",IF(I96="","待开奖",IF(ISNUMBER(SEARCH(I96,L96)),"命中","未命中")))</f>
        <v/>
      </c>
      <c r="N96" s="32">
        <f>IFERROR(VLOOKUP(VLOOKUP($B96-1,开奖记录!$A:$L,11,FALSE),八肖参数!$A:$B,2,FALSE),"")</f>
        <v/>
      </c>
      <c r="O96" s="32">
        <f>IF(N96="","",IF(I96="","待开奖",IF(ISNUMBER(SEARCH(I96,N96)),"命中","未命中")))</f>
        <v/>
      </c>
    </row>
    <row r="97" ht="23" customHeight="1" s="21">
      <c r="A97" s="32" t="n">
        <v>96</v>
      </c>
      <c r="B97" s="32" t="n">
        <v>2026096</v>
      </c>
      <c r="C97" s="33" t="inlineStr">
        <is>
          <t xml:space="preserve">鼠43</t>
        </is>
      </c>
      <c r="D97" s="34" t="n"/>
      <c r="E97" s="34" t="n"/>
      <c r="F97" s="34">
        <f>IF(COUNTA(D97:E97)=0,"",N(D97)-N(E97))</f>
        <v/>
      </c>
      <c r="G97" s="32">
        <f>IFERROR(VLOOKUP($B97,'开奖记录'!$A:$K,2,FALSE),"")</f>
        <v/>
      </c>
      <c r="H97" s="32">
        <f>IFERROR(VLOOKUP($B97,'开奖记录'!$A:$K,9,FALSE),"")</f>
        <v/>
      </c>
      <c r="I97" s="32">
        <f>IFERROR(VLOOKUP($B97,'开奖记录'!$A:$K,11,FALSE),"")</f>
        <v/>
      </c>
      <c r="J97" s="32">
        <f>IF($B97="","",IF(ISNUMBER($D97),"命中",IF(ISNUMBER($E97),"未命中","")))</f>
        <v/>
      </c>
      <c r="K97" s="35" t="inlineStr"/>
      <c r="L97" s="32">
        <f>IFERROR(TEXT(VLOOKUP($B97-1,开奖记录!$A:$L,3,FALSE),"00")&amp;"+5="&amp;VLOOKUP(MOD(VLOOKUP($B97-1,开奖记录!$A:$L,3,FALSE)+4,49)+1,规律参数!$A:$C,3,FALSE),"")</f>
        <v/>
      </c>
      <c r="M97" s="32">
        <f>IF(L97="","",IF(I97="","待开奖",IF(ISNUMBER(SEARCH(I97,L97)),"命中","未命中")))</f>
        <v/>
      </c>
      <c r="N97" s="32">
        <f>IFERROR(VLOOKUP(VLOOKUP($B97-1,开奖记录!$A:$L,11,FALSE),八肖参数!$A:$B,2,FALSE),"")</f>
        <v/>
      </c>
      <c r="O97" s="32">
        <f>IF(N97="","",IF(I97="","待开奖",IF(ISNUMBER(SEARCH(I97,N97)),"命中","未命中")))</f>
        <v/>
      </c>
    </row>
    <row r="98" ht="23" customHeight="1" s="21">
      <c r="A98" s="32" t="n">
        <v>97</v>
      </c>
      <c r="B98" s="32" t="n">
        <v>2026097</v>
      </c>
      <c r="C98" s="33" t="inlineStr">
        <is>
          <t>猴11</t>
        </is>
      </c>
      <c r="D98" s="34" t="n"/>
      <c r="E98" s="34" t="n"/>
      <c r="F98" s="34">
        <f>IF(COUNTA(D98:E98)=0,"",N(D98)-N(E98))</f>
        <v/>
      </c>
      <c r="G98" s="32">
        <f>IFERROR(VLOOKUP($B98,'开奖记录'!$A:$K,2,FALSE),"")</f>
        <v/>
      </c>
      <c r="H98" s="32">
        <f>IFERROR(VLOOKUP($B98,'开奖记录'!$A:$K,9,FALSE),"")</f>
        <v/>
      </c>
      <c r="I98" s="32">
        <f>IFERROR(VLOOKUP($B98,'开奖记录'!$A:$K,11,FALSE),"")</f>
        <v/>
      </c>
      <c r="J98" s="32">
        <f>IF($B98="","",IF(ISNUMBER($D98),"命中",IF(ISNUMBER($E98),"未命中","")))</f>
        <v/>
      </c>
      <c r="K98" s="35" t="inlineStr"/>
      <c r="L98" s="32">
        <f>IFERROR(TEXT(VLOOKUP($B98-1,开奖记录!$A:$L,3,FALSE),"00")&amp;"+5="&amp;VLOOKUP(MOD(VLOOKUP($B98-1,开奖记录!$A:$L,3,FALSE)+4,49)+1,规律参数!$A:$C,3,FALSE),"")</f>
        <v/>
      </c>
      <c r="M98" s="32">
        <f>IF(L98="","",IF(I98="","待开奖",IF(ISNUMBER(SEARCH(I98,L98)),"命中","未命中")))</f>
        <v/>
      </c>
      <c r="N98" s="32">
        <f>IFERROR(VLOOKUP(VLOOKUP($B98-1,开奖记录!$A:$L,11,FALSE),八肖参数!$A:$B,2,FALSE),"")</f>
        <v/>
      </c>
      <c r="O98" s="32">
        <f>IF(N98="","",IF(I98="","待开奖",IF(ISNUMBER(SEARCH(I98,N98)),"命中","未命中")))</f>
        <v/>
      </c>
    </row>
    <row r="99" ht="23" customHeight="1" s="21">
      <c r="A99" s="32" t="n">
        <v>98</v>
      </c>
      <c r="B99" s="32" t="n">
        <v>2026098</v>
      </c>
      <c r="C99" s="33" t="inlineStr">
        <is>
          <t>虎17</t>
        </is>
      </c>
      <c r="D99" s="34" t="n"/>
      <c r="E99" s="34" t="n"/>
      <c r="F99" s="34">
        <f>IF(COUNTA(D99:E99)=0,"",N(D99)-N(E99))</f>
        <v/>
      </c>
      <c r="G99" s="32">
        <f>IFERROR(VLOOKUP($B99,'开奖记录'!$A:$K,2,FALSE),"")</f>
        <v/>
      </c>
      <c r="H99" s="32">
        <f>IFERROR(VLOOKUP($B99,'开奖记录'!$A:$K,9,FALSE),"")</f>
        <v/>
      </c>
      <c r="I99" s="32">
        <f>IFERROR(VLOOKUP($B99,'开奖记录'!$A:$K,11,FALSE),"")</f>
        <v/>
      </c>
      <c r="J99" s="32">
        <f>IF($B99="","",IF(ISNUMBER($D99),"命中",IF(ISNUMBER($E99),"未命中","")))</f>
        <v/>
      </c>
      <c r="K99" s="35" t="inlineStr"/>
      <c r="L99" s="32">
        <f>IFERROR(TEXT(VLOOKUP($B99-1,开奖记录!$A:$L,3,FALSE),"00")&amp;"+5="&amp;VLOOKUP(MOD(VLOOKUP($B99-1,开奖记录!$A:$L,3,FALSE)+4,49)+1,规律参数!$A:$C,3,FALSE),"")</f>
        <v/>
      </c>
      <c r="M99" s="32">
        <f>IF(L99="","",IF(I99="","待开奖",IF(ISNUMBER(SEARCH(I99,L99)),"命中","未命中")))</f>
        <v/>
      </c>
      <c r="N99" s="32">
        <f>IFERROR(VLOOKUP(VLOOKUP($B99-1,开奖记录!$A:$L,11,FALSE),八肖参数!$A:$B,2,FALSE),"")</f>
        <v/>
      </c>
      <c r="O99" s="32">
        <f>IF(N99="","",IF(I99="","待开奖",IF(ISNUMBER(SEARCH(I99,N99)),"命中","未命中")))</f>
        <v/>
      </c>
    </row>
    <row r="100" ht="23" customHeight="1" s="21">
      <c r="A100" s="32" t="n">
        <v>99</v>
      </c>
      <c r="B100" s="32" t="n">
        <v>2026099</v>
      </c>
      <c r="C100" s="33" t="inlineStr">
        <is>
          <t>羊12</t>
        </is>
      </c>
      <c r="D100" s="34" t="n"/>
      <c r="E100" s="34" t="n"/>
      <c r="F100" s="34">
        <f>IF(COUNTA(D100:E100)=0,"",N(D100)-N(E100))</f>
        <v/>
      </c>
      <c r="G100" s="32">
        <f>IFERROR(VLOOKUP($B100,'开奖记录'!$A:$K,2,FALSE),"")</f>
        <v/>
      </c>
      <c r="H100" s="32">
        <f>IFERROR(VLOOKUP($B100,'开奖记录'!$A:$K,9,FALSE),"")</f>
        <v/>
      </c>
      <c r="I100" s="32">
        <f>IFERROR(VLOOKUP($B100,'开奖记录'!$A:$K,11,FALSE),"")</f>
        <v/>
      </c>
      <c r="J100" s="32">
        <f>IF($B100="","",IF(ISNUMBER($D100),"命中",IF(ISNUMBER($E100),"未命中","")))</f>
        <v/>
      </c>
      <c r="K100" s="35" t="inlineStr"/>
      <c r="L100" s="32">
        <f>IFERROR(TEXT(VLOOKUP($B100-1,开奖记录!$A:$L,3,FALSE),"00")&amp;"+5="&amp;VLOOKUP(MOD(VLOOKUP($B100-1,开奖记录!$A:$L,3,FALSE)+4,49)+1,规律参数!$A:$C,3,FALSE),"")</f>
        <v/>
      </c>
      <c r="M100" s="32">
        <f>IF(L100="","",IF(I100="","待开奖",IF(ISNUMBER(SEARCH(I100,L100)),"命中","未命中")))</f>
        <v/>
      </c>
      <c r="N100" s="32">
        <f>IFERROR(VLOOKUP(VLOOKUP($B100-1,开奖记录!$A:$L,11,FALSE),八肖参数!$A:$B,2,FALSE),"")</f>
        <v/>
      </c>
      <c r="O100" s="32">
        <f>IF(N100="","",IF(I100="","待开奖",IF(ISNUMBER(SEARCH(I100,N100)),"命中","未命中")))</f>
        <v/>
      </c>
    </row>
    <row r="101" ht="23" customHeight="1" s="21">
      <c r="A101" s="32" t="n">
        <v>100</v>
      </c>
      <c r="B101" s="32" t="n">
        <v>2026100</v>
      </c>
      <c r="C101" s="33" t="inlineStr">
        <is>
          <t>狗33</t>
        </is>
      </c>
      <c r="D101" s="34" t="n"/>
      <c r="E101" s="34" t="n"/>
      <c r="F101" s="34">
        <f>IF(COUNTA(D101:E101)=0,"",N(D101)-N(E101))</f>
        <v/>
      </c>
      <c r="G101" s="32">
        <f>IFERROR(VLOOKUP($B101,'开奖记录'!$A:$K,2,FALSE),"")</f>
        <v/>
      </c>
      <c r="H101" s="32">
        <f>IFERROR(VLOOKUP($B101,'开奖记录'!$A:$K,9,FALSE),"")</f>
        <v/>
      </c>
      <c r="I101" s="32">
        <f>IFERROR(VLOOKUP($B101,'开奖记录'!$A:$K,11,FALSE),"")</f>
        <v/>
      </c>
      <c r="J101" s="32">
        <f>IF($B101="","",IF(ISNUMBER($D101),"命中",IF(ISNUMBER($E101),"未命中","")))</f>
        <v/>
      </c>
      <c r="K101" s="35" t="inlineStr"/>
      <c r="L101" s="32">
        <f>IFERROR(TEXT(VLOOKUP($B101-1,开奖记录!$A:$L,3,FALSE),"00")&amp;"+5="&amp;VLOOKUP(MOD(VLOOKUP($B101-1,开奖记录!$A:$L,3,FALSE)+4,49)+1,规律参数!$A:$C,3,FALSE),"")</f>
        <v/>
      </c>
      <c r="M101" s="32">
        <f>IF(L101="","",IF(I101="","待开奖",IF(ISNUMBER(SEARCH(I101,L101)),"命中","未命中")))</f>
        <v/>
      </c>
      <c r="N101" s="32">
        <f>IFERROR(VLOOKUP(VLOOKUP($B101-1,开奖记录!$A:$L,11,FALSE),八肖参数!$A:$B,2,FALSE),"")</f>
        <v/>
      </c>
      <c r="O101" s="32">
        <f>IF(N101="","",IF(I101="","待开奖",IF(ISNUMBER(SEARCH(I101,N101)),"命中","未命中")))</f>
        <v/>
      </c>
    </row>
    <row r="102" ht="23" customHeight="1" s="21">
      <c r="A102" s="32" t="n">
        <v>101</v>
      </c>
      <c r="B102" s="32" t="n">
        <v>2026101</v>
      </c>
      <c r="C102" s="33" t="inlineStr">
        <is>
          <t>龙39</t>
        </is>
      </c>
      <c r="D102" s="34" t="n"/>
      <c r="E102" s="34" t="n"/>
      <c r="F102" s="34">
        <f>IF(COUNTA(D102:E102)=0,"",N(D102)-N(E102))</f>
        <v/>
      </c>
      <c r="G102" s="32">
        <f>IFERROR(VLOOKUP($B102,'开奖记录'!$A:$K,2,FALSE),"")</f>
        <v/>
      </c>
      <c r="H102" s="32">
        <f>IFERROR(VLOOKUP($B102,'开奖记录'!$A:$K,9,FALSE),"")</f>
        <v/>
      </c>
      <c r="I102" s="32">
        <f>IFERROR(VLOOKUP($B102,'开奖记录'!$A:$K,11,FALSE),"")</f>
        <v/>
      </c>
      <c r="J102" s="32">
        <f>IF($B102="","",IF(ISNUMBER($D102),"命中",IF(ISNUMBER($E102),"未命中","")))</f>
        <v/>
      </c>
      <c r="K102" s="35" t="inlineStr"/>
      <c r="L102" s="32">
        <f>IFERROR(TEXT(VLOOKUP($B102-1,开奖记录!$A:$L,3,FALSE),"00")&amp;"+5="&amp;VLOOKUP(MOD(VLOOKUP($B102-1,开奖记录!$A:$L,3,FALSE)+4,49)+1,规律参数!$A:$C,3,FALSE),"")</f>
        <v/>
      </c>
      <c r="M102" s="32">
        <f>IF(L102="","",IF(I102="","待开奖",IF(ISNUMBER(SEARCH(I102,L102)),"命中","未命中")))</f>
        <v/>
      </c>
      <c r="N102" s="32">
        <f>IFERROR(VLOOKUP(VLOOKUP($B102-1,开奖记录!$A:$L,11,FALSE),八肖参数!$A:$B,2,FALSE),"")</f>
        <v/>
      </c>
      <c r="O102" s="32">
        <f>IF(N102="","",IF(I102="","待开奖",IF(ISNUMBER(SEARCH(I102,N102)),"命中","未命中")))</f>
        <v/>
      </c>
    </row>
    <row r="103" ht="23" customHeight="1" s="21">
      <c r="A103" s="32" t="n">
        <v>102</v>
      </c>
      <c r="B103" s="32" t="n">
        <v>2026102</v>
      </c>
      <c r="C103" s="33" t="inlineStr">
        <is>
          <t>猪20</t>
        </is>
      </c>
      <c r="D103" s="34" t="n"/>
      <c r="E103" s="34" t="n"/>
      <c r="F103" s="34">
        <f>IF(COUNTA(D103:E103)=0,"",N(D103)-N(E103))</f>
        <v/>
      </c>
      <c r="G103" s="32">
        <f>IFERROR(VLOOKUP($B103,'开奖记录'!$A:$K,2,FALSE),"")</f>
        <v/>
      </c>
      <c r="H103" s="32">
        <f>IFERROR(VLOOKUP($B103,'开奖记录'!$A:$K,9,FALSE),"")</f>
        <v/>
      </c>
      <c r="I103" s="32">
        <f>IFERROR(VLOOKUP($B103,'开奖记录'!$A:$K,11,FALSE),"")</f>
        <v/>
      </c>
      <c r="J103" s="32">
        <f>IF($B103="","",IF(ISNUMBER($D103),"命中",IF(ISNUMBER($E103),"未命中","")))</f>
        <v/>
      </c>
      <c r="K103" s="35" t="inlineStr"/>
      <c r="L103" s="32">
        <f>IFERROR(TEXT(VLOOKUP($B103-1,开奖记录!$A:$L,3,FALSE),"00")&amp;"+5="&amp;VLOOKUP(MOD(VLOOKUP($B103-1,开奖记录!$A:$L,3,FALSE)+4,49)+1,规律参数!$A:$C,3,FALSE),"")</f>
        <v/>
      </c>
      <c r="M103" s="32">
        <f>IF(L103="","",IF(I103="","待开奖",IF(ISNUMBER(SEARCH(I103,L103)),"命中","未命中")))</f>
        <v/>
      </c>
      <c r="N103" s="32">
        <f>IFERROR(VLOOKUP(VLOOKUP($B103-1,开奖记录!$A:$L,11,FALSE),八肖参数!$A:$B,2,FALSE),"")</f>
        <v/>
      </c>
      <c r="O103" s="32">
        <f>IF(N103="","",IF(I103="","待开奖",IF(ISNUMBER(SEARCH(I103,N103)),"命中","未命中")))</f>
        <v/>
      </c>
    </row>
    <row r="104" ht="23" customHeight="1" s="21">
      <c r="A104" s="32" t="n">
        <v>103</v>
      </c>
      <c r="B104" s="32" t="n">
        <v>2026103</v>
      </c>
      <c r="C104" s="33" t="inlineStr">
        <is>
          <t>牛06</t>
        </is>
      </c>
      <c r="D104" s="34" t="n"/>
      <c r="E104" s="34" t="n"/>
      <c r="F104" s="34">
        <f>IF(COUNTA(D104:E104)=0,"",N(D104)-N(E104))</f>
        <v/>
      </c>
      <c r="G104" s="32">
        <f>IFERROR(VLOOKUP($B104,'开奖记录'!$A:$K,2,FALSE),"")</f>
        <v/>
      </c>
      <c r="H104" s="32">
        <f>IFERROR(VLOOKUP($B104,'开奖记录'!$A:$K,9,FALSE),"")</f>
        <v/>
      </c>
      <c r="I104" s="32">
        <f>IFERROR(VLOOKUP($B104,'开奖记录'!$A:$K,11,FALSE),"")</f>
        <v/>
      </c>
      <c r="J104" s="32">
        <f>IF($B104="","",IF(ISNUMBER($D104),"命中",IF(ISNUMBER($E104),"未命中","")))</f>
        <v/>
      </c>
      <c r="K104" s="35" t="inlineStr"/>
      <c r="L104" s="32">
        <f>IFERROR(TEXT(VLOOKUP($B104-1,开奖记录!$A:$L,3,FALSE),"00")&amp;"+5="&amp;VLOOKUP(MOD(VLOOKUP($B104-1,开奖记录!$A:$L,3,FALSE)+4,49)+1,规律参数!$A:$C,3,FALSE),"")</f>
        <v/>
      </c>
      <c r="M104" s="32">
        <f>IF(L104="","",IF(I104="","待开奖",IF(ISNUMBER(SEARCH(I104,L104)),"命中","未命中")))</f>
        <v/>
      </c>
      <c r="N104" s="32">
        <f>IFERROR(VLOOKUP(VLOOKUP($B104-1,开奖记录!$A:$L,11,FALSE),八肖参数!$A:$B,2,FALSE),"")</f>
        <v/>
      </c>
      <c r="O104" s="32">
        <f>IF(N104="","",IF(I104="","待开奖",IF(ISNUMBER(SEARCH(I104,N104)),"命中","未命中")))</f>
        <v/>
      </c>
    </row>
    <row r="105" ht="23" customHeight="1" s="21">
      <c r="A105" s="32" t="n">
        <v>104</v>
      </c>
      <c r="B105" s="32" t="n">
        <v>2026104</v>
      </c>
      <c r="C105" s="33" t="inlineStr">
        <is>
          <t>马 01</t>
        </is>
      </c>
      <c r="D105" s="34" t="n"/>
      <c r="E105" s="34" t="n"/>
      <c r="F105" s="34">
        <f>IF(COUNTA(D105:E105)=0,"",N(D105)-N(E105))</f>
        <v/>
      </c>
      <c r="G105" s="32">
        <f>IFERROR(VLOOKUP($B105,'开奖记录'!$A:$K,2,FALSE),"")</f>
        <v/>
      </c>
      <c r="H105" s="32">
        <f>IFERROR(VLOOKUP($B105,'开奖记录'!$A:$K,9,FALSE),"")</f>
        <v/>
      </c>
      <c r="I105" s="32">
        <f>IFERROR(VLOOKUP($B105,'开奖记录'!$A:$K,11,FALSE),"")</f>
        <v/>
      </c>
      <c r="J105" s="32">
        <f>IF($B105="","",IF(ISNUMBER($D105),"命中",IF(ISNUMBER($E105),"未命中","")))</f>
        <v/>
      </c>
      <c r="K105" s="35" t="inlineStr"/>
      <c r="L105" s="32">
        <f>IFERROR(TEXT(VLOOKUP($B105-1,开奖记录!$A:$L,3,FALSE),"00")&amp;"+5="&amp;VLOOKUP(MOD(VLOOKUP($B105-1,开奖记录!$A:$L,3,FALSE)+4,49)+1,规律参数!$A:$C,3,FALSE),"")</f>
        <v/>
      </c>
      <c r="M105" s="32">
        <f>IF(L105="","",IF(I105="","待开奖",IF(ISNUMBER(SEARCH(I105,L105)),"命中","未命中")))</f>
        <v/>
      </c>
      <c r="N105" s="32">
        <f>IFERROR(VLOOKUP(VLOOKUP($B105-1,开奖记录!$A:$L,11,FALSE),八肖参数!$A:$B,2,FALSE),"")</f>
        <v/>
      </c>
      <c r="O105" s="32">
        <f>IF(N105="","",IF(I105="","待开奖",IF(ISNUMBER(SEARCH(I105,N105)),"命中","未命中")))</f>
        <v/>
      </c>
    </row>
    <row r="106" ht="23" customHeight="1" s="21">
      <c r="A106" s="32" t="n">
        <v>105</v>
      </c>
      <c r="B106" s="32" t="n">
        <v>2026105</v>
      </c>
      <c r="C106" s="33" t="inlineStr">
        <is>
          <t>兔28</t>
        </is>
      </c>
      <c r="D106" s="34" t="n"/>
      <c r="E106" s="34" t="n"/>
      <c r="F106" s="34">
        <f>IF(COUNTA(D106:E106)=0,"",N(D106)-N(E106))</f>
        <v/>
      </c>
      <c r="G106" s="32">
        <f>IFERROR(VLOOKUP($B106,'开奖记录'!$A:$K,2,FALSE),"")</f>
        <v/>
      </c>
      <c r="H106" s="32">
        <f>IFERROR(VLOOKUP($B106,'开奖记录'!$A:$K,9,FALSE),"")</f>
        <v/>
      </c>
      <c r="I106" s="32">
        <f>IFERROR(VLOOKUP($B106,'开奖记录'!$A:$K,11,FALSE),"")</f>
        <v/>
      </c>
      <c r="J106" s="32">
        <f>IF($B106="","",IF(ISNUMBER($D106),"命中",IF(ISNUMBER($E106),"未命中","")))</f>
        <v/>
      </c>
      <c r="K106" s="35" t="inlineStr"/>
      <c r="L106" s="32">
        <f>IFERROR(TEXT(VLOOKUP($B106-1,开奖记录!$A:$L,3,FALSE),"00")&amp;"+5="&amp;VLOOKUP(MOD(VLOOKUP($B106-1,开奖记录!$A:$L,3,FALSE)+4,49)+1,规律参数!$A:$C,3,FALSE),"")</f>
        <v/>
      </c>
      <c r="M106" s="32">
        <f>IF(L106="","",IF(I106="","待开奖",IF(ISNUMBER(SEARCH(I106,L106)),"命中","未命中")))</f>
        <v/>
      </c>
      <c r="N106" s="32">
        <f>IFERROR(VLOOKUP(VLOOKUP($B106-1,开奖记录!$A:$L,11,FALSE),八肖参数!$A:$B,2,FALSE),"")</f>
        <v/>
      </c>
      <c r="O106" s="32">
        <f>IF(N106="","",IF(I106="","待开奖",IF(ISNUMBER(SEARCH(I106,N106)),"命中","未命中")))</f>
        <v/>
      </c>
    </row>
    <row r="107" ht="23" customHeight="1" s="21">
      <c r="A107" s="32" t="n">
        <v>106</v>
      </c>
      <c r="B107" s="32" t="n">
        <v>2026106</v>
      </c>
      <c r="C107" s="33" t="inlineStr">
        <is>
          <t>鸡22</t>
        </is>
      </c>
      <c r="D107" s="34" t="n"/>
      <c r="E107" s="34" t="n"/>
      <c r="F107" s="34">
        <f>IF(COUNTA(D107:E107)=0,"",N(D107)-N(E107))</f>
        <v/>
      </c>
      <c r="G107" s="32">
        <f>IFERROR(VLOOKUP($B107,'开奖记录'!$A:$K,2,FALSE),"")</f>
        <v/>
      </c>
      <c r="H107" s="32">
        <f>IFERROR(VLOOKUP($B107,'开奖记录'!$A:$K,9,FALSE),"")</f>
        <v/>
      </c>
      <c r="I107" s="32">
        <f>IFERROR(VLOOKUP($B107,'开奖记录'!$A:$K,11,FALSE),"")</f>
        <v/>
      </c>
      <c r="J107" s="32">
        <f>IF($B107="","",IF(ISNUMBER($D107),"命中",IF(ISNUMBER($E107),"未命中","")))</f>
        <v/>
      </c>
      <c r="K107" s="35" t="inlineStr">
        <is>
          <t>尾反；八肖</t>
        </is>
      </c>
      <c r="L107" s="32">
        <f>IFERROR(TEXT(VLOOKUP($B107-1,开奖记录!$A:$L,3,FALSE),"00")&amp;"+5="&amp;VLOOKUP(MOD(VLOOKUP($B107-1,开奖记录!$A:$L,3,FALSE)+4,49)+1,规律参数!$A:$C,3,FALSE),"")</f>
        <v/>
      </c>
      <c r="M107" s="32">
        <f>IF(L107="","",IF(I107="","待开奖",IF(ISNUMBER(SEARCH(I107,L107)),"命中","未命中")))</f>
        <v/>
      </c>
      <c r="N107" s="32">
        <f>IFERROR(VLOOKUP(VLOOKUP($B107-1,开奖记录!$A:$L,11,FALSE),八肖参数!$A:$B,2,FALSE),"")</f>
        <v/>
      </c>
      <c r="O107" s="32">
        <f>IF(N107="","",IF(I107="","待开奖",IF(ISNUMBER(SEARCH(I107,N107)),"命中","未命中")))</f>
        <v/>
      </c>
    </row>
    <row r="108" ht="23" customHeight="1" s="21">
      <c r="A108" s="32" t="n">
        <v>107</v>
      </c>
      <c r="B108" s="32" t="n">
        <v>2026107</v>
      </c>
      <c r="C108" s="33" t="inlineStr">
        <is>
          <t>马49</t>
        </is>
      </c>
      <c r="D108" s="34" t="n"/>
      <c r="E108" s="34" t="n"/>
      <c r="F108" s="34">
        <f>IF(COUNTA(D108:E108)=0,"",N(D108)-N(E108))</f>
        <v/>
      </c>
      <c r="G108" s="32">
        <f>IFERROR(VLOOKUP($B108,'开奖记录'!$A:$K,2,FALSE),"")</f>
        <v/>
      </c>
      <c r="H108" s="32">
        <f>IFERROR(VLOOKUP($B108,'开奖记录'!$A:$K,9,FALSE),"")</f>
        <v/>
      </c>
      <c r="I108" s="32">
        <f>IFERROR(VLOOKUP($B108,'开奖记录'!$A:$K,11,FALSE),"")</f>
        <v/>
      </c>
      <c r="J108" s="32">
        <f>IF($B108="","",IF(ISNUMBER($D108),"命中",IF(ISNUMBER($E108),"未命中","")))</f>
        <v/>
      </c>
      <c r="K108" s="35" t="inlineStr"/>
      <c r="L108" s="32">
        <f>IFERROR(TEXT(VLOOKUP($B108-1,开奖记录!$A:$L,3,FALSE),"00")&amp;"+5="&amp;VLOOKUP(MOD(VLOOKUP($B108-1,开奖记录!$A:$L,3,FALSE)+4,49)+1,规律参数!$A:$C,3,FALSE),"")</f>
        <v/>
      </c>
      <c r="M108" s="32">
        <f>IF(L108="","",IF(I108="","待开奖",IF(ISNUMBER(SEARCH(I108,L108)),"命中","未命中")))</f>
        <v/>
      </c>
      <c r="N108" s="32">
        <f>IFERROR(VLOOKUP(VLOOKUP($B108-1,开奖记录!$A:$L,11,FALSE),八肖参数!$A:$B,2,FALSE),"")</f>
        <v/>
      </c>
      <c r="O108" s="32">
        <f>IF(N108="","",IF(I108="","待开奖",IF(ISNUMBER(SEARCH(I108,N108)),"命中","未命中")))</f>
        <v/>
      </c>
    </row>
    <row r="109" ht="23" customHeight="1" s="21">
      <c r="A109" s="32" t="n">
        <v>108</v>
      </c>
      <c r="B109" s="32" t="n">
        <v>2026108</v>
      </c>
      <c r="C109" s="33" t="inlineStr">
        <is>
          <t>狗45</t>
        </is>
      </c>
      <c r="D109" s="34" t="n"/>
      <c r="E109" s="34" t="n"/>
      <c r="F109" s="34">
        <f>IF(COUNTA(D109:E109)=0,"",N(D109)-N(E109))</f>
        <v/>
      </c>
      <c r="G109" s="32">
        <f>IFERROR(VLOOKUP($B109,'开奖记录'!$A:$K,2,FALSE),"")</f>
        <v/>
      </c>
      <c r="H109" s="32">
        <f>IFERROR(VLOOKUP($B109,'开奖记录'!$A:$K,9,FALSE),"")</f>
        <v/>
      </c>
      <c r="I109" s="32">
        <f>IFERROR(VLOOKUP($B109,'开奖记录'!$A:$K,11,FALSE),"")</f>
        <v/>
      </c>
      <c r="J109" s="32">
        <f>IF($B109="","",IF(ISNUMBER($D109),"命中",IF(ISNUMBER($E109),"未命中","")))</f>
        <v/>
      </c>
      <c r="K109" s="35" t="inlineStr"/>
      <c r="L109" s="32">
        <f>IFERROR(TEXT(VLOOKUP($B109-1,开奖记录!$A:$L,3,FALSE),"00")&amp;"+5="&amp;VLOOKUP(MOD(VLOOKUP($B109-1,开奖记录!$A:$L,3,FALSE)+4,49)+1,规律参数!$A:$C,3,FALSE),"")</f>
        <v/>
      </c>
      <c r="M109" s="32">
        <f>IF(L109="","",IF(I109="","待开奖",IF(ISNUMBER(SEARCH(I109,L109)),"命中","未命中")))</f>
        <v/>
      </c>
      <c r="N109" s="32">
        <f>IFERROR(VLOOKUP(VLOOKUP($B109-1,开奖记录!$A:$L,11,FALSE),八肖参数!$A:$B,2,FALSE),"")</f>
        <v/>
      </c>
      <c r="O109" s="32">
        <f>IF(N109="","",IF(I109="","待开奖",IF(ISNUMBER(SEARCH(I109,N109)),"命中","未命中")))</f>
        <v/>
      </c>
    </row>
    <row r="110" ht="23" customHeight="1" s="21">
      <c r="A110" s="32" t="n">
        <v>109</v>
      </c>
      <c r="B110" s="32" t="n">
        <v>2026109</v>
      </c>
      <c r="C110" s="33" t="inlineStr">
        <is>
          <t>兔16</t>
        </is>
      </c>
      <c r="D110" s="34" t="n"/>
      <c r="E110" s="34" t="n"/>
      <c r="F110" s="34">
        <f>IF(COUNTA(D110:E110)=0,"",N(D110)-N(E110))</f>
        <v/>
      </c>
      <c r="G110" s="32">
        <f>IFERROR(VLOOKUP($B110,'开奖记录'!$A:$K,2,FALSE),"")</f>
        <v/>
      </c>
      <c r="H110" s="32">
        <f>IFERROR(VLOOKUP($B110,'开奖记录'!$A:$K,9,FALSE),"")</f>
        <v/>
      </c>
      <c r="I110" s="32">
        <f>IFERROR(VLOOKUP($B110,'开奖记录'!$A:$K,11,FALSE),"")</f>
        <v/>
      </c>
      <c r="J110" s="32">
        <f>IF($B110="","",IF(ISNUMBER($D110),"命中",IF(ISNUMBER($E110),"未命中","")))</f>
        <v/>
      </c>
      <c r="K110" s="35" t="inlineStr"/>
      <c r="L110" s="32">
        <f>IFERROR(TEXT(VLOOKUP($B110-1,开奖记录!$A:$L,3,FALSE),"00")&amp;"+5="&amp;VLOOKUP(MOD(VLOOKUP($B110-1,开奖记录!$A:$L,3,FALSE)+4,49)+1,规律参数!$A:$C,3,FALSE),"")</f>
        <v/>
      </c>
      <c r="M110" s="32">
        <f>IF(L110="","",IF(I110="","待开奖",IF(ISNUMBER(SEARCH(I110,L110)),"命中","未命中")))</f>
        <v/>
      </c>
      <c r="N110" s="32">
        <f>IFERROR(VLOOKUP(VLOOKUP($B110-1,开奖记录!$A:$L,11,FALSE),八肖参数!$A:$B,2,FALSE),"")</f>
        <v/>
      </c>
      <c r="O110" s="32">
        <f>IF(N110="","",IF(I110="","待开奖",IF(ISNUMBER(SEARCH(I110,N110)),"命中","未命中")))</f>
        <v/>
      </c>
    </row>
    <row r="111" ht="23" customHeight="1" s="21">
      <c r="A111" s="32" t="n">
        <v>110</v>
      </c>
      <c r="B111" s="32" t="n">
        <v>2026110</v>
      </c>
      <c r="C111" s="33" t="inlineStr">
        <is>
          <t>牛30</t>
        </is>
      </c>
      <c r="D111" s="34" t="n"/>
      <c r="E111" s="34" t="n"/>
      <c r="F111" s="34">
        <f>IF(COUNTA(D111:E111)=0,"",N(D111)-N(E111))</f>
        <v/>
      </c>
      <c r="G111" s="32">
        <f>IFERROR(VLOOKUP($B111,'开奖记录'!$A:$K,2,FALSE),"")</f>
        <v/>
      </c>
      <c r="H111" s="32">
        <f>IFERROR(VLOOKUP($B111,'开奖记录'!$A:$K,9,FALSE),"")</f>
        <v/>
      </c>
      <c r="I111" s="32">
        <f>IFERROR(VLOOKUP($B111,'开奖记录'!$A:$K,11,FALSE),"")</f>
        <v/>
      </c>
      <c r="J111" s="32">
        <f>IF($B111="","",IF(ISNUMBER($D111),"命中",IF(ISNUMBER($E111),"未命中","")))</f>
        <v/>
      </c>
      <c r="K111" s="35" t="inlineStr"/>
      <c r="L111" s="32">
        <f>IFERROR(TEXT(VLOOKUP($B111-1,开奖记录!$A:$L,3,FALSE),"00")&amp;"+5="&amp;VLOOKUP(MOD(VLOOKUP($B111-1,开奖记录!$A:$L,3,FALSE)+4,49)+1,规律参数!$A:$C,3,FALSE),"")</f>
        <v/>
      </c>
      <c r="M111" s="32">
        <f>IF(L111="","",IF(I111="","待开奖",IF(ISNUMBER(SEARCH(I111,L111)),"命中","未命中")))</f>
        <v/>
      </c>
      <c r="N111" s="32">
        <f>IFERROR(VLOOKUP(VLOOKUP($B111-1,开奖记录!$A:$L,11,FALSE),八肖参数!$A:$B,2,FALSE),"")</f>
        <v/>
      </c>
      <c r="O111" s="32">
        <f>IF(N111="","",IF(I111="","待开奖",IF(ISNUMBER(SEARCH(I111,N111)),"命中","未命中")))</f>
        <v/>
      </c>
    </row>
    <row r="112" ht="23" customHeight="1" s="21">
      <c r="A112" s="32" t="n">
        <v>111</v>
      </c>
      <c r="B112" s="32" t="n">
        <v>2026111</v>
      </c>
      <c r="C112" s="33" t="inlineStr">
        <is>
          <t>马 01</t>
        </is>
      </c>
      <c r="D112" s="34" t="n"/>
      <c r="E112" s="34" t="n"/>
      <c r="F112" s="34">
        <f>IF(COUNTA(D112:E112)=0,"",N(D112)-N(E112))</f>
        <v/>
      </c>
      <c r="G112" s="32">
        <f>IFERROR(VLOOKUP($B112,'开奖记录'!$A:$K,2,FALSE),"")</f>
        <v/>
      </c>
      <c r="H112" s="32">
        <f>IFERROR(VLOOKUP($B112,'开奖记录'!$A:$K,9,FALSE),"")</f>
        <v/>
      </c>
      <c r="I112" s="32">
        <f>IFERROR(VLOOKUP($B112,'开奖记录'!$A:$K,11,FALSE),"")</f>
        <v/>
      </c>
      <c r="J112" s="32">
        <f>IF($B112="","",IF(ISNUMBER($D112),"命中",IF(ISNUMBER($E112),"未命中","")))</f>
        <v/>
      </c>
      <c r="K112" s="35" t="inlineStr"/>
      <c r="L112" s="32">
        <f>IFERROR(TEXT(VLOOKUP($B112-1,开奖记录!$A:$L,3,FALSE),"00")&amp;"+5="&amp;VLOOKUP(MOD(VLOOKUP($B112-1,开奖记录!$A:$L,3,FALSE)+4,49)+1,规律参数!$A:$C,3,FALSE),"")</f>
        <v/>
      </c>
      <c r="M112" s="32">
        <f>IF(L112="","",IF(I112="","待开奖",IF(ISNUMBER(SEARCH(I112,L112)),"命中","未命中")))</f>
        <v/>
      </c>
      <c r="N112" s="32">
        <f>IFERROR(VLOOKUP(VLOOKUP($B112-1,开奖记录!$A:$L,11,FALSE),八肖参数!$A:$B,2,FALSE),"")</f>
        <v/>
      </c>
      <c r="O112" s="32">
        <f>IF(N112="","",IF(I112="","待开奖",IF(ISNUMBER(SEARCH(I112,N112)),"命中","未命中")))</f>
        <v/>
      </c>
    </row>
    <row r="113" ht="23" customHeight="1" s="21">
      <c r="A113" s="32" t="n">
        <v>112</v>
      </c>
      <c r="B113" s="32" t="n">
        <v>2026112</v>
      </c>
      <c r="C113" s="33" t="inlineStr">
        <is>
          <t xml:space="preserve">狗 09 </t>
        </is>
      </c>
      <c r="D113" s="34" t="n"/>
      <c r="E113" s="34" t="n"/>
      <c r="F113" s="34">
        <f>IF(COUNTA(D113:E113)=0,"",N(D113)-N(E113))</f>
        <v/>
      </c>
      <c r="G113" s="32">
        <f>IFERROR(VLOOKUP($B113,'开奖记录'!$A:$K,2,FALSE),"")</f>
        <v/>
      </c>
      <c r="H113" s="32">
        <f>IFERROR(VLOOKUP($B113,'开奖记录'!$A:$K,9,FALSE),"")</f>
        <v/>
      </c>
      <c r="I113" s="32">
        <f>IFERROR(VLOOKUP($B113,'开奖记录'!$A:$K,11,FALSE),"")</f>
        <v/>
      </c>
      <c r="J113" s="32">
        <f>IF($B113="","",IF(ISNUMBER($D113),"命中",IF(ISNUMBER($E113),"未命中","")))</f>
        <v/>
      </c>
      <c r="K113" s="35" t="inlineStr"/>
      <c r="L113" s="32">
        <f>IFERROR(TEXT(VLOOKUP($B113-1,开奖记录!$A:$L,3,FALSE),"00")&amp;"+5="&amp;VLOOKUP(MOD(VLOOKUP($B113-1,开奖记录!$A:$L,3,FALSE)+4,49)+1,规律参数!$A:$C,3,FALSE),"")</f>
        <v/>
      </c>
      <c r="M113" s="32">
        <f>IF(L113="","",IF(I113="","待开奖",IF(ISNUMBER(SEARCH(I113,L113)),"命中","未命中")))</f>
        <v/>
      </c>
      <c r="N113" s="32">
        <f>IFERROR(VLOOKUP(VLOOKUP($B113-1,开奖记录!$A:$L,11,FALSE),八肖参数!$A:$B,2,FALSE),"")</f>
        <v/>
      </c>
      <c r="O113" s="32">
        <f>IF(N113="","",IF(I113="","待开奖",IF(ISNUMBER(SEARCH(I113,N113)),"命中","未命中")))</f>
        <v/>
      </c>
    </row>
    <row r="114" ht="23" customHeight="1" s="21">
      <c r="A114" s="32" t="n">
        <v>113</v>
      </c>
      <c r="B114" s="32" t="n">
        <v>2026113</v>
      </c>
      <c r="C114" s="33" t="inlineStr">
        <is>
          <t>蛇02</t>
        </is>
      </c>
      <c r="D114" s="34" t="n"/>
      <c r="E114" s="34" t="n"/>
      <c r="F114" s="34">
        <f>IF(COUNTA(D114:E114)=0,"",N(D114)-N(E114))</f>
        <v/>
      </c>
      <c r="G114" s="32">
        <f>IFERROR(VLOOKUP($B114,'开奖记录'!$A:$K,2,FALSE),"")</f>
        <v/>
      </c>
      <c r="H114" s="32">
        <f>IFERROR(VLOOKUP($B114,'开奖记录'!$A:$K,9,FALSE),"")</f>
        <v/>
      </c>
      <c r="I114" s="32">
        <f>IFERROR(VLOOKUP($B114,'开奖记录'!$A:$K,11,FALSE),"")</f>
        <v/>
      </c>
      <c r="J114" s="32">
        <f>IF($B114="","",IF(ISNUMBER($D114),"命中",IF(ISNUMBER($E114),"未命中","")))</f>
        <v/>
      </c>
      <c r="K114" s="35" t="inlineStr"/>
      <c r="L114" s="32">
        <f>IFERROR(TEXT(VLOOKUP($B114-1,开奖记录!$A:$L,3,FALSE),"00")&amp;"+5="&amp;VLOOKUP(MOD(VLOOKUP($B114-1,开奖记录!$A:$L,3,FALSE)+4,49)+1,规律参数!$A:$C,3,FALSE),"")</f>
        <v/>
      </c>
      <c r="M114" s="32">
        <f>IF(L114="","",IF(I114="","待开奖",IF(ISNUMBER(SEARCH(I114,L114)),"命中","未命中")))</f>
        <v/>
      </c>
      <c r="N114" s="32">
        <f>IFERROR(VLOOKUP(VLOOKUP($B114-1,开奖记录!$A:$L,11,FALSE),八肖参数!$A:$B,2,FALSE),"")</f>
        <v/>
      </c>
      <c r="O114" s="32">
        <f>IF(N114="","",IF(I114="","待开奖",IF(ISNUMBER(SEARCH(I114,N114)),"命中","未命中")))</f>
        <v/>
      </c>
    </row>
    <row r="115" ht="23" customHeight="1" s="21">
      <c r="A115" s="32" t="n">
        <v>114</v>
      </c>
      <c r="B115" s="32" t="n">
        <v>2026114</v>
      </c>
      <c r="C115" s="33" t="inlineStr">
        <is>
          <t>牛30</t>
        </is>
      </c>
      <c r="D115" s="34" t="n"/>
      <c r="E115" s="34" t="n"/>
      <c r="F115" s="34">
        <f>IF(COUNTA(D115:E115)=0,"",N(D115)-N(E115))</f>
        <v/>
      </c>
      <c r="G115" s="32">
        <f>IFERROR(VLOOKUP($B115,'开奖记录'!$A:$K,2,FALSE),"")</f>
        <v/>
      </c>
      <c r="H115" s="32">
        <f>IFERROR(VLOOKUP($B115,'开奖记录'!$A:$K,9,FALSE),"")</f>
        <v/>
      </c>
      <c r="I115" s="32">
        <f>IFERROR(VLOOKUP($B115,'开奖记录'!$A:$K,11,FALSE),"")</f>
        <v/>
      </c>
      <c r="J115" s="32">
        <f>IF($B115="","",IF(ISNUMBER($D115),"命中",IF(ISNUMBER($E115),"未命中","")))</f>
        <v/>
      </c>
      <c r="K115" s="35" t="inlineStr"/>
      <c r="L115" s="32">
        <f>IFERROR(TEXT(VLOOKUP($B115-1,开奖记录!$A:$L,3,FALSE),"00")&amp;"+5="&amp;VLOOKUP(MOD(VLOOKUP($B115-1,开奖记录!$A:$L,3,FALSE)+4,49)+1,规律参数!$A:$C,3,FALSE),"")</f>
        <v/>
      </c>
      <c r="M115" s="32">
        <f>IF(L115="","",IF(I115="","待开奖",IF(ISNUMBER(SEARCH(I115,L115)),"命中","未命中")))</f>
        <v/>
      </c>
      <c r="N115" s="32">
        <f>IFERROR(VLOOKUP(VLOOKUP($B115-1,开奖记录!$A:$L,11,FALSE),八肖参数!$A:$B,2,FALSE),"")</f>
        <v/>
      </c>
      <c r="O115" s="32">
        <f>IF(N115="","",IF(I115="","待开奖",IF(ISNUMBER(SEARCH(I115,N115)),"命中","未命中")))</f>
        <v/>
      </c>
    </row>
    <row r="116" ht="23" customHeight="1" s="21">
      <c r="A116" s="32" t="n">
        <v>115</v>
      </c>
      <c r="B116" s="32" t="n">
        <v>2026115</v>
      </c>
      <c r="C116" s="33" t="inlineStr">
        <is>
          <t>兔04</t>
        </is>
      </c>
      <c r="D116" s="34" t="n"/>
      <c r="E116" s="34" t="n"/>
      <c r="F116" s="34">
        <f>IF(COUNTA(D116:E116)=0,"",N(D116)-N(E116))</f>
        <v/>
      </c>
      <c r="G116" s="32">
        <f>IFERROR(VLOOKUP($B116,'开奖记录'!$A:$K,2,FALSE),"")</f>
        <v/>
      </c>
      <c r="H116" s="32">
        <f>IFERROR(VLOOKUP($B116,'开奖记录'!$A:$K,9,FALSE),"")</f>
        <v/>
      </c>
      <c r="I116" s="32">
        <f>IFERROR(VLOOKUP($B116,'开奖记录'!$A:$K,11,FALSE),"")</f>
        <v/>
      </c>
      <c r="J116" s="32">
        <f>IF($B116="","",IF(ISNUMBER($D116),"命中",IF(ISNUMBER($E116),"未命中","")))</f>
        <v/>
      </c>
      <c r="K116" s="35" t="inlineStr"/>
      <c r="L116" s="32">
        <f>IFERROR(TEXT(VLOOKUP($B116-1,开奖记录!$A:$L,3,FALSE),"00")&amp;"+5="&amp;VLOOKUP(MOD(VLOOKUP($B116-1,开奖记录!$A:$L,3,FALSE)+4,49)+1,规律参数!$A:$C,3,FALSE),"")</f>
        <v/>
      </c>
      <c r="M116" s="32">
        <f>IF(L116="","",IF(I116="","待开奖",IF(ISNUMBER(SEARCH(I116,L116)),"命中","未命中")))</f>
        <v/>
      </c>
      <c r="N116" s="32">
        <f>IFERROR(VLOOKUP(VLOOKUP($B116-1,开奖记录!$A:$L,11,FALSE),八肖参数!$A:$B,2,FALSE),"")</f>
        <v/>
      </c>
      <c r="O116" s="32">
        <f>IF(N116="","",IF(I116="","待开奖",IF(ISNUMBER(SEARCH(I116,N116)),"命中","未命中")))</f>
        <v/>
      </c>
    </row>
    <row r="117" ht="23" customHeight="1" s="21">
      <c r="A117" s="32" t="n">
        <v>116</v>
      </c>
      <c r="B117" s="32" t="n">
        <v>2026116</v>
      </c>
      <c r="C117" s="33" t="inlineStr">
        <is>
          <t>鸡22</t>
        </is>
      </c>
      <c r="D117" s="34" t="n"/>
      <c r="E117" s="34" t="n"/>
      <c r="F117" s="34">
        <f>IF(COUNTA(D117:E117)=0,"",N(D117)-N(E117))</f>
        <v/>
      </c>
      <c r="G117" s="32">
        <f>IFERROR(VLOOKUP($B117,'开奖记录'!$A:$K,2,FALSE),"")</f>
        <v/>
      </c>
      <c r="H117" s="32">
        <f>IFERROR(VLOOKUP($B117,'开奖记录'!$A:$K,9,FALSE),"")</f>
        <v/>
      </c>
      <c r="I117" s="32">
        <f>IFERROR(VLOOKUP($B117,'开奖记录'!$A:$K,11,FALSE),"")</f>
        <v/>
      </c>
      <c r="J117" s="32">
        <f>IF($B117="","",IF(ISNUMBER($D117),"命中",IF(ISNUMBER($E117),"未命中","")))</f>
        <v/>
      </c>
      <c r="K117" s="35" t="inlineStr"/>
      <c r="L117" s="32">
        <f>IFERROR(TEXT(VLOOKUP($B117-1,开奖记录!$A:$L,3,FALSE),"00")&amp;"+5="&amp;VLOOKUP(MOD(VLOOKUP($B117-1,开奖记录!$A:$L,3,FALSE)+4,49)+1,规律参数!$A:$C,3,FALSE),"")</f>
        <v/>
      </c>
      <c r="M117" s="32">
        <f>IF(L117="","",IF(I117="","待开奖",IF(ISNUMBER(SEARCH(I117,L117)),"命中","未命中")))</f>
        <v/>
      </c>
      <c r="N117" s="32">
        <f>IFERROR(VLOOKUP(VLOOKUP($B117-1,开奖记录!$A:$L,11,FALSE),八肖参数!$A:$B,2,FALSE),"")</f>
        <v/>
      </c>
      <c r="O117" s="32">
        <f>IF(N117="","",IF(I117="","待开奖",IF(ISNUMBER(SEARCH(I117,N117)),"命中","未命中")))</f>
        <v/>
      </c>
    </row>
    <row r="118" ht="23" customHeight="1" s="21">
      <c r="A118" s="32" t="n">
        <v>117</v>
      </c>
      <c r="B118" s="32" t="n">
        <v>2026117</v>
      </c>
      <c r="C118" s="33" t="inlineStr">
        <is>
          <t>兔16</t>
        </is>
      </c>
      <c r="D118" s="34" t="n"/>
      <c r="E118" s="34" t="n"/>
      <c r="F118" s="34">
        <f>IF(COUNTA(D118:E118)=0,"",N(D118)-N(E118))</f>
        <v/>
      </c>
      <c r="G118" s="32">
        <f>IFERROR(VLOOKUP($B118,'开奖记录'!$A:$K,2,FALSE),"")</f>
        <v/>
      </c>
      <c r="H118" s="32">
        <f>IFERROR(VLOOKUP($B118,'开奖记录'!$A:$K,9,FALSE),"")</f>
        <v/>
      </c>
      <c r="I118" s="32">
        <f>IFERROR(VLOOKUP($B118,'开奖记录'!$A:$K,11,FALSE),"")</f>
        <v/>
      </c>
      <c r="J118" s="32">
        <f>IF($B118="","",IF(ISNUMBER($D118),"命中",IF(ISNUMBER($E118),"未命中","")))</f>
        <v/>
      </c>
      <c r="K118" s="35" t="inlineStr"/>
      <c r="L118" s="32">
        <f>IFERROR(TEXT(VLOOKUP($B118-1,开奖记录!$A:$L,3,FALSE),"00")&amp;"+5="&amp;VLOOKUP(MOD(VLOOKUP($B118-1,开奖记录!$A:$L,3,FALSE)+4,49)+1,规律参数!$A:$C,3,FALSE),"")</f>
        <v/>
      </c>
      <c r="M118" s="32">
        <f>IF(L118="","",IF(I118="","待开奖",IF(ISNUMBER(SEARCH(I118,L118)),"命中","未命中")))</f>
        <v/>
      </c>
      <c r="N118" s="32">
        <f>IFERROR(VLOOKUP(VLOOKUP($B118-1,开奖记录!$A:$L,11,FALSE),八肖参数!$A:$B,2,FALSE),"")</f>
        <v/>
      </c>
      <c r="O118" s="32">
        <f>IF(N118="","",IF(I118="","待开奖",IF(ISNUMBER(SEARCH(I118,N118)),"命中","未命中")))</f>
        <v/>
      </c>
    </row>
    <row r="119" ht="23" customHeight="1" s="21">
      <c r="A119" s="32" t="n">
        <v>118</v>
      </c>
      <c r="B119" s="32" t="n">
        <v>2026118</v>
      </c>
      <c r="C119" s="33" t="inlineStr">
        <is>
          <t>猪08</t>
        </is>
      </c>
      <c r="D119" s="34" t="n"/>
      <c r="E119" s="34" t="n"/>
      <c r="F119" s="34">
        <f>IF(COUNTA(D119:E119)=0,"",N(D119)-N(E119))</f>
        <v/>
      </c>
      <c r="G119" s="32">
        <f>IFERROR(VLOOKUP($B119,'开奖记录'!$A:$K,2,FALSE),"")</f>
        <v/>
      </c>
      <c r="H119" s="32">
        <f>IFERROR(VLOOKUP($B119,'开奖记录'!$A:$K,9,FALSE),"")</f>
        <v/>
      </c>
      <c r="I119" s="32">
        <f>IFERROR(VLOOKUP($B119,'开奖记录'!$A:$K,11,FALSE),"")</f>
        <v/>
      </c>
      <c r="J119" s="32">
        <f>IF($B119="","",IF(ISNUMBER($D119),"命中",IF(ISNUMBER($E119),"未命中","")))</f>
        <v/>
      </c>
      <c r="K119" s="35" t="inlineStr"/>
      <c r="L119" s="32">
        <f>IFERROR(TEXT(VLOOKUP($B119-1,开奖记录!$A:$L,3,FALSE),"00")&amp;"+5="&amp;VLOOKUP(MOD(VLOOKUP($B119-1,开奖记录!$A:$L,3,FALSE)+4,49)+1,规律参数!$A:$C,3,FALSE),"")</f>
        <v/>
      </c>
      <c r="M119" s="32">
        <f>IF(L119="","",IF(I119="","待开奖",IF(ISNUMBER(SEARCH(I119,L119)),"命中","未命中")))</f>
        <v/>
      </c>
      <c r="N119" s="32">
        <f>IFERROR(VLOOKUP(VLOOKUP($B119-1,开奖记录!$A:$L,11,FALSE),八肖参数!$A:$B,2,FALSE),"")</f>
        <v/>
      </c>
      <c r="O119" s="32">
        <f>IF(N119="","",IF(I119="","待开奖",IF(ISNUMBER(SEARCH(I119,N119)),"命中","未命中")))</f>
        <v/>
      </c>
    </row>
    <row r="120" ht="23" customHeight="1" s="21">
      <c r="A120" s="32" t="n">
        <v>119</v>
      </c>
      <c r="B120" s="32" t="n">
        <v>2026119</v>
      </c>
      <c r="C120" s="33" t="inlineStr">
        <is>
          <t>猴11</t>
        </is>
      </c>
      <c r="D120" s="34" t="n"/>
      <c r="E120" s="34" t="n"/>
      <c r="F120" s="34">
        <f>IF(COUNTA(D120:E120)=0,"",N(D120)-N(E120))</f>
        <v/>
      </c>
      <c r="G120" s="32">
        <f>IFERROR(VLOOKUP($B120,'开奖记录'!$A:$K,2,FALSE),"")</f>
        <v/>
      </c>
      <c r="H120" s="32">
        <f>IFERROR(VLOOKUP($B120,'开奖记录'!$A:$K,9,FALSE),"")</f>
        <v/>
      </c>
      <c r="I120" s="32">
        <f>IFERROR(VLOOKUP($B120,'开奖记录'!$A:$K,11,FALSE),"")</f>
        <v/>
      </c>
      <c r="J120" s="32">
        <f>IF($B120="","",IF(ISNUMBER($D120),"命中",IF(ISNUMBER($E120),"未命中","")))</f>
        <v/>
      </c>
      <c r="K120" s="35" t="inlineStr"/>
      <c r="L120" s="32">
        <f>IFERROR(TEXT(VLOOKUP($B120-1,开奖记录!$A:$L,3,FALSE),"00")&amp;"+5="&amp;VLOOKUP(MOD(VLOOKUP($B120-1,开奖记录!$A:$L,3,FALSE)+4,49)+1,规律参数!$A:$C,3,FALSE),"")</f>
        <v/>
      </c>
      <c r="M120" s="32">
        <f>IF(L120="","",IF(I120="","待开奖",IF(ISNUMBER(SEARCH(I120,L120)),"命中","未命中")))</f>
        <v/>
      </c>
      <c r="N120" s="32">
        <f>IFERROR(VLOOKUP(VLOOKUP($B120-1,开奖记录!$A:$L,11,FALSE),八肖参数!$A:$B,2,FALSE),"")</f>
        <v/>
      </c>
      <c r="O120" s="32">
        <f>IF(N120="","",IF(I120="","待开奖",IF(ISNUMBER(SEARCH(I120,N120)),"命中","未命中")))</f>
        <v/>
      </c>
    </row>
    <row r="121" ht="23" customHeight="1" s="21">
      <c r="A121" s="32" t="n">
        <v>120</v>
      </c>
      <c r="B121" s="32" t="n">
        <v>2026120</v>
      </c>
      <c r="C121" s="33" t="inlineStr">
        <is>
          <t>牛06</t>
        </is>
      </c>
      <c r="D121" s="34" t="n"/>
      <c r="E121" s="34" t="n"/>
      <c r="F121" s="34">
        <f>IF(COUNTA(D121:E121)=0,"",N(D121)-N(E121))</f>
        <v/>
      </c>
      <c r="G121" s="32">
        <f>IFERROR(VLOOKUP($B121,'开奖记录'!$A:$K,2,FALSE),"")</f>
        <v/>
      </c>
      <c r="H121" s="32">
        <f>IFERROR(VLOOKUP($B121,'开奖记录'!$A:$K,9,FALSE),"")</f>
        <v/>
      </c>
      <c r="I121" s="32">
        <f>IFERROR(VLOOKUP($B121,'开奖记录'!$A:$K,11,FALSE),"")</f>
        <v/>
      </c>
      <c r="J121" s="32">
        <f>IF($B121="","",IF(ISNUMBER($D121),"命中",IF(ISNUMBER($E121),"未命中","")))</f>
        <v/>
      </c>
      <c r="K121" s="35" t="inlineStr"/>
      <c r="L121" s="32">
        <f>IFERROR(TEXT(VLOOKUP($B121-1,开奖记录!$A:$L,3,FALSE),"00")&amp;"+5="&amp;VLOOKUP(MOD(VLOOKUP($B121-1,开奖记录!$A:$L,3,FALSE)+4,49)+1,规律参数!$A:$C,3,FALSE),"")</f>
        <v/>
      </c>
      <c r="M121" s="32">
        <f>IF(L121="","",IF(I121="","待开奖",IF(ISNUMBER(SEARCH(I121,L121)),"命中","未命中")))</f>
        <v/>
      </c>
      <c r="N121" s="32">
        <f>IFERROR(VLOOKUP(VLOOKUP($B121-1,开奖记录!$A:$L,11,FALSE),八肖参数!$A:$B,2,FALSE),"")</f>
        <v/>
      </c>
      <c r="O121" s="32">
        <f>IF(N121="","",IF(I121="","待开奖",IF(ISNUMBER(SEARCH(I121,N121)),"命中","未命中")))</f>
        <v/>
      </c>
    </row>
    <row r="122" ht="23" customHeight="1" s="21">
      <c r="A122" s="32" t="n">
        <v>121</v>
      </c>
      <c r="B122" s="32" t="n">
        <v>2026121</v>
      </c>
      <c r="C122" s="33" t="inlineStr">
        <is>
          <t>猪44</t>
        </is>
      </c>
      <c r="D122" s="34" t="n"/>
      <c r="E122" s="34" t="n"/>
      <c r="F122" s="34">
        <f>IF(COUNTA(D122:E122)=0,"",N(D122)-N(E122))</f>
        <v/>
      </c>
      <c r="G122" s="32">
        <f>IFERROR(VLOOKUP($B122,'开奖记录'!$A:$K,2,FALSE),"")</f>
        <v/>
      </c>
      <c r="H122" s="32">
        <f>IFERROR(VLOOKUP($B122,'开奖记录'!$A:$K,9,FALSE),"")</f>
        <v/>
      </c>
      <c r="I122" s="32">
        <f>IFERROR(VLOOKUP($B122,'开奖记录'!$A:$K,11,FALSE),"")</f>
        <v/>
      </c>
      <c r="J122" s="32">
        <f>IF($B122="","",IF(ISNUMBER($D122),"命中",IF(ISNUMBER($E122),"未命中","")))</f>
        <v/>
      </c>
      <c r="K122" s="35" t="inlineStr"/>
      <c r="L122" s="32">
        <f>IFERROR(TEXT(VLOOKUP($B122-1,开奖记录!$A:$L,3,FALSE),"00")&amp;"+5="&amp;VLOOKUP(MOD(VLOOKUP($B122-1,开奖记录!$A:$L,3,FALSE)+4,49)+1,规律参数!$A:$C,3,FALSE),"")</f>
        <v/>
      </c>
      <c r="M122" s="32">
        <f>IF(L122="","",IF(I122="","待开奖",IF(ISNUMBER(SEARCH(I122,L122)),"命中","未命中")))</f>
        <v/>
      </c>
      <c r="N122" s="32">
        <f>IFERROR(VLOOKUP(VLOOKUP($B122-1,开奖记录!$A:$L,11,FALSE),八肖参数!$A:$B,2,FALSE),"")</f>
        <v/>
      </c>
      <c r="O122" s="32">
        <f>IF(N122="","",IF(I122="","待开奖",IF(ISNUMBER(SEARCH(I122,N122)),"命中","未命中")))</f>
        <v/>
      </c>
    </row>
    <row r="123" ht="23" customHeight="1" s="21">
      <c r="A123" s="32" t="n">
        <v>122</v>
      </c>
      <c r="B123" s="32" t="n">
        <v>2026122</v>
      </c>
      <c r="C123" s="33" t="inlineStr">
        <is>
          <t>马 01</t>
        </is>
      </c>
      <c r="D123" s="34" t="n"/>
      <c r="E123" s="34" t="n">
        <v>200</v>
      </c>
      <c r="F123" s="34">
        <f>IF(COUNTA(D123:E123)=0,"",N(D123)-N(E123))</f>
        <v/>
      </c>
      <c r="G123" s="32">
        <f>IFERROR(VLOOKUP($B123,'开奖记录'!$A:$K,2,FALSE),"")</f>
        <v/>
      </c>
      <c r="H123" s="32">
        <f>IFERROR(VLOOKUP($B123,'开奖记录'!$A:$K,9,FALSE),"")</f>
        <v/>
      </c>
      <c r="I123" s="32">
        <f>IFERROR(VLOOKUP($B123,'开奖记录'!$A:$K,11,FALSE),"")</f>
        <v/>
      </c>
      <c r="J123" s="32">
        <f>IF($B123="","",IF(ISNUMBER($D123),"命中",IF(ISNUMBER($E123),"未命中","")))</f>
        <v/>
      </c>
      <c r="K123" s="35" t="inlineStr"/>
      <c r="L123" s="32">
        <f>IFERROR(TEXT(VLOOKUP($B123-1,开奖记录!$A:$L,3,FALSE),"00")&amp;"+5="&amp;VLOOKUP(MOD(VLOOKUP($B123-1,开奖记录!$A:$L,3,FALSE)+4,49)+1,规律参数!$A:$C,3,FALSE),"")</f>
        <v/>
      </c>
      <c r="M123" s="32">
        <f>IF(L123="","",IF(I123="","待开奖",IF(ISNUMBER(SEARCH(I123,L123)),"命中","未命中")))</f>
        <v/>
      </c>
      <c r="N123" s="32">
        <f>IFERROR(VLOOKUP(VLOOKUP($B123-1,开奖记录!$A:$L,11,FALSE),八肖参数!$A:$B,2,FALSE),"")</f>
        <v/>
      </c>
      <c r="O123" s="32">
        <f>IF(N123="","",IF(I123="","待开奖",IF(ISNUMBER(SEARCH(I123,N123)),"命中","未命中")))</f>
        <v/>
      </c>
    </row>
    <row r="124" ht="23" customHeight="1" s="21">
      <c r="A124" s="32" t="n">
        <v>123</v>
      </c>
      <c r="B124" s="32" t="n">
        <v>2026123</v>
      </c>
      <c r="C124" s="33" t="inlineStr">
        <is>
          <t>鸡46</t>
        </is>
      </c>
      <c r="D124" s="34" t="n"/>
      <c r="E124" s="34" t="n"/>
      <c r="F124" s="34">
        <f>IF(COUNTA(D124:E124)=0,"",N(D124)-N(E124))</f>
        <v/>
      </c>
      <c r="G124" s="32">
        <f>IFERROR(VLOOKUP($B124,'开奖记录'!$A:$K,2,FALSE),"")</f>
        <v/>
      </c>
      <c r="H124" s="32">
        <f>IFERROR(VLOOKUP($B124,'开奖记录'!$A:$K,9,FALSE),"")</f>
        <v/>
      </c>
      <c r="I124" s="32">
        <f>IFERROR(VLOOKUP($B124,'开奖记录'!$A:$K,11,FALSE),"")</f>
        <v/>
      </c>
      <c r="J124" s="32">
        <f>IF($B124="","",IF(ISNUMBER($D124),"命中",IF(ISNUMBER($E124),"未命中","")))</f>
        <v/>
      </c>
      <c r="K124" s="35" t="inlineStr"/>
      <c r="L124" s="32">
        <f>IFERROR(TEXT(VLOOKUP($B124-1,开奖记录!$A:$L,3,FALSE),"00")&amp;"+5="&amp;VLOOKUP(MOD(VLOOKUP($B124-1,开奖记录!$A:$L,3,FALSE)+4,49)+1,规律参数!$A:$C,3,FALSE),"")</f>
        <v/>
      </c>
      <c r="M124" s="32">
        <f>IF(L124="","",IF(I124="","待开奖",IF(ISNUMBER(SEARCH(I124,L124)),"命中","未命中")))</f>
        <v/>
      </c>
      <c r="N124" s="32">
        <f>IFERROR(VLOOKUP(VLOOKUP($B124-1,开奖记录!$A:$L,11,FALSE),八肖参数!$A:$B,2,FALSE),"")</f>
        <v/>
      </c>
      <c r="O124" s="32">
        <f>IF(N124="","",IF(I124="","待开奖",IF(ISNUMBER(SEARCH(I124,N124)),"命中","未命中")))</f>
        <v/>
      </c>
    </row>
    <row r="125" ht="23" customHeight="1" s="21">
      <c r="A125" s="32" t="n">
        <v>124</v>
      </c>
      <c r="B125" s="32" t="n">
        <v>2026124</v>
      </c>
      <c r="C125" s="33" t="inlineStr">
        <is>
          <t>龙39</t>
        </is>
      </c>
      <c r="D125" s="34" t="n"/>
      <c r="E125" s="34" t="n"/>
      <c r="F125" s="34">
        <f>IF(COUNTA(D125:E125)=0,"",N(D125)-N(E125))</f>
        <v/>
      </c>
      <c r="G125" s="32">
        <f>IFERROR(VLOOKUP($B125,'开奖记录'!$A:$K,2,FALSE),"")</f>
        <v/>
      </c>
      <c r="H125" s="32">
        <f>IFERROR(VLOOKUP($B125,'开奖记录'!$A:$K,9,FALSE),"")</f>
        <v/>
      </c>
      <c r="I125" s="32">
        <f>IFERROR(VLOOKUP($B125,'开奖记录'!$A:$K,11,FALSE),"")</f>
        <v/>
      </c>
      <c r="J125" s="32">
        <f>IF($B125="","",IF(ISNUMBER($D125),"命中",IF(ISNUMBER($E125),"未命中","")))</f>
        <v/>
      </c>
      <c r="K125" s="35" t="inlineStr"/>
      <c r="L125" s="32">
        <f>IFERROR(TEXT(VLOOKUP($B125-1,开奖记录!$A:$L,3,FALSE),"00")&amp;"+5="&amp;VLOOKUP(MOD(VLOOKUP($B125-1,开奖记录!$A:$L,3,FALSE)+4,49)+1,规律参数!$A:$C,3,FALSE),"")</f>
        <v/>
      </c>
      <c r="M125" s="32">
        <f>IF(L125="","",IF(I125="","待开奖",IF(ISNUMBER(SEARCH(I125,L125)),"命中","未命中")))</f>
        <v/>
      </c>
      <c r="N125" s="32">
        <f>IFERROR(VLOOKUP(VLOOKUP($B125-1,开奖记录!$A:$L,11,FALSE),八肖参数!$A:$B,2,FALSE),"")</f>
        <v/>
      </c>
      <c r="O125" s="32">
        <f>IF(N125="","",IF(I125="","待开奖",IF(ISNUMBER(SEARCH(I125,N125)),"命中","未命中")))</f>
        <v/>
      </c>
    </row>
    <row r="126" ht="23" customHeight="1" s="21">
      <c r="A126" s="32" t="n">
        <v>125</v>
      </c>
      <c r="B126" s="32" t="n">
        <v>2026125</v>
      </c>
      <c r="C126" s="33" t="inlineStr">
        <is>
          <t xml:space="preserve">鼠 31 </t>
        </is>
      </c>
      <c r="D126" s="34" t="n"/>
      <c r="E126" s="34" t="n"/>
      <c r="F126" s="34">
        <f>IF(COUNTA(D126:E126)=0,"",N(D126)-N(E126))</f>
        <v/>
      </c>
      <c r="G126" s="32">
        <f>IFERROR(VLOOKUP($B126,'开奖记录'!$A:$K,2,FALSE),"")</f>
        <v/>
      </c>
      <c r="H126" s="32">
        <f>IFERROR(VLOOKUP($B126,'开奖记录'!$A:$K,9,FALSE),"")</f>
        <v/>
      </c>
      <c r="I126" s="32">
        <f>IFERROR(VLOOKUP($B126,'开奖记录'!$A:$K,11,FALSE),"")</f>
        <v/>
      </c>
      <c r="J126" s="32">
        <f>IF($B126="","",IF(ISNUMBER($D126),"命中",IF(ISNUMBER($E126),"未命中","")))</f>
        <v/>
      </c>
      <c r="K126" s="35" t="inlineStr"/>
      <c r="L126" s="32">
        <f>IFERROR(TEXT(VLOOKUP($B126-1,开奖记录!$A:$L,3,FALSE),"00")&amp;"+5="&amp;VLOOKUP(MOD(VLOOKUP($B126-1,开奖记录!$A:$L,3,FALSE)+4,49)+1,规律参数!$A:$C,3,FALSE),"")</f>
        <v/>
      </c>
      <c r="M126" s="32">
        <f>IF(L126="","",IF(I126="","待开奖",IF(ISNUMBER(SEARCH(I126,L126)),"命中","未命中")))</f>
        <v/>
      </c>
      <c r="N126" s="32">
        <f>IFERROR(VLOOKUP(VLOOKUP($B126-1,开奖记录!$A:$L,11,FALSE),八肖参数!$A:$B,2,FALSE),"")</f>
        <v/>
      </c>
      <c r="O126" s="32">
        <f>IF(N126="","",IF(I126="","待开奖",IF(ISNUMBER(SEARCH(I126,N126)),"命中","未命中")))</f>
        <v/>
      </c>
    </row>
    <row r="127" ht="23" customHeight="1" s="21">
      <c r="A127" s="32" t="n">
        <v>126</v>
      </c>
      <c r="B127" s="32" t="n">
        <v>2026126</v>
      </c>
      <c r="C127" s="33" t="inlineStr">
        <is>
          <t>马49</t>
        </is>
      </c>
      <c r="D127" s="34" t="n"/>
      <c r="E127" s="34" t="n"/>
      <c r="F127" s="34">
        <f>IF(COUNTA(D127:E127)=0,"",N(D127)-N(E127))</f>
        <v/>
      </c>
      <c r="G127" s="32">
        <f>IFERROR(VLOOKUP($B127,'开奖记录'!$A:$K,2,FALSE),"")</f>
        <v/>
      </c>
      <c r="H127" s="32">
        <f>IFERROR(VLOOKUP($B127,'开奖记录'!$A:$K,9,FALSE),"")</f>
        <v/>
      </c>
      <c r="I127" s="32">
        <f>IFERROR(VLOOKUP($B127,'开奖记录'!$A:$K,11,FALSE),"")</f>
        <v/>
      </c>
      <c r="J127" s="32">
        <f>IF($B127="","",IF(ISNUMBER($D127),"命中",IF(ISNUMBER($E127),"未命中","")))</f>
        <v/>
      </c>
      <c r="K127" s="35" t="inlineStr"/>
      <c r="L127" s="32">
        <f>IFERROR(TEXT(VLOOKUP($B127-1,开奖记录!$A:$L,3,FALSE),"00")&amp;"+5="&amp;VLOOKUP(MOD(VLOOKUP($B127-1,开奖记录!$A:$L,3,FALSE)+4,49)+1,规律参数!$A:$C,3,FALSE),"")</f>
        <v/>
      </c>
      <c r="M127" s="32">
        <f>IF(L127="","",IF(I127="","待开奖",IF(ISNUMBER(SEARCH(I127,L127)),"命中","未命中")))</f>
        <v/>
      </c>
      <c r="N127" s="32">
        <f>IFERROR(VLOOKUP(VLOOKUP($B127-1,开奖记录!$A:$L,11,FALSE),八肖参数!$A:$B,2,FALSE),"")</f>
        <v/>
      </c>
      <c r="O127" s="32">
        <f>IF(N127="","",IF(I127="","待开奖",IF(ISNUMBER(SEARCH(I127,N127)),"命中","未命中")))</f>
        <v/>
      </c>
    </row>
    <row r="128" ht="23" customHeight="1" s="21">
      <c r="A128" s="32" t="n">
        <v>127</v>
      </c>
      <c r="B128" s="32" t="n">
        <v>2026127</v>
      </c>
      <c r="C128" s="33" t="inlineStr">
        <is>
          <t>狗45</t>
        </is>
      </c>
      <c r="D128" s="34" t="n"/>
      <c r="E128" s="34" t="n"/>
      <c r="F128" s="34">
        <f>IF(COUNTA(D128:E128)=0,"",N(D128)-N(E128))</f>
        <v/>
      </c>
      <c r="G128" s="32">
        <f>IFERROR(VLOOKUP($B128,'开奖记录'!$A:$K,2,FALSE),"")</f>
        <v/>
      </c>
      <c r="H128" s="32">
        <f>IFERROR(VLOOKUP($B128,'开奖记录'!$A:$K,9,FALSE),"")</f>
        <v/>
      </c>
      <c r="I128" s="32">
        <f>IFERROR(VLOOKUP($B128,'开奖记录'!$A:$K,11,FALSE),"")</f>
        <v/>
      </c>
      <c r="J128" s="32">
        <f>IF($B128="","",IF(ISNUMBER($D128),"命中",IF(ISNUMBER($E128),"未命中","")))</f>
        <v/>
      </c>
      <c r="K128" s="35" t="inlineStr"/>
      <c r="L128" s="32">
        <f>IFERROR(TEXT(VLOOKUP($B128-1,开奖记录!$A:$L,3,FALSE),"00")&amp;"+5="&amp;VLOOKUP(MOD(VLOOKUP($B128-1,开奖记录!$A:$L,3,FALSE)+4,49)+1,规律参数!$A:$C,3,FALSE),"")</f>
        <v/>
      </c>
      <c r="M128" s="32">
        <f>IF(L128="","",IF(I128="","待开奖",IF(ISNUMBER(SEARCH(I128,L128)),"命中","未命中")))</f>
        <v/>
      </c>
      <c r="N128" s="32">
        <f>IFERROR(VLOOKUP(VLOOKUP($B128-1,开奖记录!$A:$L,11,FALSE),八肖参数!$A:$B,2,FALSE),"")</f>
        <v/>
      </c>
      <c r="O128" s="32">
        <f>IF(N128="","",IF(I128="","待开奖",IF(ISNUMBER(SEARCH(I128,N128)),"命中","未命中")))</f>
        <v/>
      </c>
    </row>
    <row r="129" ht="23" customHeight="1" s="21">
      <c r="A129" s="32" t="n">
        <v>128</v>
      </c>
      <c r="B129" s="32" t="n">
        <v>2026128</v>
      </c>
      <c r="C129" s="33" t="inlineStr">
        <is>
          <t xml:space="preserve">马 37 </t>
        </is>
      </c>
      <c r="D129" s="34" t="n"/>
      <c r="E129" s="34" t="n">
        <v>120</v>
      </c>
      <c r="F129" s="34">
        <f>IF(COUNTA(D129:E129)=0,"",N(D129)-N(E129))</f>
        <v/>
      </c>
      <c r="G129" s="32">
        <f>IFERROR(VLOOKUP($B129,'开奖记录'!$A:$K,2,FALSE),"")</f>
        <v/>
      </c>
      <c r="H129" s="32">
        <f>IFERROR(VLOOKUP($B129,'开奖记录'!$A:$K,9,FALSE),"")</f>
        <v/>
      </c>
      <c r="I129" s="32">
        <f>IFERROR(VLOOKUP($B129,'开奖记录'!$A:$K,11,FALSE),"")</f>
        <v/>
      </c>
      <c r="J129" s="32">
        <f>IF($B129="","",IF(ISNUMBER($D129),"命中",IF(ISNUMBER($E129),"未命中","")))</f>
        <v/>
      </c>
      <c r="K129" s="35" t="inlineStr"/>
      <c r="L129" s="32">
        <f>IFERROR(TEXT(VLOOKUP($B129-1,开奖记录!$A:$L,3,FALSE),"00")&amp;"+5="&amp;VLOOKUP(MOD(VLOOKUP($B129-1,开奖记录!$A:$L,3,FALSE)+4,49)+1,规律参数!$A:$C,3,FALSE),"")</f>
        <v/>
      </c>
      <c r="M129" s="32">
        <f>IF(L129="","",IF(I129="","待开奖",IF(ISNUMBER(SEARCH(I129,L129)),"命中","未命中")))</f>
        <v/>
      </c>
      <c r="N129" s="32">
        <f>IFERROR(VLOOKUP(VLOOKUP($B129-1,开奖记录!$A:$L,11,FALSE),八肖参数!$A:$B,2,FALSE),"")</f>
        <v/>
      </c>
      <c r="O129" s="32">
        <f>IF(N129="","",IF(I129="","待开奖",IF(ISNUMBER(SEARCH(I129,N129)),"命中","未命中")))</f>
        <v/>
      </c>
    </row>
    <row r="130" ht="23" customHeight="1" s="21">
      <c r="A130" s="32" t="n">
        <v>129</v>
      </c>
      <c r="B130" s="32" t="n">
        <v>2026129</v>
      </c>
      <c r="C130" s="33" t="inlineStr">
        <is>
          <t>虎41</t>
        </is>
      </c>
      <c r="D130" s="34" t="n"/>
      <c r="E130" s="34" t="n">
        <v>140</v>
      </c>
      <c r="F130" s="34">
        <f>IF(COUNTA(D130:E130)=0,"",N(D130)-N(E130))</f>
        <v/>
      </c>
      <c r="G130" s="32">
        <f>IFERROR(VLOOKUP($B130,'开奖记录'!$A:$K,2,FALSE),"")</f>
        <v/>
      </c>
      <c r="H130" s="32">
        <f>IFERROR(VLOOKUP($B130,'开奖记录'!$A:$K,9,FALSE),"")</f>
        <v/>
      </c>
      <c r="I130" s="32">
        <f>IFERROR(VLOOKUP($B130,'开奖记录'!$A:$K,11,FALSE),"")</f>
        <v/>
      </c>
      <c r="J130" s="32">
        <f>IF($B130="","",IF(ISNUMBER($D130),"命中",IF(ISNUMBER($E130),"未命中","")))</f>
        <v/>
      </c>
      <c r="K130" s="35" t="inlineStr"/>
      <c r="L130" s="32">
        <f>IFERROR(TEXT(VLOOKUP($B130-1,开奖记录!$A:$L,3,FALSE),"00")&amp;"+5="&amp;VLOOKUP(MOD(VLOOKUP($B130-1,开奖记录!$A:$L,3,FALSE)+4,49)+1,规律参数!$A:$C,3,FALSE),"")</f>
        <v/>
      </c>
      <c r="M130" s="32">
        <f>IF(L130="","",IF(I130="","待开奖",IF(ISNUMBER(SEARCH(I130,L130)),"命中","未命中")))</f>
        <v/>
      </c>
      <c r="N130" s="32">
        <f>IFERROR(VLOOKUP(VLOOKUP($B130-1,开奖记录!$A:$L,11,FALSE),八肖参数!$A:$B,2,FALSE),"")</f>
        <v/>
      </c>
      <c r="O130" s="32">
        <f>IF(N130="","",IF(I130="","待开奖",IF(ISNUMBER(SEARCH(I130,N130)),"命中","未命中")))</f>
        <v/>
      </c>
    </row>
    <row r="131" ht="23" customHeight="1" s="21">
      <c r="A131" s="32" t="n">
        <v>130</v>
      </c>
      <c r="B131" s="32" t="n">
        <v>2026130</v>
      </c>
      <c r="C131" s="33" t="inlineStr">
        <is>
          <t>虎 29</t>
        </is>
      </c>
      <c r="D131" s="34" t="n">
        <v>100</v>
      </c>
      <c r="E131" s="34" t="n"/>
      <c r="F131" s="34">
        <f>IF(COUNTA(D131:E131)=0,"",N(D131)-N(E131))</f>
        <v/>
      </c>
      <c r="G131" s="32">
        <f>IFERROR(VLOOKUP($B131,'开奖记录'!$A:$K,2,FALSE),"")</f>
        <v/>
      </c>
      <c r="H131" s="32">
        <f>IFERROR(VLOOKUP($B131,'开奖记录'!$A:$K,9,FALSE),"")</f>
        <v/>
      </c>
      <c r="I131" s="32">
        <f>IFERROR(VLOOKUP($B131,'开奖记录'!$A:$K,11,FALSE),"")</f>
        <v/>
      </c>
      <c r="J131" s="32">
        <f>IF($B131="","",IF(ISNUMBER($D131),"命中",IF(ISNUMBER($E131),"未命中","")))</f>
        <v/>
      </c>
      <c r="K131" s="35" t="inlineStr"/>
      <c r="L131" s="32">
        <f>IFERROR(TEXT(VLOOKUP($B131-1,开奖记录!$A:$L,3,FALSE),"00")&amp;"+5="&amp;VLOOKUP(MOD(VLOOKUP($B131-1,开奖记录!$A:$L,3,FALSE)+4,49)+1,规律参数!$A:$C,3,FALSE),"")</f>
        <v/>
      </c>
      <c r="M131" s="32">
        <f>IF(L131="","",IF(I131="","待开奖",IF(ISNUMBER(SEARCH(I131,L131)),"命中","未命中")))</f>
        <v/>
      </c>
      <c r="N131" s="32">
        <f>IFERROR(VLOOKUP(VLOOKUP($B131-1,开奖记录!$A:$L,11,FALSE),八肖参数!$A:$B,2,FALSE),"")</f>
        <v/>
      </c>
      <c r="O131" s="32">
        <f>IF(N131="","",IF(I131="","待开奖",IF(ISNUMBER(SEARCH(I131,N131)),"命中","未命中")))</f>
        <v/>
      </c>
    </row>
    <row r="132" ht="23" customHeight="1" s="21">
      <c r="A132" s="32" t="n">
        <v>131</v>
      </c>
      <c r="B132" s="32" t="n">
        <v>2026131</v>
      </c>
      <c r="C132" s="33" t="inlineStr">
        <is>
          <t>鼠07</t>
        </is>
      </c>
      <c r="D132" s="34" t="n"/>
      <c r="E132" s="34" t="n">
        <v>75</v>
      </c>
      <c r="F132" s="34">
        <f>IF(COUNTA(D132:E132)=0,"",N(D132)-N(E132))</f>
        <v/>
      </c>
      <c r="G132" s="32">
        <f>IFERROR(VLOOKUP($B132,'开奖记录'!$A:$K,2,FALSE),"")</f>
        <v/>
      </c>
      <c r="H132" s="32">
        <f>IFERROR(VLOOKUP($B132,'开奖记录'!$A:$K,9,FALSE),"")</f>
        <v/>
      </c>
      <c r="I132" s="32">
        <f>IFERROR(VLOOKUP($B132,'开奖记录'!$A:$K,11,FALSE),"")</f>
        <v/>
      </c>
      <c r="J132" s="32">
        <f>IF($B132="","",IF(ISNUMBER($D132),"命中",IF(ISNUMBER($E132),"未命中","")))</f>
        <v/>
      </c>
      <c r="K132" s="35" t="inlineStr"/>
      <c r="L132" s="32">
        <f>IFERROR(TEXT(VLOOKUP($B132-1,开奖记录!$A:$L,3,FALSE),"00")&amp;"+5="&amp;VLOOKUP(MOD(VLOOKUP($B132-1,开奖记录!$A:$L,3,FALSE)+4,49)+1,规律参数!$A:$C,3,FALSE),"")</f>
        <v/>
      </c>
      <c r="M132" s="32">
        <f>IF(L132="","",IF(I132="","待开奖",IF(ISNUMBER(SEARCH(I132,L132)),"命中","未命中")))</f>
        <v/>
      </c>
      <c r="N132" s="32">
        <f>IFERROR(VLOOKUP(VLOOKUP($B132-1,开奖记录!$A:$L,11,FALSE),八肖参数!$A:$B,2,FALSE),"")</f>
        <v/>
      </c>
      <c r="O132" s="32">
        <f>IF(N132="","",IF(I132="","待开奖",IF(ISNUMBER(SEARCH(I132,N132)),"命中","未命中")))</f>
        <v/>
      </c>
    </row>
    <row r="133" ht="23" customHeight="1" s="21">
      <c r="A133" s="32" t="n">
        <v>132</v>
      </c>
      <c r="B133" s="32" t="n">
        <v>2026132</v>
      </c>
      <c r="C133" s="33" t="inlineStr">
        <is>
          <t>牛30</t>
        </is>
      </c>
      <c r="D133" s="34" t="n">
        <v>155</v>
      </c>
      <c r="E133" s="34" t="n"/>
      <c r="F133" s="34">
        <f>IF(COUNTA(D133:E133)=0,"",N(D133)-N(E133))</f>
        <v/>
      </c>
      <c r="G133" s="32">
        <f>IFERROR(VLOOKUP($B133,'开奖记录'!$A:$K,2,FALSE),"")</f>
        <v/>
      </c>
      <c r="H133" s="32">
        <f>IFERROR(VLOOKUP($B133,'开奖记录'!$A:$K,9,FALSE),"")</f>
        <v/>
      </c>
      <c r="I133" s="32">
        <f>IFERROR(VLOOKUP($B133,'开奖记录'!$A:$K,11,FALSE),"")</f>
        <v/>
      </c>
      <c r="J133" s="32">
        <f>IF($B133="","",IF(ISNUMBER($D133),"命中",IF(ISNUMBER($E133),"未命中","")))</f>
        <v/>
      </c>
      <c r="K133" s="35" t="inlineStr"/>
      <c r="L133" s="32">
        <f>IFERROR(TEXT(VLOOKUP($B133-1,开奖记录!$A:$L,3,FALSE),"00")&amp;"+5="&amp;VLOOKUP(MOD(VLOOKUP($B133-1,开奖记录!$A:$L,3,FALSE)+4,49)+1,规律参数!$A:$C,3,FALSE),"")</f>
        <v/>
      </c>
      <c r="M133" s="32">
        <f>IF(L133="","",IF(I133="","待开奖",IF(ISNUMBER(SEARCH(I133,L133)),"命中","未命中")))</f>
        <v/>
      </c>
      <c r="N133" s="32">
        <f>IFERROR(VLOOKUP(VLOOKUP($B133-1,开奖记录!$A:$L,11,FALSE),八肖参数!$A:$B,2,FALSE),"")</f>
        <v/>
      </c>
      <c r="O133" s="32">
        <f>IF(N133="","",IF(I133="","待开奖",IF(ISNUMBER(SEARCH(I133,N133)),"命中","未命中")))</f>
        <v/>
      </c>
    </row>
    <row r="134" ht="23" customHeight="1" s="21">
      <c r="A134" s="32" t="n">
        <v>133</v>
      </c>
      <c r="B134" s="32" t="n">
        <v>2026133</v>
      </c>
      <c r="C134" s="33" t="inlineStr">
        <is>
          <t>鼠07</t>
        </is>
      </c>
      <c r="D134" s="34" t="n"/>
      <c r="E134" s="34" t="n">
        <v>80</v>
      </c>
      <c r="F134" s="34">
        <f>IF(COUNTA(D134:E134)=0,"",N(D134)-N(E134))</f>
        <v/>
      </c>
      <c r="G134" s="32">
        <f>IFERROR(VLOOKUP($B134,'开奖记录'!$A:$K,2,FALSE),"")</f>
        <v/>
      </c>
      <c r="H134" s="32">
        <f>IFERROR(VLOOKUP($B134,'开奖记录'!$A:$K,9,FALSE),"")</f>
        <v/>
      </c>
      <c r="I134" s="32">
        <f>IFERROR(VLOOKUP($B134,'开奖记录'!$A:$K,11,FALSE),"")</f>
        <v/>
      </c>
      <c r="J134" s="32">
        <f>IF($B134="","",IF(ISNUMBER($D134),"命中",IF(ISNUMBER($E134),"未命中","")))</f>
        <v/>
      </c>
      <c r="K134" s="35" t="inlineStr"/>
      <c r="L134" s="32">
        <f>IFERROR(TEXT(VLOOKUP($B134-1,开奖记录!$A:$L,3,FALSE),"00")&amp;"+5="&amp;VLOOKUP(MOD(VLOOKUP($B134-1,开奖记录!$A:$L,3,FALSE)+4,49)+1,规律参数!$A:$C,3,FALSE),"")</f>
        <v/>
      </c>
      <c r="M134" s="32">
        <f>IF(L134="","",IF(I134="","待开奖",IF(ISNUMBER(SEARCH(I134,L134)),"命中","未命中")))</f>
        <v/>
      </c>
      <c r="N134" s="32">
        <f>IFERROR(VLOOKUP(VLOOKUP($B134-1,开奖记录!$A:$L,11,FALSE),八肖参数!$A:$B,2,FALSE),"")</f>
        <v/>
      </c>
      <c r="O134" s="32">
        <f>IF(N134="","",IF(I134="","待开奖",IF(ISNUMBER(SEARCH(I134,N134)),"命中","未命中")))</f>
        <v/>
      </c>
    </row>
    <row r="135" ht="23" customHeight="1" s="21">
      <c r="A135" s="32" t="n">
        <v>134</v>
      </c>
      <c r="B135" s="32" t="n">
        <v>2026134</v>
      </c>
      <c r="C135" s="33" t="inlineStr">
        <is>
          <t>马37</t>
        </is>
      </c>
      <c r="D135" s="34" t="n"/>
      <c r="E135" s="34" t="n"/>
      <c r="F135" s="34">
        <f>IF(COUNTA(D135:E135)=0,"",N(D135)-N(E135))</f>
        <v/>
      </c>
      <c r="G135" s="32">
        <f>IFERROR(VLOOKUP($B135,'开奖记录'!$A:$K,2,FALSE),"")</f>
        <v/>
      </c>
      <c r="H135" s="32">
        <f>IFERROR(VLOOKUP($B135,'开奖记录'!$A:$K,9,FALSE),"")</f>
        <v/>
      </c>
      <c r="I135" s="32">
        <f>IFERROR(VLOOKUP($B135,'开奖记录'!$A:$K,11,FALSE),"")</f>
        <v/>
      </c>
      <c r="J135" s="32">
        <f>IF($B135="","",IF(ISNUMBER($D135),"命中",IF(ISNUMBER($E135),"未命中","")))</f>
        <v/>
      </c>
      <c r="K135" s="35" t="inlineStr"/>
      <c r="L135" s="32">
        <f>IFERROR(TEXT(VLOOKUP($B135-1,开奖记录!$A:$L,3,FALSE),"00")&amp;"+5="&amp;VLOOKUP(MOD(VLOOKUP($B135-1,开奖记录!$A:$L,3,FALSE)+4,49)+1,规律参数!$A:$C,3,FALSE),"")</f>
        <v/>
      </c>
      <c r="M135" s="32">
        <f>IF(L135="","",IF(I135="","待开奖",IF(ISNUMBER(SEARCH(I135,L135)),"命中","未命中")))</f>
        <v/>
      </c>
      <c r="N135" s="32">
        <f>IFERROR(VLOOKUP(VLOOKUP($B135-1,开奖记录!$A:$L,11,FALSE),八肖参数!$A:$B,2,FALSE),"")</f>
        <v/>
      </c>
      <c r="O135" s="32">
        <f>IF(N135="","",IF(I135="","待开奖",IF(ISNUMBER(SEARCH(I135,N135)),"命中","未命中")))</f>
        <v/>
      </c>
    </row>
    <row r="136" ht="23" customHeight="1" s="21">
      <c r="A136" s="32" t="n">
        <v>135</v>
      </c>
      <c r="B136" s="32" t="n">
        <v>2026135</v>
      </c>
      <c r="C136" s="33" t="inlineStr">
        <is>
          <t>牛30</t>
        </is>
      </c>
      <c r="D136" s="34" t="n"/>
      <c r="E136" s="34" t="n">
        <v>60</v>
      </c>
      <c r="F136" s="34">
        <f>IF(COUNTA(D136:E136)=0,"",N(D136)-N(E136))</f>
        <v/>
      </c>
      <c r="G136" s="32">
        <f>IFERROR(VLOOKUP($B136,'开奖记录'!$A:$K,2,FALSE),"")</f>
        <v/>
      </c>
      <c r="H136" s="32">
        <f>IFERROR(VLOOKUP($B136,'开奖记录'!$A:$K,9,FALSE),"")</f>
        <v/>
      </c>
      <c r="I136" s="32">
        <f>IFERROR(VLOOKUP($B136,'开奖记录'!$A:$K,11,FALSE),"")</f>
        <v/>
      </c>
      <c r="J136" s="32">
        <f>IF($B136="","",IF(ISNUMBER($D136),"命中",IF(ISNUMBER($E136),"未命中","")))</f>
        <v/>
      </c>
      <c r="K136" s="35" t="inlineStr"/>
      <c r="L136" s="32">
        <f>IFERROR(TEXT(VLOOKUP($B136-1,开奖记录!$A:$L,3,FALSE),"00")&amp;"+5="&amp;VLOOKUP(MOD(VLOOKUP($B136-1,开奖记录!$A:$L,3,FALSE)+4,49)+1,规律参数!$A:$C,3,FALSE),"")</f>
        <v/>
      </c>
      <c r="M136" s="32">
        <f>IF(L136="","",IF(I136="","待开奖",IF(ISNUMBER(SEARCH(I136,L136)),"命中","未命中")))</f>
        <v/>
      </c>
      <c r="N136" s="32">
        <f>IFERROR(VLOOKUP(VLOOKUP($B136-1,开奖记录!$A:$L,11,FALSE),八肖参数!$A:$B,2,FALSE),"")</f>
        <v/>
      </c>
      <c r="O136" s="32">
        <f>IF(N136="","",IF(I136="","待开奖",IF(ISNUMBER(SEARCH(I136,N136)),"命中","未命中")))</f>
        <v/>
      </c>
    </row>
    <row r="137" ht="23" customHeight="1" s="21">
      <c r="A137" s="32" t="n">
        <v>136</v>
      </c>
      <c r="B137" s="32" t="n">
        <v>2026136</v>
      </c>
      <c r="C137" s="33" t="inlineStr">
        <is>
          <t xml:space="preserve">羊 48 </t>
        </is>
      </c>
      <c r="D137" s="34" t="n"/>
      <c r="E137" s="34" t="n">
        <v>80</v>
      </c>
      <c r="F137" s="34">
        <f>IF(COUNTA(D137:E137)=0,"",N(D137)-N(E137))</f>
        <v/>
      </c>
      <c r="G137" s="32">
        <f>IFERROR(VLOOKUP($B137,'开奖记录'!$A:$K,2,FALSE),"")</f>
        <v/>
      </c>
      <c r="H137" s="32">
        <f>IFERROR(VLOOKUP($B137,'开奖记录'!$A:$K,9,FALSE),"")</f>
        <v/>
      </c>
      <c r="I137" s="32">
        <f>IFERROR(VLOOKUP($B137,'开奖记录'!$A:$K,11,FALSE),"")</f>
        <v/>
      </c>
      <c r="J137" s="32">
        <f>IF($B137="","",IF(ISNUMBER($D137),"命中",IF(ISNUMBER($E137),"未命中","")))</f>
        <v/>
      </c>
      <c r="K137" s="35" t="inlineStr"/>
      <c r="L137" s="32">
        <f>IFERROR(TEXT(VLOOKUP($B137-1,开奖记录!$A:$L,3,FALSE),"00")&amp;"+5="&amp;VLOOKUP(MOD(VLOOKUP($B137-1,开奖记录!$A:$L,3,FALSE)+4,49)+1,规律参数!$A:$C,3,FALSE),"")</f>
        <v/>
      </c>
      <c r="M137" s="32">
        <f>IF(L137="","",IF(I137="","待开奖",IF(ISNUMBER(SEARCH(I137,L137)),"命中","未命中")))</f>
        <v/>
      </c>
      <c r="N137" s="32">
        <f>IFERROR(VLOOKUP(VLOOKUP($B137-1,开奖记录!$A:$L,11,FALSE),八肖参数!$A:$B,2,FALSE),"")</f>
        <v/>
      </c>
      <c r="O137" s="32">
        <f>IF(N137="","",IF(I137="","待开奖",IF(ISNUMBER(SEARCH(I137,N137)),"命中","未命中")))</f>
        <v/>
      </c>
    </row>
    <row r="138" ht="23" customHeight="1" s="21">
      <c r="A138" s="32" t="n">
        <v>137</v>
      </c>
      <c r="B138" s="32" t="n">
        <v>2026137</v>
      </c>
      <c r="C138" s="33" t="inlineStr">
        <is>
          <t>蛇26</t>
        </is>
      </c>
      <c r="D138" s="34" t="n"/>
      <c r="E138" s="34" t="n"/>
      <c r="F138" s="34">
        <f>IF(COUNTA(D138:E138)=0,"",N(D138)-N(E138))</f>
        <v/>
      </c>
      <c r="G138" s="32">
        <f>IFERROR(VLOOKUP($B138,'开奖记录'!$A:$K,2,FALSE),"")</f>
        <v/>
      </c>
      <c r="H138" s="32">
        <f>IFERROR(VLOOKUP($B138,'开奖记录'!$A:$K,9,FALSE),"")</f>
        <v/>
      </c>
      <c r="I138" s="32">
        <f>IFERROR(VLOOKUP($B138,'开奖记录'!$A:$K,11,FALSE),"")</f>
        <v/>
      </c>
      <c r="J138" s="32">
        <f>IF($B138="","",IF(ISNUMBER($D138),"命中",IF(ISNUMBER($E138),"未命中","")))</f>
        <v/>
      </c>
      <c r="K138" s="35" t="inlineStr"/>
      <c r="L138" s="32">
        <f>IFERROR(TEXT(VLOOKUP($B138-1,开奖记录!$A:$L,3,FALSE),"00")&amp;"+5="&amp;VLOOKUP(MOD(VLOOKUP($B138-1,开奖记录!$A:$L,3,FALSE)+4,49)+1,规律参数!$A:$C,3,FALSE),"")</f>
        <v/>
      </c>
      <c r="M138" s="32">
        <f>IF(L138="","",IF(I138="","待开奖",IF(ISNUMBER(SEARCH(I138,L138)),"命中","未命中")))</f>
        <v/>
      </c>
      <c r="N138" s="32">
        <f>IFERROR(VLOOKUP(VLOOKUP($B138-1,开奖记录!$A:$L,11,FALSE),八肖参数!$A:$B,2,FALSE),"")</f>
        <v/>
      </c>
      <c r="O138" s="32">
        <f>IF(N138="","",IF(I138="","待开奖",IF(ISNUMBER(SEARCH(I138,N138)),"命中","未命中")))</f>
        <v/>
      </c>
    </row>
    <row r="139" ht="23" customHeight="1" s="21">
      <c r="A139" s="32" t="n">
        <v>138</v>
      </c>
      <c r="B139" s="32" t="n">
        <v>2026138</v>
      </c>
      <c r="C139" s="33" t="inlineStr">
        <is>
          <t>马49</t>
        </is>
      </c>
      <c r="D139" s="34" t="n"/>
      <c r="E139" s="34" t="n"/>
      <c r="F139" s="34">
        <f>IF(COUNTA(D139:E139)=0,"",N(D139)-N(E139))</f>
        <v/>
      </c>
      <c r="G139" s="32">
        <f>IFERROR(VLOOKUP($B139,'开奖记录'!$A:$K,2,FALSE),"")</f>
        <v/>
      </c>
      <c r="H139" s="32">
        <f>IFERROR(VLOOKUP($B139,'开奖记录'!$A:$K,9,FALSE),"")</f>
        <v/>
      </c>
      <c r="I139" s="32">
        <f>IFERROR(VLOOKUP($B139,'开奖记录'!$A:$K,11,FALSE),"")</f>
        <v/>
      </c>
      <c r="J139" s="32">
        <f>IF($B139="","",IF(ISNUMBER($D139),"命中",IF(ISNUMBER($E139),"未命中","")))</f>
        <v/>
      </c>
      <c r="K139" s="35" t="inlineStr"/>
      <c r="L139" s="32">
        <f>IFERROR(TEXT(VLOOKUP($B139-1,开奖记录!$A:$L,3,FALSE),"00")&amp;"+5="&amp;VLOOKUP(MOD(VLOOKUP($B139-1,开奖记录!$A:$L,3,FALSE)+4,49)+1,规律参数!$A:$C,3,FALSE),"")</f>
        <v/>
      </c>
      <c r="M139" s="32">
        <f>IF(L139="","",IF(I139="","待开奖",IF(ISNUMBER(SEARCH(I139,L139)),"命中","未命中")))</f>
        <v/>
      </c>
      <c r="N139" s="32">
        <f>IFERROR(VLOOKUP(VLOOKUP($B139-1,开奖记录!$A:$L,11,FALSE),八肖参数!$A:$B,2,FALSE),"")</f>
        <v/>
      </c>
      <c r="O139" s="32">
        <f>IF(N139="","",IF(I139="","待开奖",IF(ISNUMBER(SEARCH(I139,N139)),"命中","未命中")))</f>
        <v/>
      </c>
    </row>
    <row r="140" ht="23" customHeight="1" s="21">
      <c r="A140" s="32" t="n">
        <v>139</v>
      </c>
      <c r="B140" s="32" t="n">
        <v>2026139</v>
      </c>
      <c r="C140" s="33" t="inlineStr">
        <is>
          <t xml:space="preserve">羊 24 </t>
        </is>
      </c>
      <c r="D140" s="34" t="n">
        <v>350</v>
      </c>
      <c r="E140" s="34" t="n"/>
      <c r="F140" s="34">
        <f>IF(COUNTA(D140:E140)=0,"",N(D140)-N(E140))</f>
        <v/>
      </c>
      <c r="G140" s="32">
        <f>IFERROR(VLOOKUP($B140,'开奖记录'!$A:$K,2,FALSE),"")</f>
        <v/>
      </c>
      <c r="H140" s="32">
        <f>IFERROR(VLOOKUP($B140,'开奖记录'!$A:$K,9,FALSE),"")</f>
        <v/>
      </c>
      <c r="I140" s="32">
        <f>IFERROR(VLOOKUP($B140,'开奖记录'!$A:$K,11,FALSE),"")</f>
        <v/>
      </c>
      <c r="J140" s="32">
        <f>IF($B140="","",IF(ISNUMBER($D140),"命中",IF(ISNUMBER($E140),"未命中","")))</f>
        <v/>
      </c>
      <c r="K140" s="35" t="inlineStr"/>
      <c r="L140" s="32">
        <f>IFERROR(TEXT(VLOOKUP($B140-1,开奖记录!$A:$L,3,FALSE),"00")&amp;"+5="&amp;VLOOKUP(MOD(VLOOKUP($B140-1,开奖记录!$A:$L,3,FALSE)+4,49)+1,规律参数!$A:$C,3,FALSE),"")</f>
        <v/>
      </c>
      <c r="M140" s="32">
        <f>IF(L140="","",IF(I140="","待开奖",IF(ISNUMBER(SEARCH(I140,L140)),"命中","未命中")))</f>
        <v/>
      </c>
      <c r="N140" s="32">
        <f>IFERROR(VLOOKUP(VLOOKUP($B140-1,开奖记录!$A:$L,11,FALSE),八肖参数!$A:$B,2,FALSE),"")</f>
        <v/>
      </c>
      <c r="O140" s="32">
        <f>IF(N140="","",IF(I140="","待开奖",IF(ISNUMBER(SEARCH(I140,N140)),"命中","未命中")))</f>
        <v/>
      </c>
    </row>
    <row r="141" ht="23" customHeight="1" s="21">
      <c r="A141" s="32" t="n">
        <v>140</v>
      </c>
      <c r="B141" s="32" t="n">
        <v>2026140</v>
      </c>
      <c r="C141" s="33" t="inlineStr">
        <is>
          <t>兔16</t>
        </is>
      </c>
      <c r="D141" s="34" t="n"/>
      <c r="E141" s="34" t="n">
        <v>60</v>
      </c>
      <c r="F141" s="34">
        <f>IF(COUNTA(D141:E141)=0,"",N(D141)-N(E141))</f>
        <v/>
      </c>
      <c r="G141" s="32">
        <f>IFERROR(VLOOKUP($B141,'开奖记录'!$A:$K,2,FALSE),"")</f>
        <v/>
      </c>
      <c r="H141" s="32">
        <f>IFERROR(VLOOKUP($B141,'开奖记录'!$A:$K,9,FALSE),"")</f>
        <v/>
      </c>
      <c r="I141" s="32">
        <f>IFERROR(VLOOKUP($B141,'开奖记录'!$A:$K,11,FALSE),"")</f>
        <v/>
      </c>
      <c r="J141" s="32">
        <f>IF($B141="","",IF(ISNUMBER($D141),"命中",IF(ISNUMBER($E141),"未命中","")))</f>
        <v/>
      </c>
      <c r="K141" s="35" t="inlineStr"/>
      <c r="L141" s="32">
        <f>IFERROR(TEXT(VLOOKUP($B141-1,开奖记录!$A:$L,3,FALSE),"00")&amp;"+5="&amp;VLOOKUP(MOD(VLOOKUP($B141-1,开奖记录!$A:$L,3,FALSE)+4,49)+1,规律参数!$A:$C,3,FALSE),"")</f>
        <v/>
      </c>
      <c r="M141" s="32">
        <f>IF(L141="","",IF(I141="","待开奖",IF(ISNUMBER(SEARCH(I141,L141)),"命中","未命中")))</f>
        <v/>
      </c>
      <c r="N141" s="32">
        <f>IFERROR(VLOOKUP(VLOOKUP($B141-1,开奖记录!$A:$L,11,FALSE),八肖参数!$A:$B,2,FALSE),"")</f>
        <v/>
      </c>
      <c r="O141" s="32">
        <f>IF(N141="","",IF(I141="","待开奖",IF(ISNUMBER(SEARCH(I141,N141)),"命中","未命中")))</f>
        <v/>
      </c>
    </row>
    <row r="142" ht="23" customHeight="1" s="21">
      <c r="A142" s="32" t="n">
        <v>141</v>
      </c>
      <c r="B142" s="32" t="n">
        <v>2026141</v>
      </c>
      <c r="C142" s="33" t="inlineStr">
        <is>
          <t>狗33</t>
        </is>
      </c>
      <c r="D142" s="34" t="n">
        <v>155</v>
      </c>
      <c r="E142" s="34" t="n"/>
      <c r="F142" s="34">
        <f>IF(COUNTA(D142:E142)=0,"",N(D142)-N(E142))</f>
        <v/>
      </c>
      <c r="G142" s="32">
        <f>IFERROR(VLOOKUP($B142,'开奖记录'!$A:$K,2,FALSE),"")</f>
        <v/>
      </c>
      <c r="H142" s="32">
        <f>IFERROR(VLOOKUP($B142,'开奖记录'!$A:$K,9,FALSE),"")</f>
        <v/>
      </c>
      <c r="I142" s="32">
        <f>IFERROR(VLOOKUP($B142,'开奖记录'!$A:$K,11,FALSE),"")</f>
        <v/>
      </c>
      <c r="J142" s="32">
        <f>IF($B142="","",IF(ISNUMBER($D142),"命中",IF(ISNUMBER($E142),"未命中","")))</f>
        <v/>
      </c>
      <c r="K142" s="35" t="inlineStr"/>
      <c r="L142" s="32">
        <f>IFERROR(TEXT(VLOOKUP($B142-1,开奖记录!$A:$L,3,FALSE),"00")&amp;"+5="&amp;VLOOKUP(MOD(VLOOKUP($B142-1,开奖记录!$A:$L,3,FALSE)+4,49)+1,规律参数!$A:$C,3,FALSE),"")</f>
        <v/>
      </c>
      <c r="M142" s="32">
        <f>IF(L142="","",IF(I142="","待开奖",IF(ISNUMBER(SEARCH(I142,L142)),"命中","未命中")))</f>
        <v/>
      </c>
      <c r="N142" s="32">
        <f>IFERROR(VLOOKUP(VLOOKUP($B142-1,开奖记录!$A:$L,11,FALSE),八肖参数!$A:$B,2,FALSE),"")</f>
        <v/>
      </c>
      <c r="O142" s="32">
        <f>IF(N142="","",IF(I142="","待开奖",IF(ISNUMBER(SEARCH(I142,N142)),"命中","未命中")))</f>
        <v/>
      </c>
    </row>
    <row r="143" ht="23" customHeight="1" s="21">
      <c r="A143" s="32" t="n">
        <v>142</v>
      </c>
      <c r="B143" s="32" t="n">
        <v>2026142</v>
      </c>
      <c r="C143" s="33" t="inlineStr">
        <is>
          <t>猴 23</t>
        </is>
      </c>
      <c r="D143" s="34" t="n"/>
      <c r="E143" s="34" t="n">
        <v>70</v>
      </c>
      <c r="F143" s="34">
        <f>IF(COUNTA(D143:E143)=0,"",N(D143)-N(E143))</f>
        <v/>
      </c>
      <c r="G143" s="32">
        <f>IFERROR(VLOOKUP($B143,'开奖记录'!$A:$K,2,FALSE),"")</f>
        <v/>
      </c>
      <c r="H143" s="32">
        <f>IFERROR(VLOOKUP($B143,'开奖记录'!$A:$K,9,FALSE),"")</f>
        <v/>
      </c>
      <c r="I143" s="32">
        <f>IFERROR(VLOOKUP($B143,'开奖记录'!$A:$K,11,FALSE),"")</f>
        <v/>
      </c>
      <c r="J143" s="32">
        <f>IF($B143="","",IF(ISNUMBER($D143),"命中",IF(ISNUMBER($E143),"未命中","")))</f>
        <v/>
      </c>
      <c r="K143" s="35" t="inlineStr"/>
      <c r="L143" s="32">
        <f>IFERROR(TEXT(VLOOKUP($B143-1,开奖记录!$A:$L,3,FALSE),"00")&amp;"+5="&amp;VLOOKUP(MOD(VLOOKUP($B143-1,开奖记录!$A:$L,3,FALSE)+4,49)+1,规律参数!$A:$C,3,FALSE),"")</f>
        <v/>
      </c>
      <c r="M143" s="32">
        <f>IF(L143="","",IF(I143="","待开奖",IF(ISNUMBER(SEARCH(I143,L143)),"命中","未命中")))</f>
        <v/>
      </c>
      <c r="N143" s="32">
        <f>IFERROR(VLOOKUP(VLOOKUP($B143-1,开奖记录!$A:$L,11,FALSE),八肖参数!$A:$B,2,FALSE),"")</f>
        <v/>
      </c>
      <c r="O143" s="32">
        <f>IF(N143="","",IF(I143="","待开奖",IF(ISNUMBER(SEARCH(I143,N143)),"命中","未命中")))</f>
        <v/>
      </c>
    </row>
    <row r="144" ht="23" customHeight="1" s="21">
      <c r="A144" s="32" t="n">
        <v>143</v>
      </c>
      <c r="B144" s="32" t="n">
        <v>2026143</v>
      </c>
      <c r="C144" s="33" t="inlineStr">
        <is>
          <t>猪44</t>
        </is>
      </c>
      <c r="D144" s="34" t="n"/>
      <c r="E144" s="34" t="n">
        <v>90</v>
      </c>
      <c r="F144" s="34">
        <f>IF(COUNTA(D144:E144)=0,"",N(D144)-N(E144))</f>
        <v/>
      </c>
      <c r="G144" s="32">
        <f>IFERROR(VLOOKUP($B144,'开奖记录'!$A:$K,2,FALSE),"")</f>
        <v/>
      </c>
      <c r="H144" s="32">
        <f>IFERROR(VLOOKUP($B144,'开奖记录'!$A:$K,9,FALSE),"")</f>
        <v/>
      </c>
      <c r="I144" s="32">
        <f>IFERROR(VLOOKUP($B144,'开奖记录'!$A:$K,11,FALSE),"")</f>
        <v/>
      </c>
      <c r="J144" s="32">
        <f>IF($B144="","",IF(ISNUMBER($D144),"命中",IF(ISNUMBER($E144),"未命中","")))</f>
        <v/>
      </c>
      <c r="K144" s="35" t="inlineStr"/>
      <c r="L144" s="32">
        <f>IFERROR(TEXT(VLOOKUP($B144-1,开奖记录!$A:$L,3,FALSE),"00")&amp;"+5="&amp;VLOOKUP(MOD(VLOOKUP($B144-1,开奖记录!$A:$L,3,FALSE)+4,49)+1,规律参数!$A:$C,3,FALSE),"")</f>
        <v/>
      </c>
      <c r="M144" s="32">
        <f>IF(L144="","",IF(I144="","待开奖",IF(ISNUMBER(SEARCH(I144,L144)),"命中","未命中")))</f>
        <v/>
      </c>
      <c r="N144" s="32">
        <f>IFERROR(VLOOKUP(VLOOKUP($B144-1,开奖记录!$A:$L,11,FALSE),八肖参数!$A:$B,2,FALSE),"")</f>
        <v/>
      </c>
      <c r="O144" s="32">
        <f>IF(N144="","",IF(I144="","待开奖",IF(ISNUMBER(SEARCH(I144,N144)),"命中","未命中")))</f>
        <v/>
      </c>
    </row>
    <row r="145" ht="23" customHeight="1" s="21">
      <c r="A145" s="32" t="n">
        <v>144</v>
      </c>
      <c r="B145" s="32" t="n">
        <v>2026144</v>
      </c>
      <c r="C145" s="33" t="inlineStr">
        <is>
          <t>鼠43</t>
        </is>
      </c>
      <c r="D145" s="34" t="n"/>
      <c r="E145" s="34" t="n">
        <v>60</v>
      </c>
      <c r="F145" s="34">
        <f>IF(COUNTA(D145:E145)=0,"",N(D145)-N(E145))</f>
        <v/>
      </c>
      <c r="G145" s="32">
        <f>IFERROR(VLOOKUP($B145,'开奖记录'!$A:$K,2,FALSE),"")</f>
        <v/>
      </c>
      <c r="H145" s="32">
        <f>IFERROR(VLOOKUP($B145,'开奖记录'!$A:$K,9,FALSE),"")</f>
        <v/>
      </c>
      <c r="I145" s="32">
        <f>IFERROR(VLOOKUP($B145,'开奖记录'!$A:$K,11,FALSE),"")</f>
        <v/>
      </c>
      <c r="J145" s="32">
        <f>IF($B145="","",IF(ISNUMBER($D145),"命中",IF(ISNUMBER($E145),"未命中","")))</f>
        <v/>
      </c>
      <c r="K145" s="35" t="inlineStr"/>
      <c r="L145" s="32">
        <f>IFERROR(TEXT(VLOOKUP($B145-1,开奖记录!$A:$L,3,FALSE),"00")&amp;"+5="&amp;VLOOKUP(MOD(VLOOKUP($B145-1,开奖记录!$A:$L,3,FALSE)+4,49)+1,规律参数!$A:$C,3,FALSE),"")</f>
        <v/>
      </c>
      <c r="M145" s="32">
        <f>IF(L145="","",IF(I145="","待开奖",IF(ISNUMBER(SEARCH(I145,L145)),"命中","未命中")))</f>
        <v/>
      </c>
      <c r="N145" s="32">
        <f>IFERROR(VLOOKUP(VLOOKUP($B145-1,开奖记录!$A:$L,11,FALSE),八肖参数!$A:$B,2,FALSE),"")</f>
        <v/>
      </c>
      <c r="O145" s="32">
        <f>IF(N145="","",IF(I145="","待开奖",IF(ISNUMBER(SEARCH(I145,N145)),"命中","未命中")))</f>
        <v/>
      </c>
    </row>
    <row r="146" ht="23" customHeight="1" s="21">
      <c r="A146" s="32" t="n">
        <v>145</v>
      </c>
      <c r="B146" s="32" t="n">
        <v>2026145</v>
      </c>
      <c r="C146" s="33" t="inlineStr">
        <is>
          <t xml:space="preserve">虎 05 </t>
        </is>
      </c>
      <c r="D146" s="34" t="n">
        <v>165</v>
      </c>
      <c r="E146" s="34" t="n"/>
      <c r="F146" s="34">
        <f>IF(COUNTA(D146:E146)=0,"",N(D146)-N(E146))</f>
        <v/>
      </c>
      <c r="G146" s="32">
        <f>IFERROR(VLOOKUP($B146,'开奖记录'!$A:$K,2,FALSE),"")</f>
        <v/>
      </c>
      <c r="H146" s="32">
        <f>IFERROR(VLOOKUP($B146,'开奖记录'!$A:$K,9,FALSE),"")</f>
        <v/>
      </c>
      <c r="I146" s="32">
        <f>IFERROR(VLOOKUP($B146,'开奖记录'!$A:$K,11,FALSE),"")</f>
        <v/>
      </c>
      <c r="J146" s="32">
        <f>IF($B146="","",IF(ISNUMBER($D146),"命中",IF(ISNUMBER($E146),"未命中","")))</f>
        <v/>
      </c>
      <c r="K146" s="35" t="inlineStr"/>
      <c r="L146" s="32">
        <f>IFERROR(TEXT(VLOOKUP($B146-1,开奖记录!$A:$L,3,FALSE),"00")&amp;"+5="&amp;VLOOKUP(MOD(VLOOKUP($B146-1,开奖记录!$A:$L,3,FALSE)+4,49)+1,规律参数!$A:$C,3,FALSE),"")</f>
        <v/>
      </c>
      <c r="M146" s="32">
        <f>IF(L146="","",IF(I146="","待开奖",IF(ISNUMBER(SEARCH(I146,L146)),"命中","未命中")))</f>
        <v/>
      </c>
      <c r="N146" s="32">
        <f>IFERROR(VLOOKUP(VLOOKUP($B146-1,开奖记录!$A:$L,11,FALSE),八肖参数!$A:$B,2,FALSE),"")</f>
        <v/>
      </c>
      <c r="O146" s="32">
        <f>IF(N146="","",IF(I146="","待开奖",IF(ISNUMBER(SEARCH(I146,N146)),"命中","未命中")))</f>
        <v/>
      </c>
    </row>
    <row r="147" ht="23" customHeight="1" s="21">
      <c r="A147" s="32" t="n">
        <v>146</v>
      </c>
      <c r="B147" s="32" t="n">
        <v>2026146</v>
      </c>
      <c r="C147" s="33" t="inlineStr">
        <is>
          <t>牛42</t>
        </is>
      </c>
      <c r="D147" s="34" t="n"/>
      <c r="E147" s="34" t="n"/>
      <c r="F147" s="34">
        <f>IF(COUNTA(D147:E147)=0,"",N(D147)-N(E147))</f>
        <v/>
      </c>
      <c r="G147" s="32">
        <f>IFERROR(VLOOKUP($B147,'开奖记录'!$A:$K,2,FALSE),"")</f>
        <v/>
      </c>
      <c r="H147" s="32">
        <f>IFERROR(VLOOKUP($B147,'开奖记录'!$A:$K,9,FALSE),"")</f>
        <v/>
      </c>
      <c r="I147" s="32">
        <f>IFERROR(VLOOKUP($B147,'开奖记录'!$A:$K,11,FALSE),"")</f>
        <v/>
      </c>
      <c r="J147" s="32">
        <f>IF($B147="","",IF(ISNUMBER($D147),"命中",IF(ISNUMBER($E147),"未命中","")))</f>
        <v/>
      </c>
      <c r="K147" s="35" t="inlineStr"/>
      <c r="L147" s="32">
        <f>IFERROR(TEXT(VLOOKUP($B147-1,开奖记录!$A:$L,3,FALSE),"00")&amp;"+5="&amp;VLOOKUP(MOD(VLOOKUP($B147-1,开奖记录!$A:$L,3,FALSE)+4,49)+1,规律参数!$A:$C,3,FALSE),"")</f>
        <v/>
      </c>
      <c r="M147" s="32">
        <f>IF(L147="","",IF(I147="","待开奖",IF(ISNUMBER(SEARCH(I147,L147)),"命中","未命中")))</f>
        <v/>
      </c>
      <c r="N147" s="32">
        <f>IFERROR(VLOOKUP(VLOOKUP($B147-1,开奖记录!$A:$L,11,FALSE),八肖参数!$A:$B,2,FALSE),"")</f>
        <v/>
      </c>
      <c r="O147" s="32">
        <f>IF(N147="","",IF(I147="","待开奖",IF(ISNUMBER(SEARCH(I147,N147)),"命中","未命中")))</f>
        <v/>
      </c>
    </row>
    <row r="148" ht="23" customHeight="1" s="21">
      <c r="A148" s="32" t="n">
        <v>147</v>
      </c>
      <c r="B148" s="32" t="n">
        <v>2026147</v>
      </c>
      <c r="C148" s="33" t="inlineStr">
        <is>
          <t xml:space="preserve">马 13 </t>
        </is>
      </c>
      <c r="D148" s="34" t="n"/>
      <c r="E148" s="34" t="n">
        <v>100</v>
      </c>
      <c r="F148" s="34">
        <f>IF(COUNTA(D148:E148)=0,"",N(D148)-N(E148))</f>
        <v/>
      </c>
      <c r="G148" s="32">
        <f>IFERROR(VLOOKUP($B148,'开奖记录'!$A:$K,2,FALSE),"")</f>
        <v/>
      </c>
      <c r="H148" s="32">
        <f>IFERROR(VLOOKUP($B148,'开奖记录'!$A:$K,9,FALSE),"")</f>
        <v/>
      </c>
      <c r="I148" s="32">
        <f>IFERROR(VLOOKUP($B148,'开奖记录'!$A:$K,11,FALSE),"")</f>
        <v/>
      </c>
      <c r="J148" s="32">
        <f>IF($B148="","",IF(ISNUMBER($D148),"命中",IF(ISNUMBER($E148),"未命中","")))</f>
        <v/>
      </c>
      <c r="K148" s="35" t="inlineStr"/>
      <c r="L148" s="32">
        <f>IFERROR(TEXT(VLOOKUP($B148-1,开奖记录!$A:$L,3,FALSE),"00")&amp;"+5="&amp;VLOOKUP(MOD(VLOOKUP($B148-1,开奖记录!$A:$L,3,FALSE)+4,49)+1,规律参数!$A:$C,3,FALSE),"")</f>
        <v/>
      </c>
      <c r="M148" s="32">
        <f>IF(L148="","",IF(I148="","待开奖",IF(ISNUMBER(SEARCH(I148,L148)),"命中","未命中")))</f>
        <v/>
      </c>
      <c r="N148" s="32">
        <f>IFERROR(VLOOKUP(VLOOKUP($B148-1,开奖记录!$A:$L,11,FALSE),八肖参数!$A:$B,2,FALSE),"")</f>
        <v/>
      </c>
      <c r="O148" s="32">
        <f>IF(N148="","",IF(I148="","待开奖",IF(ISNUMBER(SEARCH(I148,N148)),"命中","未命中")))</f>
        <v/>
      </c>
    </row>
    <row r="149" ht="23" customHeight="1" s="21">
      <c r="A149" s="32" t="n">
        <v>148</v>
      </c>
      <c r="B149" s="32" t="n">
        <v>2026148</v>
      </c>
      <c r="C149" s="33" t="inlineStr">
        <is>
          <t xml:space="preserve">羊 48 </t>
        </is>
      </c>
      <c r="D149" s="34" t="n">
        <v>175</v>
      </c>
      <c r="E149" s="34" t="n"/>
      <c r="F149" s="34">
        <f>IF(COUNTA(D149:E149)=0,"",N(D149)-N(E149))</f>
        <v/>
      </c>
      <c r="G149" s="32">
        <f>IFERROR(VLOOKUP($B149,'开奖记录'!$A:$K,2,FALSE),"")</f>
        <v/>
      </c>
      <c r="H149" s="32">
        <f>IFERROR(VLOOKUP($B149,'开奖记录'!$A:$K,9,FALSE),"")</f>
        <v/>
      </c>
      <c r="I149" s="32">
        <f>IFERROR(VLOOKUP($B149,'开奖记录'!$A:$K,11,FALSE),"")</f>
        <v/>
      </c>
      <c r="J149" s="32">
        <f>IF($B149="","",IF(ISNUMBER($D149),"命中",IF(ISNUMBER($E149),"未命中","")))</f>
        <v/>
      </c>
      <c r="K149" s="35" t="inlineStr"/>
      <c r="L149" s="32">
        <f>IFERROR(TEXT(VLOOKUP($B149-1,开奖记录!$A:$L,3,FALSE),"00")&amp;"+5="&amp;VLOOKUP(MOD(VLOOKUP($B149-1,开奖记录!$A:$L,3,FALSE)+4,49)+1,规律参数!$A:$C,3,FALSE),"")</f>
        <v/>
      </c>
      <c r="M149" s="32">
        <f>IF(L149="","",IF(I149="","待开奖",IF(ISNUMBER(SEARCH(I149,L149)),"命中","未命中")))</f>
        <v/>
      </c>
      <c r="N149" s="32">
        <f>IFERROR(VLOOKUP(VLOOKUP($B149-1,开奖记录!$A:$L,11,FALSE),八肖参数!$A:$B,2,FALSE),"")</f>
        <v/>
      </c>
      <c r="O149" s="32">
        <f>IF(N149="","",IF(I149="","待开奖",IF(ISNUMBER(SEARCH(I149,N149)),"命中","未命中")))</f>
        <v/>
      </c>
    </row>
    <row r="150" ht="23" customHeight="1" s="21">
      <c r="A150" s="32" t="n">
        <v>149</v>
      </c>
      <c r="B150" s="32" t="n">
        <v>2026149</v>
      </c>
      <c r="C150" s="33" t="inlineStr">
        <is>
          <t>龙27</t>
        </is>
      </c>
      <c r="D150" s="34" t="n"/>
      <c r="E150" s="34" t="n">
        <v>100</v>
      </c>
      <c r="F150" s="34">
        <f>IF(COUNTA(D150:E150)=0,"",N(D150)-N(E150))</f>
        <v/>
      </c>
      <c r="G150" s="32">
        <f>IFERROR(VLOOKUP($B150,'开奖记录'!$A:$K,2,FALSE),"")</f>
        <v/>
      </c>
      <c r="H150" s="32">
        <f>IFERROR(VLOOKUP($B150,'开奖记录'!$A:$K,9,FALSE),"")</f>
        <v/>
      </c>
      <c r="I150" s="32">
        <f>IFERROR(VLOOKUP($B150,'开奖记录'!$A:$K,11,FALSE),"")</f>
        <v/>
      </c>
      <c r="J150" s="32">
        <f>IF($B150="","",IF(ISNUMBER($D150),"命中",IF(ISNUMBER($E150),"未命中","")))</f>
        <v/>
      </c>
      <c r="K150" s="35" t="inlineStr"/>
      <c r="L150" s="32">
        <f>IFERROR(TEXT(VLOOKUP($B150-1,开奖记录!$A:$L,3,FALSE),"00")&amp;"+5="&amp;VLOOKUP(MOD(VLOOKUP($B150-1,开奖记录!$A:$L,3,FALSE)+4,49)+1,规律参数!$A:$C,3,FALSE),"")</f>
        <v/>
      </c>
      <c r="M150" s="32">
        <f>IF(L150="","",IF(I150="","待开奖",IF(ISNUMBER(SEARCH(I150,L150)),"命中","未命中")))</f>
        <v/>
      </c>
      <c r="N150" s="32">
        <f>IFERROR(VLOOKUP(VLOOKUP($B150-1,开奖记录!$A:$L,11,FALSE),八肖参数!$A:$B,2,FALSE),"")</f>
        <v/>
      </c>
      <c r="O150" s="32">
        <f>IF(N150="","",IF(I150="","待开奖",IF(ISNUMBER(SEARCH(I150,N150)),"命中","未命中")))</f>
        <v/>
      </c>
    </row>
    <row r="151" ht="23" customHeight="1" s="21">
      <c r="A151" s="32" t="n">
        <v>150</v>
      </c>
      <c r="B151" s="32" t="n">
        <v>2026150</v>
      </c>
      <c r="C151" s="33" t="inlineStr">
        <is>
          <t xml:space="preserve">狗 09 </t>
        </is>
      </c>
      <c r="D151" s="34" t="n"/>
      <c r="E151" s="34" t="n">
        <v>100</v>
      </c>
      <c r="F151" s="34">
        <f>IF(COUNTA(D151:E151)=0,"",N(D151)-N(E151))</f>
        <v/>
      </c>
      <c r="G151" s="32">
        <f>IFERROR(VLOOKUP($B151,'开奖记录'!$A:$K,2,FALSE),"")</f>
        <v/>
      </c>
      <c r="H151" s="32">
        <f>IFERROR(VLOOKUP($B151,'开奖记录'!$A:$K,9,FALSE),"")</f>
        <v/>
      </c>
      <c r="I151" s="32">
        <f>IFERROR(VLOOKUP($B151,'开奖记录'!$A:$K,11,FALSE),"")</f>
        <v/>
      </c>
      <c r="J151" s="32">
        <f>IF($B151="","",IF(ISNUMBER($D151),"命中",IF(ISNUMBER($E151),"未命中","")))</f>
        <v/>
      </c>
      <c r="K151" s="35" t="inlineStr"/>
      <c r="L151" s="32">
        <f>IFERROR(TEXT(VLOOKUP($B151-1,开奖记录!$A:$L,3,FALSE),"00")&amp;"+5="&amp;VLOOKUP(MOD(VLOOKUP($B151-1,开奖记录!$A:$L,3,FALSE)+4,49)+1,规律参数!$A:$C,3,FALSE),"")</f>
        <v/>
      </c>
      <c r="M151" s="32">
        <f>IF(L151="","",IF(I151="","待开奖",IF(ISNUMBER(SEARCH(I151,L151)),"命中","未命中")))</f>
        <v/>
      </c>
      <c r="N151" s="32">
        <f>IFERROR(VLOOKUP(VLOOKUP($B151-1,开奖记录!$A:$L,11,FALSE),八肖参数!$A:$B,2,FALSE),"")</f>
        <v/>
      </c>
      <c r="O151" s="32">
        <f>IF(N151="","",IF(I151="","待开奖",IF(ISNUMBER(SEARCH(I151,N151)),"命中","未命中")))</f>
        <v/>
      </c>
    </row>
    <row r="152" ht="23" customHeight="1" s="21">
      <c r="A152" s="32" t="n">
        <v>151</v>
      </c>
      <c r="B152" s="32" t="n">
        <v>2026151</v>
      </c>
      <c r="C152" s="33" t="inlineStr">
        <is>
          <t xml:space="preserve">鼠 31 </t>
        </is>
      </c>
      <c r="D152" s="34" t="n">
        <v>345</v>
      </c>
      <c r="E152" s="34" t="n"/>
      <c r="F152" s="34">
        <f>IF(COUNTA(D152:E152)=0,"",N(D152)-N(E152))</f>
        <v/>
      </c>
      <c r="G152" s="32">
        <f>IFERROR(VLOOKUP($B152,'开奖记录'!$A:$K,2,FALSE),"")</f>
        <v/>
      </c>
      <c r="H152" s="32">
        <f>IFERROR(VLOOKUP($B152,'开奖记录'!$A:$K,9,FALSE),"")</f>
        <v/>
      </c>
      <c r="I152" s="32">
        <f>IFERROR(VLOOKUP($B152,'开奖记录'!$A:$K,11,FALSE),"")</f>
        <v/>
      </c>
      <c r="J152" s="32">
        <f>IF($B152="","",IF(ISNUMBER($D152),"命中",IF(ISNUMBER($E152),"未命中","")))</f>
        <v/>
      </c>
      <c r="K152" s="35" t="inlineStr"/>
      <c r="L152" s="32">
        <f>IFERROR(TEXT(VLOOKUP($B152-1,开奖记录!$A:$L,3,FALSE),"00")&amp;"+5="&amp;VLOOKUP(MOD(VLOOKUP($B152-1,开奖记录!$A:$L,3,FALSE)+4,49)+1,规律参数!$A:$C,3,FALSE),"")</f>
        <v/>
      </c>
      <c r="M152" s="32">
        <f>IF(L152="","",IF(I152="","待开奖",IF(ISNUMBER(SEARCH(I152,L152)),"命中","未命中")))</f>
        <v/>
      </c>
      <c r="N152" s="32">
        <f>IFERROR(VLOOKUP(VLOOKUP($B152-1,开奖记录!$A:$L,11,FALSE),八肖参数!$A:$B,2,FALSE),"")</f>
        <v/>
      </c>
      <c r="O152" s="32">
        <f>IF(N152="","",IF(I152="","待开奖",IF(ISNUMBER(SEARCH(I152,N152)),"命中","未命中")))</f>
        <v/>
      </c>
    </row>
    <row r="153" ht="23" customHeight="1" s="21">
      <c r="A153" s="32" t="n">
        <v>152</v>
      </c>
      <c r="B153" s="32" t="n">
        <v>2026152</v>
      </c>
      <c r="C153" s="33" t="inlineStr">
        <is>
          <t>狗45</t>
        </is>
      </c>
      <c r="D153" s="34" t="n"/>
      <c r="E153" s="34" t="n">
        <v>140</v>
      </c>
      <c r="F153" s="34">
        <f>IF(COUNTA(D153:E153)=0,"",N(D153)-N(E153))</f>
        <v/>
      </c>
      <c r="G153" s="32">
        <f>IFERROR(VLOOKUP($B153,'开奖记录'!$A:$K,2,FALSE),"")</f>
        <v/>
      </c>
      <c r="H153" s="32">
        <f>IFERROR(VLOOKUP($B153,'开奖记录'!$A:$K,9,FALSE),"")</f>
        <v/>
      </c>
      <c r="I153" s="32">
        <f>IFERROR(VLOOKUP($B153,'开奖记录'!$A:$K,11,FALSE),"")</f>
        <v/>
      </c>
      <c r="J153" s="32">
        <f>IF($B153="","",IF(ISNUMBER($D153),"命中",IF(ISNUMBER($E153),"未命中","")))</f>
        <v/>
      </c>
      <c r="K153" s="35" t="inlineStr"/>
      <c r="L153" s="32">
        <f>IFERROR(TEXT(VLOOKUP($B153-1,开奖记录!$A:$L,3,FALSE),"00")&amp;"+5="&amp;VLOOKUP(MOD(VLOOKUP($B153-1,开奖记录!$A:$L,3,FALSE)+4,49)+1,规律参数!$A:$C,3,FALSE),"")</f>
        <v/>
      </c>
      <c r="M153" s="32">
        <f>IF(L153="","",IF(I153="","待开奖",IF(ISNUMBER(SEARCH(I153,L153)),"命中","未命中")))</f>
        <v/>
      </c>
      <c r="N153" s="32">
        <f>IFERROR(VLOOKUP(VLOOKUP($B153-1,开奖记录!$A:$L,11,FALSE),八肖参数!$A:$B,2,FALSE),"")</f>
        <v/>
      </c>
      <c r="O153" s="32">
        <f>IF(N153="","",IF(I153="","待开奖",IF(ISNUMBER(SEARCH(I153,N153)),"命中","未命中")))</f>
        <v/>
      </c>
    </row>
    <row r="154" ht="23" customHeight="1" s="21">
      <c r="A154" s="32" t="n">
        <v>153</v>
      </c>
      <c r="B154" s="32" t="n">
        <v>2026153</v>
      </c>
      <c r="C154" s="33" t="inlineStr">
        <is>
          <t>虎41</t>
        </is>
      </c>
      <c r="D154" s="34" t="n">
        <v>115</v>
      </c>
      <c r="E154" s="34" t="n"/>
      <c r="F154" s="34">
        <f>IF(COUNTA(D154:E154)=0,"",N(D154)-N(E154))</f>
        <v/>
      </c>
      <c r="G154" s="32">
        <f>IFERROR(VLOOKUP($B154,'开奖记录'!$A:$K,2,FALSE),"")</f>
        <v/>
      </c>
      <c r="H154" s="32">
        <f>IFERROR(VLOOKUP($B154,'开奖记录'!$A:$K,9,FALSE),"")</f>
        <v/>
      </c>
      <c r="I154" s="32">
        <f>IFERROR(VLOOKUP($B154,'开奖记录'!$A:$K,11,FALSE),"")</f>
        <v/>
      </c>
      <c r="J154" s="32">
        <f>IF($B154="","",IF(ISNUMBER($D154),"命中",IF(ISNUMBER($E154),"未命中","")))</f>
        <v/>
      </c>
      <c r="K154" s="35" t="inlineStr"/>
      <c r="L154" s="32">
        <f>IFERROR(TEXT(VLOOKUP($B154-1,开奖记录!$A:$L,3,FALSE),"00")&amp;"+5="&amp;VLOOKUP(MOD(VLOOKUP($B154-1,开奖记录!$A:$L,3,FALSE)+4,49)+1,规律参数!$A:$C,3,FALSE),"")</f>
        <v/>
      </c>
      <c r="M154" s="32">
        <f>IF(L154="","",IF(I154="","待开奖",IF(ISNUMBER(SEARCH(I154,L154)),"命中","未命中")))</f>
        <v/>
      </c>
      <c r="N154" s="32">
        <f>IFERROR(VLOOKUP(VLOOKUP($B154-1,开奖记录!$A:$L,11,FALSE),八肖参数!$A:$B,2,FALSE),"")</f>
        <v/>
      </c>
      <c r="O154" s="32">
        <f>IF(N154="","",IF(I154="","待开奖",IF(ISNUMBER(SEARCH(I154,N154)),"命中","未命中")))</f>
        <v/>
      </c>
    </row>
    <row r="155" ht="23" customHeight="1" s="21">
      <c r="A155" s="32" t="n">
        <v>154</v>
      </c>
      <c r="B155" s="32" t="n">
        <v>2026154</v>
      </c>
      <c r="C155" s="33" t="inlineStr">
        <is>
          <t>虎41</t>
        </is>
      </c>
      <c r="D155" s="34" t="n"/>
      <c r="E155" s="34" t="n">
        <v>80</v>
      </c>
      <c r="F155" s="34">
        <f>IF(COUNTA(D155:E155)=0,"",N(D155)-N(E155))</f>
        <v/>
      </c>
      <c r="G155" s="32">
        <f>IFERROR(VLOOKUP($B155,'开奖记录'!$A:$K,2,FALSE),"")</f>
        <v/>
      </c>
      <c r="H155" s="32">
        <f>IFERROR(VLOOKUP($B155,'开奖记录'!$A:$K,9,FALSE),"")</f>
        <v/>
      </c>
      <c r="I155" s="32">
        <f>IFERROR(VLOOKUP($B155,'开奖记录'!$A:$K,11,FALSE),"")</f>
        <v/>
      </c>
      <c r="J155" s="32">
        <f>IF($B155="","",IF(ISNUMBER($D155),"命中",IF(ISNUMBER($E155),"未命中","")))</f>
        <v/>
      </c>
      <c r="K155" s="35" t="inlineStr"/>
      <c r="L155" s="32">
        <f>IFERROR(TEXT(VLOOKUP($B155-1,开奖记录!$A:$L,3,FALSE),"00")&amp;"+5="&amp;VLOOKUP(MOD(VLOOKUP($B155-1,开奖记录!$A:$L,3,FALSE)+4,49)+1,规律参数!$A:$C,3,FALSE),"")</f>
        <v/>
      </c>
      <c r="M155" s="32">
        <f>IF(L155="","",IF(I155="","待开奖",IF(ISNUMBER(SEARCH(I155,L155)),"命中","未命中")))</f>
        <v/>
      </c>
      <c r="N155" s="32">
        <f>IFERROR(VLOOKUP(VLOOKUP($B155-1,开奖记录!$A:$L,11,FALSE),八肖参数!$A:$B,2,FALSE),"")</f>
        <v/>
      </c>
      <c r="O155" s="32">
        <f>IF(N155="","",IF(I155="","待开奖",IF(ISNUMBER(SEARCH(I155,N155)),"命中","未命中")))</f>
        <v/>
      </c>
    </row>
    <row r="156" ht="23" customHeight="1" s="21">
      <c r="A156" s="32" t="n">
        <v>155</v>
      </c>
      <c r="B156" s="32" t="n">
        <v>2026155</v>
      </c>
      <c r="C156" s="33" t="inlineStr">
        <is>
          <t>鼠07</t>
        </is>
      </c>
      <c r="D156" s="34" t="n">
        <v>140</v>
      </c>
      <c r="E156" s="34" t="n"/>
      <c r="F156" s="34">
        <f>IF(COUNTA(D156:E156)=0,"",N(D156)-N(E156))</f>
        <v/>
      </c>
      <c r="G156" s="32">
        <f>IFERROR(VLOOKUP($B156,'开奖记录'!$A:$K,2,FALSE),"")</f>
        <v/>
      </c>
      <c r="H156" s="32">
        <f>IFERROR(VLOOKUP($B156,'开奖记录'!$A:$K,9,FALSE),"")</f>
        <v/>
      </c>
      <c r="I156" s="32">
        <f>IFERROR(VLOOKUP($B156,'开奖记录'!$A:$K,11,FALSE),"")</f>
        <v/>
      </c>
      <c r="J156" s="32">
        <f>IF($B156="","",IF(ISNUMBER($D156),"命中",IF(ISNUMBER($E156),"未命中","")))</f>
        <v/>
      </c>
      <c r="K156" s="35" t="inlineStr"/>
      <c r="L156" s="32">
        <f>IFERROR(TEXT(VLOOKUP($B156-1,开奖记录!$A:$L,3,FALSE),"00")&amp;"+5="&amp;VLOOKUP(MOD(VLOOKUP($B156-1,开奖记录!$A:$L,3,FALSE)+4,49)+1,规律参数!$A:$C,3,FALSE),"")</f>
        <v/>
      </c>
      <c r="M156" s="32">
        <f>IF(L156="","",IF(I156="","待开奖",IF(ISNUMBER(SEARCH(I156,L156)),"命中","未命中")))</f>
        <v/>
      </c>
      <c r="N156" s="32">
        <f>IFERROR(VLOOKUP(VLOOKUP($B156-1,开奖记录!$A:$L,11,FALSE),八肖参数!$A:$B,2,FALSE),"")</f>
        <v/>
      </c>
      <c r="O156" s="32">
        <f>IF(N156="","",IF(I156="","待开奖",IF(ISNUMBER(SEARCH(I156,N156)),"命中","未命中")))</f>
        <v/>
      </c>
    </row>
    <row r="157" ht="23" customHeight="1" s="21">
      <c r="A157" s="32" t="n">
        <v>156</v>
      </c>
      <c r="B157" s="32" t="n">
        <v>2026156</v>
      </c>
      <c r="C157" s="33" t="inlineStr">
        <is>
          <t>马 01</t>
        </is>
      </c>
      <c r="D157" s="34" t="n"/>
      <c r="E157" s="34" t="n">
        <v>120</v>
      </c>
      <c r="F157" s="34">
        <f>IF(COUNTA(D157:E157)=0,"",N(D157)-N(E157))</f>
        <v/>
      </c>
      <c r="G157" s="32">
        <f>IFERROR(VLOOKUP($B157,'开奖记录'!$A:$K,2,FALSE),"")</f>
        <v/>
      </c>
      <c r="H157" s="32">
        <f>IFERROR(VLOOKUP($B157,'开奖记录'!$A:$K,9,FALSE),"")</f>
        <v/>
      </c>
      <c r="I157" s="32">
        <f>IFERROR(VLOOKUP($B157,'开奖记录'!$A:$K,11,FALSE),"")</f>
        <v/>
      </c>
      <c r="J157" s="32">
        <f>IF($B157="","",IF(ISNUMBER($D157),"命中",IF(ISNUMBER($E157),"未命中","")))</f>
        <v/>
      </c>
      <c r="K157" s="35" t="inlineStr"/>
      <c r="L157" s="32">
        <f>IFERROR(TEXT(VLOOKUP($B157-1,开奖记录!$A:$L,3,FALSE),"00")&amp;"+5="&amp;VLOOKUP(MOD(VLOOKUP($B157-1,开奖记录!$A:$L,3,FALSE)+4,49)+1,规律参数!$A:$C,3,FALSE),"")</f>
        <v/>
      </c>
      <c r="M157" s="32">
        <f>IF(L157="","",IF(I157="","待开奖",IF(ISNUMBER(SEARCH(I157,L157)),"命中","未命中")))</f>
        <v/>
      </c>
      <c r="N157" s="32">
        <f>IFERROR(VLOOKUP(VLOOKUP($B157-1,开奖记录!$A:$L,11,FALSE),八肖参数!$A:$B,2,FALSE),"")</f>
        <v/>
      </c>
      <c r="O157" s="32">
        <f>IF(N157="","",IF(I157="","待开奖",IF(ISNUMBER(SEARCH(I157,N157)),"命中","未命中")))</f>
        <v/>
      </c>
    </row>
    <row r="158" ht="23" customHeight="1" s="21">
      <c r="A158" s="32" t="n">
        <v>157</v>
      </c>
      <c r="B158" s="32" t="n">
        <v>2026157</v>
      </c>
      <c r="C158" s="33" t="inlineStr">
        <is>
          <t>兔40</t>
        </is>
      </c>
      <c r="D158" s="34" t="n">
        <v>365</v>
      </c>
      <c r="E158" s="34" t="n"/>
      <c r="F158" s="34">
        <f>IF(COUNTA(D158:E158)=0,"",N(D158)-N(E158))</f>
        <v/>
      </c>
      <c r="G158" s="32">
        <f>IFERROR(VLOOKUP($B158,'开奖记录'!$A:$K,2,FALSE),"")</f>
        <v/>
      </c>
      <c r="H158" s="32">
        <f>IFERROR(VLOOKUP($B158,'开奖记录'!$A:$K,9,FALSE),"")</f>
        <v/>
      </c>
      <c r="I158" s="32">
        <f>IFERROR(VLOOKUP($B158,'开奖记录'!$A:$K,11,FALSE),"")</f>
        <v/>
      </c>
      <c r="J158" s="32">
        <f>IF($B158="","",IF(ISNUMBER($D158),"命中",IF(ISNUMBER($E158),"未命中","")))</f>
        <v/>
      </c>
      <c r="K158" s="35" t="inlineStr"/>
      <c r="L158" s="32">
        <f>IFERROR(TEXT(VLOOKUP($B158-1,开奖记录!$A:$L,3,FALSE),"00")&amp;"+5="&amp;VLOOKUP(MOD(VLOOKUP($B158-1,开奖记录!$A:$L,3,FALSE)+4,49)+1,规律参数!$A:$C,3,FALSE),"")</f>
        <v/>
      </c>
      <c r="M158" s="32">
        <f>IF(L158="","",IF(I158="","待开奖",IF(ISNUMBER(SEARCH(I158,L158)),"命中","未命中")))</f>
        <v/>
      </c>
      <c r="N158" s="32">
        <f>IFERROR(VLOOKUP(VLOOKUP($B158-1,开奖记录!$A:$L,11,FALSE),八肖参数!$A:$B,2,FALSE),"")</f>
        <v/>
      </c>
      <c r="O158" s="32">
        <f>IF(N158="","",IF(I158="","待开奖",IF(ISNUMBER(SEARCH(I158,N158)),"命中","未命中")))</f>
        <v/>
      </c>
    </row>
    <row r="159" ht="23" customHeight="1" s="21">
      <c r="A159" s="32" t="n">
        <v>158</v>
      </c>
      <c r="B159" s="32" t="n">
        <v>2026158</v>
      </c>
      <c r="C159" s="33" t="inlineStr">
        <is>
          <t>兔16</t>
        </is>
      </c>
      <c r="D159" s="34" t="n"/>
      <c r="E159" s="34" t="n">
        <v>110</v>
      </c>
      <c r="F159" s="34">
        <f>IF(COUNTA(D159:E159)=0,"",N(D159)-N(E159))</f>
        <v/>
      </c>
      <c r="G159" s="32">
        <f>IFERROR(VLOOKUP($B159,'开奖记录'!$A:$K,2,FALSE),"")</f>
        <v/>
      </c>
      <c r="H159" s="32">
        <f>IFERROR(VLOOKUP($B159,'开奖记录'!$A:$K,9,FALSE),"")</f>
        <v/>
      </c>
      <c r="I159" s="32">
        <f>IFERROR(VLOOKUP($B159,'开奖记录'!$A:$K,11,FALSE),"")</f>
        <v/>
      </c>
      <c r="J159" s="32">
        <f>IF($B159="","",IF(ISNUMBER($D159),"命中",IF(ISNUMBER($E159),"未命中","")))</f>
        <v/>
      </c>
      <c r="K159" s="35" t="inlineStr"/>
      <c r="L159" s="32">
        <f>IFERROR(TEXT(VLOOKUP($B159-1,开奖记录!$A:$L,3,FALSE),"00")&amp;"+5="&amp;VLOOKUP(MOD(VLOOKUP($B159-1,开奖记录!$A:$L,3,FALSE)+4,49)+1,规律参数!$A:$C,3,FALSE),"")</f>
        <v/>
      </c>
      <c r="M159" s="32">
        <f>IF(L159="","",IF(I159="","待开奖",IF(ISNUMBER(SEARCH(I159,L159)),"命中","未命中")))</f>
        <v/>
      </c>
      <c r="N159" s="32">
        <f>IFERROR(VLOOKUP(VLOOKUP($B159-1,开奖记录!$A:$L,11,FALSE),八肖参数!$A:$B,2,FALSE),"")</f>
        <v/>
      </c>
      <c r="O159" s="32">
        <f>IF(N159="","",IF(I159="","待开奖",IF(ISNUMBER(SEARCH(I159,N159)),"命中","未命中")))</f>
        <v/>
      </c>
    </row>
    <row r="160" ht="23" customHeight="1" s="21">
      <c r="A160" s="32" t="n">
        <v>159</v>
      </c>
      <c r="B160" s="32" t="n">
        <v>2026159</v>
      </c>
      <c r="C160" s="33" t="inlineStr">
        <is>
          <t>龙39</t>
        </is>
      </c>
      <c r="D160" s="34" t="n">
        <v>115</v>
      </c>
      <c r="E160" s="34" t="n"/>
      <c r="F160" s="34">
        <f>IF(COUNTA(D160:E160)=0,"",N(D160)-N(E160))</f>
        <v/>
      </c>
      <c r="G160" s="32">
        <f>IFERROR(VLOOKUP($B160,'开奖记录'!$A:$K,2,FALSE),"")</f>
        <v/>
      </c>
      <c r="H160" s="32">
        <f>IFERROR(VLOOKUP($B160,'开奖记录'!$A:$K,9,FALSE),"")</f>
        <v/>
      </c>
      <c r="I160" s="32">
        <f>IFERROR(VLOOKUP($B160,'开奖记录'!$A:$K,11,FALSE),"")</f>
        <v/>
      </c>
      <c r="J160" s="32">
        <f>IF($B160="","",IF(ISNUMBER($D160),"命中",IF(ISNUMBER($E160),"未命中","")))</f>
        <v/>
      </c>
      <c r="K160" s="35" t="inlineStr"/>
      <c r="L160" s="32">
        <f>IFERROR(TEXT(VLOOKUP($B160-1,开奖记录!$A:$L,3,FALSE),"00")&amp;"+5="&amp;VLOOKUP(MOD(VLOOKUP($B160-1,开奖记录!$A:$L,3,FALSE)+4,49)+1,规律参数!$A:$C,3,FALSE),"")</f>
        <v/>
      </c>
      <c r="M160" s="32">
        <f>IF(L160="","",IF(I160="","待开奖",IF(ISNUMBER(SEARCH(I160,L160)),"命中","未命中")))</f>
        <v/>
      </c>
      <c r="N160" s="32">
        <f>IFERROR(VLOOKUP(VLOOKUP($B160-1,开奖记录!$A:$L,11,FALSE),八肖参数!$A:$B,2,FALSE),"")</f>
        <v/>
      </c>
      <c r="O160" s="32">
        <f>IF(N160="","",IF(I160="","待开奖",IF(ISNUMBER(SEARCH(I160,N160)),"命中","未命中")))</f>
        <v/>
      </c>
    </row>
    <row r="161" ht="23" customHeight="1" s="21">
      <c r="A161" s="32" t="n">
        <v>160</v>
      </c>
      <c r="B161" s="32" t="n">
        <v>2026160</v>
      </c>
      <c r="C161" s="33" t="inlineStr">
        <is>
          <t>蛇02</t>
        </is>
      </c>
      <c r="D161" s="34" t="n"/>
      <c r="E161" s="34" t="n">
        <v>80</v>
      </c>
      <c r="F161" s="34">
        <f>IF(COUNTA(D161:E161)=0,"",N(D161)-N(E161))</f>
        <v/>
      </c>
      <c r="G161" s="32">
        <f>IFERROR(VLOOKUP($B161,'开奖记录'!$A:$K,2,FALSE),"")</f>
        <v/>
      </c>
      <c r="H161" s="32">
        <f>IFERROR(VLOOKUP($B161,'开奖记录'!$A:$K,9,FALSE),"")</f>
        <v/>
      </c>
      <c r="I161" s="32">
        <f>IFERROR(VLOOKUP($B161,'开奖记录'!$A:$K,11,FALSE),"")</f>
        <v/>
      </c>
      <c r="J161" s="32">
        <f>IF($B161="","",IF(ISNUMBER($D161),"命中",IF(ISNUMBER($E161),"未命中","")))</f>
        <v/>
      </c>
      <c r="K161" s="35" t="inlineStr"/>
      <c r="L161" s="32">
        <f>IFERROR(TEXT(VLOOKUP($B161-1,开奖记录!$A:$L,3,FALSE),"00")&amp;"+5="&amp;VLOOKUP(MOD(VLOOKUP($B161-1,开奖记录!$A:$L,3,FALSE)+4,49)+1,规律参数!$A:$C,3,FALSE),"")</f>
        <v/>
      </c>
      <c r="M161" s="32">
        <f>IF(L161="","",IF(I161="","待开奖",IF(ISNUMBER(SEARCH(I161,L161)),"命中","未命中")))</f>
        <v/>
      </c>
      <c r="N161" s="32">
        <f>IFERROR(VLOOKUP(VLOOKUP($B161-1,开奖记录!$A:$L,11,FALSE),八肖参数!$A:$B,2,FALSE),"")</f>
        <v/>
      </c>
      <c r="O161" s="32">
        <f>IF(N161="","",IF(I161="","待开奖",IF(ISNUMBER(SEARCH(I161,N161)),"命中","未命中")))</f>
        <v/>
      </c>
    </row>
    <row r="162" ht="23" customHeight="1" s="21">
      <c r="A162" s="32" t="n">
        <v>161</v>
      </c>
      <c r="B162" s="32" t="n">
        <v>2026161</v>
      </c>
      <c r="C162" s="33" t="inlineStr">
        <is>
          <t>猪08</t>
        </is>
      </c>
      <c r="D162" s="34" t="n"/>
      <c r="E162" s="34" t="n"/>
      <c r="F162" s="34">
        <f>IF(COUNTA(D162:E162)=0,"",N(D162)-N(E162))</f>
        <v/>
      </c>
      <c r="G162" s="32">
        <f>IFERROR(VLOOKUP($B162,'开奖记录'!$A:$K,2,FALSE),"")</f>
        <v/>
      </c>
      <c r="H162" s="32">
        <f>IFERROR(VLOOKUP($B162,'开奖记录'!$A:$K,9,FALSE),"")</f>
        <v/>
      </c>
      <c r="I162" s="32">
        <f>IFERROR(VLOOKUP($B162,'开奖记录'!$A:$K,11,FALSE),"")</f>
        <v/>
      </c>
      <c r="J162" s="32">
        <f>IF($B162="","",IF(ISNUMBER($D162),"命中",IF(ISNUMBER($E162),"未命中","")))</f>
        <v/>
      </c>
      <c r="K162" s="35" t="inlineStr"/>
      <c r="L162" s="32">
        <f>IFERROR(TEXT(VLOOKUP($B162-1,开奖记录!$A:$L,3,FALSE),"00")&amp;"+5="&amp;VLOOKUP(MOD(VLOOKUP($B162-1,开奖记录!$A:$L,3,FALSE)+4,49)+1,规律参数!$A:$C,3,FALSE),"")</f>
        <v/>
      </c>
      <c r="M162" s="32">
        <f>IF(L162="","",IF(I162="","待开奖",IF(ISNUMBER(SEARCH(I162,L162)),"命中","未命中")))</f>
        <v/>
      </c>
      <c r="N162" s="32">
        <f>IFERROR(VLOOKUP(VLOOKUP($B162-1,开奖记录!$A:$L,11,FALSE),八肖参数!$A:$B,2,FALSE),"")</f>
        <v/>
      </c>
      <c r="O162" s="32">
        <f>IF(N162="","",IF(I162="","待开奖",IF(ISNUMBER(SEARCH(I162,N162)),"命中","未命中")))</f>
        <v/>
      </c>
    </row>
    <row r="163" ht="23" customHeight="1" s="21">
      <c r="A163" s="32" t="n">
        <v>162</v>
      </c>
      <c r="B163" s="32" t="n">
        <v>2026162</v>
      </c>
      <c r="C163" s="33" t="inlineStr">
        <is>
          <t>猪 32</t>
        </is>
      </c>
      <c r="D163" s="34" t="n"/>
      <c r="E163" s="34" t="n">
        <v>140</v>
      </c>
      <c r="F163" s="34">
        <f>IF(COUNTA(D163:E163)=0,"",N(D163)-N(E163))</f>
        <v/>
      </c>
      <c r="G163" s="32">
        <f>IFERROR(VLOOKUP($B163,'开奖记录'!$A:$K,2,FALSE),"")</f>
        <v/>
      </c>
      <c r="H163" s="32">
        <f>IFERROR(VLOOKUP($B163,'开奖记录'!$A:$K,9,FALSE),"")</f>
        <v/>
      </c>
      <c r="I163" s="32">
        <f>IFERROR(VLOOKUP($B163,'开奖记录'!$A:$K,11,FALSE),"")</f>
        <v/>
      </c>
      <c r="J163" s="32">
        <f>IF($B163="","",IF(ISNUMBER($D163),"命中",IF(ISNUMBER($E163),"未命中","")))</f>
        <v/>
      </c>
      <c r="K163" s="35" t="inlineStr"/>
      <c r="L163" s="32">
        <f>IFERROR(TEXT(VLOOKUP($B163-1,开奖记录!$A:$L,3,FALSE),"00")&amp;"+5="&amp;VLOOKUP(MOD(VLOOKUP($B163-1,开奖记录!$A:$L,3,FALSE)+4,49)+1,规律参数!$A:$C,3,FALSE),"")</f>
        <v/>
      </c>
      <c r="M163" s="32">
        <f>IF(L163="","",IF(I163="","待开奖",IF(ISNUMBER(SEARCH(I163,L163)),"命中","未命中")))</f>
        <v/>
      </c>
      <c r="N163" s="32">
        <f>IFERROR(VLOOKUP(VLOOKUP($B163-1,开奖记录!$A:$L,11,FALSE),八肖参数!$A:$B,2,FALSE),"")</f>
        <v/>
      </c>
      <c r="O163" s="32">
        <f>IF(N163="","",IF(I163="","待开奖",IF(ISNUMBER(SEARCH(I163,N163)),"命中","未命中")))</f>
        <v/>
      </c>
    </row>
    <row r="164" ht="23" customHeight="1" s="21">
      <c r="A164" s="32" t="n">
        <v>163</v>
      </c>
      <c r="B164" s="32" t="n">
        <v>2026163</v>
      </c>
      <c r="C164" s="33" t="inlineStr">
        <is>
          <t xml:space="preserve">马 37 </t>
        </is>
      </c>
      <c r="D164" s="34" t="n">
        <v>340</v>
      </c>
      <c r="E164" s="34" t="n"/>
      <c r="F164" s="34">
        <f>IF(COUNTA(D164:E164)=0,"",N(D164)-N(E164))</f>
        <v/>
      </c>
      <c r="G164" s="32">
        <f>IFERROR(VLOOKUP($B164,'开奖记录'!$A:$K,2,FALSE),"")</f>
        <v/>
      </c>
      <c r="H164" s="32">
        <f>IFERROR(VLOOKUP($B164,'开奖记录'!$A:$K,9,FALSE),"")</f>
        <v/>
      </c>
      <c r="I164" s="32">
        <f>IFERROR(VLOOKUP($B164,'开奖记录'!$A:$K,11,FALSE),"")</f>
        <v/>
      </c>
      <c r="J164" s="32">
        <f>IF($B164="","",IF(ISNUMBER($D164),"命中",IF(ISNUMBER($E164),"未命中","")))</f>
        <v/>
      </c>
      <c r="K164" s="35" t="inlineStr"/>
      <c r="L164" s="32">
        <f>IFERROR(TEXT(VLOOKUP($B164-1,开奖记录!$A:$L,3,FALSE),"00")&amp;"+5="&amp;VLOOKUP(MOD(VLOOKUP($B164-1,开奖记录!$A:$L,3,FALSE)+4,49)+1,规律参数!$A:$C,3,FALSE),"")</f>
        <v/>
      </c>
      <c r="M164" s="32">
        <f>IF(L164="","",IF(I164="","待开奖",IF(ISNUMBER(SEARCH(I164,L164)),"命中","未命中")))</f>
        <v/>
      </c>
      <c r="N164" s="32">
        <f>IFERROR(VLOOKUP(VLOOKUP($B164-1,开奖记录!$A:$L,11,FALSE),八肖参数!$A:$B,2,FALSE),"")</f>
        <v/>
      </c>
      <c r="O164" s="32">
        <f>IF(N164="","",IF(I164="","待开奖",IF(ISNUMBER(SEARCH(I164,N164)),"命中","未命中")))</f>
        <v/>
      </c>
    </row>
    <row r="165" ht="23" customHeight="1" s="21">
      <c r="A165" s="32" t="n">
        <v>164</v>
      </c>
      <c r="B165" s="32" t="n">
        <v>2026164</v>
      </c>
      <c r="C165" s="33" t="inlineStr">
        <is>
          <t>狗21</t>
        </is>
      </c>
      <c r="D165" s="34" t="n">
        <v>370</v>
      </c>
      <c r="E165" s="34" t="n"/>
      <c r="F165" s="34">
        <f>IF(COUNTA(D165:E165)=0,"",N(D165)-N(E165))</f>
        <v/>
      </c>
      <c r="G165" s="32">
        <f>IFERROR(VLOOKUP($B165,'开奖记录'!$A:$K,2,FALSE),"")</f>
        <v/>
      </c>
      <c r="H165" s="32">
        <f>IFERROR(VLOOKUP($B165,'开奖记录'!$A:$K,9,FALSE),"")</f>
        <v/>
      </c>
      <c r="I165" s="32">
        <f>IFERROR(VLOOKUP($B165,'开奖记录'!$A:$K,11,FALSE),"")</f>
        <v/>
      </c>
      <c r="J165" s="32">
        <f>IF($B165="","",IF(ISNUMBER($D165),"命中",IF(ISNUMBER($E165),"未命中","")))</f>
        <v/>
      </c>
      <c r="K165" s="35" t="inlineStr"/>
      <c r="L165" s="32">
        <f>IFERROR(TEXT(VLOOKUP($B165-1,开奖记录!$A:$L,3,FALSE),"00")&amp;"+5="&amp;VLOOKUP(MOD(VLOOKUP($B165-1,开奖记录!$A:$L,3,FALSE)+4,49)+1,规律参数!$A:$C,3,FALSE),"")</f>
        <v/>
      </c>
      <c r="M165" s="32">
        <f>IF(L165="","",IF(I165="","待开奖",IF(ISNUMBER(SEARCH(I165,L165)),"命中","未命中")))</f>
        <v/>
      </c>
      <c r="N165" s="32">
        <f>IFERROR(VLOOKUP(VLOOKUP($B165-1,开奖记录!$A:$L,11,FALSE),八肖参数!$A:$B,2,FALSE),"")</f>
        <v/>
      </c>
      <c r="O165" s="32">
        <f>IF(N165="","",IF(I165="","待开奖",IF(ISNUMBER(SEARCH(I165,N165)),"命中","未命中")))</f>
        <v/>
      </c>
    </row>
    <row r="166" ht="23" customHeight="1" s="21">
      <c r="A166" s="32" t="n">
        <v>165</v>
      </c>
      <c r="B166" s="32" t="n">
        <v>2026165</v>
      </c>
      <c r="C166" s="33" t="inlineStr">
        <is>
          <t>龙03</t>
        </is>
      </c>
      <c r="D166" s="34" t="n"/>
      <c r="E166" s="34" t="n">
        <v>120</v>
      </c>
      <c r="F166" s="34">
        <f>IF(COUNTA(D166:E166)=0,"",N(D166)-N(E166))</f>
        <v/>
      </c>
      <c r="G166" s="32">
        <f>IFERROR(VLOOKUP($B166,'开奖记录'!$A:$K,2,FALSE),"")</f>
        <v/>
      </c>
      <c r="H166" s="32">
        <f>IFERROR(VLOOKUP($B166,'开奖记录'!$A:$K,9,FALSE),"")</f>
        <v/>
      </c>
      <c r="I166" s="32">
        <f>IFERROR(VLOOKUP($B166,'开奖记录'!$A:$K,11,FALSE),"")</f>
        <v/>
      </c>
      <c r="J166" s="32">
        <f>IF($B166="","",IF(ISNUMBER($D166),"命中",IF(ISNUMBER($E166),"未命中","")))</f>
        <v/>
      </c>
      <c r="K166" s="35" t="inlineStr"/>
      <c r="L166" s="32">
        <f>IFERROR(TEXT(VLOOKUP($B166-1,开奖记录!$A:$L,3,FALSE),"00")&amp;"+5="&amp;VLOOKUP(MOD(VLOOKUP($B166-1,开奖记录!$A:$L,3,FALSE)+4,49)+1,规律参数!$A:$C,3,FALSE),"")</f>
        <v/>
      </c>
      <c r="M166" s="32">
        <f>IF(L166="","",IF(I166="","待开奖",IF(ISNUMBER(SEARCH(I166,L166)),"命中","未命中")))</f>
        <v/>
      </c>
      <c r="N166" s="32">
        <f>IFERROR(VLOOKUP(VLOOKUP($B166-1,开奖记录!$A:$L,11,FALSE),八肖参数!$A:$B,2,FALSE),"")</f>
        <v/>
      </c>
      <c r="O166" s="32">
        <f>IF(N166="","",IF(I166="","待开奖",IF(ISNUMBER(SEARCH(I166,N166)),"命中","未命中")))</f>
        <v/>
      </c>
    </row>
    <row r="167" ht="23" customHeight="1" s="21">
      <c r="A167" s="32" t="n">
        <v>166</v>
      </c>
      <c r="B167" s="32" t="n">
        <v>2026166</v>
      </c>
      <c r="C167" s="33" t="inlineStr">
        <is>
          <t>牛06</t>
        </is>
      </c>
      <c r="D167" s="34" t="n">
        <v>365</v>
      </c>
      <c r="E167" s="34" t="n"/>
      <c r="F167" s="34">
        <f>IF(COUNTA(D167:E167)=0,"",N(D167)-N(E167))</f>
        <v/>
      </c>
      <c r="G167" s="32">
        <f>IFERROR(VLOOKUP($B167,'开奖记录'!$A:$K,2,FALSE),"")</f>
        <v/>
      </c>
      <c r="H167" s="32">
        <f>IFERROR(VLOOKUP($B167,'开奖记录'!$A:$K,9,FALSE),"")</f>
        <v/>
      </c>
      <c r="I167" s="32">
        <f>IFERROR(VLOOKUP($B167,'开奖记录'!$A:$K,11,FALSE),"")</f>
        <v/>
      </c>
      <c r="J167" s="32">
        <f>IF($B167="","",IF(ISNUMBER($D167),"命中",IF(ISNUMBER($E167),"未命中","")))</f>
        <v/>
      </c>
      <c r="K167" s="35" t="inlineStr"/>
      <c r="L167" s="32">
        <f>IFERROR(TEXT(VLOOKUP($B167-1,开奖记录!$A:$L,3,FALSE),"00")&amp;"+5="&amp;VLOOKUP(MOD(VLOOKUP($B167-1,开奖记录!$A:$L,3,FALSE)+4,49)+1,规律参数!$A:$C,3,FALSE),"")</f>
        <v/>
      </c>
      <c r="M167" s="32">
        <f>IF(L167="","",IF(I167="","待开奖",IF(ISNUMBER(SEARCH(I167,L167)),"命中","未命中")))</f>
        <v/>
      </c>
      <c r="N167" s="32">
        <f>IFERROR(VLOOKUP(VLOOKUP($B167-1,开奖记录!$A:$L,11,FALSE),八肖参数!$A:$B,2,FALSE),"")</f>
        <v/>
      </c>
      <c r="O167" s="32">
        <f>IF(N167="","",IF(I167="","待开奖",IF(ISNUMBER(SEARCH(I167,N167)),"命中","未命中")))</f>
        <v/>
      </c>
    </row>
    <row r="168" ht="23" customHeight="1" s="21">
      <c r="A168" s="32" t="n">
        <v>167</v>
      </c>
      <c r="B168" s="32" t="n">
        <v>2026167</v>
      </c>
      <c r="C168" s="33" t="inlineStr">
        <is>
          <t>鼠19</t>
        </is>
      </c>
      <c r="D168" s="34" t="n"/>
      <c r="E168" s="34" t="n">
        <v>155</v>
      </c>
      <c r="F168" s="34">
        <f>IF(COUNTA(D168:E168)=0,"",N(D168)-N(E168))</f>
        <v/>
      </c>
      <c r="G168" s="32">
        <f>IFERROR(VLOOKUP($B168,'开奖记录'!$A:$K,2,FALSE),"")</f>
        <v/>
      </c>
      <c r="H168" s="32">
        <f>IFERROR(VLOOKUP($B168,'开奖记录'!$A:$K,9,FALSE),"")</f>
        <v/>
      </c>
      <c r="I168" s="32">
        <f>IFERROR(VLOOKUP($B168,'开奖记录'!$A:$K,11,FALSE),"")</f>
        <v/>
      </c>
      <c r="J168" s="32">
        <f>IF($B168="","",IF(ISNUMBER($D168),"命中",IF(ISNUMBER($E168),"未命中","")))</f>
        <v/>
      </c>
      <c r="K168" s="35" t="inlineStr"/>
      <c r="L168" s="32">
        <f>IFERROR(TEXT(VLOOKUP($B168-1,开奖记录!$A:$L,3,FALSE),"00")&amp;"+5="&amp;VLOOKUP(MOD(VLOOKUP($B168-1,开奖记录!$A:$L,3,FALSE)+4,49)+1,规律参数!$A:$C,3,FALSE),"")</f>
        <v/>
      </c>
      <c r="M168" s="32">
        <f>IF(L168="","",IF(I168="","待开奖",IF(ISNUMBER(SEARCH(I168,L168)),"命中","未命中")))</f>
        <v/>
      </c>
      <c r="N168" s="32">
        <f>IFERROR(VLOOKUP(VLOOKUP($B168-1,开奖记录!$A:$L,11,FALSE),八肖参数!$A:$B,2,FALSE),"")</f>
        <v/>
      </c>
      <c r="O168" s="32">
        <f>IF(N168="","",IF(I168="","待开奖",IF(ISNUMBER(SEARCH(I168,N168)),"命中","未命中")))</f>
        <v/>
      </c>
    </row>
    <row r="169" ht="23" customHeight="1" s="21">
      <c r="A169" s="32" t="n">
        <v>168</v>
      </c>
      <c r="B169" s="32" t="n">
        <v>2026168</v>
      </c>
      <c r="C169" s="33" t="inlineStr">
        <is>
          <t>龙 15</t>
        </is>
      </c>
      <c r="D169" s="34" t="n"/>
      <c r="E169" s="34" t="n">
        <v>145</v>
      </c>
      <c r="F169" s="34">
        <f>IF(COUNTA(D169:E169)=0,"",N(D169)-N(E169))</f>
        <v/>
      </c>
      <c r="G169" s="32">
        <f>IFERROR(VLOOKUP($B169,'开奖记录'!$A:$K,2,FALSE),"")</f>
        <v/>
      </c>
      <c r="H169" s="32">
        <f>IFERROR(VLOOKUP($B169,'开奖记录'!$A:$K,9,FALSE),"")</f>
        <v/>
      </c>
      <c r="I169" s="32">
        <f>IFERROR(VLOOKUP($B169,'开奖记录'!$A:$K,11,FALSE),"")</f>
        <v/>
      </c>
      <c r="J169" s="32">
        <f>IF($B169="","",IF(ISNUMBER($D169),"命中",IF(ISNUMBER($E169),"未命中","")))</f>
        <v/>
      </c>
      <c r="K169" s="35" t="inlineStr"/>
      <c r="L169" s="32">
        <f>IFERROR(TEXT(VLOOKUP($B169-1,开奖记录!$A:$L,3,FALSE),"00")&amp;"+5="&amp;VLOOKUP(MOD(VLOOKUP($B169-1,开奖记录!$A:$L,3,FALSE)+4,49)+1,规律参数!$A:$C,3,FALSE),"")</f>
        <v/>
      </c>
      <c r="M169" s="32">
        <f>IF(L169="","",IF(I169="","待开奖",IF(ISNUMBER(SEARCH(I169,L169)),"命中","未命中")))</f>
        <v/>
      </c>
      <c r="N169" s="32">
        <f>IFERROR(VLOOKUP(VLOOKUP($B169-1,开奖记录!$A:$L,11,FALSE),八肖参数!$A:$B,2,FALSE),"")</f>
        <v/>
      </c>
      <c r="O169" s="32">
        <f>IF(N169="","",IF(I169="","待开奖",IF(ISNUMBER(SEARCH(I169,N169)),"命中","未命中")))</f>
        <v/>
      </c>
    </row>
    <row r="170" ht="23" customHeight="1" s="21">
      <c r="A170" s="32" t="n">
        <v>169</v>
      </c>
      <c r="B170" s="32" t="n">
        <v>2026169</v>
      </c>
      <c r="C170" s="33" t="inlineStr">
        <is>
          <t xml:space="preserve">羊 11 </t>
        </is>
      </c>
      <c r="D170" s="34" t="n"/>
      <c r="E170" s="34" t="n">
        <v>90</v>
      </c>
      <c r="F170" s="34">
        <f>IF(COUNTA(D170:E170)=0,"",N(D170)-N(E170))</f>
        <v/>
      </c>
      <c r="G170" s="32">
        <f>IFERROR(VLOOKUP($B170,'开奖记录'!$A:$K,2,FALSE),"")</f>
        <v/>
      </c>
      <c r="H170" s="32">
        <f>IFERROR(VLOOKUP($B170,'开奖记录'!$A:$K,9,FALSE),"")</f>
        <v/>
      </c>
      <c r="I170" s="32">
        <f>IFERROR(VLOOKUP($B170,'开奖记录'!$A:$K,11,FALSE),"")</f>
        <v/>
      </c>
      <c r="J170" s="32">
        <f>IF($B170="","",IF(ISNUMBER($D170),"命中",IF(ISNUMBER($E170),"未命中","")))</f>
        <v/>
      </c>
      <c r="K170" s="35" t="inlineStr"/>
      <c r="L170" s="32">
        <f>IFERROR(TEXT(VLOOKUP($B170-1,开奖记录!$A:$L,3,FALSE),"00")&amp;"+5="&amp;VLOOKUP(MOD(VLOOKUP($B170-1,开奖记录!$A:$L,3,FALSE)+4,49)+1,规律参数!$A:$C,3,FALSE),"")</f>
        <v/>
      </c>
      <c r="M170" s="32">
        <f>IF(L170="","",IF(I170="","待开奖",IF(ISNUMBER(SEARCH(I170,L170)),"命中","未命中")))</f>
        <v/>
      </c>
      <c r="N170" s="32">
        <f>IFERROR(VLOOKUP(VLOOKUP($B170-1,开奖记录!$A:$L,11,FALSE),八肖参数!$A:$B,2,FALSE),"")</f>
        <v/>
      </c>
      <c r="O170" s="32">
        <f>IF(N170="","",IF(I170="","待开奖",IF(ISNUMBER(SEARCH(I170,N170)),"命中","未命中")))</f>
        <v/>
      </c>
    </row>
    <row r="171" ht="23" customHeight="1" s="21">
      <c r="A171" s="32" t="n">
        <v>170</v>
      </c>
      <c r="B171" s="32" t="n">
        <v>2026170</v>
      </c>
      <c r="C171" s="33" t="inlineStr">
        <is>
          <t>龙03</t>
        </is>
      </c>
      <c r="D171" s="34" t="n">
        <v>350</v>
      </c>
      <c r="E171" s="34" t="n"/>
      <c r="F171" s="34">
        <f>IF(COUNTA(D171:E171)=0,"",N(D171)-N(E171))</f>
        <v/>
      </c>
      <c r="G171" s="32">
        <f>IFERROR(VLOOKUP($B171,'开奖记录'!$A:$K,2,FALSE),"")</f>
        <v/>
      </c>
      <c r="H171" s="32">
        <f>IFERROR(VLOOKUP($B171,'开奖记录'!$A:$K,9,FALSE),"")</f>
        <v/>
      </c>
      <c r="I171" s="32">
        <f>IFERROR(VLOOKUP($B171,'开奖记录'!$A:$K,11,FALSE),"")</f>
        <v/>
      </c>
      <c r="J171" s="32">
        <f>IF($B171="","",IF(ISNUMBER($D171),"命中",IF(ISNUMBER($E171),"未命中","")))</f>
        <v/>
      </c>
      <c r="K171" s="35" t="inlineStr"/>
      <c r="L171" s="32">
        <f>IFERROR(TEXT(VLOOKUP($B171-1,开奖记录!$A:$L,3,FALSE),"00")&amp;"+5="&amp;VLOOKUP(MOD(VLOOKUP($B171-1,开奖记录!$A:$L,3,FALSE)+4,49)+1,规律参数!$A:$C,3,FALSE),"")</f>
        <v/>
      </c>
      <c r="M171" s="32">
        <f>IF(L171="","",IF(I171="","待开奖",IF(ISNUMBER(SEARCH(I171,L171)),"命中","未命中")))</f>
        <v/>
      </c>
      <c r="N171" s="32">
        <f>IFERROR(VLOOKUP(VLOOKUP($B171-1,开奖记录!$A:$L,11,FALSE),八肖参数!$A:$B,2,FALSE),"")</f>
        <v/>
      </c>
      <c r="O171" s="32">
        <f>IF(N171="","",IF(I171="","待开奖",IF(ISNUMBER(SEARCH(I171,N171)),"命中","未命中")))</f>
        <v/>
      </c>
    </row>
    <row r="172" ht="23" customHeight="1" s="21">
      <c r="A172" s="32" t="n">
        <v>171</v>
      </c>
      <c r="B172" s="32" t="n">
        <v>2026171</v>
      </c>
      <c r="C172" s="33" t="inlineStr">
        <is>
          <t>兔 27</t>
        </is>
      </c>
      <c r="D172" s="34" t="n">
        <v>295</v>
      </c>
      <c r="E172" s="34" t="n"/>
      <c r="F172" s="34">
        <f>IF(COUNTA(D172:E172)=0,"",N(D172)-N(E172))</f>
        <v/>
      </c>
      <c r="G172" s="32">
        <f>IFERROR(VLOOKUP($B172,'开奖记录'!$A:$K,2,FALSE),"")</f>
        <v/>
      </c>
      <c r="H172" s="32">
        <f>IFERROR(VLOOKUP($B172,'开奖记录'!$A:$K,9,FALSE),"")</f>
        <v/>
      </c>
      <c r="I172" s="32">
        <f>IFERROR(VLOOKUP($B172,'开奖记录'!$A:$K,11,FALSE),"")</f>
        <v/>
      </c>
      <c r="J172" s="32">
        <f>IF($B172="","",IF(ISNUMBER($D172),"命中",IF(ISNUMBER($E172),"未命中","")))</f>
        <v/>
      </c>
      <c r="K172" s="35" t="inlineStr"/>
      <c r="L172" s="32">
        <f>IFERROR(TEXT(VLOOKUP($B172-1,开奖记录!$A:$L,3,FALSE),"00")&amp;"+5="&amp;VLOOKUP(MOD(VLOOKUP($B172-1,开奖记录!$A:$L,3,FALSE)+4,49)+1,规律参数!$A:$C,3,FALSE),"")</f>
        <v/>
      </c>
      <c r="M172" s="32">
        <f>IF(L172="","",IF(I172="","待开奖",IF(ISNUMBER(SEARCH(I172,L172)),"命中","未命中")))</f>
        <v/>
      </c>
      <c r="N172" s="32">
        <f>IFERROR(VLOOKUP(VLOOKUP($B172-1,开奖记录!$A:$L,11,FALSE),八肖参数!$A:$B,2,FALSE),"")</f>
        <v/>
      </c>
      <c r="O172" s="32">
        <f>IF(N172="","",IF(I172="","待开奖",IF(ISNUMBER(SEARCH(I172,N172)),"命中","未命中")))</f>
        <v/>
      </c>
    </row>
    <row r="173" ht="23" customHeight="1" s="21">
      <c r="A173" s="32" t="n">
        <v>172</v>
      </c>
      <c r="B173" s="32" t="n">
        <v>2026172</v>
      </c>
      <c r="C173" s="33" t="inlineStr">
        <is>
          <t>猪44</t>
        </is>
      </c>
      <c r="D173" s="34" t="n"/>
      <c r="E173" s="34" t="n"/>
      <c r="F173" s="34">
        <f>IF(COUNTA(D173:E173)=0,"",N(D173)-N(E173))</f>
        <v/>
      </c>
      <c r="G173" s="32">
        <f>IFERROR(VLOOKUP($B173,'开奖记录'!$A:$K,2,FALSE),"")</f>
        <v/>
      </c>
      <c r="H173" s="32">
        <f>IFERROR(VLOOKUP($B173,'开奖记录'!$A:$K,9,FALSE),"")</f>
        <v/>
      </c>
      <c r="I173" s="32">
        <f>IFERROR(VLOOKUP($B173,'开奖记录'!$A:$K,11,FALSE),"")</f>
        <v/>
      </c>
      <c r="J173" s="32">
        <f>IF($B173="","",IF(ISNUMBER($D173),"命中",IF(ISNUMBER($E173),"未命中","")))</f>
        <v/>
      </c>
      <c r="K173" s="35" t="inlineStr"/>
      <c r="L173" s="32">
        <f>IFERROR(TEXT(VLOOKUP($B173-1,开奖记录!$A:$L,3,FALSE),"00")&amp;"+5="&amp;VLOOKUP(MOD(VLOOKUP($B173-1,开奖记录!$A:$L,3,FALSE)+4,49)+1,规律参数!$A:$C,3,FALSE),"")</f>
        <v/>
      </c>
      <c r="M173" s="32">
        <f>IF(L173="","",IF(I173="","待开奖",IF(ISNUMBER(SEARCH(I173,L173)),"命中","未命中")))</f>
        <v/>
      </c>
      <c r="N173" s="32">
        <f>IFERROR(VLOOKUP(VLOOKUP($B173-1,开奖记录!$A:$L,11,FALSE),八肖参数!$A:$B,2,FALSE),"")</f>
        <v/>
      </c>
      <c r="O173" s="32">
        <f>IF(N173="","",IF(I173="","待开奖",IF(ISNUMBER(SEARCH(I173,N173)),"命中","未命中")))</f>
        <v/>
      </c>
    </row>
    <row r="174" ht="23" customHeight="1" s="21">
      <c r="A174" s="32" t="n">
        <v>173</v>
      </c>
      <c r="B174" s="32" t="n">
        <v>2026173</v>
      </c>
      <c r="C174" s="33" t="inlineStr">
        <is>
          <t>蛇26</t>
        </is>
      </c>
      <c r="D174" s="34" t="n">
        <v>340</v>
      </c>
      <c r="E174" s="34" t="n"/>
      <c r="F174" s="34">
        <f>IF(COUNTA(D174:E174)=0,"",N(D174)-N(E174))</f>
        <v/>
      </c>
      <c r="G174" s="32">
        <f>IFERROR(VLOOKUP($B174,'开奖记录'!$A:$K,2,FALSE),"")</f>
        <v/>
      </c>
      <c r="H174" s="32">
        <f>IFERROR(VLOOKUP($B174,'开奖记录'!$A:$K,9,FALSE),"")</f>
        <v/>
      </c>
      <c r="I174" s="32">
        <f>IFERROR(VLOOKUP($B174,'开奖记录'!$A:$K,11,FALSE),"")</f>
        <v/>
      </c>
      <c r="J174" s="32">
        <f>IF($B174="","",IF(ISNUMBER($D174),"命中",IF(ISNUMBER($E174),"未命中","")))</f>
        <v/>
      </c>
      <c r="K174" s="35" t="inlineStr"/>
      <c r="L174" s="32">
        <f>IFERROR(TEXT(VLOOKUP($B174-1,开奖记录!$A:$L,3,FALSE),"00")&amp;"+5="&amp;VLOOKUP(MOD(VLOOKUP($B174-1,开奖记录!$A:$L,3,FALSE)+4,49)+1,规律参数!$A:$C,3,FALSE),"")</f>
        <v/>
      </c>
      <c r="M174" s="32">
        <f>IF(L174="","",IF(I174="","待开奖",IF(ISNUMBER(SEARCH(I174,L174)),"命中","未命中")))</f>
        <v/>
      </c>
      <c r="N174" s="32">
        <f>IFERROR(VLOOKUP(VLOOKUP($B174-1,开奖记录!$A:$L,11,FALSE),八肖参数!$A:$B,2,FALSE),"")</f>
        <v/>
      </c>
      <c r="O174" s="32">
        <f>IF(N174="","",IF(I174="","待开奖",IF(ISNUMBER(SEARCH(I174,N174)),"命中","未命中")))</f>
        <v/>
      </c>
    </row>
    <row r="175" ht="23" customHeight="1" s="21">
      <c r="A175" s="32" t="n">
        <v>174</v>
      </c>
      <c r="B175" s="32" t="n">
        <v>2026174</v>
      </c>
      <c r="C175" s="33" t="inlineStr">
        <is>
          <t>虎41</t>
        </is>
      </c>
      <c r="D175" s="34" t="n"/>
      <c r="E175" s="34" t="n">
        <v>125</v>
      </c>
      <c r="F175" s="34">
        <f>IF(COUNTA(D175:E175)=0,"",N(D175)-N(E175))</f>
        <v/>
      </c>
      <c r="G175" s="32">
        <f>IFERROR(VLOOKUP($B175,'开奖记录'!$A:$K,2,FALSE),"")</f>
        <v/>
      </c>
      <c r="H175" s="32">
        <f>IFERROR(VLOOKUP($B175,'开奖记录'!$A:$K,9,FALSE),"")</f>
        <v/>
      </c>
      <c r="I175" s="32">
        <f>IFERROR(VLOOKUP($B175,'开奖记录'!$A:$K,11,FALSE),"")</f>
        <v/>
      </c>
      <c r="J175" s="32">
        <f>IF($B175="","",IF(ISNUMBER($D175),"命中",IF(ISNUMBER($E175),"未命中","")))</f>
        <v/>
      </c>
      <c r="K175" s="35" t="inlineStr"/>
      <c r="L175" s="32">
        <f>IFERROR(TEXT(VLOOKUP($B175-1,开奖记录!$A:$L,3,FALSE),"00")&amp;"+5="&amp;VLOOKUP(MOD(VLOOKUP($B175-1,开奖记录!$A:$L,3,FALSE)+4,49)+1,规律参数!$A:$C,3,FALSE),"")</f>
        <v/>
      </c>
      <c r="M175" s="32">
        <f>IF(L175="","",IF(I175="","待开奖",IF(ISNUMBER(SEARCH(I175,L175)),"命中","未命中")))</f>
        <v/>
      </c>
      <c r="N175" s="32">
        <f>IFERROR(VLOOKUP(VLOOKUP($B175-1,开奖记录!$A:$L,11,FALSE),八肖参数!$A:$B,2,FALSE),"")</f>
        <v/>
      </c>
      <c r="O175" s="32">
        <f>IF(N175="","",IF(I175="","待开奖",IF(ISNUMBER(SEARCH(I175,N175)),"命中","未命中")))</f>
        <v/>
      </c>
    </row>
    <row r="176" ht="23" customHeight="1" s="21">
      <c r="A176" s="32" t="n">
        <v>175</v>
      </c>
      <c r="B176" s="32" t="n">
        <v>2026175</v>
      </c>
      <c r="C176" s="33" t="inlineStr">
        <is>
          <t>蛇26</t>
        </is>
      </c>
      <c r="D176" s="34" t="n">
        <v>115</v>
      </c>
      <c r="E176" s="34" t="n"/>
      <c r="F176" s="34">
        <f>IF(COUNTA(D176:E176)=0,"",N(D176)-N(E176))</f>
        <v/>
      </c>
      <c r="G176" s="32">
        <f>IFERROR(VLOOKUP($B176,'开奖记录'!$A:$K,2,FALSE),"")</f>
        <v/>
      </c>
      <c r="H176" s="32">
        <f>IFERROR(VLOOKUP($B176,'开奖记录'!$A:$K,9,FALSE),"")</f>
        <v/>
      </c>
      <c r="I176" s="32">
        <f>IFERROR(VLOOKUP($B176,'开奖记录'!$A:$K,11,FALSE),"")</f>
        <v/>
      </c>
      <c r="J176" s="32">
        <f>IF($B176="","",IF(ISNUMBER($D176),"命中",IF(ISNUMBER($E176),"未命中","")))</f>
        <v/>
      </c>
      <c r="K176" s="35" t="inlineStr"/>
      <c r="L176" s="32">
        <f>IFERROR(TEXT(VLOOKUP($B176-1,开奖记录!$A:$L,3,FALSE),"00")&amp;"+5="&amp;VLOOKUP(MOD(VLOOKUP($B176-1,开奖记录!$A:$L,3,FALSE)+4,49)+1,规律参数!$A:$C,3,FALSE),"")</f>
        <v/>
      </c>
      <c r="M176" s="32">
        <f>IF(L176="","",IF(I176="","待开奖",IF(ISNUMBER(SEARCH(I176,L176)),"命中","未命中")))</f>
        <v/>
      </c>
      <c r="N176" s="32">
        <f>IFERROR(VLOOKUP(VLOOKUP($B176-1,开奖记录!$A:$L,11,FALSE),八肖参数!$A:$B,2,FALSE),"")</f>
        <v/>
      </c>
      <c r="O176" s="32">
        <f>IF(N176="","",IF(I176="","待开奖",IF(ISNUMBER(SEARCH(I176,N176)),"命中","未命中")))</f>
        <v/>
      </c>
    </row>
    <row r="177" ht="23" customHeight="1" s="21">
      <c r="A177" s="32" t="n">
        <v>176</v>
      </c>
      <c r="B177" s="32" t="n">
        <v>2026176</v>
      </c>
      <c r="C177" s="33" t="inlineStr">
        <is>
          <t>鸡 10</t>
        </is>
      </c>
      <c r="D177" s="34" t="n"/>
      <c r="E177" s="34" t="n">
        <v>140</v>
      </c>
      <c r="F177" s="34">
        <f>IF(COUNTA(D177:E177)=0,"",N(D177)-N(E177))</f>
        <v/>
      </c>
      <c r="G177" s="32">
        <f>IFERROR(VLOOKUP($B177,'开奖记录'!$A:$K,2,FALSE),"")</f>
        <v/>
      </c>
      <c r="H177" s="32">
        <f>IFERROR(VLOOKUP($B177,'开奖记录'!$A:$K,9,FALSE),"")</f>
        <v/>
      </c>
      <c r="I177" s="32">
        <f>IFERROR(VLOOKUP($B177,'开奖记录'!$A:$K,11,FALSE),"")</f>
        <v/>
      </c>
      <c r="J177" s="32">
        <f>IF($B177="","",IF(ISNUMBER($D177),"命中",IF(ISNUMBER($E177),"未命中","")))</f>
        <v/>
      </c>
      <c r="K177" s="35" t="inlineStr"/>
      <c r="L177" s="32">
        <f>IFERROR(TEXT(VLOOKUP($B177-1,开奖记录!$A:$L,3,FALSE),"00")&amp;"+5="&amp;VLOOKUP(MOD(VLOOKUP($B177-1,开奖记录!$A:$L,3,FALSE)+4,49)+1,规律参数!$A:$C,3,FALSE),"")</f>
        <v/>
      </c>
      <c r="M177" s="32">
        <f>IF(L177="","",IF(I177="","待开奖",IF(ISNUMBER(SEARCH(I177,L177)),"命中","未命中")))</f>
        <v/>
      </c>
      <c r="N177" s="32">
        <f>IFERROR(VLOOKUP(VLOOKUP($B177-1,开奖记录!$A:$L,11,FALSE),八肖参数!$A:$B,2,FALSE),"")</f>
        <v/>
      </c>
      <c r="O177" s="32">
        <f>IF(N177="","",IF(I177="","待开奖",IF(ISNUMBER(SEARCH(I177,N177)),"命中","未命中")))</f>
        <v/>
      </c>
    </row>
    <row r="178" ht="23" customHeight="1" s="21">
      <c r="A178" s="32" t="n">
        <v>177</v>
      </c>
      <c r="B178" s="32" t="n">
        <v>2026177</v>
      </c>
      <c r="C178" s="33" t="inlineStr">
        <is>
          <t>蛇14</t>
        </is>
      </c>
      <c r="D178" s="34" t="n"/>
      <c r="E178" s="34" t="n">
        <v>120</v>
      </c>
      <c r="F178" s="34">
        <f>IF(COUNTA(D178:E178)=0,"",N(D178)-N(E178))</f>
        <v/>
      </c>
      <c r="G178" s="32">
        <f>IFERROR(VLOOKUP($B178,'开奖记录'!$A:$K,2,FALSE),"")</f>
        <v/>
      </c>
      <c r="H178" s="32">
        <f>IFERROR(VLOOKUP($B178,'开奖记录'!$A:$K,9,FALSE),"")</f>
        <v/>
      </c>
      <c r="I178" s="32">
        <f>IFERROR(VLOOKUP($B178,'开奖记录'!$A:$K,11,FALSE),"")</f>
        <v/>
      </c>
      <c r="J178" s="32">
        <f>IF($B178="","",IF(ISNUMBER($D178),"命中",IF(ISNUMBER($E178),"未命中","")))</f>
        <v/>
      </c>
      <c r="K178" s="35" t="inlineStr"/>
      <c r="L178" s="32">
        <f>IFERROR(TEXT(VLOOKUP($B178-1,开奖记录!$A:$L,3,FALSE),"00")&amp;"+5="&amp;VLOOKUP(MOD(VLOOKUP($B178-1,开奖记录!$A:$L,3,FALSE)+4,49)+1,规律参数!$A:$C,3,FALSE),"")</f>
        <v/>
      </c>
      <c r="M178" s="32">
        <f>IF(L178="","",IF(I178="","待开奖",IF(ISNUMBER(SEARCH(I178,L178)),"命中","未命中")))</f>
        <v/>
      </c>
      <c r="N178" s="32">
        <f>IFERROR(VLOOKUP(VLOOKUP($B178-1,开奖记录!$A:$L,11,FALSE),八肖参数!$A:$B,2,FALSE),"")</f>
        <v/>
      </c>
      <c r="O178" s="32">
        <f>IF(N178="","",IF(I178="","待开奖",IF(ISNUMBER(SEARCH(I178,N178)),"命中","未命中")))</f>
        <v/>
      </c>
    </row>
    <row r="179" ht="23" customHeight="1" s="21">
      <c r="A179" s="32" t="n">
        <v>178</v>
      </c>
      <c r="B179" s="32" t="n">
        <v>2026178</v>
      </c>
      <c r="C179" s="33" t="inlineStr">
        <is>
          <t>牛18</t>
        </is>
      </c>
      <c r="D179" s="34" t="n"/>
      <c r="E179" s="34" t="n">
        <v>140</v>
      </c>
      <c r="F179" s="34">
        <f>IF(COUNTA(D179:E179)=0,"",N(D179)-N(E179))</f>
        <v/>
      </c>
      <c r="G179" s="32">
        <f>IFERROR(VLOOKUP($B179,'开奖记录'!$A:$K,2,FALSE),"")</f>
        <v/>
      </c>
      <c r="H179" s="32">
        <f>IFERROR(VLOOKUP($B179,'开奖记录'!$A:$K,9,FALSE),"")</f>
        <v/>
      </c>
      <c r="I179" s="32">
        <f>IFERROR(VLOOKUP($B179,'开奖记录'!$A:$K,11,FALSE),"")</f>
        <v/>
      </c>
      <c r="J179" s="32">
        <f>IF($B179="","",IF(ISNUMBER($D179),"命中",IF(ISNUMBER($E179),"未命中","")))</f>
        <v/>
      </c>
      <c r="K179" s="35" t="inlineStr"/>
      <c r="L179" s="32">
        <f>IFERROR(TEXT(VLOOKUP($B179-1,开奖记录!$A:$L,3,FALSE),"00")&amp;"+5="&amp;VLOOKUP(MOD(VLOOKUP($B179-1,开奖记录!$A:$L,3,FALSE)+4,49)+1,规律参数!$A:$C,3,FALSE),"")</f>
        <v/>
      </c>
      <c r="M179" s="32">
        <f>IF(L179="","",IF(I179="","待开奖",IF(ISNUMBER(SEARCH(I179,L179)),"命中","未命中")))</f>
        <v/>
      </c>
      <c r="N179" s="32">
        <f>IFERROR(VLOOKUP(VLOOKUP($B179-1,开奖记录!$A:$L,11,FALSE),八肖参数!$A:$B,2,FALSE),"")</f>
        <v/>
      </c>
      <c r="O179" s="32">
        <f>IF(N179="","",IF(I179="","待开奖",IF(ISNUMBER(SEARCH(I179,N179)),"命中","未命中")))</f>
        <v/>
      </c>
    </row>
    <row r="180" ht="23" customHeight="1" s="21">
      <c r="A180" s="32" t="n">
        <v>179</v>
      </c>
      <c r="B180" s="32" t="n">
        <v>2026179</v>
      </c>
      <c r="C180" s="33" t="inlineStr">
        <is>
          <t>龙 15</t>
        </is>
      </c>
      <c r="D180" s="34" t="n"/>
      <c r="E180" s="34" t="n">
        <v>120</v>
      </c>
      <c r="F180" s="34">
        <f>IF(COUNTA(D180:E180)=0,"",N(D180)-N(E180))</f>
        <v/>
      </c>
      <c r="G180" s="32">
        <f>IFERROR(VLOOKUP($B180,'开奖记录'!$A:$K,2,FALSE),"")</f>
        <v/>
      </c>
      <c r="H180" s="32">
        <f>IFERROR(VLOOKUP($B180,'开奖记录'!$A:$K,9,FALSE),"")</f>
        <v/>
      </c>
      <c r="I180" s="32">
        <f>IFERROR(VLOOKUP($B180,'开奖记录'!$A:$K,11,FALSE),"")</f>
        <v/>
      </c>
      <c r="J180" s="32">
        <f>IF($B180="","",IF(ISNUMBER($D180),"命中",IF(ISNUMBER($E180),"未命中","")))</f>
        <v/>
      </c>
      <c r="K180" s="35" t="inlineStr"/>
      <c r="L180" s="32">
        <f>IFERROR(TEXT(VLOOKUP($B180-1,开奖记录!$A:$L,3,FALSE),"00")&amp;"+5="&amp;VLOOKUP(MOD(VLOOKUP($B180-1,开奖记录!$A:$L,3,FALSE)+4,49)+1,规律参数!$A:$C,3,FALSE),"")</f>
        <v/>
      </c>
      <c r="M180" s="32">
        <f>IF(L180="","",IF(I180="","待开奖",IF(ISNUMBER(SEARCH(I180,L180)),"命中","未命中")))</f>
        <v/>
      </c>
      <c r="N180" s="32">
        <f>IFERROR(VLOOKUP(VLOOKUP($B180-1,开奖记录!$A:$L,11,FALSE),八肖参数!$A:$B,2,FALSE),"")</f>
        <v/>
      </c>
      <c r="O180" s="32">
        <f>IF(N180="","",IF(I180="","待开奖",IF(ISNUMBER(SEARCH(I180,N180)),"命中","未命中")))</f>
        <v/>
      </c>
    </row>
    <row r="181" ht="23" customHeight="1" s="21">
      <c r="A181" s="32" t="n">
        <v>180</v>
      </c>
      <c r="B181" s="32" t="n">
        <v>2026180</v>
      </c>
      <c r="C181" s="33" t="inlineStr">
        <is>
          <t>狗21</t>
        </is>
      </c>
      <c r="D181" s="34" t="n"/>
      <c r="E181" s="34" t="n">
        <v>170</v>
      </c>
      <c r="F181" s="34">
        <f>IF(COUNTA(D181:E181)=0,"",N(D181)-N(E181))</f>
        <v/>
      </c>
      <c r="G181" s="32">
        <f>IFERROR(VLOOKUP($B181,'开奖记录'!$A:$K,2,FALSE),"")</f>
        <v/>
      </c>
      <c r="H181" s="32">
        <f>IFERROR(VLOOKUP($B181,'开奖记录'!$A:$K,9,FALSE),"")</f>
        <v/>
      </c>
      <c r="I181" s="32">
        <f>IFERROR(VLOOKUP($B181,'开奖记录'!$A:$K,11,FALSE),"")</f>
        <v/>
      </c>
      <c r="J181" s="32">
        <f>IF($B181="","",IF(ISNUMBER($D181),"命中",IF(ISNUMBER($E181),"未命中","")))</f>
        <v/>
      </c>
      <c r="K181" s="35" t="inlineStr"/>
      <c r="L181" s="32">
        <f>IFERROR(TEXT(VLOOKUP($B181-1,开奖记录!$A:$L,3,FALSE),"00")&amp;"+5="&amp;VLOOKUP(MOD(VLOOKUP($B181-1,开奖记录!$A:$L,3,FALSE)+4,49)+1,规律参数!$A:$C,3,FALSE),"")</f>
        <v/>
      </c>
      <c r="M181" s="32">
        <f>IF(L181="","",IF(I181="","待开奖",IF(ISNUMBER(SEARCH(I181,L181)),"命中","未命中")))</f>
        <v/>
      </c>
      <c r="N181" s="32">
        <f>IFERROR(VLOOKUP(VLOOKUP($B181-1,开奖记录!$A:$L,11,FALSE),八肖参数!$A:$B,2,FALSE),"")</f>
        <v/>
      </c>
      <c r="O181" s="32">
        <f>IF(N181="","",IF(I181="","待开奖",IF(ISNUMBER(SEARCH(I181,N181)),"命中","未命中")))</f>
        <v/>
      </c>
    </row>
    <row r="182" ht="23" customHeight="1" s="21">
      <c r="A182" s="32" t="n">
        <v>181</v>
      </c>
      <c r="B182" s="32" t="n">
        <v>2026181</v>
      </c>
      <c r="C182" s="33" t="inlineStr">
        <is>
          <t>鼠19</t>
        </is>
      </c>
      <c r="D182" s="34" t="n"/>
      <c r="E182" s="34" t="n"/>
      <c r="F182" s="34">
        <f>IF(COUNTA(D182:E182)=0,"",N(D182)-N(E182))</f>
        <v/>
      </c>
      <c r="G182" s="32">
        <f>IFERROR(VLOOKUP($B182,'开奖记录'!$A:$K,2,FALSE),"")</f>
        <v/>
      </c>
      <c r="H182" s="32">
        <f>IFERROR(VLOOKUP($B182,'开奖记录'!$A:$K,9,FALSE),"")</f>
        <v/>
      </c>
      <c r="I182" s="32">
        <f>IFERROR(VLOOKUP($B182,'开奖记录'!$A:$K,11,FALSE),"")</f>
        <v/>
      </c>
      <c r="J182" s="32">
        <f>IF($B182="","",IF(ISNUMBER($D182),"命中",IF(ISNUMBER($E182),"未命中","")))</f>
        <v/>
      </c>
      <c r="K182" s="35" t="inlineStr"/>
      <c r="L182" s="32">
        <f>IFERROR(TEXT(VLOOKUP($B182-1,开奖记录!$A:$L,3,FALSE),"00")&amp;"+5="&amp;VLOOKUP(MOD(VLOOKUP($B182-1,开奖记录!$A:$L,3,FALSE)+4,49)+1,规律参数!$A:$C,3,FALSE),"")</f>
        <v/>
      </c>
      <c r="M182" s="32">
        <f>IF(L182="","",IF(I182="","待开奖",IF(ISNUMBER(SEARCH(I182,L182)),"命中","未命中")))</f>
        <v/>
      </c>
      <c r="N182" s="32">
        <f>IFERROR(VLOOKUP(VLOOKUP($B182-1,开奖记录!$A:$L,11,FALSE),八肖参数!$A:$B,2,FALSE),"")</f>
        <v/>
      </c>
      <c r="O182" s="32">
        <f>IF(N182="","",IF(I182="","待开奖",IF(ISNUMBER(SEARCH(I182,N182)),"命中","未命中")))</f>
        <v/>
      </c>
    </row>
    <row r="183" ht="23" customHeight="1" s="21">
      <c r="A183" s="32" t="n">
        <v>182</v>
      </c>
      <c r="B183" s="32" t="n">
        <v>2026182</v>
      </c>
      <c r="C183" s="33" t="inlineStr">
        <is>
          <t>虎41</t>
        </is>
      </c>
      <c r="D183" s="34" t="n"/>
      <c r="E183" s="34" t="n"/>
      <c r="F183" s="34">
        <f>IF(COUNTA(D183:E183)=0,"",N(D183)-N(E183))</f>
        <v/>
      </c>
      <c r="G183" s="32">
        <f>IFERROR(VLOOKUP($B183,'开奖记录'!$A:$K,2,FALSE),"")</f>
        <v/>
      </c>
      <c r="H183" s="32">
        <f>IFERROR(VLOOKUP($B183,'开奖记录'!$A:$K,9,FALSE),"")</f>
        <v/>
      </c>
      <c r="I183" s="32">
        <f>IFERROR(VLOOKUP($B183,'开奖记录'!$A:$K,11,FALSE),"")</f>
        <v/>
      </c>
      <c r="J183" s="32">
        <f>IF($B183="","",IF(ISNUMBER($D183),"命中",IF(ISNUMBER($E183),"未命中","")))</f>
        <v/>
      </c>
      <c r="K183" s="35" t="inlineStr"/>
      <c r="L183" s="32">
        <f>IFERROR(TEXT(VLOOKUP($B183-1,开奖记录!$A:$L,3,FALSE),"00")&amp;"+5="&amp;VLOOKUP(MOD(VLOOKUP($B183-1,开奖记录!$A:$L,3,FALSE)+4,49)+1,规律参数!$A:$C,3,FALSE),"")</f>
        <v/>
      </c>
      <c r="M183" s="32">
        <f>IF(L183="","",IF(I183="","待开奖",IF(ISNUMBER(SEARCH(I183,L183)),"命中","未命中")))</f>
        <v/>
      </c>
      <c r="N183" s="32">
        <f>IFERROR(VLOOKUP(VLOOKUP($B183-1,开奖记录!$A:$L,11,FALSE),八肖参数!$A:$B,2,FALSE),"")</f>
        <v/>
      </c>
      <c r="O183" s="32">
        <f>IF(N183="","",IF(I183="","待开奖",IF(ISNUMBER(SEARCH(I183,N183)),"命中","未命中")))</f>
        <v/>
      </c>
    </row>
    <row r="184" ht="23" customHeight="1" s="21">
      <c r="A184" s="32" t="n">
        <v>183</v>
      </c>
      <c r="B184" s="32" t="n">
        <v>2026183</v>
      </c>
      <c r="C184" s="33" t="inlineStr">
        <is>
          <t xml:space="preserve">羊 24 </t>
        </is>
      </c>
      <c r="D184" s="34" t="n"/>
      <c r="E184" s="34" t="n">
        <v>130</v>
      </c>
      <c r="F184" s="34">
        <f>IF(COUNTA(D184:E184)=0,"",N(D184)-N(E184))</f>
        <v/>
      </c>
      <c r="G184" s="32">
        <f>IFERROR(VLOOKUP($B184,'开奖记录'!$A:$K,2,FALSE),"")</f>
        <v/>
      </c>
      <c r="H184" s="32">
        <f>IFERROR(VLOOKUP($B184,'开奖记录'!$A:$K,9,FALSE),"")</f>
        <v/>
      </c>
      <c r="I184" s="32">
        <f>IFERROR(VLOOKUP($B184,'开奖记录'!$A:$K,11,FALSE),"")</f>
        <v/>
      </c>
      <c r="J184" s="32">
        <f>IF($B184="","",IF(ISNUMBER($D184),"命中",IF(ISNUMBER($E184),"未命中","")))</f>
        <v/>
      </c>
      <c r="K184" s="35" t="inlineStr"/>
      <c r="L184" s="32">
        <f>IFERROR(TEXT(VLOOKUP($B184-1,开奖记录!$A:$L,3,FALSE),"00")&amp;"+5="&amp;VLOOKUP(MOD(VLOOKUP($B184-1,开奖记录!$A:$L,3,FALSE)+4,49)+1,规律参数!$A:$C,3,FALSE),"")</f>
        <v/>
      </c>
      <c r="M184" s="32">
        <f>IF(L184="","",IF(I184="","待开奖",IF(ISNUMBER(SEARCH(I184,L184)),"命中","未命中")))</f>
        <v/>
      </c>
      <c r="N184" s="32">
        <f>IFERROR(VLOOKUP(VLOOKUP($B184-1,开奖记录!$A:$L,11,FALSE),八肖参数!$A:$B,2,FALSE),"")</f>
        <v/>
      </c>
      <c r="O184" s="32">
        <f>IF(N184="","",IF(I184="","待开奖",IF(ISNUMBER(SEARCH(I184,N184)),"命中","未命中")))</f>
        <v/>
      </c>
    </row>
    <row r="185" ht="23" customHeight="1" s="21">
      <c r="A185" s="32" t="n">
        <v>184</v>
      </c>
      <c r="B185" s="32" t="n">
        <v>2026184</v>
      </c>
      <c r="C185" s="33" t="inlineStr">
        <is>
          <t>马 01</t>
        </is>
      </c>
      <c r="D185" s="34" t="n"/>
      <c r="E185" s="34" t="n">
        <v>120</v>
      </c>
      <c r="F185" s="34">
        <f>IF(COUNTA(D185:E185)=0,"",N(D185)-N(E185))</f>
        <v/>
      </c>
      <c r="G185" s="32">
        <f>IFERROR(VLOOKUP($B185,'开奖记录'!$A:$K,2,FALSE),"")</f>
        <v/>
      </c>
      <c r="H185" s="32">
        <f>IFERROR(VLOOKUP($B185,'开奖记录'!$A:$K,9,FALSE),"")</f>
        <v/>
      </c>
      <c r="I185" s="32">
        <f>IFERROR(VLOOKUP($B185,'开奖记录'!$A:$K,11,FALSE),"")</f>
        <v/>
      </c>
      <c r="J185" s="32">
        <f>IF($B185="","",IF(ISNUMBER($D185),"命中",IF(ISNUMBER($E185),"未命中","")))</f>
        <v/>
      </c>
      <c r="K185" s="35" t="inlineStr"/>
      <c r="L185" s="32">
        <f>IFERROR(TEXT(VLOOKUP($B185-1,开奖记录!$A:$L,3,FALSE),"00")&amp;"+5="&amp;VLOOKUP(MOD(VLOOKUP($B185-1,开奖记录!$A:$L,3,FALSE)+4,49)+1,规律参数!$A:$C,3,FALSE),"")</f>
        <v/>
      </c>
      <c r="M185" s="32">
        <f>IF(L185="","",IF(I185="","待开奖",IF(ISNUMBER(SEARCH(I185,L185)),"命中","未命中")))</f>
        <v/>
      </c>
      <c r="N185" s="32">
        <f>IFERROR(VLOOKUP(VLOOKUP($B185-1,开奖记录!$A:$L,11,FALSE),八肖参数!$A:$B,2,FALSE),"")</f>
        <v/>
      </c>
      <c r="O185" s="32">
        <f>IF(N185="","",IF(I185="","待开奖",IF(ISNUMBER(SEARCH(I185,N185)),"命中","未命中")))</f>
        <v/>
      </c>
    </row>
    <row r="186" ht="23" customHeight="1" s="21">
      <c r="A186" s="32" t="n">
        <v>185</v>
      </c>
      <c r="B186" s="32" t="n">
        <v>2026185</v>
      </c>
      <c r="C186" s="33" t="inlineStr">
        <is>
          <t>羊36</t>
        </is>
      </c>
      <c r="D186" s="34" t="n">
        <v>350</v>
      </c>
      <c r="E186" s="34" t="n"/>
      <c r="F186" s="34">
        <f>IF(COUNTA(D186:E186)=0,"",N(D186)-N(E186))</f>
        <v/>
      </c>
      <c r="G186" s="32">
        <f>IFERROR(VLOOKUP($B186,'开奖记录'!$A:$K,2,FALSE),"")</f>
        <v/>
      </c>
      <c r="H186" s="32">
        <f>IFERROR(VLOOKUP($B186,'开奖记录'!$A:$K,9,FALSE),"")</f>
        <v/>
      </c>
      <c r="I186" s="32">
        <f>IFERROR(VLOOKUP($B186,'开奖记录'!$A:$K,11,FALSE),"")</f>
        <v/>
      </c>
      <c r="J186" s="32">
        <f>IF($B186="","",IF(ISNUMBER($D186),"命中",IF(ISNUMBER($E186),"未命中","")))</f>
        <v/>
      </c>
      <c r="K186" s="35" t="inlineStr"/>
      <c r="L186" s="32">
        <f>IFERROR(TEXT(VLOOKUP($B186-1,开奖记录!$A:$L,3,FALSE),"00")&amp;"+5="&amp;VLOOKUP(MOD(VLOOKUP($B186-1,开奖记录!$A:$L,3,FALSE)+4,49)+1,规律参数!$A:$C,3,FALSE),"")</f>
        <v/>
      </c>
      <c r="M186" s="32">
        <f>IF(L186="","",IF(I186="","待开奖",IF(ISNUMBER(SEARCH(I186,L186)),"命中","未命中")))</f>
        <v/>
      </c>
      <c r="N186" s="32">
        <f>IFERROR(VLOOKUP(VLOOKUP($B186-1,开奖记录!$A:$L,11,FALSE),八肖参数!$A:$B,2,FALSE),"")</f>
        <v/>
      </c>
      <c r="O186" s="32">
        <f>IF(N186="","",IF(I186="","待开奖",IF(ISNUMBER(SEARCH(I186,N186)),"命中","未命中")))</f>
        <v/>
      </c>
    </row>
    <row r="187" ht="23" customHeight="1" s="21">
      <c r="A187" s="32" t="n">
        <v>186</v>
      </c>
      <c r="B187" s="32" t="n">
        <v>2026186</v>
      </c>
      <c r="C187" s="33" t="inlineStr">
        <is>
          <t>猴 23</t>
        </is>
      </c>
      <c r="D187" s="34" t="n"/>
      <c r="E187" s="34" t="n">
        <v>60</v>
      </c>
      <c r="F187" s="34">
        <f>IF(COUNTA(D187:E187)=0,"",N(D187)-N(E187))</f>
        <v/>
      </c>
      <c r="G187" s="32">
        <f>IFERROR(VLOOKUP($B187,'开奖记录'!$A:$K,2,FALSE),"")</f>
        <v/>
      </c>
      <c r="H187" s="32">
        <f>IFERROR(VLOOKUP($B187,'开奖记录'!$A:$K,9,FALSE),"")</f>
        <v/>
      </c>
      <c r="I187" s="32">
        <f>IFERROR(VLOOKUP($B187,'开奖记录'!$A:$K,11,FALSE),"")</f>
        <v/>
      </c>
      <c r="J187" s="32">
        <f>IF($B187="","",IF(ISNUMBER($D187),"命中",IF(ISNUMBER($E187),"未命中","")))</f>
        <v/>
      </c>
      <c r="K187" s="35" t="inlineStr"/>
      <c r="L187" s="32">
        <f>IFERROR(TEXT(VLOOKUP($B187-1,开奖记录!$A:$L,3,FALSE),"00")&amp;"+5="&amp;VLOOKUP(MOD(VLOOKUP($B187-1,开奖记录!$A:$L,3,FALSE)+4,49)+1,规律参数!$A:$C,3,FALSE),"")</f>
        <v/>
      </c>
      <c r="M187" s="32">
        <f>IF(L187="","",IF(I187="","待开奖",IF(ISNUMBER(SEARCH(I187,L187)),"命中","未命中")))</f>
        <v/>
      </c>
      <c r="N187" s="32">
        <f>IFERROR(VLOOKUP(VLOOKUP($B187-1,开奖记录!$A:$L,11,FALSE),八肖参数!$A:$B,2,FALSE),"")</f>
        <v/>
      </c>
      <c r="O187" s="32">
        <f>IF(N187="","",IF(I187="","待开奖",IF(ISNUMBER(SEARCH(I187,N187)),"命中","未命中")))</f>
        <v/>
      </c>
    </row>
    <row r="188" ht="23" customHeight="1" s="21">
      <c r="A188" s="32" t="n">
        <v>187</v>
      </c>
      <c r="B188" s="32" t="n">
        <v>2026187</v>
      </c>
      <c r="C188" s="33" t="inlineStr">
        <is>
          <t>马 01</t>
        </is>
      </c>
      <c r="D188" s="34" t="n">
        <v>300</v>
      </c>
      <c r="E188" s="34" t="n"/>
      <c r="F188" s="34">
        <f>IF(COUNTA(D188:E188)=0,"",N(D188)-N(E188))</f>
        <v/>
      </c>
      <c r="G188" s="32">
        <f>IFERROR(VLOOKUP($B188,'开奖记录'!$A:$K,2,FALSE),"")</f>
        <v/>
      </c>
      <c r="H188" s="32">
        <f>IFERROR(VLOOKUP($B188,'开奖记录'!$A:$K,9,FALSE),"")</f>
        <v/>
      </c>
      <c r="I188" s="32">
        <f>IFERROR(VLOOKUP($B188,'开奖记录'!$A:$K,11,FALSE),"")</f>
        <v/>
      </c>
      <c r="J188" s="32">
        <f>IF($B188="","",IF(ISNUMBER($D188),"命中",IF(ISNUMBER($E188),"未命中","")))</f>
        <v/>
      </c>
      <c r="K188" s="35" t="inlineStr"/>
      <c r="L188" s="32">
        <f>IFERROR(TEXT(VLOOKUP($B188-1,开奖记录!$A:$L,3,FALSE),"00")&amp;"+5="&amp;VLOOKUP(MOD(VLOOKUP($B188-1,开奖记录!$A:$L,3,FALSE)+4,49)+1,规律参数!$A:$C,3,FALSE),"")</f>
        <v/>
      </c>
      <c r="M188" s="32">
        <f>IF(L188="","",IF(I188="","待开奖",IF(ISNUMBER(SEARCH(I188,L188)),"命中","未命中")))</f>
        <v/>
      </c>
      <c r="N188" s="32">
        <f>IFERROR(VLOOKUP(VLOOKUP($B188-1,开奖记录!$A:$L,11,FALSE),八肖参数!$A:$B,2,FALSE),"")</f>
        <v/>
      </c>
      <c r="O188" s="32">
        <f>IF(N188="","",IF(I188="","待开奖",IF(ISNUMBER(SEARCH(I188,N188)),"命中","未命中")))</f>
        <v/>
      </c>
    </row>
    <row r="189" ht="23" customHeight="1" s="21">
      <c r="A189" s="32" t="n">
        <v>188</v>
      </c>
      <c r="B189" s="32" t="n">
        <v>2026188</v>
      </c>
      <c r="C189" s="33" t="inlineStr">
        <is>
          <t>兔16</t>
        </is>
      </c>
      <c r="D189" s="34" t="n">
        <v>350</v>
      </c>
      <c r="E189" s="34" t="n"/>
      <c r="F189" s="34">
        <f>IF(COUNTA(D189:E189)=0,"",N(D189)-N(E189))</f>
        <v/>
      </c>
      <c r="G189" s="32">
        <f>IFERROR(VLOOKUP($B189,'开奖记录'!$A:$K,2,FALSE),"")</f>
        <v/>
      </c>
      <c r="H189" s="32">
        <f>IFERROR(VLOOKUP($B189,'开奖记录'!$A:$K,9,FALSE),"")</f>
        <v/>
      </c>
      <c r="I189" s="32">
        <f>IFERROR(VLOOKUP($B189,'开奖记录'!$A:$K,11,FALSE),"")</f>
        <v/>
      </c>
      <c r="J189" s="32">
        <f>IF($B189="","",IF(ISNUMBER($D189),"命中",IF(ISNUMBER($E189),"未命中","")))</f>
        <v/>
      </c>
      <c r="K189" s="35" t="inlineStr"/>
      <c r="L189" s="32">
        <f>IFERROR(TEXT(VLOOKUP($B189-1,开奖记录!$A:$L,3,FALSE),"00")&amp;"+5="&amp;VLOOKUP(MOD(VLOOKUP($B189-1,开奖记录!$A:$L,3,FALSE)+4,49)+1,规律参数!$A:$C,3,FALSE),"")</f>
        <v/>
      </c>
      <c r="M189" s="32">
        <f>IF(L189="","",IF(I189="","待开奖",IF(ISNUMBER(SEARCH(I189,L189)),"命中","未命中")))</f>
        <v/>
      </c>
      <c r="N189" s="32">
        <f>IFERROR(VLOOKUP(VLOOKUP($B189-1,开奖记录!$A:$L,11,FALSE),八肖参数!$A:$B,2,FALSE),"")</f>
        <v/>
      </c>
      <c r="O189" s="32">
        <f>IF(N189="","",IF(I189="","待开奖",IF(ISNUMBER(SEARCH(I189,N189)),"命中","未命中")))</f>
        <v/>
      </c>
    </row>
    <row r="190" ht="23" customHeight="1" s="21">
      <c r="A190" s="32" t="n">
        <v>189</v>
      </c>
      <c r="B190" s="32" t="n">
        <v>2026189</v>
      </c>
      <c r="C190" s="33" t="inlineStr">
        <is>
          <t>龙 15</t>
        </is>
      </c>
      <c r="D190" s="34" t="n"/>
      <c r="E190" s="34" t="n">
        <v>120</v>
      </c>
      <c r="F190" s="34">
        <f>IF(COUNTA(D190:E190)=0,"",N(D190)-N(E190))</f>
        <v/>
      </c>
      <c r="G190" s="32">
        <f>IFERROR(VLOOKUP($B190,'开奖记录'!$A:$K,2,FALSE),"")</f>
        <v/>
      </c>
      <c r="H190" s="32">
        <f>IFERROR(VLOOKUP($B190,'开奖记录'!$A:$K,9,FALSE),"")</f>
        <v/>
      </c>
      <c r="I190" s="32">
        <f>IFERROR(VLOOKUP($B190,'开奖记录'!$A:$K,11,FALSE),"")</f>
        <v/>
      </c>
      <c r="J190" s="32">
        <f>IF($B190="","",IF(ISNUMBER($D190),"命中",IF(ISNUMBER($E190),"未命中","")))</f>
        <v/>
      </c>
      <c r="K190" s="35" t="inlineStr"/>
      <c r="L190" s="32">
        <f>IFERROR(TEXT(VLOOKUP($B190-1,开奖记录!$A:$L,3,FALSE),"00")&amp;"+5="&amp;VLOOKUP(MOD(VLOOKUP($B190-1,开奖记录!$A:$L,3,FALSE)+4,49)+1,规律参数!$A:$C,3,FALSE),"")</f>
        <v/>
      </c>
      <c r="M190" s="32">
        <f>IF(L190="","",IF(I190="","待开奖",IF(ISNUMBER(SEARCH(I190,L190)),"命中","未命中")))</f>
        <v/>
      </c>
      <c r="N190" s="32">
        <f>IFERROR(VLOOKUP(VLOOKUP($B190-1,开奖记录!$A:$L,11,FALSE),八肖参数!$A:$B,2,FALSE),"")</f>
        <v/>
      </c>
      <c r="O190" s="32">
        <f>IF(N190="","",IF(I190="","待开奖",IF(ISNUMBER(SEARCH(I190,N190)),"命中","未命中")))</f>
        <v/>
      </c>
    </row>
    <row r="191" ht="23" customHeight="1" s="21">
      <c r="A191" s="32" t="n">
        <v>190</v>
      </c>
      <c r="B191" s="32" t="n">
        <v>2026190</v>
      </c>
      <c r="C191" s="33" t="inlineStr">
        <is>
          <t>兔16</t>
        </is>
      </c>
      <c r="D191" s="34" t="n"/>
      <c r="E191" s="34" t="n">
        <v>120</v>
      </c>
      <c r="F191" s="34">
        <f>IF(COUNTA(D191:E191)=0,"",N(D191)-N(E191))</f>
        <v/>
      </c>
      <c r="G191" s="32">
        <f>IFERROR(VLOOKUP($B191,'开奖记录'!$A:$K,2,FALSE),"")</f>
        <v/>
      </c>
      <c r="H191" s="32">
        <f>IFERROR(VLOOKUP($B191,'开奖记录'!$A:$K,9,FALSE),"")</f>
        <v/>
      </c>
      <c r="I191" s="32">
        <f>IFERROR(VLOOKUP($B191,'开奖记录'!$A:$K,11,FALSE),"")</f>
        <v/>
      </c>
      <c r="J191" s="32">
        <f>IF($B191="","",IF(ISNUMBER($D191),"命中",IF(ISNUMBER($E191),"未命中","")))</f>
        <v/>
      </c>
      <c r="K191" s="35" t="inlineStr"/>
      <c r="L191" s="32">
        <f>IFERROR(TEXT(VLOOKUP($B191-1,开奖记录!$A:$L,3,FALSE),"00")&amp;"+5="&amp;VLOOKUP(MOD(VLOOKUP($B191-1,开奖记录!$A:$L,3,FALSE)+4,49)+1,规律参数!$A:$C,3,FALSE),"")</f>
        <v/>
      </c>
      <c r="M191" s="32">
        <f>IF(L191="","",IF(I191="","待开奖",IF(ISNUMBER(SEARCH(I191,L191)),"命中","未命中")))</f>
        <v/>
      </c>
      <c r="N191" s="32">
        <f>IFERROR(VLOOKUP(VLOOKUP($B191-1,开奖记录!$A:$L,11,FALSE),八肖参数!$A:$B,2,FALSE),"")</f>
        <v/>
      </c>
      <c r="O191" s="32">
        <f>IF(N191="","",IF(I191="","待开奖",IF(ISNUMBER(SEARCH(I191,N191)),"命中","未命中")))</f>
        <v/>
      </c>
    </row>
    <row r="192" ht="23" customHeight="1" s="21">
      <c r="A192" s="32" t="n">
        <v>191</v>
      </c>
      <c r="B192" s="32" t="n">
        <v>2026191</v>
      </c>
      <c r="C192" s="33" t="inlineStr">
        <is>
          <t>虎 29</t>
        </is>
      </c>
      <c r="D192" s="34" t="n"/>
      <c r="E192" s="34" t="n"/>
      <c r="F192" s="34">
        <f>IF(COUNTA(D192:E192)=0,"",N(D192)-N(E192))</f>
        <v/>
      </c>
      <c r="G192" s="32">
        <f>IFERROR(VLOOKUP($B192,'开奖记录'!$A:$K,2,FALSE),"")</f>
        <v/>
      </c>
      <c r="H192" s="32">
        <f>IFERROR(VLOOKUP($B192,'开奖记录'!$A:$K,9,FALSE),"")</f>
        <v/>
      </c>
      <c r="I192" s="32">
        <f>IFERROR(VLOOKUP($B192,'开奖记录'!$A:$K,11,FALSE),"")</f>
        <v/>
      </c>
      <c r="J192" s="32">
        <f>IF($B192="","",IF(ISNUMBER($D192),"命中",IF(ISNUMBER($E192),"未命中","")))</f>
        <v/>
      </c>
      <c r="K192" s="35" t="inlineStr"/>
      <c r="L192" s="32">
        <f>IFERROR(TEXT(VLOOKUP($B192-1,开奖记录!$A:$L,3,FALSE),"00")&amp;"+5="&amp;VLOOKUP(MOD(VLOOKUP($B192-1,开奖记录!$A:$L,3,FALSE)+4,49)+1,规律参数!$A:$C,3,FALSE),"")</f>
        <v/>
      </c>
      <c r="M192" s="32">
        <f>IF(L192="","",IF(I192="","待开奖",IF(ISNUMBER(SEARCH(I192,L192)),"命中","未命中")))</f>
        <v/>
      </c>
      <c r="N192" s="32">
        <f>IFERROR(VLOOKUP(VLOOKUP($B192-1,开奖记录!$A:$L,11,FALSE),八肖参数!$A:$B,2,FALSE),"")</f>
        <v/>
      </c>
      <c r="O192" s="32">
        <f>IF(N192="","",IF(I192="","待开奖",IF(ISNUMBER(SEARCH(I192,N192)),"命中","未命中")))</f>
        <v/>
      </c>
    </row>
    <row r="193" ht="23" customHeight="1" s="21">
      <c r="A193" s="32" t="n">
        <v>192</v>
      </c>
      <c r="B193" s="32" t="n">
        <v>2026192</v>
      </c>
      <c r="C193" s="33" t="inlineStr">
        <is>
          <t>马25</t>
        </is>
      </c>
      <c r="D193" s="34" t="n">
        <v>170</v>
      </c>
      <c r="E193" s="34" t="n"/>
      <c r="F193" s="34">
        <f>IF(COUNTA(D193:E193)=0,"",N(D193)-N(E193))</f>
        <v/>
      </c>
      <c r="G193" s="32">
        <f>IFERROR(VLOOKUP($B193,'开奖记录'!$A:$K,2,FALSE),"")</f>
        <v/>
      </c>
      <c r="H193" s="32">
        <f>IFERROR(VLOOKUP($B193,'开奖记录'!$A:$K,9,FALSE),"")</f>
        <v/>
      </c>
      <c r="I193" s="32">
        <f>IFERROR(VLOOKUP($B193,'开奖记录'!$A:$K,11,FALSE),"")</f>
        <v/>
      </c>
      <c r="J193" s="32">
        <f>IF($B193="","",IF(ISNUMBER($D193),"命中",IF(ISNUMBER($E193),"未命中","")))</f>
        <v/>
      </c>
      <c r="K193" s="35" t="inlineStr">
        <is>
          <t>19+5=牛羊兔鸡</t>
        </is>
      </c>
      <c r="L193" s="32">
        <f>IFERROR(TEXT(VLOOKUP($B193-1,开奖记录!$A:$L,3,FALSE),"00")&amp;"+5="&amp;VLOOKUP(MOD(VLOOKUP($B193-1,开奖记录!$A:$L,3,FALSE)+4,49)+1,规律参数!$A:$C,3,FALSE),"")</f>
        <v/>
      </c>
      <c r="M193" s="32">
        <f>IF(L193="","",IF(I193="","待开奖",IF(ISNUMBER(SEARCH(I193,L193)),"命中","未命中")))</f>
        <v/>
      </c>
      <c r="N193" s="32">
        <f>IFERROR(VLOOKUP(VLOOKUP($B193-1,开奖记录!$A:$L,11,FALSE),八肖参数!$A:$B,2,FALSE),"")</f>
        <v/>
      </c>
      <c r="O193" s="32">
        <f>IF(N193="","",IF(I193="","待开奖",IF(ISNUMBER(SEARCH(I193,N193)),"命中","未命中")))</f>
        <v/>
      </c>
    </row>
    <row r="194" ht="23" customHeight="1" s="21">
      <c r="A194" s="32" t="n">
        <v>193</v>
      </c>
      <c r="B194" s="32" t="n">
        <v>2026193</v>
      </c>
      <c r="C194" s="33" t="inlineStr">
        <is>
          <t xml:space="preserve">狗 09 </t>
        </is>
      </c>
      <c r="D194" s="34" t="n"/>
      <c r="E194" s="34" t="n">
        <v>120</v>
      </c>
      <c r="F194" s="34">
        <f>IF(COUNTA(D194:E194)=0,"",N(D194)-N(E194))</f>
        <v/>
      </c>
      <c r="G194" s="32">
        <f>IFERROR(VLOOKUP($B194,'开奖记录'!$A:$K,2,FALSE),"")</f>
        <v/>
      </c>
      <c r="H194" s="32">
        <f>IFERROR(VLOOKUP($B194,'开奖记录'!$A:$K,9,FALSE),"")</f>
        <v/>
      </c>
      <c r="I194" s="32">
        <f>IFERROR(VLOOKUP($B194,'开奖记录'!$A:$K,11,FALSE),"")</f>
        <v/>
      </c>
      <c r="J194" s="32">
        <f>IF($B194="","",IF(ISNUMBER($D194),"命中",IF(ISNUMBER($E194),"未命中","")))</f>
        <v/>
      </c>
      <c r="K194" s="35" t="inlineStr">
        <is>
          <t>27+5=蛇猪牛羊</t>
        </is>
      </c>
      <c r="L194" s="32">
        <f>IFERROR(TEXT(VLOOKUP($B194-1,开奖记录!$A:$L,3,FALSE),"00")&amp;"+5="&amp;VLOOKUP(MOD(VLOOKUP($B194-1,开奖记录!$A:$L,3,FALSE)+4,49)+1,规律参数!$A:$C,3,FALSE),"")</f>
        <v/>
      </c>
      <c r="M194" s="32">
        <f>IF(L194="","",IF(I194="","待开奖",IF(ISNUMBER(SEARCH(I194,L194)),"命中","未命中")))</f>
        <v/>
      </c>
      <c r="N194" s="32">
        <f>IFERROR(VLOOKUP(VLOOKUP($B194-1,开奖记录!$A:$L,11,FALSE),八肖参数!$A:$B,2,FALSE),"")</f>
        <v/>
      </c>
      <c r="O194" s="32">
        <f>IF(N194="","",IF(I194="","待开奖",IF(ISNUMBER(SEARCH(I194,N194)),"命中","未命中")))</f>
        <v/>
      </c>
    </row>
    <row r="195" ht="23" customHeight="1" s="21">
      <c r="A195" s="32" t="n">
        <v>194</v>
      </c>
      <c r="B195" s="32" t="n">
        <v>2026194</v>
      </c>
      <c r="C195" s="33" t="inlineStr">
        <is>
          <t>蛇26</t>
        </is>
      </c>
      <c r="D195" s="34" t="n"/>
      <c r="E195" s="34" t="n">
        <v>120</v>
      </c>
      <c r="F195" s="34">
        <f>IF(COUNTA(D195:E195)=0,"",N(D195)-N(E195))</f>
        <v/>
      </c>
      <c r="G195" s="32">
        <f>IFERROR(VLOOKUP($B195,'开奖记录'!$A:$K,2,FALSE),"")</f>
        <v/>
      </c>
      <c r="H195" s="32">
        <f>IFERROR(VLOOKUP($B195,'开奖记录'!$A:$K,9,FALSE),"")</f>
        <v/>
      </c>
      <c r="I195" s="32">
        <f>IFERROR(VLOOKUP($B195,'开奖记录'!$A:$K,11,FALSE),"")</f>
        <v/>
      </c>
      <c r="J195" s="32">
        <f>IF($B195="","",IF(ISNUMBER($D195),"命中",IF(ISNUMBER($E195),"未命中","")))</f>
        <v/>
      </c>
      <c r="K195" s="35" t="inlineStr">
        <is>
          <t>02+5=鼠马虎猴</t>
        </is>
      </c>
      <c r="L195" s="32">
        <f>IFERROR(TEXT(VLOOKUP($B195-1,开奖记录!$A:$L,3,FALSE),"00")&amp;"+5="&amp;VLOOKUP(MOD(VLOOKUP($B195-1,开奖记录!$A:$L,3,FALSE)+4,49)+1,规律参数!$A:$C,3,FALSE),"")</f>
        <v/>
      </c>
      <c r="M195" s="32">
        <f>IF(L195="","",IF(I195="","待开奖",IF(ISNUMBER(SEARCH(I195,L195)),"命中","未命中")))</f>
        <v/>
      </c>
      <c r="N195" s="32">
        <f>IFERROR(VLOOKUP(VLOOKUP($B195-1,开奖记录!$A:$L,11,FALSE),八肖参数!$A:$B,2,FALSE),"")</f>
        <v/>
      </c>
      <c r="O195" s="32">
        <f>IF(N195="","",IF(I195="","待开奖",IF(ISNUMBER(SEARCH(I195,N195)),"命中","未命中")))</f>
        <v/>
      </c>
    </row>
    <row r="196" ht="23" customHeight="1" s="21">
      <c r="A196" s="32" t="n">
        <v>195</v>
      </c>
      <c r="B196" s="32" t="n">
        <v>2026195</v>
      </c>
      <c r="C196" s="33" t="inlineStr">
        <is>
          <t>马 25</t>
        </is>
      </c>
      <c r="D196" s="34" t="n"/>
      <c r="E196" s="34" t="n"/>
      <c r="F196" s="34">
        <f>IF(COUNTA(D196:E196)=0,"",N(D196)-N(E196))</f>
        <v/>
      </c>
      <c r="G196" s="32">
        <f>IFERROR(VLOOKUP($B196,'开奖记录'!$A:$K,2,FALSE),"")</f>
        <v/>
      </c>
      <c r="H196" s="32">
        <f>IFERROR(VLOOKUP($B196,'开奖记录'!$A:$K,9,FALSE),"")</f>
        <v/>
      </c>
      <c r="I196" s="32">
        <f>IFERROR(VLOOKUP($B196,'开奖记录'!$A:$K,11,FALSE),"")</f>
        <v/>
      </c>
      <c r="J196" s="32">
        <f>IF($B196="","",IF(ISNUMBER($D196),"命中",IF(ISNUMBER($E196),"未命中","")))</f>
        <v/>
      </c>
      <c r="K196" s="35" t="inlineStr">
        <is>
          <t>30+5=虎猴龙狗</t>
        </is>
      </c>
      <c r="L196" s="32">
        <f>IFERROR(TEXT(VLOOKUP($B196-1,开奖记录!$A:$L,3,FALSE),"00")&amp;"+5="&amp;VLOOKUP(MOD(VLOOKUP($B196-1,开奖记录!$A:$L,3,FALSE)+4,49)+1,规律参数!$A:$C,3,FALSE),"")</f>
        <v/>
      </c>
      <c r="M196" s="32">
        <f>IF(L196="","",IF(I196="","待开奖",IF(ISNUMBER(SEARCH(I196,L196)),"命中","未命中")))</f>
        <v/>
      </c>
      <c r="N196" s="32">
        <f>IFERROR(VLOOKUP(VLOOKUP($B196-1,开奖记录!$A:$L,11,FALSE),八肖参数!$A:$B,2,FALSE),"")</f>
        <v/>
      </c>
      <c r="O196" s="32">
        <f>IF(N196="","",IF(I196="","待开奖",IF(ISNUMBER(SEARCH(I196,N196)),"命中","未命中")))</f>
        <v/>
      </c>
    </row>
    <row r="197" ht="23" customHeight="1" s="21">
      <c r="A197" s="32" t="n">
        <v>196</v>
      </c>
      <c r="B197" s="32" t="n">
        <v>2026196</v>
      </c>
      <c r="C197" s="33" t="inlineStr">
        <is>
          <t>龙39</t>
        </is>
      </c>
      <c r="D197" s="34" t="n"/>
      <c r="E197" s="34" t="n">
        <v>80</v>
      </c>
      <c r="F197" s="34">
        <f>IF(COUNTA(D197:E197)=0,"",N(D197)-N(E197))</f>
        <v/>
      </c>
      <c r="G197" s="32">
        <f>IFERROR(VLOOKUP($B197,'开奖记录'!$A:$K,2,FALSE),"")</f>
        <v/>
      </c>
      <c r="H197" s="32">
        <f>IFERROR(VLOOKUP($B197,'开奖记录'!$A:$K,9,FALSE),"")</f>
        <v/>
      </c>
      <c r="I197" s="32">
        <f>IFERROR(VLOOKUP($B197,'开奖记录'!$A:$K,11,FALSE),"")</f>
        <v/>
      </c>
      <c r="J197" s="32">
        <f>IF($B197="","",IF(ISNUMBER($D197),"命中",IF(ISNUMBER($E197),"未命中","")))</f>
        <v/>
      </c>
      <c r="K197" s="35" t="inlineStr">
        <is>
          <t>46+5=蛇猪牛羊</t>
        </is>
      </c>
      <c r="L197" s="32">
        <f>IFERROR(TEXT(VLOOKUP($B197-1,开奖记录!$A:$L,3,FALSE),"00")&amp;"+5="&amp;VLOOKUP(MOD(VLOOKUP($B197-1,开奖记录!$A:$L,3,FALSE)+4,49)+1,规律参数!$A:$C,3,FALSE),"")</f>
        <v/>
      </c>
      <c r="M197" s="32">
        <f>IF(L197="","",IF(I197="","待开奖",IF(ISNUMBER(SEARCH(I197,L197)),"命中","未命中")))</f>
        <v/>
      </c>
      <c r="N197" s="32">
        <f>IFERROR(VLOOKUP(VLOOKUP($B197-1,开奖记录!$A:$L,11,FALSE),八肖参数!$A:$B,2,FALSE),"")</f>
        <v/>
      </c>
      <c r="O197" s="32">
        <f>IF(N197="","",IF(I197="","待开奖",IF(ISNUMBER(SEARCH(I197,N197)),"命中","未命中")))</f>
        <v/>
      </c>
    </row>
    <row r="198" ht="23" customHeight="1" s="21">
      <c r="A198" s="32" t="n">
        <v>197</v>
      </c>
      <c r="B198" s="32" t="n">
        <v>2026197</v>
      </c>
      <c r="C198" s="33" t="inlineStr">
        <is>
          <t>猪08</t>
        </is>
      </c>
      <c r="D198" s="34" t="n">
        <v>155</v>
      </c>
      <c r="E198" s="34" t="n"/>
      <c r="F198" s="34">
        <f>IF(COUNTA(D198:E198)=0,"",N(D198)-N(E198))</f>
        <v/>
      </c>
      <c r="G198" s="32">
        <f>IFERROR(VLOOKUP($B198,'开奖记录'!$A:$K,2,FALSE),"")</f>
        <v/>
      </c>
      <c r="H198" s="32">
        <f>IFERROR(VLOOKUP($B198,'开奖记录'!$A:$K,9,FALSE),"")</f>
        <v/>
      </c>
      <c r="I198" s="32">
        <f>IFERROR(VLOOKUP($B198,'开奖记录'!$A:$K,11,FALSE),"")</f>
        <v/>
      </c>
      <c r="J198" s="32">
        <f>IF($B198="","",IF(ISNUMBER($D198),"命中",IF(ISNUMBER($E198),"未命中","")))</f>
        <v/>
      </c>
      <c r="K198" s="35" t="inlineStr">
        <is>
          <t>03+5=蛇猪牛羊</t>
        </is>
      </c>
      <c r="L198" s="32">
        <f>IFERROR(TEXT(VLOOKUP($B198-1,开奖记录!$A:$L,3,FALSE),"00")&amp;"+5="&amp;VLOOKUP(MOD(VLOOKUP($B198-1,开奖记录!$A:$L,3,FALSE)+4,49)+1,规律参数!$A:$C,3,FALSE),"")</f>
        <v/>
      </c>
      <c r="M198" s="32">
        <f>IF(L198="","",IF(I198="","待开奖",IF(ISNUMBER(SEARCH(I198,L198)),"命中","未命中")))</f>
        <v/>
      </c>
      <c r="N198" s="32">
        <f>IFERROR(VLOOKUP(VLOOKUP($B198-1,开奖记录!$A:$L,11,FALSE),八肖参数!$A:$B,2,FALSE),"")</f>
        <v/>
      </c>
      <c r="O198" s="32">
        <f>IF(N198="","",IF(I198="","待开奖",IF(ISNUMBER(SEARCH(I198,N198)),"命中","未命中")))</f>
        <v/>
      </c>
    </row>
    <row r="199" ht="23" customHeight="1" s="21">
      <c r="A199" s="32" t="n">
        <v>198</v>
      </c>
      <c r="B199" s="32" t="n">
        <v>2026198</v>
      </c>
      <c r="C199" s="33" t="inlineStr">
        <is>
          <t>鼠07</t>
        </is>
      </c>
      <c r="D199" s="34" t="n"/>
      <c r="E199" s="34" t="n">
        <v>120</v>
      </c>
      <c r="F199" s="34">
        <f>IF(COUNTA(D199:E199)=0,"",N(D199)-N(E199))</f>
        <v/>
      </c>
      <c r="G199" s="32">
        <f>IFERROR(VLOOKUP($B199,'开奖记录'!$A:$K,2,FALSE),"")</f>
        <v/>
      </c>
      <c r="H199" s="32">
        <f>IFERROR(VLOOKUP($B199,'开奖记录'!$A:$K,9,FALSE),"")</f>
        <v/>
      </c>
      <c r="I199" s="32">
        <f>IFERROR(VLOOKUP($B199,'开奖记录'!$A:$K,11,FALSE),"")</f>
        <v/>
      </c>
      <c r="J199" s="32">
        <f>IF($B199="","",IF(ISNUMBER($D199),"命中",IF(ISNUMBER($E199),"未命中","")))</f>
        <v/>
      </c>
      <c r="K199" s="35" t="inlineStr">
        <is>
          <t>40+5=龙狗牛羊</t>
        </is>
      </c>
      <c r="L199" s="32">
        <f>IFERROR(TEXT(VLOOKUP($B199-1,开奖记录!$A:$L,3,FALSE),"00")&amp;"+5="&amp;VLOOKUP(MOD(VLOOKUP($B199-1,开奖记录!$A:$L,3,FALSE)+4,49)+1,规律参数!$A:$C,3,FALSE),"")</f>
        <v/>
      </c>
      <c r="M199" s="32">
        <f>IF(L199="","",IF(I199="","待开奖",IF(ISNUMBER(SEARCH(I199,L199)),"命中","未命中")))</f>
        <v/>
      </c>
      <c r="N199" s="32">
        <f>IFERROR(VLOOKUP(VLOOKUP($B199-1,开奖记录!$A:$L,11,FALSE),八肖参数!$A:$B,2,FALSE),"")</f>
        <v/>
      </c>
      <c r="O199" s="32">
        <f>IF(N199="","",IF(I199="","待开奖",IF(ISNUMBER(SEARCH(I199,N199)),"命中","未命中")))</f>
        <v/>
      </c>
    </row>
    <row r="200" ht="23" customHeight="1" s="21">
      <c r="A200" s="32" t="n">
        <v>199</v>
      </c>
      <c r="B200" s="32">
        <f>IF(COUNTA(C200:E200)=0,"",B199+1)</f>
        <v/>
      </c>
      <c r="C200" s="33" t="inlineStr"/>
      <c r="D200" s="34" t="n"/>
      <c r="E200" s="34" t="n"/>
      <c r="F200" s="34">
        <f>IF(COUNTA(D200:E200)=0,"",N(D200)-N(E200))</f>
        <v/>
      </c>
      <c r="G200" s="32">
        <f>IFERROR(VLOOKUP($B200,'开奖记录'!$A:$K,2,FALSE),"")</f>
        <v/>
      </c>
      <c r="H200" s="32">
        <f>IFERROR(VLOOKUP($B200,'开奖记录'!$A:$K,9,FALSE),"")</f>
        <v/>
      </c>
      <c r="I200" s="32">
        <f>IFERROR(VLOOKUP($B200,'开奖记录'!$A:$K,11,FALSE),"")</f>
        <v/>
      </c>
      <c r="J200" s="32">
        <f>IF($B200="","",IF(ISNUMBER($D200),"命中",IF(ISNUMBER($E200),"未命中","")))</f>
        <v/>
      </c>
      <c r="K200" s="35" t="inlineStr">
        <is>
          <t>48+5=兔鸡蛇猪</t>
        </is>
      </c>
      <c r="L200" s="32">
        <f>IFERROR(TEXT(VLOOKUP($B200-1,开奖记录!$A:$L,3,FALSE),"00")&amp;"+5="&amp;VLOOKUP(MOD(VLOOKUP($B200-1,开奖记录!$A:$L,3,FALSE)+4,49)+1,规律参数!$A:$C,3,FALSE),"")</f>
        <v/>
      </c>
      <c r="M200" s="32">
        <f>IF(L200="","",IF(I200="","待开奖",IF(ISNUMBER(SEARCH(I200,L200)),"命中","未命中")))</f>
        <v/>
      </c>
      <c r="N200" s="32">
        <f>IFERROR(VLOOKUP(VLOOKUP($B200-1,开奖记录!$A:$L,11,FALSE),八肖参数!$A:$B,2,FALSE),"")</f>
        <v/>
      </c>
      <c r="O200" s="32">
        <f>IF(N200="","",IF(I200="","待开奖",IF(ISNUMBER(SEARCH(I200,N200)),"命中","未命中")))</f>
        <v/>
      </c>
    </row>
    <row r="201" ht="23" customHeight="1" s="21">
      <c r="A201" s="32" t="n">
        <v>200</v>
      </c>
      <c r="B201" s="32">
        <f>IF(COUNTA(C201:E201)=0,"",B200+1)</f>
        <v/>
      </c>
      <c r="C201" s="33" t="inlineStr"/>
      <c r="D201" s="34" t="n"/>
      <c r="E201" s="34" t="n"/>
      <c r="F201" s="34">
        <f>IF(COUNTA(D201:E201)=0,"",N(D201)-N(E201))</f>
        <v/>
      </c>
      <c r="G201" s="32">
        <f>IFERROR(VLOOKUP($B201,'开奖记录'!$A:$K,2,FALSE),"")</f>
        <v/>
      </c>
      <c r="H201" s="32">
        <f>IFERROR(VLOOKUP($B201,'开奖记录'!$A:$K,9,FALSE),"")</f>
        <v/>
      </c>
      <c r="I201" s="32">
        <f>IFERROR(VLOOKUP($B201,'开奖记录'!$A:$K,11,FALSE),"")</f>
        <v/>
      </c>
      <c r="J201" s="32">
        <f>IF($B201="","",IF(ISNUMBER($D201),"命中",IF(ISNUMBER($E201),"未命中","")))</f>
        <v/>
      </c>
      <c r="K201" s="35" t="inlineStr"/>
      <c r="L201" s="32">
        <f>IFERROR(TEXT(VLOOKUP($B201-1,开奖记录!$A:$L,3,FALSE),"00")&amp;"+5="&amp;VLOOKUP(MOD(VLOOKUP($B201-1,开奖记录!$A:$L,3,FALSE)+4,49)+1,规律参数!$A:$C,3,FALSE),"")</f>
        <v/>
      </c>
      <c r="M201" s="32">
        <f>IF(L201="","",IF(I201="","待开奖",IF(ISNUMBER(SEARCH(I201,L201)),"命中","未命中")))</f>
        <v/>
      </c>
      <c r="N201" s="32">
        <f>IFERROR(VLOOKUP(VLOOKUP($B201-1,开奖记录!$A:$L,11,FALSE),八肖参数!$A:$B,2,FALSE),"")</f>
        <v/>
      </c>
      <c r="O201" s="32">
        <f>IF(N201="","",IF(I201="","待开奖",IF(ISNUMBER(SEARCH(I201,N201)),"命中","未命中")))</f>
        <v/>
      </c>
    </row>
    <row r="202" ht="23" customHeight="1" s="21">
      <c r="A202" s="32" t="n">
        <v>201</v>
      </c>
      <c r="B202" s="32">
        <f>IF(COUNTA(C202:E202)=0,"",B201+1)</f>
        <v/>
      </c>
      <c r="C202" s="33" t="inlineStr"/>
      <c r="D202" s="34" t="n"/>
      <c r="E202" s="34" t="n"/>
      <c r="F202" s="34">
        <f>IF(COUNTA(D202:E202)=0,"",N(D202)-N(E202))</f>
        <v/>
      </c>
      <c r="G202" s="32">
        <f>IFERROR(VLOOKUP($B202,'开奖记录'!$A:$K,2,FALSE),"")</f>
        <v/>
      </c>
      <c r="H202" s="32">
        <f>IFERROR(VLOOKUP($B202,'开奖记录'!$A:$K,9,FALSE),"")</f>
        <v/>
      </c>
      <c r="I202" s="32">
        <f>IFERROR(VLOOKUP($B202,'开奖记录'!$A:$K,11,FALSE),"")</f>
        <v/>
      </c>
      <c r="J202" s="32">
        <f>IF($B202="","",IF(ISNUMBER($D202),"命中",IF(ISNUMBER($E202),"未命中","")))</f>
        <v/>
      </c>
      <c r="K202" s="35" t="inlineStr"/>
      <c r="L202" s="32">
        <f>IFERROR(TEXT(VLOOKUP($B202-1,开奖记录!$A:$L,3,FALSE),"00")&amp;"+5="&amp;VLOOKUP(MOD(VLOOKUP($B202-1,开奖记录!$A:$L,3,FALSE)+4,49)+1,规律参数!$A:$C,3,FALSE),"")</f>
        <v/>
      </c>
      <c r="M202" s="32">
        <f>IF(L202="","",IF(I202="","待开奖",IF(ISNUMBER(SEARCH(I202,L202)),"命中","未命中")))</f>
        <v/>
      </c>
      <c r="N202" s="32">
        <f>IFERROR(VLOOKUP(VLOOKUP($B202-1,开奖记录!$A:$L,11,FALSE),八肖参数!$A:$B,2,FALSE),"")</f>
        <v/>
      </c>
      <c r="O202" s="32">
        <f>IF(N202="","",IF(I202="","待开奖",IF(ISNUMBER(SEARCH(I202,N202)),"命中","未命中")))</f>
        <v/>
      </c>
    </row>
    <row r="203" ht="23" customHeight="1" s="21">
      <c r="A203" s="32" t="n">
        <v>202</v>
      </c>
      <c r="B203" s="32">
        <f>IF(COUNTA(C203:E203)=0,"",B202+1)</f>
        <v/>
      </c>
      <c r="C203" s="33" t="inlineStr"/>
      <c r="D203" s="34" t="n"/>
      <c r="E203" s="34" t="n"/>
      <c r="F203" s="34">
        <f>IF(COUNTA(D203:E203)=0,"",N(D203)-N(E203))</f>
        <v/>
      </c>
      <c r="G203" s="32">
        <f>IFERROR(VLOOKUP($B203,'开奖记录'!$A:$K,2,FALSE),"")</f>
        <v/>
      </c>
      <c r="H203" s="32">
        <f>IFERROR(VLOOKUP($B203,'开奖记录'!$A:$K,9,FALSE),"")</f>
        <v/>
      </c>
      <c r="I203" s="32">
        <f>IFERROR(VLOOKUP($B203,'开奖记录'!$A:$K,11,FALSE),"")</f>
        <v/>
      </c>
      <c r="J203" s="32">
        <f>IF($B203="","",IF(ISNUMBER($D203),"命中",IF(ISNUMBER($E203),"未命中","")))</f>
        <v/>
      </c>
      <c r="K203" s="35" t="inlineStr"/>
      <c r="L203" s="32">
        <f>IFERROR(TEXT(VLOOKUP($B203-1,开奖记录!$A:$L,3,FALSE),"00")&amp;"+5="&amp;VLOOKUP(MOD(VLOOKUP($B203-1,开奖记录!$A:$L,3,FALSE)+4,49)+1,规律参数!$A:$C,3,FALSE),"")</f>
        <v/>
      </c>
      <c r="M203" s="32">
        <f>IF(L203="","",IF(I203="","待开奖",IF(ISNUMBER(SEARCH(I203,L203)),"命中","未命中")))</f>
        <v/>
      </c>
      <c r="N203" s="32">
        <f>IFERROR(VLOOKUP(VLOOKUP($B203-1,开奖记录!$A:$L,11,FALSE),八肖参数!$A:$B,2,FALSE),"")</f>
        <v/>
      </c>
      <c r="O203" s="32">
        <f>IF(N203="","",IF(I203="","待开奖",IF(ISNUMBER(SEARCH(I203,N203)),"命中","未命中")))</f>
        <v/>
      </c>
    </row>
    <row r="204" ht="23" customHeight="1" s="21">
      <c r="A204" s="32" t="n">
        <v>203</v>
      </c>
      <c r="B204" s="32">
        <f>IF(COUNTA(C204:E204)=0,"",B203+1)</f>
        <v/>
      </c>
      <c r="C204" s="33" t="inlineStr"/>
      <c r="D204" s="34" t="n"/>
      <c r="E204" s="34" t="n"/>
      <c r="F204" s="34">
        <f>IF(COUNTA(D204:E204)=0,"",N(D204)-N(E204))</f>
        <v/>
      </c>
      <c r="G204" s="32">
        <f>IFERROR(VLOOKUP($B204,'开奖记录'!$A:$K,2,FALSE),"")</f>
        <v/>
      </c>
      <c r="H204" s="32">
        <f>IFERROR(VLOOKUP($B204,'开奖记录'!$A:$K,9,FALSE),"")</f>
        <v/>
      </c>
      <c r="I204" s="32">
        <f>IFERROR(VLOOKUP($B204,'开奖记录'!$A:$K,11,FALSE),"")</f>
        <v/>
      </c>
      <c r="J204" s="32">
        <f>IF($B204="","",IF(ISNUMBER($D204),"命中",IF(ISNUMBER($E204),"未命中","")))</f>
        <v/>
      </c>
      <c r="K204" s="35" t="inlineStr"/>
      <c r="L204" s="32">
        <f>IFERROR(TEXT(VLOOKUP($B204-1,开奖记录!$A:$L,3,FALSE),"00")&amp;"+5="&amp;VLOOKUP(MOD(VLOOKUP($B204-1,开奖记录!$A:$L,3,FALSE)+4,49)+1,规律参数!$A:$C,3,FALSE),"")</f>
        <v/>
      </c>
      <c r="M204" s="32">
        <f>IF(L204="","",IF(I204="","待开奖",IF(ISNUMBER(SEARCH(I204,L204)),"命中","未命中")))</f>
        <v/>
      </c>
      <c r="N204" s="32">
        <f>IFERROR(VLOOKUP(VLOOKUP($B204-1,开奖记录!$A:$L,11,FALSE),八肖参数!$A:$B,2,FALSE),"")</f>
        <v/>
      </c>
      <c r="O204" s="32">
        <f>IF(N204="","",IF(I204="","待开奖",IF(ISNUMBER(SEARCH(I204,N204)),"命中","未命中")))</f>
        <v/>
      </c>
    </row>
    <row r="205" ht="23" customHeight="1" s="21">
      <c r="A205" s="32" t="n">
        <v>204</v>
      </c>
      <c r="B205" s="32">
        <f>IF(COUNTA(C205:E205)=0,"",B204+1)</f>
        <v/>
      </c>
      <c r="C205" s="33" t="inlineStr"/>
      <c r="D205" s="34" t="n"/>
      <c r="E205" s="34" t="n"/>
      <c r="F205" s="34">
        <f>IF(COUNTA(D205:E205)=0,"",N(D205)-N(E205))</f>
        <v/>
      </c>
      <c r="G205" s="32">
        <f>IFERROR(VLOOKUP($B205,'开奖记录'!$A:$K,2,FALSE),"")</f>
        <v/>
      </c>
      <c r="H205" s="32">
        <f>IFERROR(VLOOKUP($B205,'开奖记录'!$A:$K,9,FALSE),"")</f>
        <v/>
      </c>
      <c r="I205" s="32">
        <f>IFERROR(VLOOKUP($B205,'开奖记录'!$A:$K,11,FALSE),"")</f>
        <v/>
      </c>
      <c r="J205" s="32">
        <f>IF($B205="","",IF(ISNUMBER($D205),"命中",IF(ISNUMBER($E205),"未命中","")))</f>
        <v/>
      </c>
      <c r="K205" s="35" t="inlineStr"/>
      <c r="L205" s="32">
        <f>IFERROR(TEXT(VLOOKUP($B205-1,开奖记录!$A:$L,3,FALSE),"00")&amp;"+5="&amp;VLOOKUP(MOD(VLOOKUP($B205-1,开奖记录!$A:$L,3,FALSE)+4,49)+1,规律参数!$A:$C,3,FALSE),"")</f>
        <v/>
      </c>
      <c r="M205" s="32">
        <f>IF(L205="","",IF(I205="","待开奖",IF(ISNUMBER(SEARCH(I205,L205)),"命中","未命中")))</f>
        <v/>
      </c>
      <c r="N205" s="32">
        <f>IFERROR(VLOOKUP(VLOOKUP($B205-1,开奖记录!$A:$L,11,FALSE),八肖参数!$A:$B,2,FALSE),"")</f>
        <v/>
      </c>
      <c r="O205" s="32">
        <f>IF(N205="","",IF(I205="","待开奖",IF(ISNUMBER(SEARCH(I205,N205)),"命中","未命中")))</f>
        <v/>
      </c>
    </row>
    <row r="206" ht="23" customHeight="1" s="21">
      <c r="A206" s="32" t="n">
        <v>205</v>
      </c>
      <c r="B206" s="32">
        <f>IF(COUNTA(C206:E206)=0,"",B205+1)</f>
        <v/>
      </c>
      <c r="C206" s="33" t="inlineStr"/>
      <c r="D206" s="34" t="n"/>
      <c r="E206" s="34" t="n"/>
      <c r="F206" s="34">
        <f>IF(COUNTA(D206:E206)=0,"",N(D206)-N(E206))</f>
        <v/>
      </c>
      <c r="G206" s="32">
        <f>IFERROR(VLOOKUP($B206,'开奖记录'!$A:$K,2,FALSE),"")</f>
        <v/>
      </c>
      <c r="H206" s="32">
        <f>IFERROR(VLOOKUP($B206,'开奖记录'!$A:$K,9,FALSE),"")</f>
        <v/>
      </c>
      <c r="I206" s="32">
        <f>IFERROR(VLOOKUP($B206,'开奖记录'!$A:$K,11,FALSE),"")</f>
        <v/>
      </c>
      <c r="J206" s="32">
        <f>IF($B206="","",IF(ISNUMBER($D206),"命中",IF(ISNUMBER($E206),"未命中","")))</f>
        <v/>
      </c>
      <c r="K206" s="35" t="inlineStr"/>
      <c r="L206" s="32">
        <f>IFERROR(TEXT(VLOOKUP($B206-1,开奖记录!$A:$L,3,FALSE),"00")&amp;"+5="&amp;VLOOKUP(MOD(VLOOKUP($B206-1,开奖记录!$A:$L,3,FALSE)+4,49)+1,规律参数!$A:$C,3,FALSE),"")</f>
        <v/>
      </c>
      <c r="M206" s="32">
        <f>IF(L206="","",IF(I206="","待开奖",IF(ISNUMBER(SEARCH(I206,L206)),"命中","未命中")))</f>
        <v/>
      </c>
      <c r="N206" s="32">
        <f>IFERROR(VLOOKUP(VLOOKUP($B206-1,开奖记录!$A:$L,11,FALSE),八肖参数!$A:$B,2,FALSE),"")</f>
        <v/>
      </c>
      <c r="O206" s="32">
        <f>IF(N206="","",IF(I206="","待开奖",IF(ISNUMBER(SEARCH(I206,N206)),"命中","未命中")))</f>
        <v/>
      </c>
    </row>
    <row r="207" ht="23" customHeight="1" s="21">
      <c r="A207" s="32" t="n">
        <v>206</v>
      </c>
      <c r="B207" s="32">
        <f>IF(COUNTA(C207:E207)=0,"",B206+1)</f>
        <v/>
      </c>
      <c r="C207" s="33" t="inlineStr"/>
      <c r="D207" s="34" t="n"/>
      <c r="E207" s="34" t="n"/>
      <c r="F207" s="34">
        <f>IF(COUNTA(D207:E207)=0,"",N(D207)-N(E207))</f>
        <v/>
      </c>
      <c r="G207" s="32">
        <f>IFERROR(VLOOKUP($B207,'开奖记录'!$A:$K,2,FALSE),"")</f>
        <v/>
      </c>
      <c r="H207" s="32">
        <f>IFERROR(VLOOKUP($B207,'开奖记录'!$A:$K,9,FALSE),"")</f>
        <v/>
      </c>
      <c r="I207" s="32">
        <f>IFERROR(VLOOKUP($B207,'开奖记录'!$A:$K,11,FALSE),"")</f>
        <v/>
      </c>
      <c r="J207" s="32">
        <f>IF($B207="","",IF(ISNUMBER($D207),"命中",IF(ISNUMBER($E207),"未命中","")))</f>
        <v/>
      </c>
      <c r="K207" s="35" t="inlineStr"/>
      <c r="L207" s="32">
        <f>IFERROR(TEXT(VLOOKUP($B207-1,开奖记录!$A:$L,3,FALSE),"00")&amp;"+5="&amp;VLOOKUP(MOD(VLOOKUP($B207-1,开奖记录!$A:$L,3,FALSE)+4,49)+1,规律参数!$A:$C,3,FALSE),"")</f>
        <v/>
      </c>
      <c r="M207" s="32">
        <f>IF(L207="","",IF(I207="","待开奖",IF(ISNUMBER(SEARCH(I207,L207)),"命中","未命中")))</f>
        <v/>
      </c>
      <c r="N207" s="32">
        <f>IFERROR(VLOOKUP(VLOOKUP($B207-1,开奖记录!$A:$L,11,FALSE),八肖参数!$A:$B,2,FALSE),"")</f>
        <v/>
      </c>
      <c r="O207" s="32">
        <f>IF(N207="","",IF(I207="","待开奖",IF(ISNUMBER(SEARCH(I207,N207)),"命中","未命中")))</f>
        <v/>
      </c>
    </row>
    <row r="208" ht="23" customHeight="1" s="21">
      <c r="A208" s="32" t="n">
        <v>207</v>
      </c>
      <c r="B208" s="32">
        <f>IF(COUNTA(C208:E208)=0,"",B207+1)</f>
        <v/>
      </c>
      <c r="C208" s="33" t="inlineStr"/>
      <c r="D208" s="34" t="n"/>
      <c r="E208" s="34" t="n"/>
      <c r="F208" s="34">
        <f>IF(COUNTA(D208:E208)=0,"",N(D208)-N(E208))</f>
        <v/>
      </c>
      <c r="G208" s="32">
        <f>IFERROR(VLOOKUP($B208,'开奖记录'!$A:$K,2,FALSE),"")</f>
        <v/>
      </c>
      <c r="H208" s="32">
        <f>IFERROR(VLOOKUP($B208,'开奖记录'!$A:$K,9,FALSE),"")</f>
        <v/>
      </c>
      <c r="I208" s="32">
        <f>IFERROR(VLOOKUP($B208,'开奖记录'!$A:$K,11,FALSE),"")</f>
        <v/>
      </c>
      <c r="J208" s="32">
        <f>IF($B208="","",IF(ISNUMBER($D208),"命中",IF(ISNUMBER($E208),"未命中","")))</f>
        <v/>
      </c>
      <c r="K208" s="35" t="inlineStr"/>
      <c r="L208" s="32">
        <f>IFERROR(TEXT(VLOOKUP($B208-1,开奖记录!$A:$L,3,FALSE),"00")&amp;"+5="&amp;VLOOKUP(MOD(VLOOKUP($B208-1,开奖记录!$A:$L,3,FALSE)+4,49)+1,规律参数!$A:$C,3,FALSE),"")</f>
        <v/>
      </c>
      <c r="M208" s="32">
        <f>IF(L208="","",IF(I208="","待开奖",IF(ISNUMBER(SEARCH(I208,L208)),"命中","未命中")))</f>
        <v/>
      </c>
      <c r="N208" s="32">
        <f>IFERROR(VLOOKUP(VLOOKUP($B208-1,开奖记录!$A:$L,11,FALSE),八肖参数!$A:$B,2,FALSE),"")</f>
        <v/>
      </c>
      <c r="O208" s="32">
        <f>IF(N208="","",IF(I208="","待开奖",IF(ISNUMBER(SEARCH(I208,N208)),"命中","未命中")))</f>
        <v/>
      </c>
    </row>
    <row r="209" ht="23" customHeight="1" s="21">
      <c r="A209" s="32" t="n">
        <v>208</v>
      </c>
      <c r="B209" s="32">
        <f>IF(COUNTA(C209:E209)=0,"",B208+1)</f>
        <v/>
      </c>
      <c r="C209" s="33" t="inlineStr"/>
      <c r="D209" s="34" t="n"/>
      <c r="E209" s="34" t="n"/>
      <c r="F209" s="34">
        <f>IF(COUNTA(D209:E209)=0,"",N(D209)-N(E209))</f>
        <v/>
      </c>
      <c r="G209" s="32">
        <f>IFERROR(VLOOKUP($B209,'开奖记录'!$A:$K,2,FALSE),"")</f>
        <v/>
      </c>
      <c r="H209" s="32">
        <f>IFERROR(VLOOKUP($B209,'开奖记录'!$A:$K,9,FALSE),"")</f>
        <v/>
      </c>
      <c r="I209" s="32">
        <f>IFERROR(VLOOKUP($B209,'开奖记录'!$A:$K,11,FALSE),"")</f>
        <v/>
      </c>
      <c r="J209" s="32">
        <f>IF($B209="","",IF(ISNUMBER($D209),"命中",IF(ISNUMBER($E209),"未命中","")))</f>
        <v/>
      </c>
      <c r="K209" s="35" t="inlineStr"/>
      <c r="L209" s="32">
        <f>IFERROR(TEXT(VLOOKUP($B209-1,开奖记录!$A:$L,3,FALSE),"00")&amp;"+5="&amp;VLOOKUP(MOD(VLOOKUP($B209-1,开奖记录!$A:$L,3,FALSE)+4,49)+1,规律参数!$A:$C,3,FALSE),"")</f>
        <v/>
      </c>
      <c r="M209" s="32">
        <f>IF(L209="","",IF(I209="","待开奖",IF(ISNUMBER(SEARCH(I209,L209)),"命中","未命中")))</f>
        <v/>
      </c>
      <c r="N209" s="32">
        <f>IFERROR(VLOOKUP(VLOOKUP($B209-1,开奖记录!$A:$L,11,FALSE),八肖参数!$A:$B,2,FALSE),"")</f>
        <v/>
      </c>
      <c r="O209" s="32">
        <f>IF(N209="","",IF(I209="","待开奖",IF(ISNUMBER(SEARCH(I209,N209)),"命中","未命中")))</f>
        <v/>
      </c>
    </row>
    <row r="210" ht="23" customHeight="1" s="21">
      <c r="A210" s="32" t="n">
        <v>209</v>
      </c>
      <c r="B210" s="32">
        <f>IF(COUNTA(C210:E210)=0,"",B209+1)</f>
        <v/>
      </c>
      <c r="C210" s="33" t="inlineStr"/>
      <c r="D210" s="34" t="n"/>
      <c r="E210" s="34" t="n"/>
      <c r="F210" s="34">
        <f>IF(COUNTA(D210:E210)=0,"",N(D210)-N(E210))</f>
        <v/>
      </c>
      <c r="G210" s="32">
        <f>IFERROR(VLOOKUP($B210,'开奖记录'!$A:$K,2,FALSE),"")</f>
        <v/>
      </c>
      <c r="H210" s="32">
        <f>IFERROR(VLOOKUP($B210,'开奖记录'!$A:$K,9,FALSE),"")</f>
        <v/>
      </c>
      <c r="I210" s="32">
        <f>IFERROR(VLOOKUP($B210,'开奖记录'!$A:$K,11,FALSE),"")</f>
        <v/>
      </c>
      <c r="J210" s="32">
        <f>IF($B210="","",IF(ISNUMBER($D210),"命中",IF(ISNUMBER($E210),"未命中","")))</f>
        <v/>
      </c>
      <c r="K210" s="35" t="inlineStr"/>
      <c r="L210" s="32">
        <f>IFERROR(TEXT(VLOOKUP($B210-1,开奖记录!$A:$L,3,FALSE),"00")&amp;"+5="&amp;VLOOKUP(MOD(VLOOKUP($B210-1,开奖记录!$A:$L,3,FALSE)+4,49)+1,规律参数!$A:$C,3,FALSE),"")</f>
        <v/>
      </c>
      <c r="M210" s="32">
        <f>IF(L210="","",IF(I210="","待开奖",IF(ISNUMBER(SEARCH(I210,L210)),"命中","未命中")))</f>
        <v/>
      </c>
      <c r="N210" s="32">
        <f>IFERROR(VLOOKUP(VLOOKUP($B210-1,开奖记录!$A:$L,11,FALSE),八肖参数!$A:$B,2,FALSE),"")</f>
        <v/>
      </c>
      <c r="O210" s="32">
        <f>IF(N210="","",IF(I210="","待开奖",IF(ISNUMBER(SEARCH(I210,N210)),"命中","未命中")))</f>
        <v/>
      </c>
    </row>
    <row r="211" ht="23" customHeight="1" s="21">
      <c r="A211" s="32" t="n">
        <v>210</v>
      </c>
      <c r="B211" s="32">
        <f>IF(COUNTA(C211:E211)=0,"",B210+1)</f>
        <v/>
      </c>
      <c r="C211" s="33" t="inlineStr"/>
      <c r="D211" s="34" t="n"/>
      <c r="E211" s="34" t="n"/>
      <c r="F211" s="34">
        <f>IF(COUNTA(D211:E211)=0,"",N(D211)-N(E211))</f>
        <v/>
      </c>
      <c r="G211" s="32">
        <f>IFERROR(VLOOKUP($B211,'开奖记录'!$A:$K,2,FALSE),"")</f>
        <v/>
      </c>
      <c r="H211" s="32">
        <f>IFERROR(VLOOKUP($B211,'开奖记录'!$A:$K,9,FALSE),"")</f>
        <v/>
      </c>
      <c r="I211" s="32">
        <f>IFERROR(VLOOKUP($B211,'开奖记录'!$A:$K,11,FALSE),"")</f>
        <v/>
      </c>
      <c r="J211" s="32">
        <f>IF($B211="","",IF(ISNUMBER($D211),"命中",IF(ISNUMBER($E211),"未命中","")))</f>
        <v/>
      </c>
      <c r="K211" s="35" t="inlineStr"/>
      <c r="L211" s="32">
        <f>IFERROR(TEXT(VLOOKUP($B211-1,开奖记录!$A:$L,3,FALSE),"00")&amp;"+5="&amp;VLOOKUP(MOD(VLOOKUP($B211-1,开奖记录!$A:$L,3,FALSE)+4,49)+1,规律参数!$A:$C,3,FALSE),"")</f>
        <v/>
      </c>
      <c r="M211" s="32">
        <f>IF(L211="","",IF(I211="","待开奖",IF(ISNUMBER(SEARCH(I211,L211)),"命中","未命中")))</f>
        <v/>
      </c>
      <c r="N211" s="32">
        <f>IFERROR(VLOOKUP(VLOOKUP($B211-1,开奖记录!$A:$L,11,FALSE),八肖参数!$A:$B,2,FALSE),"")</f>
        <v/>
      </c>
      <c r="O211" s="32">
        <f>IF(N211="","",IF(I211="","待开奖",IF(ISNUMBER(SEARCH(I211,N211)),"命中","未命中")))</f>
        <v/>
      </c>
    </row>
    <row r="212" ht="23" customHeight="1" s="21">
      <c r="A212" s="32" t="n">
        <v>211</v>
      </c>
      <c r="B212" s="32">
        <f>IF(COUNTA(C212:E212)=0,"",B211+1)</f>
        <v/>
      </c>
      <c r="C212" s="33" t="inlineStr"/>
      <c r="D212" s="34" t="n"/>
      <c r="E212" s="34" t="n"/>
      <c r="F212" s="34">
        <f>IF(COUNTA(D212:E212)=0,"",N(D212)-N(E212))</f>
        <v/>
      </c>
      <c r="G212" s="32">
        <f>IFERROR(VLOOKUP($B212,'开奖记录'!$A:$K,2,FALSE),"")</f>
        <v/>
      </c>
      <c r="H212" s="32">
        <f>IFERROR(VLOOKUP($B212,'开奖记录'!$A:$K,9,FALSE),"")</f>
        <v/>
      </c>
      <c r="I212" s="32">
        <f>IFERROR(VLOOKUP($B212,'开奖记录'!$A:$K,11,FALSE),"")</f>
        <v/>
      </c>
      <c r="J212" s="32">
        <f>IF($B212="","",IF(ISNUMBER($D212),"命中",IF(ISNUMBER($E212),"未命中","")))</f>
        <v/>
      </c>
      <c r="K212" s="35" t="inlineStr"/>
      <c r="L212" s="32">
        <f>IFERROR(TEXT(VLOOKUP($B212-1,开奖记录!$A:$L,3,FALSE),"00")&amp;"+5="&amp;VLOOKUP(MOD(VLOOKUP($B212-1,开奖记录!$A:$L,3,FALSE)+4,49)+1,规律参数!$A:$C,3,FALSE),"")</f>
        <v/>
      </c>
      <c r="M212" s="32">
        <f>IF(L212="","",IF(I212="","待开奖",IF(ISNUMBER(SEARCH(I212,L212)),"命中","未命中")))</f>
        <v/>
      </c>
      <c r="N212" s="32">
        <f>IFERROR(VLOOKUP(VLOOKUP($B212-1,开奖记录!$A:$L,11,FALSE),八肖参数!$A:$B,2,FALSE),"")</f>
        <v/>
      </c>
      <c r="O212" s="32">
        <f>IF(N212="","",IF(I212="","待开奖",IF(ISNUMBER(SEARCH(I212,N212)),"命中","未命中")))</f>
        <v/>
      </c>
    </row>
    <row r="213" ht="23" customHeight="1" s="21">
      <c r="A213" s="32" t="n">
        <v>212</v>
      </c>
      <c r="B213" s="32">
        <f>IF(COUNTA(C213:E213)=0,"",B212+1)</f>
        <v/>
      </c>
      <c r="C213" s="33" t="inlineStr"/>
      <c r="D213" s="34" t="n"/>
      <c r="E213" s="34" t="n"/>
      <c r="F213" s="34">
        <f>IF(COUNTA(D213:E213)=0,"",N(D213)-N(E213))</f>
        <v/>
      </c>
      <c r="G213" s="32">
        <f>IFERROR(VLOOKUP($B213,'开奖记录'!$A:$K,2,FALSE),"")</f>
        <v/>
      </c>
      <c r="H213" s="32">
        <f>IFERROR(VLOOKUP($B213,'开奖记录'!$A:$K,9,FALSE),"")</f>
        <v/>
      </c>
      <c r="I213" s="32">
        <f>IFERROR(VLOOKUP($B213,'开奖记录'!$A:$K,11,FALSE),"")</f>
        <v/>
      </c>
      <c r="J213" s="32">
        <f>IF($B213="","",IF(ISNUMBER($D213),"命中",IF(ISNUMBER($E213),"未命中","")))</f>
        <v/>
      </c>
      <c r="K213" s="35" t="inlineStr"/>
      <c r="L213" s="32">
        <f>IFERROR(TEXT(VLOOKUP($B213-1,开奖记录!$A:$L,3,FALSE),"00")&amp;"+5="&amp;VLOOKUP(MOD(VLOOKUP($B213-1,开奖记录!$A:$L,3,FALSE)+4,49)+1,规律参数!$A:$C,3,FALSE),"")</f>
        <v/>
      </c>
      <c r="M213" s="32">
        <f>IF(L213="","",IF(I213="","待开奖",IF(ISNUMBER(SEARCH(I213,L213)),"命中","未命中")))</f>
        <v/>
      </c>
      <c r="N213" s="32">
        <f>IFERROR(VLOOKUP(VLOOKUP($B213-1,开奖记录!$A:$L,11,FALSE),八肖参数!$A:$B,2,FALSE),"")</f>
        <v/>
      </c>
      <c r="O213" s="32">
        <f>IF(N213="","",IF(I213="","待开奖",IF(ISNUMBER(SEARCH(I213,N213)),"命中","未命中")))</f>
        <v/>
      </c>
    </row>
    <row r="214" ht="23" customHeight="1" s="21">
      <c r="A214" s="32" t="n">
        <v>213</v>
      </c>
      <c r="B214" s="32">
        <f>IF(COUNTA(C214:E214)=0,"",B213+1)</f>
        <v/>
      </c>
      <c r="C214" s="33" t="inlineStr"/>
      <c r="D214" s="34" t="n"/>
      <c r="E214" s="34" t="n"/>
      <c r="F214" s="34">
        <f>IF(COUNTA(D214:E214)=0,"",N(D214)-N(E214))</f>
        <v/>
      </c>
      <c r="G214" s="32">
        <f>IFERROR(VLOOKUP($B214,'开奖记录'!$A:$K,2,FALSE),"")</f>
        <v/>
      </c>
      <c r="H214" s="32">
        <f>IFERROR(VLOOKUP($B214,'开奖记录'!$A:$K,9,FALSE),"")</f>
        <v/>
      </c>
      <c r="I214" s="32">
        <f>IFERROR(VLOOKUP($B214,'开奖记录'!$A:$K,11,FALSE),"")</f>
        <v/>
      </c>
      <c r="J214" s="32">
        <f>IF($B214="","",IF(ISNUMBER($D214),"命中",IF(ISNUMBER($E214),"未命中","")))</f>
        <v/>
      </c>
      <c r="K214" s="35" t="inlineStr"/>
      <c r="L214" s="32">
        <f>IFERROR(TEXT(VLOOKUP($B214-1,开奖记录!$A:$L,3,FALSE),"00")&amp;"+5="&amp;VLOOKUP(MOD(VLOOKUP($B214-1,开奖记录!$A:$L,3,FALSE)+4,49)+1,规律参数!$A:$C,3,FALSE),"")</f>
        <v/>
      </c>
      <c r="M214" s="32">
        <f>IF(L214="","",IF(I214="","待开奖",IF(ISNUMBER(SEARCH(I214,L214)),"命中","未命中")))</f>
        <v/>
      </c>
      <c r="N214" s="32">
        <f>IFERROR(VLOOKUP(VLOOKUP($B214-1,开奖记录!$A:$L,11,FALSE),八肖参数!$A:$B,2,FALSE),"")</f>
        <v/>
      </c>
      <c r="O214" s="32">
        <f>IF(N214="","",IF(I214="","待开奖",IF(ISNUMBER(SEARCH(I214,N214)),"命中","未命中")))</f>
        <v/>
      </c>
    </row>
    <row r="215" ht="23" customHeight="1" s="21">
      <c r="A215" s="32" t="n">
        <v>214</v>
      </c>
      <c r="B215" s="32">
        <f>IF(COUNTA(C215:E215)=0,"",B214+1)</f>
        <v/>
      </c>
      <c r="C215" s="33" t="inlineStr"/>
      <c r="D215" s="34" t="n"/>
      <c r="E215" s="34" t="n"/>
      <c r="F215" s="34">
        <f>IF(COUNTA(D215:E215)=0,"",N(D215)-N(E215))</f>
        <v/>
      </c>
      <c r="G215" s="32">
        <f>IFERROR(VLOOKUP($B215,'开奖记录'!$A:$K,2,FALSE),"")</f>
        <v/>
      </c>
      <c r="H215" s="32">
        <f>IFERROR(VLOOKUP($B215,'开奖记录'!$A:$K,9,FALSE),"")</f>
        <v/>
      </c>
      <c r="I215" s="32">
        <f>IFERROR(VLOOKUP($B215,'开奖记录'!$A:$K,11,FALSE),"")</f>
        <v/>
      </c>
      <c r="J215" s="32">
        <f>IF($B215="","",IF(ISNUMBER($D215),"命中",IF(ISNUMBER($E215),"未命中","")))</f>
        <v/>
      </c>
      <c r="K215" s="35" t="inlineStr"/>
      <c r="L215" s="32">
        <f>IFERROR(TEXT(VLOOKUP($B215-1,开奖记录!$A:$L,3,FALSE),"00")&amp;"+5="&amp;VLOOKUP(MOD(VLOOKUP($B215-1,开奖记录!$A:$L,3,FALSE)+4,49)+1,规律参数!$A:$C,3,FALSE),"")</f>
        <v/>
      </c>
      <c r="M215" s="32">
        <f>IF(L215="","",IF(I215="","待开奖",IF(ISNUMBER(SEARCH(I215,L215)),"命中","未命中")))</f>
        <v/>
      </c>
      <c r="N215" s="32">
        <f>IFERROR(VLOOKUP(VLOOKUP($B215-1,开奖记录!$A:$L,11,FALSE),八肖参数!$A:$B,2,FALSE),"")</f>
        <v/>
      </c>
      <c r="O215" s="32">
        <f>IF(N215="","",IF(I215="","待开奖",IF(ISNUMBER(SEARCH(I215,N215)),"命中","未命中")))</f>
        <v/>
      </c>
    </row>
    <row r="216" ht="23" customHeight="1" s="21">
      <c r="A216" s="32" t="n">
        <v>215</v>
      </c>
      <c r="B216" s="32">
        <f>IF(COUNTA(C216:E216)=0,"",B215+1)</f>
        <v/>
      </c>
      <c r="C216" s="33" t="inlineStr"/>
      <c r="D216" s="34" t="n"/>
      <c r="E216" s="34" t="n"/>
      <c r="F216" s="34">
        <f>IF(COUNTA(D216:E216)=0,"",N(D216)-N(E216))</f>
        <v/>
      </c>
      <c r="G216" s="32">
        <f>IFERROR(VLOOKUP($B216,'开奖记录'!$A:$K,2,FALSE),"")</f>
        <v/>
      </c>
      <c r="H216" s="32">
        <f>IFERROR(VLOOKUP($B216,'开奖记录'!$A:$K,9,FALSE),"")</f>
        <v/>
      </c>
      <c r="I216" s="32">
        <f>IFERROR(VLOOKUP($B216,'开奖记录'!$A:$K,11,FALSE),"")</f>
        <v/>
      </c>
      <c r="J216" s="32">
        <f>IF($B216="","",IF(ISNUMBER($D216),"命中",IF(ISNUMBER($E216),"未命中","")))</f>
        <v/>
      </c>
      <c r="K216" s="35" t="inlineStr"/>
      <c r="L216" s="32">
        <f>IFERROR(TEXT(VLOOKUP($B216-1,开奖记录!$A:$L,3,FALSE),"00")&amp;"+5="&amp;VLOOKUP(MOD(VLOOKUP($B216-1,开奖记录!$A:$L,3,FALSE)+4,49)+1,规律参数!$A:$C,3,FALSE),"")</f>
        <v/>
      </c>
      <c r="M216" s="32">
        <f>IF(L216="","",IF(I216="","待开奖",IF(ISNUMBER(SEARCH(I216,L216)),"命中","未命中")))</f>
        <v/>
      </c>
      <c r="N216" s="32">
        <f>IFERROR(VLOOKUP(VLOOKUP($B216-1,开奖记录!$A:$L,11,FALSE),八肖参数!$A:$B,2,FALSE),"")</f>
        <v/>
      </c>
      <c r="O216" s="32">
        <f>IF(N216="","",IF(I216="","待开奖",IF(ISNUMBER(SEARCH(I216,N216)),"命中","未命中")))</f>
        <v/>
      </c>
    </row>
    <row r="217" ht="23" customHeight="1" s="21">
      <c r="A217" s="32" t="n">
        <v>216</v>
      </c>
      <c r="B217" s="32">
        <f>IF(COUNTA(C217:E217)=0,"",B216+1)</f>
        <v/>
      </c>
      <c r="C217" s="33" t="inlineStr"/>
      <c r="D217" s="34" t="n"/>
      <c r="E217" s="34" t="n"/>
      <c r="F217" s="34">
        <f>IF(COUNTA(D217:E217)=0,"",N(D217)-N(E217))</f>
        <v/>
      </c>
      <c r="G217" s="32">
        <f>IFERROR(VLOOKUP($B217,'开奖记录'!$A:$K,2,FALSE),"")</f>
        <v/>
      </c>
      <c r="H217" s="32">
        <f>IFERROR(VLOOKUP($B217,'开奖记录'!$A:$K,9,FALSE),"")</f>
        <v/>
      </c>
      <c r="I217" s="32">
        <f>IFERROR(VLOOKUP($B217,'开奖记录'!$A:$K,11,FALSE),"")</f>
        <v/>
      </c>
      <c r="J217" s="32">
        <f>IF($B217="","",IF(ISNUMBER($D217),"命中",IF(ISNUMBER($E217),"未命中","")))</f>
        <v/>
      </c>
      <c r="K217" s="35" t="inlineStr"/>
      <c r="L217" s="32">
        <f>IFERROR(TEXT(VLOOKUP($B217-1,开奖记录!$A:$L,3,FALSE),"00")&amp;"+5="&amp;VLOOKUP(MOD(VLOOKUP($B217-1,开奖记录!$A:$L,3,FALSE)+4,49)+1,规律参数!$A:$C,3,FALSE),"")</f>
        <v/>
      </c>
      <c r="M217" s="32">
        <f>IF(L217="","",IF(I217="","待开奖",IF(ISNUMBER(SEARCH(I217,L217)),"命中","未命中")))</f>
        <v/>
      </c>
      <c r="N217" s="32">
        <f>IFERROR(VLOOKUP(VLOOKUP($B217-1,开奖记录!$A:$L,11,FALSE),八肖参数!$A:$B,2,FALSE),"")</f>
        <v/>
      </c>
      <c r="O217" s="32">
        <f>IF(N217="","",IF(I217="","待开奖",IF(ISNUMBER(SEARCH(I217,N217)),"命中","未命中")))</f>
        <v/>
      </c>
    </row>
    <row r="218" ht="23" customHeight="1" s="21">
      <c r="A218" s="32" t="n">
        <v>217</v>
      </c>
      <c r="B218" s="32">
        <f>IF(COUNTA(C218:E218)=0,"",B217+1)</f>
        <v/>
      </c>
      <c r="C218" s="33" t="inlineStr"/>
      <c r="D218" s="34" t="n"/>
      <c r="E218" s="34" t="n"/>
      <c r="F218" s="34">
        <f>IF(COUNTA(D218:E218)=0,"",N(D218)-N(E218))</f>
        <v/>
      </c>
      <c r="G218" s="32">
        <f>IFERROR(VLOOKUP($B218,'开奖记录'!$A:$K,2,FALSE),"")</f>
        <v/>
      </c>
      <c r="H218" s="32">
        <f>IFERROR(VLOOKUP($B218,'开奖记录'!$A:$K,9,FALSE),"")</f>
        <v/>
      </c>
      <c r="I218" s="32">
        <f>IFERROR(VLOOKUP($B218,'开奖记录'!$A:$K,11,FALSE),"")</f>
        <v/>
      </c>
      <c r="J218" s="32">
        <f>IF($B218="","",IF(ISNUMBER($D218),"命中",IF(ISNUMBER($E218),"未命中","")))</f>
        <v/>
      </c>
      <c r="K218" s="35" t="inlineStr"/>
      <c r="L218" s="32">
        <f>IFERROR(TEXT(VLOOKUP($B218-1,开奖记录!$A:$L,3,FALSE),"00")&amp;"+5="&amp;VLOOKUP(MOD(VLOOKUP($B218-1,开奖记录!$A:$L,3,FALSE)+4,49)+1,规律参数!$A:$C,3,FALSE),"")</f>
        <v/>
      </c>
      <c r="M218" s="32">
        <f>IF(L218="","",IF(I218="","待开奖",IF(ISNUMBER(SEARCH(I218,L218)),"命中","未命中")))</f>
        <v/>
      </c>
      <c r="N218" s="32">
        <f>IFERROR(VLOOKUP(VLOOKUP($B218-1,开奖记录!$A:$L,11,FALSE),八肖参数!$A:$B,2,FALSE),"")</f>
        <v/>
      </c>
      <c r="O218" s="32">
        <f>IF(N218="","",IF(I218="","待开奖",IF(ISNUMBER(SEARCH(I218,N218)),"命中","未命中")))</f>
        <v/>
      </c>
    </row>
    <row r="219" ht="23" customHeight="1" s="21">
      <c r="A219" s="32" t="n">
        <v>218</v>
      </c>
      <c r="B219" s="32">
        <f>IF(COUNTA(C219:E219)=0,"",B218+1)</f>
        <v/>
      </c>
      <c r="C219" s="33" t="inlineStr"/>
      <c r="D219" s="34" t="n"/>
      <c r="E219" s="34" t="n"/>
      <c r="F219" s="34">
        <f>IF(COUNTA(D219:E219)=0,"",N(D219)-N(E219))</f>
        <v/>
      </c>
      <c r="G219" s="32">
        <f>IFERROR(VLOOKUP($B219,'开奖记录'!$A:$K,2,FALSE),"")</f>
        <v/>
      </c>
      <c r="H219" s="32">
        <f>IFERROR(VLOOKUP($B219,'开奖记录'!$A:$K,9,FALSE),"")</f>
        <v/>
      </c>
      <c r="I219" s="32">
        <f>IFERROR(VLOOKUP($B219,'开奖记录'!$A:$K,11,FALSE),"")</f>
        <v/>
      </c>
      <c r="J219" s="32">
        <f>IF($B219="","",IF(ISNUMBER($D219),"命中",IF(ISNUMBER($E219),"未命中","")))</f>
        <v/>
      </c>
      <c r="K219" s="35" t="inlineStr"/>
      <c r="L219" s="32">
        <f>IFERROR(TEXT(VLOOKUP($B219-1,开奖记录!$A:$L,3,FALSE),"00")&amp;"+5="&amp;VLOOKUP(MOD(VLOOKUP($B219-1,开奖记录!$A:$L,3,FALSE)+4,49)+1,规律参数!$A:$C,3,FALSE),"")</f>
        <v/>
      </c>
      <c r="M219" s="32">
        <f>IF(L219="","",IF(I219="","待开奖",IF(ISNUMBER(SEARCH(I219,L219)),"命中","未命中")))</f>
        <v/>
      </c>
      <c r="N219" s="32">
        <f>IFERROR(VLOOKUP(VLOOKUP($B219-1,开奖记录!$A:$L,11,FALSE),八肖参数!$A:$B,2,FALSE),"")</f>
        <v/>
      </c>
      <c r="O219" s="32">
        <f>IF(N219="","",IF(I219="","待开奖",IF(ISNUMBER(SEARCH(I219,N219)),"命中","未命中")))</f>
        <v/>
      </c>
    </row>
    <row r="220" ht="23" customHeight="1" s="21">
      <c r="A220" s="32" t="n">
        <v>219</v>
      </c>
      <c r="B220" s="32">
        <f>IF(COUNTA(C220:E220)=0,"",B219+1)</f>
        <v/>
      </c>
      <c r="C220" s="33" t="inlineStr"/>
      <c r="D220" s="34" t="n"/>
      <c r="E220" s="34" t="n"/>
      <c r="F220" s="34">
        <f>IF(COUNTA(D220:E220)=0,"",N(D220)-N(E220))</f>
        <v/>
      </c>
      <c r="G220" s="32">
        <f>IFERROR(VLOOKUP($B220,'开奖记录'!$A:$K,2,FALSE),"")</f>
        <v/>
      </c>
      <c r="H220" s="32">
        <f>IFERROR(VLOOKUP($B220,'开奖记录'!$A:$K,9,FALSE),"")</f>
        <v/>
      </c>
      <c r="I220" s="32">
        <f>IFERROR(VLOOKUP($B220,'开奖记录'!$A:$K,11,FALSE),"")</f>
        <v/>
      </c>
      <c r="J220" s="32">
        <f>IF($B220="","",IF(ISNUMBER($D220),"命中",IF(ISNUMBER($E220),"未命中","")))</f>
        <v/>
      </c>
      <c r="K220" s="35" t="inlineStr"/>
      <c r="L220" s="32">
        <f>IFERROR(TEXT(VLOOKUP($B220-1,开奖记录!$A:$L,3,FALSE),"00")&amp;"+5="&amp;VLOOKUP(MOD(VLOOKUP($B220-1,开奖记录!$A:$L,3,FALSE)+4,49)+1,规律参数!$A:$C,3,FALSE),"")</f>
        <v/>
      </c>
      <c r="M220" s="32">
        <f>IF(L220="","",IF(I220="","待开奖",IF(ISNUMBER(SEARCH(I220,L220)),"命中","未命中")))</f>
        <v/>
      </c>
      <c r="N220" s="32">
        <f>IFERROR(VLOOKUP(VLOOKUP($B220-1,开奖记录!$A:$L,11,FALSE),八肖参数!$A:$B,2,FALSE),"")</f>
        <v/>
      </c>
      <c r="O220" s="32">
        <f>IF(N220="","",IF(I220="","待开奖",IF(ISNUMBER(SEARCH(I220,N220)),"命中","未命中")))</f>
        <v/>
      </c>
    </row>
    <row r="221" ht="23" customHeight="1" s="21">
      <c r="A221" s="32" t="n">
        <v>220</v>
      </c>
      <c r="B221" s="32">
        <f>IF(COUNTA(C221:E221)=0,"",B220+1)</f>
        <v/>
      </c>
      <c r="C221" s="33" t="inlineStr"/>
      <c r="D221" s="34" t="n"/>
      <c r="E221" s="34" t="n"/>
      <c r="F221" s="34">
        <f>IF(COUNTA(D221:E221)=0,"",N(D221)-N(E221))</f>
        <v/>
      </c>
      <c r="G221" s="32">
        <f>IFERROR(VLOOKUP($B221,'开奖记录'!$A:$K,2,FALSE),"")</f>
        <v/>
      </c>
      <c r="H221" s="32">
        <f>IFERROR(VLOOKUP($B221,'开奖记录'!$A:$K,9,FALSE),"")</f>
        <v/>
      </c>
      <c r="I221" s="32">
        <f>IFERROR(VLOOKUP($B221,'开奖记录'!$A:$K,11,FALSE),"")</f>
        <v/>
      </c>
      <c r="J221" s="32">
        <f>IF($B221="","",IF(ISNUMBER($D221),"命中",IF(ISNUMBER($E221),"未命中","")))</f>
        <v/>
      </c>
      <c r="K221" s="35" t="inlineStr"/>
      <c r="L221" s="32">
        <f>IFERROR(TEXT(VLOOKUP($B221-1,开奖记录!$A:$L,3,FALSE),"00")&amp;"+5="&amp;VLOOKUP(MOD(VLOOKUP($B221-1,开奖记录!$A:$L,3,FALSE)+4,49)+1,规律参数!$A:$C,3,FALSE),"")</f>
        <v/>
      </c>
      <c r="M221" s="32">
        <f>IF(L221="","",IF(I221="","待开奖",IF(ISNUMBER(SEARCH(I221,L221)),"命中","未命中")))</f>
        <v/>
      </c>
      <c r="N221" s="32">
        <f>IFERROR(VLOOKUP(VLOOKUP($B221-1,开奖记录!$A:$L,11,FALSE),八肖参数!$A:$B,2,FALSE),"")</f>
        <v/>
      </c>
      <c r="O221" s="32">
        <f>IF(N221="","",IF(I221="","待开奖",IF(ISNUMBER(SEARCH(I221,N221)),"命中","未命中")))</f>
        <v/>
      </c>
    </row>
    <row r="222" ht="23" customHeight="1" s="21">
      <c r="A222" s="32" t="n">
        <v>221</v>
      </c>
      <c r="B222" s="32">
        <f>IF(COUNTA(C222:E222)=0,"",B221+1)</f>
        <v/>
      </c>
      <c r="C222" s="33" t="inlineStr"/>
      <c r="D222" s="34" t="n"/>
      <c r="E222" s="34" t="n"/>
      <c r="F222" s="34">
        <f>IF(COUNTA(D222:E222)=0,"",N(D222)-N(E222))</f>
        <v/>
      </c>
      <c r="G222" s="32">
        <f>IFERROR(VLOOKUP($B222,'开奖记录'!$A:$K,2,FALSE),"")</f>
        <v/>
      </c>
      <c r="H222" s="32">
        <f>IFERROR(VLOOKUP($B222,'开奖记录'!$A:$K,9,FALSE),"")</f>
        <v/>
      </c>
      <c r="I222" s="32">
        <f>IFERROR(VLOOKUP($B222,'开奖记录'!$A:$K,11,FALSE),"")</f>
        <v/>
      </c>
      <c r="J222" s="32">
        <f>IF($B222="","",IF(ISNUMBER($D222),"命中",IF(ISNUMBER($E222),"未命中","")))</f>
        <v/>
      </c>
      <c r="K222" s="35" t="inlineStr"/>
      <c r="L222" s="32">
        <f>IFERROR(TEXT(VLOOKUP($B222-1,开奖记录!$A:$L,3,FALSE),"00")&amp;"+5="&amp;VLOOKUP(MOD(VLOOKUP($B222-1,开奖记录!$A:$L,3,FALSE)+4,49)+1,规律参数!$A:$C,3,FALSE),"")</f>
        <v/>
      </c>
      <c r="M222" s="32">
        <f>IF(L222="","",IF(I222="","待开奖",IF(ISNUMBER(SEARCH(I222,L222)),"命中","未命中")))</f>
        <v/>
      </c>
      <c r="N222" s="32">
        <f>IFERROR(VLOOKUP(VLOOKUP($B222-1,开奖记录!$A:$L,11,FALSE),八肖参数!$A:$B,2,FALSE),"")</f>
        <v/>
      </c>
      <c r="O222" s="32">
        <f>IF(N222="","",IF(I222="","待开奖",IF(ISNUMBER(SEARCH(I222,N222)),"命中","未命中")))</f>
        <v/>
      </c>
    </row>
    <row r="223" ht="23" customHeight="1" s="21">
      <c r="A223" s="32" t="n">
        <v>222</v>
      </c>
      <c r="B223" s="32">
        <f>IF(COUNTA(C223:E223)=0,"",B222+1)</f>
        <v/>
      </c>
      <c r="C223" s="33" t="inlineStr"/>
      <c r="D223" s="34" t="n"/>
      <c r="E223" s="34" t="n"/>
      <c r="F223" s="34">
        <f>IF(COUNTA(D223:E223)=0,"",N(D223)-N(E223))</f>
        <v/>
      </c>
      <c r="G223" s="32">
        <f>IFERROR(VLOOKUP($B223,'开奖记录'!$A:$K,2,FALSE),"")</f>
        <v/>
      </c>
      <c r="H223" s="32">
        <f>IFERROR(VLOOKUP($B223,'开奖记录'!$A:$K,9,FALSE),"")</f>
        <v/>
      </c>
      <c r="I223" s="32">
        <f>IFERROR(VLOOKUP($B223,'开奖记录'!$A:$K,11,FALSE),"")</f>
        <v/>
      </c>
      <c r="J223" s="32">
        <f>IF($B223="","",IF(ISNUMBER($D223),"命中",IF(ISNUMBER($E223),"未命中","")))</f>
        <v/>
      </c>
      <c r="K223" s="35" t="inlineStr"/>
      <c r="L223" s="32">
        <f>IFERROR(TEXT(VLOOKUP($B223-1,开奖记录!$A:$L,3,FALSE),"00")&amp;"+5="&amp;VLOOKUP(MOD(VLOOKUP($B223-1,开奖记录!$A:$L,3,FALSE)+4,49)+1,规律参数!$A:$C,3,FALSE),"")</f>
        <v/>
      </c>
      <c r="M223" s="32">
        <f>IF(L223="","",IF(I223="","待开奖",IF(ISNUMBER(SEARCH(I223,L223)),"命中","未命中")))</f>
        <v/>
      </c>
      <c r="N223" s="32">
        <f>IFERROR(VLOOKUP(VLOOKUP($B223-1,开奖记录!$A:$L,11,FALSE),八肖参数!$A:$B,2,FALSE),"")</f>
        <v/>
      </c>
      <c r="O223" s="32">
        <f>IF(N223="","",IF(I223="","待开奖",IF(ISNUMBER(SEARCH(I223,N223)),"命中","未命中")))</f>
        <v/>
      </c>
    </row>
    <row r="224" ht="23" customHeight="1" s="21">
      <c r="A224" s="32" t="n">
        <v>223</v>
      </c>
      <c r="B224" s="32">
        <f>IF(COUNTA(C224:E224)=0,"",B223+1)</f>
        <v/>
      </c>
      <c r="C224" s="33" t="inlineStr"/>
      <c r="D224" s="34" t="n"/>
      <c r="E224" s="34" t="n"/>
      <c r="F224" s="34">
        <f>IF(COUNTA(D224:E224)=0,"",N(D224)-N(E224))</f>
        <v/>
      </c>
      <c r="G224" s="32">
        <f>IFERROR(VLOOKUP($B224,'开奖记录'!$A:$K,2,FALSE),"")</f>
        <v/>
      </c>
      <c r="H224" s="32">
        <f>IFERROR(VLOOKUP($B224,'开奖记录'!$A:$K,9,FALSE),"")</f>
        <v/>
      </c>
      <c r="I224" s="32">
        <f>IFERROR(VLOOKUP($B224,'开奖记录'!$A:$K,11,FALSE),"")</f>
        <v/>
      </c>
      <c r="J224" s="32">
        <f>IF($B224="","",IF(ISNUMBER($D224),"命中",IF(ISNUMBER($E224),"未命中","")))</f>
        <v/>
      </c>
      <c r="K224" s="35" t="inlineStr"/>
      <c r="L224" s="32">
        <f>IFERROR(TEXT(VLOOKUP($B224-1,开奖记录!$A:$L,3,FALSE),"00")&amp;"+5="&amp;VLOOKUP(MOD(VLOOKUP($B224-1,开奖记录!$A:$L,3,FALSE)+4,49)+1,规律参数!$A:$C,3,FALSE),"")</f>
        <v/>
      </c>
      <c r="M224" s="32">
        <f>IF(L224="","",IF(I224="","待开奖",IF(ISNUMBER(SEARCH(I224,L224)),"命中","未命中")))</f>
        <v/>
      </c>
      <c r="N224" s="32">
        <f>IFERROR(VLOOKUP(VLOOKUP($B224-1,开奖记录!$A:$L,11,FALSE),八肖参数!$A:$B,2,FALSE),"")</f>
        <v/>
      </c>
      <c r="O224" s="32">
        <f>IF(N224="","",IF(I224="","待开奖",IF(ISNUMBER(SEARCH(I224,N224)),"命中","未命中")))</f>
        <v/>
      </c>
    </row>
    <row r="225" ht="23" customHeight="1" s="21">
      <c r="A225" s="32" t="n">
        <v>224</v>
      </c>
      <c r="B225" s="32">
        <f>IF(COUNTA(C225:E225)=0,"",B224+1)</f>
        <v/>
      </c>
      <c r="C225" s="33" t="inlineStr"/>
      <c r="D225" s="34" t="n"/>
      <c r="E225" s="34" t="n"/>
      <c r="F225" s="34">
        <f>IF(COUNTA(D225:E225)=0,"",N(D225)-N(E225))</f>
        <v/>
      </c>
      <c r="G225" s="32">
        <f>IFERROR(VLOOKUP($B225,'开奖记录'!$A:$K,2,FALSE),"")</f>
        <v/>
      </c>
      <c r="H225" s="32">
        <f>IFERROR(VLOOKUP($B225,'开奖记录'!$A:$K,9,FALSE),"")</f>
        <v/>
      </c>
      <c r="I225" s="32">
        <f>IFERROR(VLOOKUP($B225,'开奖记录'!$A:$K,11,FALSE),"")</f>
        <v/>
      </c>
      <c r="J225" s="32">
        <f>IF($B225="","",IF(ISNUMBER($D225),"命中",IF(ISNUMBER($E225),"未命中","")))</f>
        <v/>
      </c>
      <c r="K225" s="35" t="inlineStr"/>
      <c r="L225" s="32">
        <f>IFERROR(TEXT(VLOOKUP($B225-1,开奖记录!$A:$L,3,FALSE),"00")&amp;"+5="&amp;VLOOKUP(MOD(VLOOKUP($B225-1,开奖记录!$A:$L,3,FALSE)+4,49)+1,规律参数!$A:$C,3,FALSE),"")</f>
        <v/>
      </c>
      <c r="M225" s="32">
        <f>IF(L225="","",IF(I225="","待开奖",IF(ISNUMBER(SEARCH(I225,L225)),"命中","未命中")))</f>
        <v/>
      </c>
      <c r="N225" s="32">
        <f>IFERROR(VLOOKUP(VLOOKUP($B225-1,开奖记录!$A:$L,11,FALSE),八肖参数!$A:$B,2,FALSE),"")</f>
        <v/>
      </c>
      <c r="O225" s="32">
        <f>IF(N225="","",IF(I225="","待开奖",IF(ISNUMBER(SEARCH(I225,N225)),"命中","未命中")))</f>
        <v/>
      </c>
    </row>
    <row r="226" ht="23" customHeight="1" s="21">
      <c r="A226" s="32" t="n">
        <v>225</v>
      </c>
      <c r="B226" s="32">
        <f>IF(COUNTA(C226:E226)=0,"",B225+1)</f>
        <v/>
      </c>
      <c r="C226" s="33" t="inlineStr"/>
      <c r="D226" s="34" t="n"/>
      <c r="E226" s="34" t="n"/>
      <c r="F226" s="34">
        <f>IF(COUNTA(D226:E226)=0,"",N(D226)-N(E226))</f>
        <v/>
      </c>
      <c r="G226" s="32">
        <f>IFERROR(VLOOKUP($B226,'开奖记录'!$A:$K,2,FALSE),"")</f>
        <v/>
      </c>
      <c r="H226" s="32">
        <f>IFERROR(VLOOKUP($B226,'开奖记录'!$A:$K,9,FALSE),"")</f>
        <v/>
      </c>
      <c r="I226" s="32">
        <f>IFERROR(VLOOKUP($B226,'开奖记录'!$A:$K,11,FALSE),"")</f>
        <v/>
      </c>
      <c r="J226" s="32">
        <f>IF($B226="","",IF(ISNUMBER($D226),"命中",IF(ISNUMBER($E226),"未命中","")))</f>
        <v/>
      </c>
      <c r="K226" s="35" t="inlineStr"/>
      <c r="L226" s="32">
        <f>IFERROR(TEXT(VLOOKUP($B226-1,开奖记录!$A:$L,3,FALSE),"00")&amp;"+5="&amp;VLOOKUP(MOD(VLOOKUP($B226-1,开奖记录!$A:$L,3,FALSE)+4,49)+1,规律参数!$A:$C,3,FALSE),"")</f>
        <v/>
      </c>
      <c r="M226" s="32">
        <f>IF(L226="","",IF(I226="","待开奖",IF(ISNUMBER(SEARCH(I226,L226)),"命中","未命中")))</f>
        <v/>
      </c>
      <c r="N226" s="32">
        <f>IFERROR(VLOOKUP(VLOOKUP($B226-1,开奖记录!$A:$L,11,FALSE),八肖参数!$A:$B,2,FALSE),"")</f>
        <v/>
      </c>
      <c r="O226" s="32">
        <f>IF(N226="","",IF(I226="","待开奖",IF(ISNUMBER(SEARCH(I226,N226)),"命中","未命中")))</f>
        <v/>
      </c>
    </row>
    <row r="227" ht="23" customHeight="1" s="21">
      <c r="A227" s="32" t="n">
        <v>226</v>
      </c>
      <c r="B227" s="32">
        <f>IF(COUNTA(C227:E227)=0,"",B226+1)</f>
        <v/>
      </c>
      <c r="C227" s="33" t="inlineStr"/>
      <c r="D227" s="34" t="n"/>
      <c r="E227" s="34" t="n"/>
      <c r="F227" s="34">
        <f>IF(COUNTA(D227:E227)=0,"",N(D227)-N(E227))</f>
        <v/>
      </c>
      <c r="G227" s="32">
        <f>IFERROR(VLOOKUP($B227,'开奖记录'!$A:$K,2,FALSE),"")</f>
        <v/>
      </c>
      <c r="H227" s="32">
        <f>IFERROR(VLOOKUP($B227,'开奖记录'!$A:$K,9,FALSE),"")</f>
        <v/>
      </c>
      <c r="I227" s="32">
        <f>IFERROR(VLOOKUP($B227,'开奖记录'!$A:$K,11,FALSE),"")</f>
        <v/>
      </c>
      <c r="J227" s="32">
        <f>IF($B227="","",IF(ISNUMBER($D227),"命中",IF(ISNUMBER($E227),"未命中","")))</f>
        <v/>
      </c>
      <c r="K227" s="35" t="inlineStr"/>
      <c r="L227" s="32">
        <f>IFERROR(TEXT(VLOOKUP($B227-1,开奖记录!$A:$L,3,FALSE),"00")&amp;"+5="&amp;VLOOKUP(MOD(VLOOKUP($B227-1,开奖记录!$A:$L,3,FALSE)+4,49)+1,规律参数!$A:$C,3,FALSE),"")</f>
        <v/>
      </c>
      <c r="M227" s="32">
        <f>IF(L227="","",IF(I227="","待开奖",IF(ISNUMBER(SEARCH(I227,L227)),"命中","未命中")))</f>
        <v/>
      </c>
      <c r="N227" s="32">
        <f>IFERROR(VLOOKUP(VLOOKUP($B227-1,开奖记录!$A:$L,11,FALSE),八肖参数!$A:$B,2,FALSE),"")</f>
        <v/>
      </c>
      <c r="O227" s="32">
        <f>IF(N227="","",IF(I227="","待开奖",IF(ISNUMBER(SEARCH(I227,N227)),"命中","未命中")))</f>
        <v/>
      </c>
    </row>
    <row r="228" ht="23" customHeight="1" s="21">
      <c r="A228" s="32" t="n">
        <v>227</v>
      </c>
      <c r="B228" s="32">
        <f>IF(COUNTA(C228:E228)=0,"",B227+1)</f>
        <v/>
      </c>
      <c r="C228" s="33" t="inlineStr"/>
      <c r="D228" s="34" t="n"/>
      <c r="E228" s="34" t="n"/>
      <c r="F228" s="34">
        <f>IF(COUNTA(D228:E228)=0,"",N(D228)-N(E228))</f>
        <v/>
      </c>
      <c r="G228" s="32">
        <f>IFERROR(VLOOKUP($B228,'开奖记录'!$A:$K,2,FALSE),"")</f>
        <v/>
      </c>
      <c r="H228" s="32">
        <f>IFERROR(VLOOKUP($B228,'开奖记录'!$A:$K,9,FALSE),"")</f>
        <v/>
      </c>
      <c r="I228" s="32">
        <f>IFERROR(VLOOKUP($B228,'开奖记录'!$A:$K,11,FALSE),"")</f>
        <v/>
      </c>
      <c r="J228" s="32">
        <f>IF($B228="","",IF(ISNUMBER($D228),"命中",IF(ISNUMBER($E228),"未命中","")))</f>
        <v/>
      </c>
      <c r="K228" s="35" t="inlineStr"/>
      <c r="L228" s="32">
        <f>IFERROR(TEXT(VLOOKUP($B228-1,开奖记录!$A:$L,3,FALSE),"00")&amp;"+5="&amp;VLOOKUP(MOD(VLOOKUP($B228-1,开奖记录!$A:$L,3,FALSE)+4,49)+1,规律参数!$A:$C,3,FALSE),"")</f>
        <v/>
      </c>
      <c r="M228" s="32">
        <f>IF(L228="","",IF(I228="","待开奖",IF(ISNUMBER(SEARCH(I228,L228)),"命中","未命中")))</f>
        <v/>
      </c>
      <c r="N228" s="32">
        <f>IFERROR(VLOOKUP(VLOOKUP($B228-1,开奖记录!$A:$L,11,FALSE),八肖参数!$A:$B,2,FALSE),"")</f>
        <v/>
      </c>
      <c r="O228" s="32">
        <f>IF(N228="","",IF(I228="","待开奖",IF(ISNUMBER(SEARCH(I228,N228)),"命中","未命中")))</f>
        <v/>
      </c>
    </row>
    <row r="229" ht="23" customHeight="1" s="21">
      <c r="A229" s="32" t="n">
        <v>228</v>
      </c>
      <c r="B229" s="32">
        <f>IF(COUNTA(C229:E229)=0,"",B228+1)</f>
        <v/>
      </c>
      <c r="C229" s="33" t="inlineStr"/>
      <c r="D229" s="34" t="n"/>
      <c r="E229" s="34" t="n"/>
      <c r="F229" s="34">
        <f>IF(COUNTA(D229:E229)=0,"",N(D229)-N(E229))</f>
        <v/>
      </c>
      <c r="G229" s="32">
        <f>IFERROR(VLOOKUP($B229,'开奖记录'!$A:$K,2,FALSE),"")</f>
        <v/>
      </c>
      <c r="H229" s="32">
        <f>IFERROR(VLOOKUP($B229,'开奖记录'!$A:$K,9,FALSE),"")</f>
        <v/>
      </c>
      <c r="I229" s="32">
        <f>IFERROR(VLOOKUP($B229,'开奖记录'!$A:$K,11,FALSE),"")</f>
        <v/>
      </c>
      <c r="J229" s="32">
        <f>IF($B229="","",IF(ISNUMBER($D229),"命中",IF(ISNUMBER($E229),"未命中","")))</f>
        <v/>
      </c>
      <c r="K229" s="35" t="inlineStr"/>
      <c r="L229" s="32">
        <f>IFERROR(TEXT(VLOOKUP($B229-1,开奖记录!$A:$L,3,FALSE),"00")&amp;"+5="&amp;VLOOKUP(MOD(VLOOKUP($B229-1,开奖记录!$A:$L,3,FALSE)+4,49)+1,规律参数!$A:$C,3,FALSE),"")</f>
        <v/>
      </c>
      <c r="M229" s="32">
        <f>IF(L229="","",IF(I229="","待开奖",IF(ISNUMBER(SEARCH(I229,L229)),"命中","未命中")))</f>
        <v/>
      </c>
      <c r="N229" s="32">
        <f>IFERROR(VLOOKUP(VLOOKUP($B229-1,开奖记录!$A:$L,11,FALSE),八肖参数!$A:$B,2,FALSE),"")</f>
        <v/>
      </c>
      <c r="O229" s="32">
        <f>IF(N229="","",IF(I229="","待开奖",IF(ISNUMBER(SEARCH(I229,N229)),"命中","未命中")))</f>
        <v/>
      </c>
    </row>
    <row r="230" ht="23" customHeight="1" s="21">
      <c r="A230" s="32" t="n">
        <v>229</v>
      </c>
      <c r="B230" s="32">
        <f>IF(COUNTA(C230:E230)=0,"",B229+1)</f>
        <v/>
      </c>
      <c r="C230" s="33" t="inlineStr"/>
      <c r="D230" s="34" t="n"/>
      <c r="E230" s="34" t="n"/>
      <c r="F230" s="34">
        <f>IF(COUNTA(D230:E230)=0,"",N(D230)-N(E230))</f>
        <v/>
      </c>
      <c r="G230" s="32">
        <f>IFERROR(VLOOKUP($B230,'开奖记录'!$A:$K,2,FALSE),"")</f>
        <v/>
      </c>
      <c r="H230" s="32">
        <f>IFERROR(VLOOKUP($B230,'开奖记录'!$A:$K,9,FALSE),"")</f>
        <v/>
      </c>
      <c r="I230" s="32">
        <f>IFERROR(VLOOKUP($B230,'开奖记录'!$A:$K,11,FALSE),"")</f>
        <v/>
      </c>
      <c r="J230" s="32">
        <f>IF($B230="","",IF(ISNUMBER($D230),"命中",IF(ISNUMBER($E230),"未命中","")))</f>
        <v/>
      </c>
      <c r="K230" s="35" t="inlineStr"/>
      <c r="L230" s="32">
        <f>IFERROR(TEXT(VLOOKUP($B230-1,开奖记录!$A:$L,3,FALSE),"00")&amp;"+5="&amp;VLOOKUP(MOD(VLOOKUP($B230-1,开奖记录!$A:$L,3,FALSE)+4,49)+1,规律参数!$A:$C,3,FALSE),"")</f>
        <v/>
      </c>
      <c r="M230" s="32">
        <f>IF(L230="","",IF(I230="","待开奖",IF(ISNUMBER(SEARCH(I230,L230)),"命中","未命中")))</f>
        <v/>
      </c>
      <c r="N230" s="32">
        <f>IFERROR(VLOOKUP(VLOOKUP($B230-1,开奖记录!$A:$L,11,FALSE),八肖参数!$A:$B,2,FALSE),"")</f>
        <v/>
      </c>
      <c r="O230" s="32">
        <f>IF(N230="","",IF(I230="","待开奖",IF(ISNUMBER(SEARCH(I230,N230)),"命中","未命中")))</f>
        <v/>
      </c>
    </row>
    <row r="231" ht="23" customHeight="1" s="21">
      <c r="A231" s="32" t="n">
        <v>230</v>
      </c>
      <c r="B231" s="32">
        <f>IF(COUNTA(C231:E231)=0,"",B230+1)</f>
        <v/>
      </c>
      <c r="C231" s="33" t="inlineStr"/>
      <c r="D231" s="34" t="n"/>
      <c r="E231" s="34" t="n"/>
      <c r="F231" s="34">
        <f>IF(COUNTA(D231:E231)=0,"",N(D231)-N(E231))</f>
        <v/>
      </c>
      <c r="G231" s="32">
        <f>IFERROR(VLOOKUP($B231,'开奖记录'!$A:$K,2,FALSE),"")</f>
        <v/>
      </c>
      <c r="H231" s="32">
        <f>IFERROR(VLOOKUP($B231,'开奖记录'!$A:$K,9,FALSE),"")</f>
        <v/>
      </c>
      <c r="I231" s="32">
        <f>IFERROR(VLOOKUP($B231,'开奖记录'!$A:$K,11,FALSE),"")</f>
        <v/>
      </c>
      <c r="J231" s="32">
        <f>IF($B231="","",IF(ISNUMBER($D231),"命中",IF(ISNUMBER($E231),"未命中","")))</f>
        <v/>
      </c>
      <c r="K231" s="35" t="inlineStr"/>
      <c r="L231" s="32">
        <f>IFERROR(TEXT(VLOOKUP($B231-1,开奖记录!$A:$L,3,FALSE),"00")&amp;"+5="&amp;VLOOKUP(MOD(VLOOKUP($B231-1,开奖记录!$A:$L,3,FALSE)+4,49)+1,规律参数!$A:$C,3,FALSE),"")</f>
        <v/>
      </c>
      <c r="M231" s="32">
        <f>IF(L231="","",IF(I231="","待开奖",IF(ISNUMBER(SEARCH(I231,L231)),"命中","未命中")))</f>
        <v/>
      </c>
      <c r="N231" s="32">
        <f>IFERROR(VLOOKUP(VLOOKUP($B231-1,开奖记录!$A:$L,11,FALSE),八肖参数!$A:$B,2,FALSE),"")</f>
        <v/>
      </c>
      <c r="O231" s="32">
        <f>IF(N231="","",IF(I231="","待开奖",IF(ISNUMBER(SEARCH(I231,N231)),"命中","未命中")))</f>
        <v/>
      </c>
    </row>
    <row r="232" ht="23" customHeight="1" s="21">
      <c r="A232" s="32" t="n">
        <v>231</v>
      </c>
      <c r="B232" s="32">
        <f>IF(COUNTA(C232:E232)=0,"",B231+1)</f>
        <v/>
      </c>
      <c r="C232" s="33" t="inlineStr"/>
      <c r="D232" s="34" t="n"/>
      <c r="E232" s="34" t="n"/>
      <c r="F232" s="34">
        <f>IF(COUNTA(D232:E232)=0,"",N(D232)-N(E232))</f>
        <v/>
      </c>
      <c r="G232" s="32">
        <f>IFERROR(VLOOKUP($B232,'开奖记录'!$A:$K,2,FALSE),"")</f>
        <v/>
      </c>
      <c r="H232" s="32">
        <f>IFERROR(VLOOKUP($B232,'开奖记录'!$A:$K,9,FALSE),"")</f>
        <v/>
      </c>
      <c r="I232" s="32">
        <f>IFERROR(VLOOKUP($B232,'开奖记录'!$A:$K,11,FALSE),"")</f>
        <v/>
      </c>
      <c r="J232" s="32">
        <f>IF($B232="","",IF(ISNUMBER($D232),"命中",IF(ISNUMBER($E232),"未命中","")))</f>
        <v/>
      </c>
      <c r="K232" s="35" t="inlineStr"/>
      <c r="L232" s="32">
        <f>IFERROR(TEXT(VLOOKUP($B232-1,开奖记录!$A:$L,3,FALSE),"00")&amp;"+5="&amp;VLOOKUP(MOD(VLOOKUP($B232-1,开奖记录!$A:$L,3,FALSE)+4,49)+1,规律参数!$A:$C,3,FALSE),"")</f>
        <v/>
      </c>
      <c r="M232" s="32">
        <f>IF(L232="","",IF(I232="","待开奖",IF(ISNUMBER(SEARCH(I232,L232)),"命中","未命中")))</f>
        <v/>
      </c>
      <c r="N232" s="32">
        <f>IFERROR(VLOOKUP(VLOOKUP($B232-1,开奖记录!$A:$L,11,FALSE),八肖参数!$A:$B,2,FALSE),"")</f>
        <v/>
      </c>
      <c r="O232" s="32">
        <f>IF(N232="","",IF(I232="","待开奖",IF(ISNUMBER(SEARCH(I232,N232)),"命中","未命中")))</f>
        <v/>
      </c>
    </row>
    <row r="233" ht="23" customHeight="1" s="21">
      <c r="A233" s="32" t="n">
        <v>232</v>
      </c>
      <c r="B233" s="32">
        <f>IF(COUNTA(C233:E233)=0,"",B232+1)</f>
        <v/>
      </c>
      <c r="C233" s="33" t="inlineStr"/>
      <c r="D233" s="34" t="n"/>
      <c r="E233" s="34" t="n"/>
      <c r="F233" s="34">
        <f>IF(COUNTA(D233:E233)=0,"",N(D233)-N(E233))</f>
        <v/>
      </c>
      <c r="G233" s="32">
        <f>IFERROR(VLOOKUP($B233,'开奖记录'!$A:$K,2,FALSE),"")</f>
        <v/>
      </c>
      <c r="H233" s="32">
        <f>IFERROR(VLOOKUP($B233,'开奖记录'!$A:$K,9,FALSE),"")</f>
        <v/>
      </c>
      <c r="I233" s="32">
        <f>IFERROR(VLOOKUP($B233,'开奖记录'!$A:$K,11,FALSE),"")</f>
        <v/>
      </c>
      <c r="J233" s="32">
        <f>IF($B233="","",IF(ISNUMBER($D233),"命中",IF(ISNUMBER($E233),"未命中","")))</f>
        <v/>
      </c>
      <c r="K233" s="35" t="inlineStr"/>
      <c r="L233" s="32">
        <f>IFERROR(TEXT(VLOOKUP($B233-1,开奖记录!$A:$L,3,FALSE),"00")&amp;"+5="&amp;VLOOKUP(MOD(VLOOKUP($B233-1,开奖记录!$A:$L,3,FALSE)+4,49)+1,规律参数!$A:$C,3,FALSE),"")</f>
        <v/>
      </c>
      <c r="M233" s="32">
        <f>IF(L233="","",IF(I233="","待开奖",IF(ISNUMBER(SEARCH(I233,L233)),"命中","未命中")))</f>
        <v/>
      </c>
      <c r="N233" s="32">
        <f>IFERROR(VLOOKUP(VLOOKUP($B233-1,开奖记录!$A:$L,11,FALSE),八肖参数!$A:$B,2,FALSE),"")</f>
        <v/>
      </c>
      <c r="O233" s="32">
        <f>IF(N233="","",IF(I233="","待开奖",IF(ISNUMBER(SEARCH(I233,N233)),"命中","未命中")))</f>
        <v/>
      </c>
    </row>
    <row r="234" ht="23" customHeight="1" s="21">
      <c r="A234" s="32" t="n">
        <v>233</v>
      </c>
      <c r="B234" s="32">
        <f>IF(COUNTA(C234:E234)=0,"",B233+1)</f>
        <v/>
      </c>
      <c r="C234" s="33" t="inlineStr"/>
      <c r="D234" s="34" t="n"/>
      <c r="E234" s="34" t="n"/>
      <c r="F234" s="34">
        <f>IF(COUNTA(D234:E234)=0,"",N(D234)-N(E234))</f>
        <v/>
      </c>
      <c r="G234" s="32">
        <f>IFERROR(VLOOKUP($B234,'开奖记录'!$A:$K,2,FALSE),"")</f>
        <v/>
      </c>
      <c r="H234" s="32">
        <f>IFERROR(VLOOKUP($B234,'开奖记录'!$A:$K,9,FALSE),"")</f>
        <v/>
      </c>
      <c r="I234" s="32">
        <f>IFERROR(VLOOKUP($B234,'开奖记录'!$A:$K,11,FALSE),"")</f>
        <v/>
      </c>
      <c r="J234" s="32">
        <f>IF($B234="","",IF(ISNUMBER($D234),"命中",IF(ISNUMBER($E234),"未命中","")))</f>
        <v/>
      </c>
      <c r="K234" s="35" t="inlineStr"/>
      <c r="L234" s="32">
        <f>IFERROR(TEXT(VLOOKUP($B234-1,开奖记录!$A:$L,3,FALSE),"00")&amp;"+5="&amp;VLOOKUP(MOD(VLOOKUP($B234-1,开奖记录!$A:$L,3,FALSE)+4,49)+1,规律参数!$A:$C,3,FALSE),"")</f>
        <v/>
      </c>
      <c r="M234" s="32">
        <f>IF(L234="","",IF(I234="","待开奖",IF(ISNUMBER(SEARCH(I234,L234)),"命中","未命中")))</f>
        <v/>
      </c>
      <c r="N234" s="32">
        <f>IFERROR(VLOOKUP(VLOOKUP($B234-1,开奖记录!$A:$L,11,FALSE),八肖参数!$A:$B,2,FALSE),"")</f>
        <v/>
      </c>
      <c r="O234" s="32">
        <f>IF(N234="","",IF(I234="","待开奖",IF(ISNUMBER(SEARCH(I234,N234)),"命中","未命中")))</f>
        <v/>
      </c>
    </row>
    <row r="235" ht="23" customHeight="1" s="21">
      <c r="A235" s="32" t="n">
        <v>234</v>
      </c>
      <c r="B235" s="32">
        <f>IF(COUNTA(C235:E235)=0,"",B234+1)</f>
        <v/>
      </c>
      <c r="C235" s="33" t="inlineStr"/>
      <c r="D235" s="34" t="n"/>
      <c r="E235" s="34" t="n"/>
      <c r="F235" s="34">
        <f>IF(COUNTA(D235:E235)=0,"",N(D235)-N(E235))</f>
        <v/>
      </c>
      <c r="G235" s="32">
        <f>IFERROR(VLOOKUP($B235,'开奖记录'!$A:$K,2,FALSE),"")</f>
        <v/>
      </c>
      <c r="H235" s="32">
        <f>IFERROR(VLOOKUP($B235,'开奖记录'!$A:$K,9,FALSE),"")</f>
        <v/>
      </c>
      <c r="I235" s="32">
        <f>IFERROR(VLOOKUP($B235,'开奖记录'!$A:$K,11,FALSE),"")</f>
        <v/>
      </c>
      <c r="J235" s="32">
        <f>IF($B235="","",IF(ISNUMBER($D235),"命中",IF(ISNUMBER($E235),"未命中","")))</f>
        <v/>
      </c>
      <c r="K235" s="35" t="inlineStr"/>
      <c r="L235" s="32">
        <f>IFERROR(TEXT(VLOOKUP($B235-1,开奖记录!$A:$L,3,FALSE),"00")&amp;"+5="&amp;VLOOKUP(MOD(VLOOKUP($B235-1,开奖记录!$A:$L,3,FALSE)+4,49)+1,规律参数!$A:$C,3,FALSE),"")</f>
        <v/>
      </c>
      <c r="M235" s="32">
        <f>IF(L235="","",IF(I235="","待开奖",IF(ISNUMBER(SEARCH(I235,L235)),"命中","未命中")))</f>
        <v/>
      </c>
      <c r="N235" s="32">
        <f>IFERROR(VLOOKUP(VLOOKUP($B235-1,开奖记录!$A:$L,11,FALSE),八肖参数!$A:$B,2,FALSE),"")</f>
        <v/>
      </c>
      <c r="O235" s="32">
        <f>IF(N235="","",IF(I235="","待开奖",IF(ISNUMBER(SEARCH(I235,N235)),"命中","未命中")))</f>
        <v/>
      </c>
    </row>
    <row r="236" ht="23" customHeight="1" s="21">
      <c r="A236" s="32" t="n">
        <v>235</v>
      </c>
      <c r="B236" s="32">
        <f>IF(COUNTA(C236:E236)=0,"",B235+1)</f>
        <v/>
      </c>
      <c r="C236" s="33" t="inlineStr"/>
      <c r="D236" s="34" t="n"/>
      <c r="E236" s="34" t="n"/>
      <c r="F236" s="34">
        <f>IF(COUNTA(D236:E236)=0,"",N(D236)-N(E236))</f>
        <v/>
      </c>
      <c r="G236" s="32">
        <f>IFERROR(VLOOKUP($B236,'开奖记录'!$A:$K,2,FALSE),"")</f>
        <v/>
      </c>
      <c r="H236" s="32">
        <f>IFERROR(VLOOKUP($B236,'开奖记录'!$A:$K,9,FALSE),"")</f>
        <v/>
      </c>
      <c r="I236" s="32">
        <f>IFERROR(VLOOKUP($B236,'开奖记录'!$A:$K,11,FALSE),"")</f>
        <v/>
      </c>
      <c r="J236" s="32">
        <f>IF($B236="","",IF(ISNUMBER($D236),"命中",IF(ISNUMBER($E236),"未命中","")))</f>
        <v/>
      </c>
      <c r="K236" s="35" t="inlineStr"/>
      <c r="L236" s="32">
        <f>IFERROR(TEXT(VLOOKUP($B236-1,开奖记录!$A:$L,3,FALSE),"00")&amp;"+5="&amp;VLOOKUP(MOD(VLOOKUP($B236-1,开奖记录!$A:$L,3,FALSE)+4,49)+1,规律参数!$A:$C,3,FALSE),"")</f>
        <v/>
      </c>
      <c r="M236" s="32">
        <f>IF(L236="","",IF(I236="","待开奖",IF(ISNUMBER(SEARCH(I236,L236)),"命中","未命中")))</f>
        <v/>
      </c>
      <c r="N236" s="32">
        <f>IFERROR(VLOOKUP(VLOOKUP($B236-1,开奖记录!$A:$L,11,FALSE),八肖参数!$A:$B,2,FALSE),"")</f>
        <v/>
      </c>
      <c r="O236" s="32">
        <f>IF(N236="","",IF(I236="","待开奖",IF(ISNUMBER(SEARCH(I236,N236)),"命中","未命中")))</f>
        <v/>
      </c>
    </row>
    <row r="237" ht="23" customHeight="1" s="21">
      <c r="A237" s="32" t="n">
        <v>236</v>
      </c>
      <c r="B237" s="32">
        <f>IF(COUNTA(C237:E237)=0,"",B236+1)</f>
        <v/>
      </c>
      <c r="C237" s="33" t="inlineStr"/>
      <c r="D237" s="34" t="n"/>
      <c r="E237" s="34" t="n"/>
      <c r="F237" s="34">
        <f>IF(COUNTA(D237:E237)=0,"",N(D237)-N(E237))</f>
        <v/>
      </c>
      <c r="G237" s="32">
        <f>IFERROR(VLOOKUP($B237,'开奖记录'!$A:$K,2,FALSE),"")</f>
        <v/>
      </c>
      <c r="H237" s="32">
        <f>IFERROR(VLOOKUP($B237,'开奖记录'!$A:$K,9,FALSE),"")</f>
        <v/>
      </c>
      <c r="I237" s="32">
        <f>IFERROR(VLOOKUP($B237,'开奖记录'!$A:$K,11,FALSE),"")</f>
        <v/>
      </c>
      <c r="J237" s="32">
        <f>IF($B237="","",IF(ISNUMBER($D237),"命中",IF(ISNUMBER($E237),"未命中","")))</f>
        <v/>
      </c>
      <c r="K237" s="35" t="inlineStr"/>
      <c r="L237" s="32">
        <f>IFERROR(TEXT(VLOOKUP($B237-1,开奖记录!$A:$L,3,FALSE),"00")&amp;"+5="&amp;VLOOKUP(MOD(VLOOKUP($B237-1,开奖记录!$A:$L,3,FALSE)+4,49)+1,规律参数!$A:$C,3,FALSE),"")</f>
        <v/>
      </c>
      <c r="M237" s="32">
        <f>IF(L237="","",IF(I237="","待开奖",IF(ISNUMBER(SEARCH(I237,L237)),"命中","未命中")))</f>
        <v/>
      </c>
      <c r="N237" s="32">
        <f>IFERROR(VLOOKUP(VLOOKUP($B237-1,开奖记录!$A:$L,11,FALSE),八肖参数!$A:$B,2,FALSE),"")</f>
        <v/>
      </c>
      <c r="O237" s="32">
        <f>IF(N237="","",IF(I237="","待开奖",IF(ISNUMBER(SEARCH(I237,N237)),"命中","未命中")))</f>
        <v/>
      </c>
    </row>
    <row r="238" ht="23" customHeight="1" s="21">
      <c r="A238" s="32" t="n">
        <v>237</v>
      </c>
      <c r="B238" s="32">
        <f>IF(COUNTA(C238:E238)=0,"",B237+1)</f>
        <v/>
      </c>
      <c r="C238" s="33" t="inlineStr"/>
      <c r="D238" s="34" t="n"/>
      <c r="E238" s="34" t="n"/>
      <c r="F238" s="34">
        <f>IF(COUNTA(D238:E238)=0,"",N(D238)-N(E238))</f>
        <v/>
      </c>
      <c r="G238" s="32">
        <f>IFERROR(VLOOKUP($B238,'开奖记录'!$A:$K,2,FALSE),"")</f>
        <v/>
      </c>
      <c r="H238" s="32">
        <f>IFERROR(VLOOKUP($B238,'开奖记录'!$A:$K,9,FALSE),"")</f>
        <v/>
      </c>
      <c r="I238" s="32">
        <f>IFERROR(VLOOKUP($B238,'开奖记录'!$A:$K,11,FALSE),"")</f>
        <v/>
      </c>
      <c r="J238" s="32">
        <f>IF($B238="","",IF(ISNUMBER($D238),"命中",IF(ISNUMBER($E238),"未命中","")))</f>
        <v/>
      </c>
      <c r="K238" s="35" t="inlineStr"/>
      <c r="L238" s="32">
        <f>IFERROR(TEXT(VLOOKUP($B238-1,开奖记录!$A:$L,3,FALSE),"00")&amp;"+5="&amp;VLOOKUP(MOD(VLOOKUP($B238-1,开奖记录!$A:$L,3,FALSE)+4,49)+1,规律参数!$A:$C,3,FALSE),"")</f>
        <v/>
      </c>
      <c r="M238" s="32">
        <f>IF(L238="","",IF(I238="","待开奖",IF(ISNUMBER(SEARCH(I238,L238)),"命中","未命中")))</f>
        <v/>
      </c>
      <c r="N238" s="32">
        <f>IFERROR(VLOOKUP(VLOOKUP($B238-1,开奖记录!$A:$L,11,FALSE),八肖参数!$A:$B,2,FALSE),"")</f>
        <v/>
      </c>
      <c r="O238" s="32">
        <f>IF(N238="","",IF(I238="","待开奖",IF(ISNUMBER(SEARCH(I238,N238)),"命中","未命中")))</f>
        <v/>
      </c>
    </row>
    <row r="239" ht="23" customHeight="1" s="21">
      <c r="A239" s="32" t="n">
        <v>238</v>
      </c>
      <c r="B239" s="32">
        <f>IF(COUNTA(C239:E239)=0,"",B238+1)</f>
        <v/>
      </c>
      <c r="C239" s="33" t="inlineStr"/>
      <c r="D239" s="34" t="n"/>
      <c r="E239" s="34" t="n"/>
      <c r="F239" s="34">
        <f>IF(COUNTA(D239:E239)=0,"",N(D239)-N(E239))</f>
        <v/>
      </c>
      <c r="G239" s="32">
        <f>IFERROR(VLOOKUP($B239,'开奖记录'!$A:$K,2,FALSE),"")</f>
        <v/>
      </c>
      <c r="H239" s="32">
        <f>IFERROR(VLOOKUP($B239,'开奖记录'!$A:$K,9,FALSE),"")</f>
        <v/>
      </c>
      <c r="I239" s="32">
        <f>IFERROR(VLOOKUP($B239,'开奖记录'!$A:$K,11,FALSE),"")</f>
        <v/>
      </c>
      <c r="J239" s="32">
        <f>IF($B239="","",IF(ISNUMBER($D239),"命中",IF(ISNUMBER($E239),"未命中","")))</f>
        <v/>
      </c>
      <c r="K239" s="35" t="inlineStr"/>
      <c r="L239" s="32">
        <f>IFERROR(TEXT(VLOOKUP($B239-1,开奖记录!$A:$L,3,FALSE),"00")&amp;"+5="&amp;VLOOKUP(MOD(VLOOKUP($B239-1,开奖记录!$A:$L,3,FALSE)+4,49)+1,规律参数!$A:$C,3,FALSE),"")</f>
        <v/>
      </c>
      <c r="M239" s="32">
        <f>IF(L239="","",IF(I239="","待开奖",IF(ISNUMBER(SEARCH(I239,L239)),"命中","未命中")))</f>
        <v/>
      </c>
      <c r="N239" s="32">
        <f>IFERROR(VLOOKUP(VLOOKUP($B239-1,开奖记录!$A:$L,11,FALSE),八肖参数!$A:$B,2,FALSE),"")</f>
        <v/>
      </c>
      <c r="O239" s="32">
        <f>IF(N239="","",IF(I239="","待开奖",IF(ISNUMBER(SEARCH(I239,N239)),"命中","未命中")))</f>
        <v/>
      </c>
    </row>
    <row r="240" ht="23" customHeight="1" s="21">
      <c r="A240" s="32" t="n">
        <v>239</v>
      </c>
      <c r="B240" s="32">
        <f>IF(COUNTA(C240:E240)=0,"",B239+1)</f>
        <v/>
      </c>
      <c r="C240" s="33" t="inlineStr"/>
      <c r="D240" s="34" t="n"/>
      <c r="E240" s="34" t="n"/>
      <c r="F240" s="34">
        <f>IF(COUNTA(D240:E240)=0,"",N(D240)-N(E240))</f>
        <v/>
      </c>
      <c r="G240" s="32">
        <f>IFERROR(VLOOKUP($B240,'开奖记录'!$A:$K,2,FALSE),"")</f>
        <v/>
      </c>
      <c r="H240" s="32">
        <f>IFERROR(VLOOKUP($B240,'开奖记录'!$A:$K,9,FALSE),"")</f>
        <v/>
      </c>
      <c r="I240" s="32">
        <f>IFERROR(VLOOKUP($B240,'开奖记录'!$A:$K,11,FALSE),"")</f>
        <v/>
      </c>
      <c r="J240" s="32">
        <f>IF($B240="","",IF(ISNUMBER($D240),"命中",IF(ISNUMBER($E240),"未命中","")))</f>
        <v/>
      </c>
      <c r="K240" s="35" t="inlineStr"/>
      <c r="L240" s="32">
        <f>IFERROR(TEXT(VLOOKUP($B240-1,开奖记录!$A:$L,3,FALSE),"00")&amp;"+5="&amp;VLOOKUP(MOD(VLOOKUP($B240-1,开奖记录!$A:$L,3,FALSE)+4,49)+1,规律参数!$A:$C,3,FALSE),"")</f>
        <v/>
      </c>
      <c r="M240" s="32">
        <f>IF(L240="","",IF(I240="","待开奖",IF(ISNUMBER(SEARCH(I240,L240)),"命中","未命中")))</f>
        <v/>
      </c>
      <c r="N240" s="32">
        <f>IFERROR(VLOOKUP(VLOOKUP($B240-1,开奖记录!$A:$L,11,FALSE),八肖参数!$A:$B,2,FALSE),"")</f>
        <v/>
      </c>
      <c r="O240" s="32">
        <f>IF(N240="","",IF(I240="","待开奖",IF(ISNUMBER(SEARCH(I240,N240)),"命中","未命中")))</f>
        <v/>
      </c>
    </row>
    <row r="241" ht="23" customHeight="1" s="21">
      <c r="A241" s="32" t="n">
        <v>240</v>
      </c>
      <c r="B241" s="32">
        <f>IF(COUNTA(C241:E241)=0,"",B240+1)</f>
        <v/>
      </c>
      <c r="C241" s="33" t="inlineStr"/>
      <c r="D241" s="34" t="n"/>
      <c r="E241" s="34" t="n"/>
      <c r="F241" s="34">
        <f>IF(COUNTA(D241:E241)=0,"",N(D241)-N(E241))</f>
        <v/>
      </c>
      <c r="G241" s="32">
        <f>IFERROR(VLOOKUP($B241,'开奖记录'!$A:$K,2,FALSE),"")</f>
        <v/>
      </c>
      <c r="H241" s="32">
        <f>IFERROR(VLOOKUP($B241,'开奖记录'!$A:$K,9,FALSE),"")</f>
        <v/>
      </c>
      <c r="I241" s="32">
        <f>IFERROR(VLOOKUP($B241,'开奖记录'!$A:$K,11,FALSE),"")</f>
        <v/>
      </c>
      <c r="J241" s="32">
        <f>IF($B241="","",IF(ISNUMBER($D241),"命中",IF(ISNUMBER($E241),"未命中","")))</f>
        <v/>
      </c>
      <c r="K241" s="35" t="inlineStr"/>
      <c r="L241" s="32">
        <f>IFERROR(TEXT(VLOOKUP($B241-1,开奖记录!$A:$L,3,FALSE),"00")&amp;"+5="&amp;VLOOKUP(MOD(VLOOKUP($B241-1,开奖记录!$A:$L,3,FALSE)+4,49)+1,规律参数!$A:$C,3,FALSE),"")</f>
        <v/>
      </c>
      <c r="M241" s="32">
        <f>IF(L241="","",IF(I241="","待开奖",IF(ISNUMBER(SEARCH(I241,L241)),"命中","未命中")))</f>
        <v/>
      </c>
      <c r="N241" s="32">
        <f>IFERROR(VLOOKUP(VLOOKUP($B241-1,开奖记录!$A:$L,11,FALSE),八肖参数!$A:$B,2,FALSE),"")</f>
        <v/>
      </c>
      <c r="O241" s="32">
        <f>IF(N241="","",IF(I241="","待开奖",IF(ISNUMBER(SEARCH(I241,N241)),"命中","未命中")))</f>
        <v/>
      </c>
    </row>
    <row r="242" ht="23" customHeight="1" s="21">
      <c r="A242" s="32" t="n">
        <v>241</v>
      </c>
      <c r="B242" s="32">
        <f>IF(COUNTA(C242:E242)=0,"",B241+1)</f>
        <v/>
      </c>
      <c r="C242" s="33" t="inlineStr"/>
      <c r="D242" s="34" t="n"/>
      <c r="E242" s="34" t="n"/>
      <c r="F242" s="34">
        <f>IF(COUNTA(D242:E242)=0,"",N(D242)-N(E242))</f>
        <v/>
      </c>
      <c r="G242" s="32">
        <f>IFERROR(VLOOKUP($B242,'开奖记录'!$A:$K,2,FALSE),"")</f>
        <v/>
      </c>
      <c r="H242" s="32">
        <f>IFERROR(VLOOKUP($B242,'开奖记录'!$A:$K,9,FALSE),"")</f>
        <v/>
      </c>
      <c r="I242" s="32">
        <f>IFERROR(VLOOKUP($B242,'开奖记录'!$A:$K,11,FALSE),"")</f>
        <v/>
      </c>
      <c r="J242" s="32">
        <f>IF($B242="","",IF(ISNUMBER($D242),"命中",IF(ISNUMBER($E242),"未命中","")))</f>
        <v/>
      </c>
      <c r="K242" s="35" t="inlineStr"/>
      <c r="L242" s="32">
        <f>IFERROR(TEXT(VLOOKUP($B242-1,开奖记录!$A:$L,3,FALSE),"00")&amp;"+5="&amp;VLOOKUP(MOD(VLOOKUP($B242-1,开奖记录!$A:$L,3,FALSE)+4,49)+1,规律参数!$A:$C,3,FALSE),"")</f>
        <v/>
      </c>
      <c r="M242" s="32">
        <f>IF(L242="","",IF(I242="","待开奖",IF(ISNUMBER(SEARCH(I242,L242)),"命中","未命中")))</f>
        <v/>
      </c>
      <c r="N242" s="32">
        <f>IFERROR(VLOOKUP(VLOOKUP($B242-1,开奖记录!$A:$L,11,FALSE),八肖参数!$A:$B,2,FALSE),"")</f>
        <v/>
      </c>
      <c r="O242" s="32">
        <f>IF(N242="","",IF(I242="","待开奖",IF(ISNUMBER(SEARCH(I242,N242)),"命中","未命中")))</f>
        <v/>
      </c>
    </row>
    <row r="243" ht="23" customHeight="1" s="21">
      <c r="A243" s="32" t="n">
        <v>242</v>
      </c>
      <c r="B243" s="32">
        <f>IF(COUNTA(C243:E243)=0,"",B242+1)</f>
        <v/>
      </c>
      <c r="C243" s="33" t="inlineStr"/>
      <c r="D243" s="34" t="n"/>
      <c r="E243" s="34" t="n"/>
      <c r="F243" s="34">
        <f>IF(COUNTA(D243:E243)=0,"",N(D243)-N(E243))</f>
        <v/>
      </c>
      <c r="G243" s="32">
        <f>IFERROR(VLOOKUP($B243,'开奖记录'!$A:$K,2,FALSE),"")</f>
        <v/>
      </c>
      <c r="H243" s="32">
        <f>IFERROR(VLOOKUP($B243,'开奖记录'!$A:$K,9,FALSE),"")</f>
        <v/>
      </c>
      <c r="I243" s="32">
        <f>IFERROR(VLOOKUP($B243,'开奖记录'!$A:$K,11,FALSE),"")</f>
        <v/>
      </c>
      <c r="J243" s="32">
        <f>IF($B243="","",IF(ISNUMBER($D243),"命中",IF(ISNUMBER($E243),"未命中","")))</f>
        <v/>
      </c>
      <c r="K243" s="35" t="inlineStr"/>
      <c r="L243" s="32">
        <f>IFERROR(TEXT(VLOOKUP($B243-1,开奖记录!$A:$L,3,FALSE),"00")&amp;"+5="&amp;VLOOKUP(MOD(VLOOKUP($B243-1,开奖记录!$A:$L,3,FALSE)+4,49)+1,规律参数!$A:$C,3,FALSE),"")</f>
        <v/>
      </c>
      <c r="M243" s="32">
        <f>IF(L243="","",IF(I243="","待开奖",IF(ISNUMBER(SEARCH(I243,L243)),"命中","未命中")))</f>
        <v/>
      </c>
      <c r="N243" s="32">
        <f>IFERROR(VLOOKUP(VLOOKUP($B243-1,开奖记录!$A:$L,11,FALSE),八肖参数!$A:$B,2,FALSE),"")</f>
        <v/>
      </c>
      <c r="O243" s="32">
        <f>IF(N243="","",IF(I243="","待开奖",IF(ISNUMBER(SEARCH(I243,N243)),"命中","未命中")))</f>
        <v/>
      </c>
    </row>
    <row r="244" ht="23" customHeight="1" s="21">
      <c r="A244" s="32" t="n">
        <v>243</v>
      </c>
      <c r="B244" s="32">
        <f>IF(COUNTA(C244:E244)=0,"",B243+1)</f>
        <v/>
      </c>
      <c r="C244" s="33" t="inlineStr"/>
      <c r="D244" s="34" t="n"/>
      <c r="E244" s="34" t="n"/>
      <c r="F244" s="34">
        <f>IF(COUNTA(D244:E244)=0,"",N(D244)-N(E244))</f>
        <v/>
      </c>
      <c r="G244" s="32">
        <f>IFERROR(VLOOKUP($B244,'开奖记录'!$A:$K,2,FALSE),"")</f>
        <v/>
      </c>
      <c r="H244" s="32">
        <f>IFERROR(VLOOKUP($B244,'开奖记录'!$A:$K,9,FALSE),"")</f>
        <v/>
      </c>
      <c r="I244" s="32">
        <f>IFERROR(VLOOKUP($B244,'开奖记录'!$A:$K,11,FALSE),"")</f>
        <v/>
      </c>
      <c r="J244" s="32">
        <f>IF($B244="","",IF(ISNUMBER($D244),"命中",IF(ISNUMBER($E244),"未命中","")))</f>
        <v/>
      </c>
      <c r="K244" s="35" t="inlineStr"/>
      <c r="L244" s="32">
        <f>IFERROR(TEXT(VLOOKUP($B244-1,开奖记录!$A:$L,3,FALSE),"00")&amp;"+5="&amp;VLOOKUP(MOD(VLOOKUP($B244-1,开奖记录!$A:$L,3,FALSE)+4,49)+1,规律参数!$A:$C,3,FALSE),"")</f>
        <v/>
      </c>
      <c r="M244" s="32">
        <f>IF(L244="","",IF(I244="","待开奖",IF(ISNUMBER(SEARCH(I244,L244)),"命中","未命中")))</f>
        <v/>
      </c>
      <c r="N244" s="32">
        <f>IFERROR(VLOOKUP(VLOOKUP($B244-1,开奖记录!$A:$L,11,FALSE),八肖参数!$A:$B,2,FALSE),"")</f>
        <v/>
      </c>
      <c r="O244" s="32">
        <f>IF(N244="","",IF(I244="","待开奖",IF(ISNUMBER(SEARCH(I244,N244)),"命中","未命中")))</f>
        <v/>
      </c>
    </row>
    <row r="245" ht="23" customHeight="1" s="21">
      <c r="A245" s="32" t="n">
        <v>244</v>
      </c>
      <c r="B245" s="32">
        <f>IF(COUNTA(C245:E245)=0,"",B244+1)</f>
        <v/>
      </c>
      <c r="C245" s="33" t="inlineStr"/>
      <c r="D245" s="34" t="n"/>
      <c r="E245" s="34" t="n"/>
      <c r="F245" s="34">
        <f>IF(COUNTA(D245:E245)=0,"",N(D245)-N(E245))</f>
        <v/>
      </c>
      <c r="G245" s="32">
        <f>IFERROR(VLOOKUP($B245,'开奖记录'!$A:$K,2,FALSE),"")</f>
        <v/>
      </c>
      <c r="H245" s="32">
        <f>IFERROR(VLOOKUP($B245,'开奖记录'!$A:$K,9,FALSE),"")</f>
        <v/>
      </c>
      <c r="I245" s="32">
        <f>IFERROR(VLOOKUP($B245,'开奖记录'!$A:$K,11,FALSE),"")</f>
        <v/>
      </c>
      <c r="J245" s="32">
        <f>IF($B245="","",IF(ISNUMBER($D245),"命中",IF(ISNUMBER($E245),"未命中","")))</f>
        <v/>
      </c>
      <c r="K245" s="35" t="inlineStr"/>
      <c r="L245" s="32">
        <f>IFERROR(TEXT(VLOOKUP($B245-1,开奖记录!$A:$L,3,FALSE),"00")&amp;"+5="&amp;VLOOKUP(MOD(VLOOKUP($B245-1,开奖记录!$A:$L,3,FALSE)+4,49)+1,规律参数!$A:$C,3,FALSE),"")</f>
        <v/>
      </c>
      <c r="M245" s="32">
        <f>IF(L245="","",IF(I245="","待开奖",IF(ISNUMBER(SEARCH(I245,L245)),"命中","未命中")))</f>
        <v/>
      </c>
      <c r="N245" s="32">
        <f>IFERROR(VLOOKUP(VLOOKUP($B245-1,开奖记录!$A:$L,11,FALSE),八肖参数!$A:$B,2,FALSE),"")</f>
        <v/>
      </c>
      <c r="O245" s="32">
        <f>IF(N245="","",IF(I245="","待开奖",IF(ISNUMBER(SEARCH(I245,N245)),"命中","未命中")))</f>
        <v/>
      </c>
    </row>
    <row r="246" ht="23" customHeight="1" s="21">
      <c r="A246" s="32" t="n">
        <v>245</v>
      </c>
      <c r="B246" s="32">
        <f>IF(COUNTA(C246:E246)=0,"",B245+1)</f>
        <v/>
      </c>
      <c r="C246" s="33" t="inlineStr"/>
      <c r="D246" s="34" t="n"/>
      <c r="E246" s="34" t="n"/>
      <c r="F246" s="34">
        <f>IF(COUNTA(D246:E246)=0,"",N(D246)-N(E246))</f>
        <v/>
      </c>
      <c r="G246" s="32">
        <f>IFERROR(VLOOKUP($B246,'开奖记录'!$A:$K,2,FALSE),"")</f>
        <v/>
      </c>
      <c r="H246" s="32">
        <f>IFERROR(VLOOKUP($B246,'开奖记录'!$A:$K,9,FALSE),"")</f>
        <v/>
      </c>
      <c r="I246" s="32">
        <f>IFERROR(VLOOKUP($B246,'开奖记录'!$A:$K,11,FALSE),"")</f>
        <v/>
      </c>
      <c r="J246" s="32">
        <f>IF($B246="","",IF(ISNUMBER($D246),"命中",IF(ISNUMBER($E246),"未命中","")))</f>
        <v/>
      </c>
      <c r="K246" s="35" t="inlineStr"/>
      <c r="L246" s="32">
        <f>IFERROR(TEXT(VLOOKUP($B246-1,开奖记录!$A:$L,3,FALSE),"00")&amp;"+5="&amp;VLOOKUP(MOD(VLOOKUP($B246-1,开奖记录!$A:$L,3,FALSE)+4,49)+1,规律参数!$A:$C,3,FALSE),"")</f>
        <v/>
      </c>
      <c r="M246" s="32">
        <f>IF(L246="","",IF(I246="","待开奖",IF(ISNUMBER(SEARCH(I246,L246)),"命中","未命中")))</f>
        <v/>
      </c>
      <c r="N246" s="32">
        <f>IFERROR(VLOOKUP(VLOOKUP($B246-1,开奖记录!$A:$L,11,FALSE),八肖参数!$A:$B,2,FALSE),"")</f>
        <v/>
      </c>
      <c r="O246" s="32">
        <f>IF(N246="","",IF(I246="","待开奖",IF(ISNUMBER(SEARCH(I246,N246)),"命中","未命中")))</f>
        <v/>
      </c>
    </row>
    <row r="247" ht="23" customHeight="1" s="21">
      <c r="A247" s="32" t="n">
        <v>246</v>
      </c>
      <c r="B247" s="32">
        <f>IF(COUNTA(C247:E247)=0,"",B246+1)</f>
        <v/>
      </c>
      <c r="C247" s="33" t="inlineStr"/>
      <c r="D247" s="34" t="n"/>
      <c r="E247" s="34" t="n"/>
      <c r="F247" s="34">
        <f>IF(COUNTA(D247:E247)=0,"",N(D247)-N(E247))</f>
        <v/>
      </c>
      <c r="G247" s="32">
        <f>IFERROR(VLOOKUP($B247,'开奖记录'!$A:$K,2,FALSE),"")</f>
        <v/>
      </c>
      <c r="H247" s="32">
        <f>IFERROR(VLOOKUP($B247,'开奖记录'!$A:$K,9,FALSE),"")</f>
        <v/>
      </c>
      <c r="I247" s="32">
        <f>IFERROR(VLOOKUP($B247,'开奖记录'!$A:$K,11,FALSE),"")</f>
        <v/>
      </c>
      <c r="J247" s="32">
        <f>IF($B247="","",IF(ISNUMBER($D247),"命中",IF(ISNUMBER($E247),"未命中","")))</f>
        <v/>
      </c>
      <c r="K247" s="35" t="inlineStr"/>
      <c r="L247" s="32">
        <f>IFERROR(TEXT(VLOOKUP($B247-1,开奖记录!$A:$L,3,FALSE),"00")&amp;"+5="&amp;VLOOKUP(MOD(VLOOKUP($B247-1,开奖记录!$A:$L,3,FALSE)+4,49)+1,规律参数!$A:$C,3,FALSE),"")</f>
        <v/>
      </c>
      <c r="M247" s="32">
        <f>IF(L247="","",IF(I247="","待开奖",IF(ISNUMBER(SEARCH(I247,L247)),"命中","未命中")))</f>
        <v/>
      </c>
      <c r="N247" s="32">
        <f>IFERROR(VLOOKUP(VLOOKUP($B247-1,开奖记录!$A:$L,11,FALSE),八肖参数!$A:$B,2,FALSE),"")</f>
        <v/>
      </c>
      <c r="O247" s="32">
        <f>IF(N247="","",IF(I247="","待开奖",IF(ISNUMBER(SEARCH(I247,N247)),"命中","未命中")))</f>
        <v/>
      </c>
    </row>
    <row r="248" ht="23" customHeight="1" s="21">
      <c r="A248" s="32" t="n">
        <v>247</v>
      </c>
      <c r="B248" s="32">
        <f>IF(COUNTA(C248:E248)=0,"",B247+1)</f>
        <v/>
      </c>
      <c r="C248" s="33" t="inlineStr"/>
      <c r="D248" s="34" t="n"/>
      <c r="E248" s="34" t="n"/>
      <c r="F248" s="34">
        <f>IF(COUNTA(D248:E248)=0,"",N(D248)-N(E248))</f>
        <v/>
      </c>
      <c r="G248" s="32">
        <f>IFERROR(VLOOKUP($B248,'开奖记录'!$A:$K,2,FALSE),"")</f>
        <v/>
      </c>
      <c r="H248" s="32">
        <f>IFERROR(VLOOKUP($B248,'开奖记录'!$A:$K,9,FALSE),"")</f>
        <v/>
      </c>
      <c r="I248" s="32">
        <f>IFERROR(VLOOKUP($B248,'开奖记录'!$A:$K,11,FALSE),"")</f>
        <v/>
      </c>
      <c r="J248" s="32">
        <f>IF($B248="","",IF(ISNUMBER($D248),"命中",IF(ISNUMBER($E248),"未命中","")))</f>
        <v/>
      </c>
      <c r="K248" s="35" t="inlineStr"/>
      <c r="L248" s="32">
        <f>IFERROR(TEXT(VLOOKUP($B248-1,开奖记录!$A:$L,3,FALSE),"00")&amp;"+5="&amp;VLOOKUP(MOD(VLOOKUP($B248-1,开奖记录!$A:$L,3,FALSE)+4,49)+1,规律参数!$A:$C,3,FALSE),"")</f>
        <v/>
      </c>
      <c r="M248" s="32">
        <f>IF(L248="","",IF(I248="","待开奖",IF(ISNUMBER(SEARCH(I248,L248)),"命中","未命中")))</f>
        <v/>
      </c>
      <c r="N248" s="32">
        <f>IFERROR(VLOOKUP(VLOOKUP($B248-1,开奖记录!$A:$L,11,FALSE),八肖参数!$A:$B,2,FALSE),"")</f>
        <v/>
      </c>
      <c r="O248" s="32">
        <f>IF(N248="","",IF(I248="","待开奖",IF(ISNUMBER(SEARCH(I248,N248)),"命中","未命中")))</f>
        <v/>
      </c>
    </row>
    <row r="249" ht="23" customHeight="1" s="21">
      <c r="A249" s="32" t="n">
        <v>248</v>
      </c>
      <c r="B249" s="32">
        <f>IF(COUNTA(C249:E249)=0,"",B248+1)</f>
        <v/>
      </c>
      <c r="C249" s="33" t="inlineStr"/>
      <c r="D249" s="34" t="n"/>
      <c r="E249" s="34" t="n"/>
      <c r="F249" s="34">
        <f>IF(COUNTA(D249:E249)=0,"",N(D249)-N(E249))</f>
        <v/>
      </c>
      <c r="G249" s="32">
        <f>IFERROR(VLOOKUP($B249,'开奖记录'!$A:$K,2,FALSE),"")</f>
        <v/>
      </c>
      <c r="H249" s="32">
        <f>IFERROR(VLOOKUP($B249,'开奖记录'!$A:$K,9,FALSE),"")</f>
        <v/>
      </c>
      <c r="I249" s="32">
        <f>IFERROR(VLOOKUP($B249,'开奖记录'!$A:$K,11,FALSE),"")</f>
        <v/>
      </c>
      <c r="J249" s="32">
        <f>IF($B249="","",IF(ISNUMBER($D249),"命中",IF(ISNUMBER($E249),"未命中","")))</f>
        <v/>
      </c>
      <c r="K249" s="35" t="inlineStr"/>
      <c r="L249" s="32">
        <f>IFERROR(TEXT(VLOOKUP($B249-1,开奖记录!$A:$L,3,FALSE),"00")&amp;"+5="&amp;VLOOKUP(MOD(VLOOKUP($B249-1,开奖记录!$A:$L,3,FALSE)+4,49)+1,规律参数!$A:$C,3,FALSE),"")</f>
        <v/>
      </c>
      <c r="M249" s="32">
        <f>IF(L249="","",IF(I249="","待开奖",IF(ISNUMBER(SEARCH(I249,L249)),"命中","未命中")))</f>
        <v/>
      </c>
      <c r="N249" s="32">
        <f>IFERROR(VLOOKUP(VLOOKUP($B249-1,开奖记录!$A:$L,11,FALSE),八肖参数!$A:$B,2,FALSE),"")</f>
        <v/>
      </c>
      <c r="O249" s="32">
        <f>IF(N249="","",IF(I249="","待开奖",IF(ISNUMBER(SEARCH(I249,N249)),"命中","未命中")))</f>
        <v/>
      </c>
    </row>
    <row r="250" ht="23" customHeight="1" s="21">
      <c r="A250" s="32" t="n">
        <v>249</v>
      </c>
      <c r="B250" s="32">
        <f>IF(COUNTA(C250:E250)=0,"",B249+1)</f>
        <v/>
      </c>
      <c r="C250" s="33" t="inlineStr"/>
      <c r="D250" s="34" t="n"/>
      <c r="E250" s="34" t="n"/>
      <c r="F250" s="34">
        <f>IF(COUNTA(D250:E250)=0,"",N(D250)-N(E250))</f>
        <v/>
      </c>
      <c r="G250" s="32">
        <f>IFERROR(VLOOKUP($B250,'开奖记录'!$A:$K,2,FALSE),"")</f>
        <v/>
      </c>
      <c r="H250" s="32">
        <f>IFERROR(VLOOKUP($B250,'开奖记录'!$A:$K,9,FALSE),"")</f>
        <v/>
      </c>
      <c r="I250" s="32">
        <f>IFERROR(VLOOKUP($B250,'开奖记录'!$A:$K,11,FALSE),"")</f>
        <v/>
      </c>
      <c r="J250" s="32">
        <f>IF($B250="","",IF(ISNUMBER($D250),"命中",IF(ISNUMBER($E250),"未命中","")))</f>
        <v/>
      </c>
      <c r="K250" s="35" t="inlineStr"/>
      <c r="L250" s="32">
        <f>IFERROR(TEXT(VLOOKUP($B250-1,开奖记录!$A:$L,3,FALSE),"00")&amp;"+5="&amp;VLOOKUP(MOD(VLOOKUP($B250-1,开奖记录!$A:$L,3,FALSE)+4,49)+1,规律参数!$A:$C,3,FALSE),"")</f>
        <v/>
      </c>
      <c r="M250" s="32">
        <f>IF(L250="","",IF(I250="","待开奖",IF(ISNUMBER(SEARCH(I250,L250)),"命中","未命中")))</f>
        <v/>
      </c>
      <c r="N250" s="32">
        <f>IFERROR(VLOOKUP(VLOOKUP($B250-1,开奖记录!$A:$L,11,FALSE),八肖参数!$A:$B,2,FALSE),"")</f>
        <v/>
      </c>
      <c r="O250" s="32">
        <f>IF(N250="","",IF(I250="","待开奖",IF(ISNUMBER(SEARCH(I250,N250)),"命中","未命中")))</f>
        <v/>
      </c>
    </row>
    <row r="251" ht="23" customHeight="1" s="21">
      <c r="A251" s="32" t="n">
        <v>250</v>
      </c>
      <c r="B251" s="32">
        <f>IF(COUNTA(C251:E251)=0,"",B250+1)</f>
        <v/>
      </c>
      <c r="C251" s="33" t="inlineStr"/>
      <c r="D251" s="34" t="n"/>
      <c r="E251" s="34" t="n"/>
      <c r="F251" s="34">
        <f>IF(COUNTA(D251:E251)=0,"",N(D251)-N(E251))</f>
        <v/>
      </c>
      <c r="G251" s="32">
        <f>IFERROR(VLOOKUP($B251,'开奖记录'!$A:$K,2,FALSE),"")</f>
        <v/>
      </c>
      <c r="H251" s="32">
        <f>IFERROR(VLOOKUP($B251,'开奖记录'!$A:$K,9,FALSE),"")</f>
        <v/>
      </c>
      <c r="I251" s="32">
        <f>IFERROR(VLOOKUP($B251,'开奖记录'!$A:$K,11,FALSE),"")</f>
        <v/>
      </c>
      <c r="J251" s="32">
        <f>IF($B251="","",IF(ISNUMBER($D251),"命中",IF(ISNUMBER($E251),"未命中","")))</f>
        <v/>
      </c>
      <c r="K251" s="35" t="inlineStr"/>
      <c r="L251" s="32">
        <f>IFERROR(TEXT(VLOOKUP($B251-1,开奖记录!$A:$L,3,FALSE),"00")&amp;"+5="&amp;VLOOKUP(MOD(VLOOKUP($B251-1,开奖记录!$A:$L,3,FALSE)+4,49)+1,规律参数!$A:$C,3,FALSE),"")</f>
        <v/>
      </c>
      <c r="M251" s="32">
        <f>IF(L251="","",IF(I251="","待开奖",IF(ISNUMBER(SEARCH(I251,L251)),"命中","未命中")))</f>
        <v/>
      </c>
      <c r="N251" s="32">
        <f>IFERROR(VLOOKUP(VLOOKUP($B251-1,开奖记录!$A:$L,11,FALSE),八肖参数!$A:$B,2,FALSE),"")</f>
        <v/>
      </c>
      <c r="O251" s="32">
        <f>IF(N251="","",IF(I251="","待开奖",IF(ISNUMBER(SEARCH(I251,N251)),"命中","未命中")))</f>
        <v/>
      </c>
    </row>
    <row r="252" ht="23" customHeight="1" s="21">
      <c r="A252" s="32" t="n">
        <v>251</v>
      </c>
      <c r="B252" s="32">
        <f>IF(COUNTA(C252:E252)=0,"",B251+1)</f>
        <v/>
      </c>
      <c r="C252" s="33" t="inlineStr"/>
      <c r="D252" s="34" t="n"/>
      <c r="E252" s="34" t="n"/>
      <c r="F252" s="34">
        <f>IF(COUNTA(D252:E252)=0,"",N(D252)-N(E252))</f>
        <v/>
      </c>
      <c r="G252" s="32">
        <f>IFERROR(VLOOKUP($B252,'开奖记录'!$A:$K,2,FALSE),"")</f>
        <v/>
      </c>
      <c r="H252" s="32">
        <f>IFERROR(VLOOKUP($B252,'开奖记录'!$A:$K,9,FALSE),"")</f>
        <v/>
      </c>
      <c r="I252" s="32">
        <f>IFERROR(VLOOKUP($B252,'开奖记录'!$A:$K,11,FALSE),"")</f>
        <v/>
      </c>
      <c r="J252" s="32">
        <f>IF($B252="","",IF(ISNUMBER($D252),"命中",IF(ISNUMBER($E252),"未命中","")))</f>
        <v/>
      </c>
      <c r="K252" s="35" t="inlineStr"/>
      <c r="L252" s="32">
        <f>IFERROR(TEXT(VLOOKUP($B252-1,开奖记录!$A:$L,3,FALSE),"00")&amp;"+5="&amp;VLOOKUP(MOD(VLOOKUP($B252-1,开奖记录!$A:$L,3,FALSE)+4,49)+1,规律参数!$A:$C,3,FALSE),"")</f>
        <v/>
      </c>
      <c r="M252" s="32">
        <f>IF(L252="","",IF(I252="","待开奖",IF(ISNUMBER(SEARCH(I252,L252)),"命中","未命中")))</f>
        <v/>
      </c>
      <c r="N252" s="32">
        <f>IFERROR(VLOOKUP(VLOOKUP($B252-1,开奖记录!$A:$L,11,FALSE),八肖参数!$A:$B,2,FALSE),"")</f>
        <v/>
      </c>
      <c r="O252" s="32">
        <f>IF(N252="","",IF(I252="","待开奖",IF(ISNUMBER(SEARCH(I252,N252)),"命中","未命中")))</f>
        <v/>
      </c>
    </row>
    <row r="253" ht="23" customHeight="1" s="21">
      <c r="A253" s="32" t="n">
        <v>252</v>
      </c>
      <c r="B253" s="32">
        <f>IF(COUNTA(C253:E253)=0,"",B252+1)</f>
        <v/>
      </c>
      <c r="C253" s="33" t="inlineStr"/>
      <c r="D253" s="34" t="n"/>
      <c r="E253" s="34" t="n"/>
      <c r="F253" s="34">
        <f>IF(COUNTA(D253:E253)=0,"",N(D253)-N(E253))</f>
        <v/>
      </c>
      <c r="G253" s="32">
        <f>IFERROR(VLOOKUP($B253,'开奖记录'!$A:$K,2,FALSE),"")</f>
        <v/>
      </c>
      <c r="H253" s="32">
        <f>IFERROR(VLOOKUP($B253,'开奖记录'!$A:$K,9,FALSE),"")</f>
        <v/>
      </c>
      <c r="I253" s="32">
        <f>IFERROR(VLOOKUP($B253,'开奖记录'!$A:$K,11,FALSE),"")</f>
        <v/>
      </c>
      <c r="J253" s="32">
        <f>IF($B253="","",IF(ISNUMBER($D253),"命中",IF(ISNUMBER($E253),"未命中","")))</f>
        <v/>
      </c>
      <c r="K253" s="35" t="inlineStr"/>
      <c r="L253" s="32">
        <f>IFERROR(TEXT(VLOOKUP($B253-1,开奖记录!$A:$L,3,FALSE),"00")&amp;"+5="&amp;VLOOKUP(MOD(VLOOKUP($B253-1,开奖记录!$A:$L,3,FALSE)+4,49)+1,规律参数!$A:$C,3,FALSE),"")</f>
        <v/>
      </c>
      <c r="M253" s="32">
        <f>IF(L253="","",IF(I253="","待开奖",IF(ISNUMBER(SEARCH(I253,L253)),"命中","未命中")))</f>
        <v/>
      </c>
      <c r="N253" s="32">
        <f>IFERROR(VLOOKUP(VLOOKUP($B253-1,开奖记录!$A:$L,11,FALSE),八肖参数!$A:$B,2,FALSE),"")</f>
        <v/>
      </c>
      <c r="O253" s="32">
        <f>IF(N253="","",IF(I253="","待开奖",IF(ISNUMBER(SEARCH(I253,N253)),"命中","未命中")))</f>
        <v/>
      </c>
    </row>
    <row r="254" ht="23" customHeight="1" s="21">
      <c r="A254" s="32" t="n">
        <v>253</v>
      </c>
      <c r="B254" s="32">
        <f>IF(COUNTA(C254:E254)=0,"",B253+1)</f>
        <v/>
      </c>
      <c r="C254" s="33" t="inlineStr"/>
      <c r="D254" s="34" t="n"/>
      <c r="E254" s="34" t="n"/>
      <c r="F254" s="34">
        <f>IF(COUNTA(D254:E254)=0,"",N(D254)-N(E254))</f>
        <v/>
      </c>
      <c r="G254" s="32">
        <f>IFERROR(VLOOKUP($B254,'开奖记录'!$A:$K,2,FALSE),"")</f>
        <v/>
      </c>
      <c r="H254" s="32">
        <f>IFERROR(VLOOKUP($B254,'开奖记录'!$A:$K,9,FALSE),"")</f>
        <v/>
      </c>
      <c r="I254" s="32">
        <f>IFERROR(VLOOKUP($B254,'开奖记录'!$A:$K,11,FALSE),"")</f>
        <v/>
      </c>
      <c r="J254" s="32">
        <f>IF($B254="","",IF(ISNUMBER($D254),"命中",IF(ISNUMBER($E254),"未命中","")))</f>
        <v/>
      </c>
      <c r="K254" s="35" t="inlineStr"/>
      <c r="L254" s="32">
        <f>IFERROR(TEXT(VLOOKUP($B254-1,开奖记录!$A:$L,3,FALSE),"00")&amp;"+5="&amp;VLOOKUP(MOD(VLOOKUP($B254-1,开奖记录!$A:$L,3,FALSE)+4,49)+1,规律参数!$A:$C,3,FALSE),"")</f>
        <v/>
      </c>
      <c r="M254" s="32">
        <f>IF(L254="","",IF(I254="","待开奖",IF(ISNUMBER(SEARCH(I254,L254)),"命中","未命中")))</f>
        <v/>
      </c>
      <c r="N254" s="32">
        <f>IFERROR(VLOOKUP(VLOOKUP($B254-1,开奖记录!$A:$L,11,FALSE),八肖参数!$A:$B,2,FALSE),"")</f>
        <v/>
      </c>
      <c r="O254" s="32">
        <f>IF(N254="","",IF(I254="","待开奖",IF(ISNUMBER(SEARCH(I254,N254)),"命中","未命中")))</f>
        <v/>
      </c>
    </row>
    <row r="255" ht="23" customHeight="1" s="21">
      <c r="A255" s="32" t="n">
        <v>254</v>
      </c>
      <c r="B255" s="32">
        <f>IF(COUNTA(C255:E255)=0,"",B254+1)</f>
        <v/>
      </c>
      <c r="C255" s="33" t="inlineStr"/>
      <c r="D255" s="34" t="n"/>
      <c r="E255" s="34" t="n"/>
      <c r="F255" s="34">
        <f>IF(COUNTA(D255:E255)=0,"",N(D255)-N(E255))</f>
        <v/>
      </c>
      <c r="G255" s="32">
        <f>IFERROR(VLOOKUP($B255,'开奖记录'!$A:$K,2,FALSE),"")</f>
        <v/>
      </c>
      <c r="H255" s="32">
        <f>IFERROR(VLOOKUP($B255,'开奖记录'!$A:$K,9,FALSE),"")</f>
        <v/>
      </c>
      <c r="I255" s="32">
        <f>IFERROR(VLOOKUP($B255,'开奖记录'!$A:$K,11,FALSE),"")</f>
        <v/>
      </c>
      <c r="J255" s="32">
        <f>IF($B255="","",IF(ISNUMBER($D255),"命中",IF(ISNUMBER($E255),"未命中","")))</f>
        <v/>
      </c>
      <c r="K255" s="35" t="inlineStr"/>
      <c r="L255" s="32">
        <f>IFERROR(TEXT(VLOOKUP($B255-1,开奖记录!$A:$L,3,FALSE),"00")&amp;"+5="&amp;VLOOKUP(MOD(VLOOKUP($B255-1,开奖记录!$A:$L,3,FALSE)+4,49)+1,规律参数!$A:$C,3,FALSE),"")</f>
        <v/>
      </c>
      <c r="M255" s="32">
        <f>IF(L255="","",IF(I255="","待开奖",IF(ISNUMBER(SEARCH(I255,L255)),"命中","未命中")))</f>
        <v/>
      </c>
      <c r="N255" s="32">
        <f>IFERROR(VLOOKUP(VLOOKUP($B255-1,开奖记录!$A:$L,11,FALSE),八肖参数!$A:$B,2,FALSE),"")</f>
        <v/>
      </c>
      <c r="O255" s="32">
        <f>IF(N255="","",IF(I255="","待开奖",IF(ISNUMBER(SEARCH(I255,N255)),"命中","未命中")))</f>
        <v/>
      </c>
    </row>
    <row r="256" ht="23" customHeight="1" s="21">
      <c r="A256" s="32" t="n">
        <v>255</v>
      </c>
      <c r="B256" s="32">
        <f>IF(COUNTA(C256:E256)=0,"",B255+1)</f>
        <v/>
      </c>
      <c r="C256" s="33" t="inlineStr"/>
      <c r="D256" s="34" t="n"/>
      <c r="E256" s="34" t="n"/>
      <c r="F256" s="34">
        <f>IF(COUNTA(D256:E256)=0,"",N(D256)-N(E256))</f>
        <v/>
      </c>
      <c r="G256" s="32">
        <f>IFERROR(VLOOKUP($B256,'开奖记录'!$A:$K,2,FALSE),"")</f>
        <v/>
      </c>
      <c r="H256" s="32">
        <f>IFERROR(VLOOKUP($B256,'开奖记录'!$A:$K,9,FALSE),"")</f>
        <v/>
      </c>
      <c r="I256" s="32">
        <f>IFERROR(VLOOKUP($B256,'开奖记录'!$A:$K,11,FALSE),"")</f>
        <v/>
      </c>
      <c r="J256" s="32">
        <f>IF($B256="","",IF(ISNUMBER($D256),"命中",IF(ISNUMBER($E256),"未命中","")))</f>
        <v/>
      </c>
      <c r="K256" s="35" t="inlineStr"/>
      <c r="L256" s="32">
        <f>IFERROR(TEXT(VLOOKUP($B256-1,开奖记录!$A:$L,3,FALSE),"00")&amp;"+5="&amp;VLOOKUP(MOD(VLOOKUP($B256-1,开奖记录!$A:$L,3,FALSE)+4,49)+1,规律参数!$A:$C,3,FALSE),"")</f>
        <v/>
      </c>
      <c r="M256" s="32">
        <f>IF(L256="","",IF(I256="","待开奖",IF(ISNUMBER(SEARCH(I256,L256)),"命中","未命中")))</f>
        <v/>
      </c>
      <c r="N256" s="32">
        <f>IFERROR(VLOOKUP(VLOOKUP($B256-1,开奖记录!$A:$L,11,FALSE),八肖参数!$A:$B,2,FALSE),"")</f>
        <v/>
      </c>
      <c r="O256" s="32">
        <f>IF(N256="","",IF(I256="","待开奖",IF(ISNUMBER(SEARCH(I256,N256)),"命中","未命中")))</f>
        <v/>
      </c>
    </row>
    <row r="257" ht="23" customHeight="1" s="21">
      <c r="A257" s="32" t="n">
        <v>256</v>
      </c>
      <c r="B257" s="32">
        <f>IF(COUNTA(C257:E257)=0,"",B256+1)</f>
        <v/>
      </c>
      <c r="C257" s="33" t="inlineStr"/>
      <c r="D257" s="34" t="n"/>
      <c r="E257" s="34" t="n"/>
      <c r="F257" s="34">
        <f>IF(COUNTA(D257:E257)=0,"",N(D257)-N(E257))</f>
        <v/>
      </c>
      <c r="G257" s="32">
        <f>IFERROR(VLOOKUP($B257,'开奖记录'!$A:$K,2,FALSE),"")</f>
        <v/>
      </c>
      <c r="H257" s="32">
        <f>IFERROR(VLOOKUP($B257,'开奖记录'!$A:$K,9,FALSE),"")</f>
        <v/>
      </c>
      <c r="I257" s="32">
        <f>IFERROR(VLOOKUP($B257,'开奖记录'!$A:$K,11,FALSE),"")</f>
        <v/>
      </c>
      <c r="J257" s="32">
        <f>IF($B257="","",IF(ISNUMBER($D257),"命中",IF(ISNUMBER($E257),"未命中","")))</f>
        <v/>
      </c>
      <c r="K257" s="35" t="inlineStr"/>
      <c r="L257" s="32">
        <f>IFERROR(TEXT(VLOOKUP($B257-1,开奖记录!$A:$L,3,FALSE),"00")&amp;"+5="&amp;VLOOKUP(MOD(VLOOKUP($B257-1,开奖记录!$A:$L,3,FALSE)+4,49)+1,规律参数!$A:$C,3,FALSE),"")</f>
        <v/>
      </c>
      <c r="M257" s="32">
        <f>IF(L257="","",IF(I257="","待开奖",IF(ISNUMBER(SEARCH(I257,L257)),"命中","未命中")))</f>
        <v/>
      </c>
      <c r="N257" s="32">
        <f>IFERROR(VLOOKUP(VLOOKUP($B257-1,开奖记录!$A:$L,11,FALSE),八肖参数!$A:$B,2,FALSE),"")</f>
        <v/>
      </c>
      <c r="O257" s="32">
        <f>IF(N257="","",IF(I257="","待开奖",IF(ISNUMBER(SEARCH(I257,N257)),"命中","未命中")))</f>
        <v/>
      </c>
    </row>
    <row r="258" ht="23" customHeight="1" s="21">
      <c r="A258" s="32" t="n">
        <v>257</v>
      </c>
      <c r="B258" s="32">
        <f>IF(COUNTA(C258:E258)=0,"",B257+1)</f>
        <v/>
      </c>
      <c r="C258" s="33" t="inlineStr"/>
      <c r="D258" s="34" t="n"/>
      <c r="E258" s="34" t="n"/>
      <c r="F258" s="34">
        <f>IF(COUNTA(D258:E258)=0,"",N(D258)-N(E258))</f>
        <v/>
      </c>
      <c r="G258" s="32">
        <f>IFERROR(VLOOKUP($B258,'开奖记录'!$A:$K,2,FALSE),"")</f>
        <v/>
      </c>
      <c r="H258" s="32">
        <f>IFERROR(VLOOKUP($B258,'开奖记录'!$A:$K,9,FALSE),"")</f>
        <v/>
      </c>
      <c r="I258" s="32">
        <f>IFERROR(VLOOKUP($B258,'开奖记录'!$A:$K,11,FALSE),"")</f>
        <v/>
      </c>
      <c r="J258" s="32">
        <f>IF($B258="","",IF(ISNUMBER($D258),"命中",IF(ISNUMBER($E258),"未命中","")))</f>
        <v/>
      </c>
      <c r="K258" s="35" t="inlineStr"/>
      <c r="L258" s="32">
        <f>IFERROR(TEXT(VLOOKUP($B258-1,开奖记录!$A:$L,3,FALSE),"00")&amp;"+5="&amp;VLOOKUP(MOD(VLOOKUP($B258-1,开奖记录!$A:$L,3,FALSE)+4,49)+1,规律参数!$A:$C,3,FALSE),"")</f>
        <v/>
      </c>
      <c r="M258" s="32">
        <f>IF(L258="","",IF(I258="","待开奖",IF(ISNUMBER(SEARCH(I258,L258)),"命中","未命中")))</f>
        <v/>
      </c>
      <c r="N258" s="32">
        <f>IFERROR(VLOOKUP(VLOOKUP($B258-1,开奖记录!$A:$L,11,FALSE),八肖参数!$A:$B,2,FALSE),"")</f>
        <v/>
      </c>
      <c r="O258" s="32">
        <f>IF(N258="","",IF(I258="","待开奖",IF(ISNUMBER(SEARCH(I258,N258)),"命中","未命中")))</f>
        <v/>
      </c>
    </row>
    <row r="259" ht="23" customHeight="1" s="21">
      <c r="A259" s="32" t="n">
        <v>258</v>
      </c>
      <c r="B259" s="32">
        <f>IF(COUNTA(C259:E259)=0,"",B258+1)</f>
        <v/>
      </c>
      <c r="C259" s="33" t="inlineStr"/>
      <c r="D259" s="34" t="n"/>
      <c r="E259" s="34" t="n"/>
      <c r="F259" s="34">
        <f>IF(COUNTA(D259:E259)=0,"",N(D259)-N(E259))</f>
        <v/>
      </c>
      <c r="G259" s="32">
        <f>IFERROR(VLOOKUP($B259,'开奖记录'!$A:$K,2,FALSE),"")</f>
        <v/>
      </c>
      <c r="H259" s="32">
        <f>IFERROR(VLOOKUP($B259,'开奖记录'!$A:$K,9,FALSE),"")</f>
        <v/>
      </c>
      <c r="I259" s="32">
        <f>IFERROR(VLOOKUP($B259,'开奖记录'!$A:$K,11,FALSE),"")</f>
        <v/>
      </c>
      <c r="J259" s="32">
        <f>IF($B259="","",IF(ISNUMBER($D259),"命中",IF(ISNUMBER($E259),"未命中","")))</f>
        <v/>
      </c>
      <c r="K259" s="35" t="inlineStr"/>
      <c r="L259" s="32">
        <f>IFERROR(TEXT(VLOOKUP($B259-1,开奖记录!$A:$L,3,FALSE),"00")&amp;"+5="&amp;VLOOKUP(MOD(VLOOKUP($B259-1,开奖记录!$A:$L,3,FALSE)+4,49)+1,规律参数!$A:$C,3,FALSE),"")</f>
        <v/>
      </c>
      <c r="M259" s="32">
        <f>IF(L259="","",IF(I259="","待开奖",IF(ISNUMBER(SEARCH(I259,L259)),"命中","未命中")))</f>
        <v/>
      </c>
      <c r="N259" s="32">
        <f>IFERROR(VLOOKUP(VLOOKUP($B259-1,开奖记录!$A:$L,11,FALSE),八肖参数!$A:$B,2,FALSE),"")</f>
        <v/>
      </c>
      <c r="O259" s="32">
        <f>IF(N259="","",IF(I259="","待开奖",IF(ISNUMBER(SEARCH(I259,N259)),"命中","未命中")))</f>
        <v/>
      </c>
    </row>
    <row r="260" ht="23" customHeight="1" s="21">
      <c r="A260" s="32" t="n">
        <v>259</v>
      </c>
      <c r="B260" s="32">
        <f>IF(COUNTA(C260:E260)=0,"",B259+1)</f>
        <v/>
      </c>
      <c r="C260" s="33" t="inlineStr"/>
      <c r="D260" s="34" t="n"/>
      <c r="E260" s="34" t="n"/>
      <c r="F260" s="34">
        <f>IF(COUNTA(D260:E260)=0,"",N(D260)-N(E260))</f>
        <v/>
      </c>
      <c r="G260" s="32">
        <f>IFERROR(VLOOKUP($B260,'开奖记录'!$A:$K,2,FALSE),"")</f>
        <v/>
      </c>
      <c r="H260" s="32">
        <f>IFERROR(VLOOKUP($B260,'开奖记录'!$A:$K,9,FALSE),"")</f>
        <v/>
      </c>
      <c r="I260" s="32">
        <f>IFERROR(VLOOKUP($B260,'开奖记录'!$A:$K,11,FALSE),"")</f>
        <v/>
      </c>
      <c r="J260" s="32">
        <f>IF($B260="","",IF(ISNUMBER($D260),"命中",IF(ISNUMBER($E260),"未命中","")))</f>
        <v/>
      </c>
      <c r="K260" s="35" t="inlineStr"/>
      <c r="L260" s="32">
        <f>IFERROR(TEXT(VLOOKUP($B260-1,开奖记录!$A:$L,3,FALSE),"00")&amp;"+5="&amp;VLOOKUP(MOD(VLOOKUP($B260-1,开奖记录!$A:$L,3,FALSE)+4,49)+1,规律参数!$A:$C,3,FALSE),"")</f>
        <v/>
      </c>
      <c r="M260" s="32">
        <f>IF(L260="","",IF(I260="","待开奖",IF(ISNUMBER(SEARCH(I260,L260)),"命中","未命中")))</f>
        <v/>
      </c>
      <c r="N260" s="32">
        <f>IFERROR(VLOOKUP(VLOOKUP($B260-1,开奖记录!$A:$L,11,FALSE),八肖参数!$A:$B,2,FALSE),"")</f>
        <v/>
      </c>
      <c r="O260" s="32">
        <f>IF(N260="","",IF(I260="","待开奖",IF(ISNUMBER(SEARCH(I260,N260)),"命中","未命中")))</f>
        <v/>
      </c>
    </row>
    <row r="261" ht="23" customHeight="1" s="21">
      <c r="A261" s="32" t="n">
        <v>260</v>
      </c>
      <c r="B261" s="32">
        <f>IF(COUNTA(C261:E261)=0,"",B260+1)</f>
        <v/>
      </c>
      <c r="C261" s="33" t="inlineStr"/>
      <c r="D261" s="34" t="n"/>
      <c r="E261" s="34" t="n"/>
      <c r="F261" s="34">
        <f>IF(COUNTA(D261:E261)=0,"",N(D261)-N(E261))</f>
        <v/>
      </c>
      <c r="G261" s="32">
        <f>IFERROR(VLOOKUP($B261,'开奖记录'!$A:$K,2,FALSE),"")</f>
        <v/>
      </c>
      <c r="H261" s="32">
        <f>IFERROR(VLOOKUP($B261,'开奖记录'!$A:$K,9,FALSE),"")</f>
        <v/>
      </c>
      <c r="I261" s="32">
        <f>IFERROR(VLOOKUP($B261,'开奖记录'!$A:$K,11,FALSE),"")</f>
        <v/>
      </c>
      <c r="J261" s="32">
        <f>IF($B261="","",IF(ISNUMBER($D261),"命中",IF(ISNUMBER($E261),"未命中","")))</f>
        <v/>
      </c>
      <c r="K261" s="35" t="inlineStr"/>
      <c r="L261" s="32">
        <f>IFERROR(TEXT(VLOOKUP($B261-1,开奖记录!$A:$L,3,FALSE),"00")&amp;"+5="&amp;VLOOKUP(MOD(VLOOKUP($B261-1,开奖记录!$A:$L,3,FALSE)+4,49)+1,规律参数!$A:$C,3,FALSE),"")</f>
        <v/>
      </c>
      <c r="M261" s="32">
        <f>IF(L261="","",IF(I261="","待开奖",IF(ISNUMBER(SEARCH(I261,L261)),"命中","未命中")))</f>
        <v/>
      </c>
      <c r="N261" s="32">
        <f>IFERROR(VLOOKUP(VLOOKUP($B261-1,开奖记录!$A:$L,11,FALSE),八肖参数!$A:$B,2,FALSE),"")</f>
        <v/>
      </c>
      <c r="O261" s="32">
        <f>IF(N261="","",IF(I261="","待开奖",IF(ISNUMBER(SEARCH(I261,N261)),"命中","未命中")))</f>
        <v/>
      </c>
    </row>
    <row r="262" ht="23" customHeight="1" s="21">
      <c r="A262" s="32" t="n">
        <v>261</v>
      </c>
      <c r="B262" s="32">
        <f>IF(COUNTA(C262:E262)=0,"",B261+1)</f>
        <v/>
      </c>
      <c r="C262" s="33" t="inlineStr"/>
      <c r="D262" s="34" t="n"/>
      <c r="E262" s="34" t="n"/>
      <c r="F262" s="34">
        <f>IF(COUNTA(D262:E262)=0,"",N(D262)-N(E262))</f>
        <v/>
      </c>
      <c r="G262" s="32">
        <f>IFERROR(VLOOKUP($B262,'开奖记录'!$A:$K,2,FALSE),"")</f>
        <v/>
      </c>
      <c r="H262" s="32">
        <f>IFERROR(VLOOKUP($B262,'开奖记录'!$A:$K,9,FALSE),"")</f>
        <v/>
      </c>
      <c r="I262" s="32">
        <f>IFERROR(VLOOKUP($B262,'开奖记录'!$A:$K,11,FALSE),"")</f>
        <v/>
      </c>
      <c r="J262" s="32">
        <f>IF($B262="","",IF(ISNUMBER($D262),"命中",IF(ISNUMBER($E262),"未命中","")))</f>
        <v/>
      </c>
      <c r="K262" s="35" t="inlineStr"/>
      <c r="L262" s="32">
        <f>IFERROR(TEXT(VLOOKUP($B262-1,开奖记录!$A:$L,3,FALSE),"00")&amp;"+5="&amp;VLOOKUP(MOD(VLOOKUP($B262-1,开奖记录!$A:$L,3,FALSE)+4,49)+1,规律参数!$A:$C,3,FALSE),"")</f>
        <v/>
      </c>
      <c r="M262" s="32">
        <f>IF(L262="","",IF(I262="","待开奖",IF(ISNUMBER(SEARCH(I262,L262)),"命中","未命中")))</f>
        <v/>
      </c>
      <c r="N262" s="32">
        <f>IFERROR(VLOOKUP(VLOOKUP($B262-1,开奖记录!$A:$L,11,FALSE),八肖参数!$A:$B,2,FALSE),"")</f>
        <v/>
      </c>
      <c r="O262" s="32">
        <f>IF(N262="","",IF(I262="","待开奖",IF(ISNUMBER(SEARCH(I262,N262)),"命中","未命中")))</f>
        <v/>
      </c>
    </row>
    <row r="263" ht="23" customHeight="1" s="21">
      <c r="A263" s="32" t="n">
        <v>262</v>
      </c>
      <c r="B263" s="32">
        <f>IF(COUNTA(C263:E263)=0,"",B262+1)</f>
        <v/>
      </c>
      <c r="C263" s="33" t="inlineStr"/>
      <c r="D263" s="34" t="n"/>
      <c r="E263" s="34" t="n"/>
      <c r="F263" s="34">
        <f>IF(COUNTA(D263:E263)=0,"",N(D263)-N(E263))</f>
        <v/>
      </c>
      <c r="G263" s="32">
        <f>IFERROR(VLOOKUP($B263,'开奖记录'!$A:$K,2,FALSE),"")</f>
        <v/>
      </c>
      <c r="H263" s="32">
        <f>IFERROR(VLOOKUP($B263,'开奖记录'!$A:$K,9,FALSE),"")</f>
        <v/>
      </c>
      <c r="I263" s="32">
        <f>IFERROR(VLOOKUP($B263,'开奖记录'!$A:$K,11,FALSE),"")</f>
        <v/>
      </c>
      <c r="J263" s="32">
        <f>IF($B263="","",IF(ISNUMBER($D263),"命中",IF(ISNUMBER($E263),"未命中","")))</f>
        <v/>
      </c>
      <c r="K263" s="35" t="inlineStr"/>
      <c r="L263" s="32">
        <f>IFERROR(TEXT(VLOOKUP($B263-1,开奖记录!$A:$L,3,FALSE),"00")&amp;"+5="&amp;VLOOKUP(MOD(VLOOKUP($B263-1,开奖记录!$A:$L,3,FALSE)+4,49)+1,规律参数!$A:$C,3,FALSE),"")</f>
        <v/>
      </c>
      <c r="M263" s="32">
        <f>IF(L263="","",IF(I263="","待开奖",IF(ISNUMBER(SEARCH(I263,L263)),"命中","未命中")))</f>
        <v/>
      </c>
      <c r="N263" s="32">
        <f>IFERROR(VLOOKUP(VLOOKUP($B263-1,开奖记录!$A:$L,11,FALSE),八肖参数!$A:$B,2,FALSE),"")</f>
        <v/>
      </c>
      <c r="O263" s="32">
        <f>IF(N263="","",IF(I263="","待开奖",IF(ISNUMBER(SEARCH(I263,N263)),"命中","未命中")))</f>
        <v/>
      </c>
    </row>
    <row r="264" ht="23" customHeight="1" s="21">
      <c r="A264" s="32" t="n">
        <v>263</v>
      </c>
      <c r="B264" s="32">
        <f>IF(COUNTA(C264:E264)=0,"",B263+1)</f>
        <v/>
      </c>
      <c r="C264" s="33" t="inlineStr"/>
      <c r="D264" s="34" t="n"/>
      <c r="E264" s="34" t="n"/>
      <c r="F264" s="34">
        <f>IF(COUNTA(D264:E264)=0,"",N(D264)-N(E264))</f>
        <v/>
      </c>
      <c r="G264" s="32">
        <f>IFERROR(VLOOKUP($B264,'开奖记录'!$A:$K,2,FALSE),"")</f>
        <v/>
      </c>
      <c r="H264" s="32">
        <f>IFERROR(VLOOKUP($B264,'开奖记录'!$A:$K,9,FALSE),"")</f>
        <v/>
      </c>
      <c r="I264" s="32">
        <f>IFERROR(VLOOKUP($B264,'开奖记录'!$A:$K,11,FALSE),"")</f>
        <v/>
      </c>
      <c r="J264" s="32">
        <f>IF($B264="","",IF(ISNUMBER($D264),"命中",IF(ISNUMBER($E264),"未命中","")))</f>
        <v/>
      </c>
      <c r="K264" s="35" t="inlineStr"/>
      <c r="L264" s="32">
        <f>IFERROR(TEXT(VLOOKUP($B264-1,开奖记录!$A:$L,3,FALSE),"00")&amp;"+5="&amp;VLOOKUP(MOD(VLOOKUP($B264-1,开奖记录!$A:$L,3,FALSE)+4,49)+1,规律参数!$A:$C,3,FALSE),"")</f>
        <v/>
      </c>
      <c r="M264" s="32">
        <f>IF(L264="","",IF(I264="","待开奖",IF(ISNUMBER(SEARCH(I264,L264)),"命中","未命中")))</f>
        <v/>
      </c>
      <c r="N264" s="32">
        <f>IFERROR(VLOOKUP(VLOOKUP($B264-1,开奖记录!$A:$L,11,FALSE),八肖参数!$A:$B,2,FALSE),"")</f>
        <v/>
      </c>
      <c r="O264" s="32">
        <f>IF(N264="","",IF(I264="","待开奖",IF(ISNUMBER(SEARCH(I264,N264)),"命中","未命中")))</f>
        <v/>
      </c>
    </row>
    <row r="265" ht="23" customHeight="1" s="21">
      <c r="A265" s="32" t="n">
        <v>264</v>
      </c>
      <c r="B265" s="32">
        <f>IF(COUNTA(C265:E265)=0,"",B264+1)</f>
        <v/>
      </c>
      <c r="C265" s="33" t="inlineStr"/>
      <c r="D265" s="34" t="n"/>
      <c r="E265" s="34" t="n"/>
      <c r="F265" s="34">
        <f>IF(COUNTA(D265:E265)=0,"",N(D265)-N(E265))</f>
        <v/>
      </c>
      <c r="G265" s="32">
        <f>IFERROR(VLOOKUP($B265,'开奖记录'!$A:$K,2,FALSE),"")</f>
        <v/>
      </c>
      <c r="H265" s="32">
        <f>IFERROR(VLOOKUP($B265,'开奖记录'!$A:$K,9,FALSE),"")</f>
        <v/>
      </c>
      <c r="I265" s="32">
        <f>IFERROR(VLOOKUP($B265,'开奖记录'!$A:$K,11,FALSE),"")</f>
        <v/>
      </c>
      <c r="J265" s="32">
        <f>IF($B265="","",IF(ISNUMBER($D265),"命中",IF(ISNUMBER($E265),"未命中","")))</f>
        <v/>
      </c>
      <c r="K265" s="35" t="inlineStr"/>
      <c r="L265" s="32">
        <f>IFERROR(TEXT(VLOOKUP($B265-1,开奖记录!$A:$L,3,FALSE),"00")&amp;"+5="&amp;VLOOKUP(MOD(VLOOKUP($B265-1,开奖记录!$A:$L,3,FALSE)+4,49)+1,规律参数!$A:$C,3,FALSE),"")</f>
        <v/>
      </c>
      <c r="M265" s="32">
        <f>IF(L265="","",IF(I265="","待开奖",IF(ISNUMBER(SEARCH(I265,L265)),"命中","未命中")))</f>
        <v/>
      </c>
      <c r="N265" s="32">
        <f>IFERROR(VLOOKUP(VLOOKUP($B265-1,开奖记录!$A:$L,11,FALSE),八肖参数!$A:$B,2,FALSE),"")</f>
        <v/>
      </c>
      <c r="O265" s="32">
        <f>IF(N265="","",IF(I265="","待开奖",IF(ISNUMBER(SEARCH(I265,N265)),"命中","未命中")))</f>
        <v/>
      </c>
    </row>
    <row r="266" ht="23" customHeight="1" s="21">
      <c r="A266" s="32" t="n">
        <v>265</v>
      </c>
      <c r="B266" s="32">
        <f>IF(COUNTA(C266:E266)=0,"",B265+1)</f>
        <v/>
      </c>
      <c r="C266" s="33" t="inlineStr"/>
      <c r="D266" s="34" t="n"/>
      <c r="E266" s="34" t="n"/>
      <c r="F266" s="34">
        <f>IF(COUNTA(D266:E266)=0,"",N(D266)-N(E266))</f>
        <v/>
      </c>
      <c r="G266" s="32">
        <f>IFERROR(VLOOKUP($B266,'开奖记录'!$A:$K,2,FALSE),"")</f>
        <v/>
      </c>
      <c r="H266" s="32">
        <f>IFERROR(VLOOKUP($B266,'开奖记录'!$A:$K,9,FALSE),"")</f>
        <v/>
      </c>
      <c r="I266" s="32">
        <f>IFERROR(VLOOKUP($B266,'开奖记录'!$A:$K,11,FALSE),"")</f>
        <v/>
      </c>
      <c r="J266" s="32">
        <f>IF($B266="","",IF(ISNUMBER($D266),"命中",IF(ISNUMBER($E266),"未命中","")))</f>
        <v/>
      </c>
      <c r="K266" s="35" t="inlineStr"/>
      <c r="L266" s="32">
        <f>IFERROR(TEXT(VLOOKUP($B266-1,开奖记录!$A:$L,3,FALSE),"00")&amp;"+5="&amp;VLOOKUP(MOD(VLOOKUP($B266-1,开奖记录!$A:$L,3,FALSE)+4,49)+1,规律参数!$A:$C,3,FALSE),"")</f>
        <v/>
      </c>
      <c r="M266" s="32">
        <f>IF(L266="","",IF(I266="","待开奖",IF(ISNUMBER(SEARCH(I266,L266)),"命中","未命中")))</f>
        <v/>
      </c>
      <c r="N266" s="32">
        <f>IFERROR(VLOOKUP(VLOOKUP($B266-1,开奖记录!$A:$L,11,FALSE),八肖参数!$A:$B,2,FALSE),"")</f>
        <v/>
      </c>
      <c r="O266" s="32">
        <f>IF(N266="","",IF(I266="","待开奖",IF(ISNUMBER(SEARCH(I266,N266)),"命中","未命中")))</f>
        <v/>
      </c>
    </row>
    <row r="267" ht="23" customHeight="1" s="21">
      <c r="A267" s="32" t="n">
        <v>266</v>
      </c>
      <c r="B267" s="32">
        <f>IF(COUNTA(C267:E267)=0,"",B266+1)</f>
        <v/>
      </c>
      <c r="C267" s="33" t="inlineStr"/>
      <c r="D267" s="34" t="n"/>
      <c r="E267" s="34" t="n"/>
      <c r="F267" s="34">
        <f>IF(COUNTA(D267:E267)=0,"",N(D267)-N(E267))</f>
        <v/>
      </c>
      <c r="G267" s="32">
        <f>IFERROR(VLOOKUP($B267,'开奖记录'!$A:$K,2,FALSE),"")</f>
        <v/>
      </c>
      <c r="H267" s="32">
        <f>IFERROR(VLOOKUP($B267,'开奖记录'!$A:$K,9,FALSE),"")</f>
        <v/>
      </c>
      <c r="I267" s="32">
        <f>IFERROR(VLOOKUP($B267,'开奖记录'!$A:$K,11,FALSE),"")</f>
        <v/>
      </c>
      <c r="J267" s="32">
        <f>IF($B267="","",IF(ISNUMBER($D267),"命中",IF(ISNUMBER($E267),"未命中","")))</f>
        <v/>
      </c>
      <c r="K267" s="35" t="inlineStr"/>
      <c r="L267" s="32">
        <f>IFERROR(TEXT(VLOOKUP($B267-1,开奖记录!$A:$L,3,FALSE),"00")&amp;"+5="&amp;VLOOKUP(MOD(VLOOKUP($B267-1,开奖记录!$A:$L,3,FALSE)+4,49)+1,规律参数!$A:$C,3,FALSE),"")</f>
        <v/>
      </c>
      <c r="M267" s="32">
        <f>IF(L267="","",IF(I267="","待开奖",IF(ISNUMBER(SEARCH(I267,L267)),"命中","未命中")))</f>
        <v/>
      </c>
      <c r="N267" s="32">
        <f>IFERROR(VLOOKUP(VLOOKUP($B267-1,开奖记录!$A:$L,11,FALSE),八肖参数!$A:$B,2,FALSE),"")</f>
        <v/>
      </c>
      <c r="O267" s="32">
        <f>IF(N267="","",IF(I267="","待开奖",IF(ISNUMBER(SEARCH(I267,N267)),"命中","未命中")))</f>
        <v/>
      </c>
    </row>
    <row r="268" ht="23" customHeight="1" s="21">
      <c r="A268" s="32" t="n">
        <v>267</v>
      </c>
      <c r="B268" s="32">
        <f>IF(COUNTA(C268:E268)=0,"",B267+1)</f>
        <v/>
      </c>
      <c r="C268" s="33" t="inlineStr"/>
      <c r="D268" s="34" t="n"/>
      <c r="E268" s="34" t="n"/>
      <c r="F268" s="34">
        <f>IF(COUNTA(D268:E268)=0,"",N(D268)-N(E268))</f>
        <v/>
      </c>
      <c r="G268" s="32">
        <f>IFERROR(VLOOKUP($B268,'开奖记录'!$A:$K,2,FALSE),"")</f>
        <v/>
      </c>
      <c r="H268" s="32">
        <f>IFERROR(VLOOKUP($B268,'开奖记录'!$A:$K,9,FALSE),"")</f>
        <v/>
      </c>
      <c r="I268" s="32">
        <f>IFERROR(VLOOKUP($B268,'开奖记录'!$A:$K,11,FALSE),"")</f>
        <v/>
      </c>
      <c r="J268" s="32">
        <f>IF($B268="","",IF(ISNUMBER($D268),"命中",IF(ISNUMBER($E268),"未命中","")))</f>
        <v/>
      </c>
      <c r="K268" s="35" t="inlineStr"/>
      <c r="L268" s="32">
        <f>IFERROR(TEXT(VLOOKUP($B268-1,开奖记录!$A:$L,3,FALSE),"00")&amp;"+5="&amp;VLOOKUP(MOD(VLOOKUP($B268-1,开奖记录!$A:$L,3,FALSE)+4,49)+1,规律参数!$A:$C,3,FALSE),"")</f>
        <v/>
      </c>
      <c r="M268" s="32">
        <f>IF(L268="","",IF(I268="","待开奖",IF(ISNUMBER(SEARCH(I268,L268)),"命中","未命中")))</f>
        <v/>
      </c>
      <c r="N268" s="32">
        <f>IFERROR(VLOOKUP(VLOOKUP($B268-1,开奖记录!$A:$L,11,FALSE),八肖参数!$A:$B,2,FALSE),"")</f>
        <v/>
      </c>
      <c r="O268" s="32">
        <f>IF(N268="","",IF(I268="","待开奖",IF(ISNUMBER(SEARCH(I268,N268)),"命中","未命中")))</f>
        <v/>
      </c>
    </row>
    <row r="269" ht="23" customHeight="1" s="21">
      <c r="A269" s="32" t="n">
        <v>268</v>
      </c>
      <c r="B269" s="32">
        <f>IF(COUNTA(C269:E269)=0,"",B268+1)</f>
        <v/>
      </c>
      <c r="C269" s="33" t="inlineStr"/>
      <c r="D269" s="34" t="n"/>
      <c r="E269" s="34" t="n"/>
      <c r="F269" s="34">
        <f>IF(COUNTA(D269:E269)=0,"",N(D269)-N(E269))</f>
        <v/>
      </c>
      <c r="G269" s="32">
        <f>IFERROR(VLOOKUP($B269,'开奖记录'!$A:$K,2,FALSE),"")</f>
        <v/>
      </c>
      <c r="H269" s="32">
        <f>IFERROR(VLOOKUP($B269,'开奖记录'!$A:$K,9,FALSE),"")</f>
        <v/>
      </c>
      <c r="I269" s="32">
        <f>IFERROR(VLOOKUP($B269,'开奖记录'!$A:$K,11,FALSE),"")</f>
        <v/>
      </c>
      <c r="J269" s="32">
        <f>IF($B269="","",IF(ISNUMBER($D269),"命中",IF(ISNUMBER($E269),"未命中","")))</f>
        <v/>
      </c>
      <c r="K269" s="35" t="inlineStr"/>
      <c r="L269" s="32">
        <f>IFERROR(TEXT(VLOOKUP($B269-1,开奖记录!$A:$L,3,FALSE),"00")&amp;"+5="&amp;VLOOKUP(MOD(VLOOKUP($B269-1,开奖记录!$A:$L,3,FALSE)+4,49)+1,规律参数!$A:$C,3,FALSE),"")</f>
        <v/>
      </c>
      <c r="M269" s="32">
        <f>IF(L269="","",IF(I269="","待开奖",IF(ISNUMBER(SEARCH(I269,L269)),"命中","未命中")))</f>
        <v/>
      </c>
      <c r="N269" s="32">
        <f>IFERROR(VLOOKUP(VLOOKUP($B269-1,开奖记录!$A:$L,11,FALSE),八肖参数!$A:$B,2,FALSE),"")</f>
        <v/>
      </c>
      <c r="O269" s="32">
        <f>IF(N269="","",IF(I269="","待开奖",IF(ISNUMBER(SEARCH(I269,N269)),"命中","未命中")))</f>
        <v/>
      </c>
    </row>
    <row r="270" ht="23" customHeight="1" s="21">
      <c r="A270" s="32" t="n">
        <v>269</v>
      </c>
      <c r="B270" s="32">
        <f>IF(COUNTA(C270:E270)=0,"",B269+1)</f>
        <v/>
      </c>
      <c r="C270" s="33" t="inlineStr"/>
      <c r="D270" s="34" t="n"/>
      <c r="E270" s="34" t="n"/>
      <c r="F270" s="34">
        <f>IF(COUNTA(D270:E270)=0,"",N(D270)-N(E270))</f>
        <v/>
      </c>
      <c r="G270" s="32">
        <f>IFERROR(VLOOKUP($B270,'开奖记录'!$A:$K,2,FALSE),"")</f>
        <v/>
      </c>
      <c r="H270" s="32">
        <f>IFERROR(VLOOKUP($B270,'开奖记录'!$A:$K,9,FALSE),"")</f>
        <v/>
      </c>
      <c r="I270" s="32">
        <f>IFERROR(VLOOKUP($B270,'开奖记录'!$A:$K,11,FALSE),"")</f>
        <v/>
      </c>
      <c r="J270" s="32">
        <f>IF($B270="","",IF(ISNUMBER($D270),"命中",IF(ISNUMBER($E270),"未命中","")))</f>
        <v/>
      </c>
      <c r="K270" s="35" t="inlineStr"/>
      <c r="L270" s="32">
        <f>IFERROR(TEXT(VLOOKUP($B270-1,开奖记录!$A:$L,3,FALSE),"00")&amp;"+5="&amp;VLOOKUP(MOD(VLOOKUP($B270-1,开奖记录!$A:$L,3,FALSE)+4,49)+1,规律参数!$A:$C,3,FALSE),"")</f>
        <v/>
      </c>
      <c r="M270" s="32">
        <f>IF(L270="","",IF(I270="","待开奖",IF(ISNUMBER(SEARCH(I270,L270)),"命中","未命中")))</f>
        <v/>
      </c>
      <c r="N270" s="32">
        <f>IFERROR(VLOOKUP(VLOOKUP($B270-1,开奖记录!$A:$L,11,FALSE),八肖参数!$A:$B,2,FALSE),"")</f>
        <v/>
      </c>
      <c r="O270" s="32">
        <f>IF(N270="","",IF(I270="","待开奖",IF(ISNUMBER(SEARCH(I270,N270)),"命中","未命中")))</f>
        <v/>
      </c>
    </row>
    <row r="271" ht="23" customHeight="1" s="21">
      <c r="A271" s="32" t="n">
        <v>270</v>
      </c>
      <c r="B271" s="32">
        <f>IF(COUNTA(C271:E271)=0,"",B270+1)</f>
        <v/>
      </c>
      <c r="C271" s="33" t="inlineStr"/>
      <c r="D271" s="34" t="n"/>
      <c r="E271" s="34" t="n"/>
      <c r="F271" s="34">
        <f>IF(COUNTA(D271:E271)=0,"",N(D271)-N(E271))</f>
        <v/>
      </c>
      <c r="G271" s="32">
        <f>IFERROR(VLOOKUP($B271,'开奖记录'!$A:$K,2,FALSE),"")</f>
        <v/>
      </c>
      <c r="H271" s="32">
        <f>IFERROR(VLOOKUP($B271,'开奖记录'!$A:$K,9,FALSE),"")</f>
        <v/>
      </c>
      <c r="I271" s="32">
        <f>IFERROR(VLOOKUP($B271,'开奖记录'!$A:$K,11,FALSE),"")</f>
        <v/>
      </c>
      <c r="J271" s="32">
        <f>IF($B271="","",IF(ISNUMBER($D271),"命中",IF(ISNUMBER($E271),"未命中","")))</f>
        <v/>
      </c>
      <c r="K271" s="35" t="inlineStr"/>
      <c r="L271" s="32">
        <f>IFERROR(TEXT(VLOOKUP($B271-1,开奖记录!$A:$L,3,FALSE),"00")&amp;"+5="&amp;VLOOKUP(MOD(VLOOKUP($B271-1,开奖记录!$A:$L,3,FALSE)+4,49)+1,规律参数!$A:$C,3,FALSE),"")</f>
        <v/>
      </c>
      <c r="M271" s="32">
        <f>IF(L271="","",IF(I271="","待开奖",IF(ISNUMBER(SEARCH(I271,L271)),"命中","未命中")))</f>
        <v/>
      </c>
      <c r="N271" s="32">
        <f>IFERROR(VLOOKUP(VLOOKUP($B271-1,开奖记录!$A:$L,11,FALSE),八肖参数!$A:$B,2,FALSE),"")</f>
        <v/>
      </c>
      <c r="O271" s="32">
        <f>IF(N271="","",IF(I271="","待开奖",IF(ISNUMBER(SEARCH(I271,N271)),"命中","未命中")))</f>
        <v/>
      </c>
    </row>
    <row r="272" ht="23" customHeight="1" s="21">
      <c r="A272" s="32" t="n">
        <v>271</v>
      </c>
      <c r="B272" s="32">
        <f>IF(COUNTA(C272:E272)=0,"",B271+1)</f>
        <v/>
      </c>
      <c r="C272" s="33" t="inlineStr"/>
      <c r="D272" s="34" t="n"/>
      <c r="E272" s="34" t="n"/>
      <c r="F272" s="34">
        <f>IF(COUNTA(D272:E272)=0,"",N(D272)-N(E272))</f>
        <v/>
      </c>
      <c r="G272" s="32">
        <f>IFERROR(VLOOKUP($B272,'开奖记录'!$A:$K,2,FALSE),"")</f>
        <v/>
      </c>
      <c r="H272" s="32">
        <f>IFERROR(VLOOKUP($B272,'开奖记录'!$A:$K,9,FALSE),"")</f>
        <v/>
      </c>
      <c r="I272" s="32">
        <f>IFERROR(VLOOKUP($B272,'开奖记录'!$A:$K,11,FALSE),"")</f>
        <v/>
      </c>
      <c r="J272" s="32">
        <f>IF($B272="","",IF(ISNUMBER($D272),"命中",IF(ISNUMBER($E272),"未命中","")))</f>
        <v/>
      </c>
      <c r="K272" s="35" t="inlineStr"/>
      <c r="L272" s="32">
        <f>IFERROR(TEXT(VLOOKUP($B272-1,开奖记录!$A:$L,3,FALSE),"00")&amp;"+5="&amp;VLOOKUP(MOD(VLOOKUP($B272-1,开奖记录!$A:$L,3,FALSE)+4,49)+1,规律参数!$A:$C,3,FALSE),"")</f>
        <v/>
      </c>
      <c r="M272" s="32">
        <f>IF(L272="","",IF(I272="","待开奖",IF(ISNUMBER(SEARCH(I272,L272)),"命中","未命中")))</f>
        <v/>
      </c>
      <c r="N272" s="32">
        <f>IFERROR(VLOOKUP(VLOOKUP($B272-1,开奖记录!$A:$L,11,FALSE),八肖参数!$A:$B,2,FALSE),"")</f>
        <v/>
      </c>
      <c r="O272" s="32">
        <f>IF(N272="","",IF(I272="","待开奖",IF(ISNUMBER(SEARCH(I272,N272)),"命中","未命中")))</f>
        <v/>
      </c>
    </row>
    <row r="273" ht="23" customHeight="1" s="21">
      <c r="A273" s="32" t="n">
        <v>272</v>
      </c>
      <c r="B273" s="32">
        <f>IF(COUNTA(C273:E273)=0,"",B272+1)</f>
        <v/>
      </c>
      <c r="C273" s="33" t="inlineStr"/>
      <c r="D273" s="34" t="n"/>
      <c r="E273" s="34" t="n"/>
      <c r="F273" s="34">
        <f>IF(COUNTA(D273:E273)=0,"",N(D273)-N(E273))</f>
        <v/>
      </c>
      <c r="G273" s="32">
        <f>IFERROR(VLOOKUP($B273,'开奖记录'!$A:$K,2,FALSE),"")</f>
        <v/>
      </c>
      <c r="H273" s="32">
        <f>IFERROR(VLOOKUP($B273,'开奖记录'!$A:$K,9,FALSE),"")</f>
        <v/>
      </c>
      <c r="I273" s="32">
        <f>IFERROR(VLOOKUP($B273,'开奖记录'!$A:$K,11,FALSE),"")</f>
        <v/>
      </c>
      <c r="J273" s="32">
        <f>IF($B273="","",IF(ISNUMBER($D273),"命中",IF(ISNUMBER($E273),"未命中","")))</f>
        <v/>
      </c>
      <c r="K273" s="35" t="inlineStr"/>
      <c r="L273" s="32">
        <f>IFERROR(TEXT(VLOOKUP($B273-1,开奖记录!$A:$L,3,FALSE),"00")&amp;"+5="&amp;VLOOKUP(MOD(VLOOKUP($B273-1,开奖记录!$A:$L,3,FALSE)+4,49)+1,规律参数!$A:$C,3,FALSE),"")</f>
        <v/>
      </c>
      <c r="M273" s="32">
        <f>IF(L273="","",IF(I273="","待开奖",IF(ISNUMBER(SEARCH(I273,L273)),"命中","未命中")))</f>
        <v/>
      </c>
      <c r="N273" s="32">
        <f>IFERROR(VLOOKUP(VLOOKUP($B273-1,开奖记录!$A:$L,11,FALSE),八肖参数!$A:$B,2,FALSE),"")</f>
        <v/>
      </c>
      <c r="O273" s="32">
        <f>IF(N273="","",IF(I273="","待开奖",IF(ISNUMBER(SEARCH(I273,N273)),"命中","未命中")))</f>
        <v/>
      </c>
    </row>
    <row r="274" ht="23" customHeight="1" s="21">
      <c r="A274" s="32" t="n">
        <v>273</v>
      </c>
      <c r="B274" s="32">
        <f>IF(COUNTA(C274:E274)=0,"",B273+1)</f>
        <v/>
      </c>
      <c r="C274" s="33" t="inlineStr"/>
      <c r="D274" s="34" t="n"/>
      <c r="E274" s="34" t="n"/>
      <c r="F274" s="34">
        <f>IF(COUNTA(D274:E274)=0,"",N(D274)-N(E274))</f>
        <v/>
      </c>
      <c r="G274" s="32">
        <f>IFERROR(VLOOKUP($B274,'开奖记录'!$A:$K,2,FALSE),"")</f>
        <v/>
      </c>
      <c r="H274" s="32">
        <f>IFERROR(VLOOKUP($B274,'开奖记录'!$A:$K,9,FALSE),"")</f>
        <v/>
      </c>
      <c r="I274" s="32">
        <f>IFERROR(VLOOKUP($B274,'开奖记录'!$A:$K,11,FALSE),"")</f>
        <v/>
      </c>
      <c r="J274" s="32">
        <f>IF($B274="","",IF(ISNUMBER($D274),"命中",IF(ISNUMBER($E274),"未命中","")))</f>
        <v/>
      </c>
      <c r="K274" s="35" t="inlineStr"/>
      <c r="L274" s="32">
        <f>IFERROR(TEXT(VLOOKUP($B274-1,开奖记录!$A:$L,3,FALSE),"00")&amp;"+5="&amp;VLOOKUP(MOD(VLOOKUP($B274-1,开奖记录!$A:$L,3,FALSE)+4,49)+1,规律参数!$A:$C,3,FALSE),"")</f>
        <v/>
      </c>
      <c r="M274" s="32">
        <f>IF(L274="","",IF(I274="","待开奖",IF(ISNUMBER(SEARCH(I274,L274)),"命中","未命中")))</f>
        <v/>
      </c>
      <c r="N274" s="32">
        <f>IFERROR(VLOOKUP(VLOOKUP($B274-1,开奖记录!$A:$L,11,FALSE),八肖参数!$A:$B,2,FALSE),"")</f>
        <v/>
      </c>
      <c r="O274" s="32">
        <f>IF(N274="","",IF(I274="","待开奖",IF(ISNUMBER(SEARCH(I274,N274)),"命中","未命中")))</f>
        <v/>
      </c>
    </row>
    <row r="275" ht="23" customHeight="1" s="21">
      <c r="A275" s="32" t="n">
        <v>274</v>
      </c>
      <c r="B275" s="32">
        <f>IF(COUNTA(C275:E275)=0,"",B274+1)</f>
        <v/>
      </c>
      <c r="C275" s="33" t="inlineStr"/>
      <c r="D275" s="34" t="n"/>
      <c r="E275" s="34" t="n"/>
      <c r="F275" s="34">
        <f>IF(COUNTA(D275:E275)=0,"",N(D275)-N(E275))</f>
        <v/>
      </c>
      <c r="G275" s="32">
        <f>IFERROR(VLOOKUP($B275,'开奖记录'!$A:$K,2,FALSE),"")</f>
        <v/>
      </c>
      <c r="H275" s="32">
        <f>IFERROR(VLOOKUP($B275,'开奖记录'!$A:$K,9,FALSE),"")</f>
        <v/>
      </c>
      <c r="I275" s="32">
        <f>IFERROR(VLOOKUP($B275,'开奖记录'!$A:$K,11,FALSE),"")</f>
        <v/>
      </c>
      <c r="J275" s="32">
        <f>IF($B275="","",IF(ISNUMBER($D275),"命中",IF(ISNUMBER($E275),"未命中","")))</f>
        <v/>
      </c>
      <c r="K275" s="35" t="inlineStr"/>
      <c r="L275" s="32">
        <f>IFERROR(TEXT(VLOOKUP($B275-1,开奖记录!$A:$L,3,FALSE),"00")&amp;"+5="&amp;VLOOKUP(MOD(VLOOKUP($B275-1,开奖记录!$A:$L,3,FALSE)+4,49)+1,规律参数!$A:$C,3,FALSE),"")</f>
        <v/>
      </c>
      <c r="M275" s="32">
        <f>IF(L275="","",IF(I275="","待开奖",IF(ISNUMBER(SEARCH(I275,L275)),"命中","未命中")))</f>
        <v/>
      </c>
      <c r="N275" s="32">
        <f>IFERROR(VLOOKUP(VLOOKUP($B275-1,开奖记录!$A:$L,11,FALSE),八肖参数!$A:$B,2,FALSE),"")</f>
        <v/>
      </c>
      <c r="O275" s="32">
        <f>IF(N275="","",IF(I275="","待开奖",IF(ISNUMBER(SEARCH(I275,N275)),"命中","未命中")))</f>
        <v/>
      </c>
    </row>
    <row r="276" ht="23" customHeight="1" s="21">
      <c r="A276" s="32" t="n">
        <v>275</v>
      </c>
      <c r="B276" s="32">
        <f>IF(COUNTA(C276:E276)=0,"",B275+1)</f>
        <v/>
      </c>
      <c r="C276" s="33" t="inlineStr"/>
      <c r="D276" s="34" t="n"/>
      <c r="E276" s="34" t="n"/>
      <c r="F276" s="34">
        <f>IF(COUNTA(D276:E276)=0,"",N(D276)-N(E276))</f>
        <v/>
      </c>
      <c r="G276" s="32">
        <f>IFERROR(VLOOKUP($B276,'开奖记录'!$A:$K,2,FALSE),"")</f>
        <v/>
      </c>
      <c r="H276" s="32">
        <f>IFERROR(VLOOKUP($B276,'开奖记录'!$A:$K,9,FALSE),"")</f>
        <v/>
      </c>
      <c r="I276" s="32">
        <f>IFERROR(VLOOKUP($B276,'开奖记录'!$A:$K,11,FALSE),"")</f>
        <v/>
      </c>
      <c r="J276" s="32">
        <f>IF($B276="","",IF(ISNUMBER($D276),"命中",IF(ISNUMBER($E276),"未命中","")))</f>
        <v/>
      </c>
      <c r="K276" s="35" t="inlineStr"/>
      <c r="L276" s="32">
        <f>IFERROR(TEXT(VLOOKUP($B276-1,开奖记录!$A:$L,3,FALSE),"00")&amp;"+5="&amp;VLOOKUP(MOD(VLOOKUP($B276-1,开奖记录!$A:$L,3,FALSE)+4,49)+1,规律参数!$A:$C,3,FALSE),"")</f>
        <v/>
      </c>
      <c r="M276" s="32">
        <f>IF(L276="","",IF(I276="","待开奖",IF(ISNUMBER(SEARCH(I276,L276)),"命中","未命中")))</f>
        <v/>
      </c>
      <c r="N276" s="32">
        <f>IFERROR(VLOOKUP(VLOOKUP($B276-1,开奖记录!$A:$L,11,FALSE),八肖参数!$A:$B,2,FALSE),"")</f>
        <v/>
      </c>
      <c r="O276" s="32">
        <f>IF(N276="","",IF(I276="","待开奖",IF(ISNUMBER(SEARCH(I276,N276)),"命中","未命中")))</f>
        <v/>
      </c>
    </row>
    <row r="277" ht="23" customHeight="1" s="21">
      <c r="A277" s="32" t="n">
        <v>276</v>
      </c>
      <c r="B277" s="32">
        <f>IF(COUNTA(C277:E277)=0,"",B276+1)</f>
        <v/>
      </c>
      <c r="C277" s="33" t="inlineStr"/>
      <c r="D277" s="34" t="n"/>
      <c r="E277" s="34" t="n"/>
      <c r="F277" s="34">
        <f>IF(COUNTA(D277:E277)=0,"",N(D277)-N(E277))</f>
        <v/>
      </c>
      <c r="G277" s="32">
        <f>IFERROR(VLOOKUP($B277,'开奖记录'!$A:$K,2,FALSE),"")</f>
        <v/>
      </c>
      <c r="H277" s="32">
        <f>IFERROR(VLOOKUP($B277,'开奖记录'!$A:$K,9,FALSE),"")</f>
        <v/>
      </c>
      <c r="I277" s="32">
        <f>IFERROR(VLOOKUP($B277,'开奖记录'!$A:$K,11,FALSE),"")</f>
        <v/>
      </c>
      <c r="J277" s="32">
        <f>IF($B277="","",IF(ISNUMBER($D277),"命中",IF(ISNUMBER($E277),"未命中","")))</f>
        <v/>
      </c>
      <c r="K277" s="35" t="inlineStr"/>
      <c r="L277" s="32">
        <f>IFERROR(TEXT(VLOOKUP($B277-1,开奖记录!$A:$L,3,FALSE),"00")&amp;"+5="&amp;VLOOKUP(MOD(VLOOKUP($B277-1,开奖记录!$A:$L,3,FALSE)+4,49)+1,规律参数!$A:$C,3,FALSE),"")</f>
        <v/>
      </c>
      <c r="M277" s="32">
        <f>IF(L277="","",IF(I277="","待开奖",IF(ISNUMBER(SEARCH(I277,L277)),"命中","未命中")))</f>
        <v/>
      </c>
      <c r="N277" s="32">
        <f>IFERROR(VLOOKUP(VLOOKUP($B277-1,开奖记录!$A:$L,11,FALSE),八肖参数!$A:$B,2,FALSE),"")</f>
        <v/>
      </c>
      <c r="O277" s="32">
        <f>IF(N277="","",IF(I277="","待开奖",IF(ISNUMBER(SEARCH(I277,N277)),"命中","未命中")))</f>
        <v/>
      </c>
    </row>
    <row r="278" ht="23" customHeight="1" s="21">
      <c r="A278" s="32" t="n">
        <v>277</v>
      </c>
      <c r="B278" s="32">
        <f>IF(COUNTA(C278:E278)=0,"",B277+1)</f>
        <v/>
      </c>
      <c r="C278" s="33" t="inlineStr"/>
      <c r="D278" s="34" t="n"/>
      <c r="E278" s="34" t="n"/>
      <c r="F278" s="34">
        <f>IF(COUNTA(D278:E278)=0,"",N(D278)-N(E278))</f>
        <v/>
      </c>
      <c r="G278" s="32">
        <f>IFERROR(VLOOKUP($B278,'开奖记录'!$A:$K,2,FALSE),"")</f>
        <v/>
      </c>
      <c r="H278" s="32">
        <f>IFERROR(VLOOKUP($B278,'开奖记录'!$A:$K,9,FALSE),"")</f>
        <v/>
      </c>
      <c r="I278" s="32">
        <f>IFERROR(VLOOKUP($B278,'开奖记录'!$A:$K,11,FALSE),"")</f>
        <v/>
      </c>
      <c r="J278" s="32">
        <f>IF($B278="","",IF(ISNUMBER($D278),"命中",IF(ISNUMBER($E278),"未命中","")))</f>
        <v/>
      </c>
      <c r="K278" s="35" t="inlineStr"/>
      <c r="L278" s="32">
        <f>IFERROR(TEXT(VLOOKUP($B278-1,开奖记录!$A:$L,3,FALSE),"00")&amp;"+5="&amp;VLOOKUP(MOD(VLOOKUP($B278-1,开奖记录!$A:$L,3,FALSE)+4,49)+1,规律参数!$A:$C,3,FALSE),"")</f>
        <v/>
      </c>
      <c r="M278" s="32">
        <f>IF(L278="","",IF(I278="","待开奖",IF(ISNUMBER(SEARCH(I278,L278)),"命中","未命中")))</f>
        <v/>
      </c>
      <c r="N278" s="32">
        <f>IFERROR(VLOOKUP(VLOOKUP($B278-1,开奖记录!$A:$L,11,FALSE),八肖参数!$A:$B,2,FALSE),"")</f>
        <v/>
      </c>
      <c r="O278" s="32">
        <f>IF(N278="","",IF(I278="","待开奖",IF(ISNUMBER(SEARCH(I278,N278)),"命中","未命中")))</f>
        <v/>
      </c>
    </row>
    <row r="279" ht="23" customHeight="1" s="21">
      <c r="A279" s="32" t="n">
        <v>278</v>
      </c>
      <c r="B279" s="32">
        <f>IF(COUNTA(C279:E279)=0,"",B278+1)</f>
        <v/>
      </c>
      <c r="C279" s="33" t="inlineStr"/>
      <c r="D279" s="34" t="n"/>
      <c r="E279" s="34" t="n"/>
      <c r="F279" s="34">
        <f>IF(COUNTA(D279:E279)=0,"",N(D279)-N(E279))</f>
        <v/>
      </c>
      <c r="G279" s="32">
        <f>IFERROR(VLOOKUP($B279,'开奖记录'!$A:$K,2,FALSE),"")</f>
        <v/>
      </c>
      <c r="H279" s="32">
        <f>IFERROR(VLOOKUP($B279,'开奖记录'!$A:$K,9,FALSE),"")</f>
        <v/>
      </c>
      <c r="I279" s="32">
        <f>IFERROR(VLOOKUP($B279,'开奖记录'!$A:$K,11,FALSE),"")</f>
        <v/>
      </c>
      <c r="J279" s="32">
        <f>IF($B279="","",IF(ISNUMBER($D279),"命中",IF(ISNUMBER($E279),"未命中","")))</f>
        <v/>
      </c>
      <c r="K279" s="35" t="inlineStr"/>
      <c r="L279" s="32">
        <f>IFERROR(TEXT(VLOOKUP($B279-1,开奖记录!$A:$L,3,FALSE),"00")&amp;"+5="&amp;VLOOKUP(MOD(VLOOKUP($B279-1,开奖记录!$A:$L,3,FALSE)+4,49)+1,规律参数!$A:$C,3,FALSE),"")</f>
        <v/>
      </c>
      <c r="M279" s="32">
        <f>IF(L279="","",IF(I279="","待开奖",IF(ISNUMBER(SEARCH(I279,L279)),"命中","未命中")))</f>
        <v/>
      </c>
      <c r="N279" s="32">
        <f>IFERROR(VLOOKUP(VLOOKUP($B279-1,开奖记录!$A:$L,11,FALSE),八肖参数!$A:$B,2,FALSE),"")</f>
        <v/>
      </c>
      <c r="O279" s="32">
        <f>IF(N279="","",IF(I279="","待开奖",IF(ISNUMBER(SEARCH(I279,N279)),"命中","未命中")))</f>
        <v/>
      </c>
    </row>
    <row r="280" ht="23" customHeight="1" s="21">
      <c r="A280" s="32" t="n">
        <v>279</v>
      </c>
      <c r="B280" s="32">
        <f>IF(COUNTA(C280:E280)=0,"",B279+1)</f>
        <v/>
      </c>
      <c r="C280" s="33" t="inlineStr"/>
      <c r="D280" s="34" t="n"/>
      <c r="E280" s="34" t="n"/>
      <c r="F280" s="34">
        <f>IF(COUNTA(D280:E280)=0,"",N(D280)-N(E280))</f>
        <v/>
      </c>
      <c r="G280" s="32">
        <f>IFERROR(VLOOKUP($B280,'开奖记录'!$A:$K,2,FALSE),"")</f>
        <v/>
      </c>
      <c r="H280" s="32">
        <f>IFERROR(VLOOKUP($B280,'开奖记录'!$A:$K,9,FALSE),"")</f>
        <v/>
      </c>
      <c r="I280" s="32">
        <f>IFERROR(VLOOKUP($B280,'开奖记录'!$A:$K,11,FALSE),"")</f>
        <v/>
      </c>
      <c r="J280" s="32">
        <f>IF($B280="","",IF(ISNUMBER($D280),"命中",IF(ISNUMBER($E280),"未命中","")))</f>
        <v/>
      </c>
      <c r="K280" s="35" t="inlineStr"/>
      <c r="L280" s="32">
        <f>IFERROR(TEXT(VLOOKUP($B280-1,开奖记录!$A:$L,3,FALSE),"00")&amp;"+5="&amp;VLOOKUP(MOD(VLOOKUP($B280-1,开奖记录!$A:$L,3,FALSE)+4,49)+1,规律参数!$A:$C,3,FALSE),"")</f>
        <v/>
      </c>
      <c r="M280" s="32">
        <f>IF(L280="","",IF(I280="","待开奖",IF(ISNUMBER(SEARCH(I280,L280)),"命中","未命中")))</f>
        <v/>
      </c>
      <c r="N280" s="32">
        <f>IFERROR(VLOOKUP(VLOOKUP($B280-1,开奖记录!$A:$L,11,FALSE),八肖参数!$A:$B,2,FALSE),"")</f>
        <v/>
      </c>
      <c r="O280" s="32">
        <f>IF(N280="","",IF(I280="","待开奖",IF(ISNUMBER(SEARCH(I280,N280)),"命中","未命中")))</f>
        <v/>
      </c>
    </row>
    <row r="281" ht="23" customHeight="1" s="21">
      <c r="A281" s="32" t="n">
        <v>280</v>
      </c>
      <c r="B281" s="32">
        <f>IF(COUNTA(C281:E281)=0,"",B280+1)</f>
        <v/>
      </c>
      <c r="C281" s="33" t="inlineStr"/>
      <c r="D281" s="34" t="n"/>
      <c r="E281" s="34" t="n"/>
      <c r="F281" s="34">
        <f>IF(COUNTA(D281:E281)=0,"",N(D281)-N(E281))</f>
        <v/>
      </c>
      <c r="G281" s="32">
        <f>IFERROR(VLOOKUP($B281,'开奖记录'!$A:$K,2,FALSE),"")</f>
        <v/>
      </c>
      <c r="H281" s="32">
        <f>IFERROR(VLOOKUP($B281,'开奖记录'!$A:$K,9,FALSE),"")</f>
        <v/>
      </c>
      <c r="I281" s="32">
        <f>IFERROR(VLOOKUP($B281,'开奖记录'!$A:$K,11,FALSE),"")</f>
        <v/>
      </c>
      <c r="J281" s="32">
        <f>IF($B281="","",IF(ISNUMBER($D281),"命中",IF(ISNUMBER($E281),"未命中","")))</f>
        <v/>
      </c>
      <c r="K281" s="35" t="inlineStr"/>
      <c r="L281" s="32">
        <f>IFERROR(TEXT(VLOOKUP($B281-1,开奖记录!$A:$L,3,FALSE),"00")&amp;"+5="&amp;VLOOKUP(MOD(VLOOKUP($B281-1,开奖记录!$A:$L,3,FALSE)+4,49)+1,规律参数!$A:$C,3,FALSE),"")</f>
        <v/>
      </c>
      <c r="M281" s="32">
        <f>IF(L281="","",IF(I281="","待开奖",IF(ISNUMBER(SEARCH(I281,L281)),"命中","未命中")))</f>
        <v/>
      </c>
      <c r="N281" s="32">
        <f>IFERROR(VLOOKUP(VLOOKUP($B281-1,开奖记录!$A:$L,11,FALSE),八肖参数!$A:$B,2,FALSE),"")</f>
        <v/>
      </c>
      <c r="O281" s="32">
        <f>IF(N281="","",IF(I281="","待开奖",IF(ISNUMBER(SEARCH(I281,N281)),"命中","未命中")))</f>
        <v/>
      </c>
    </row>
    <row r="282" ht="23" customHeight="1" s="21">
      <c r="A282" s="32" t="n">
        <v>281</v>
      </c>
      <c r="B282" s="32">
        <f>IF(COUNTA(C282:E282)=0,"",B281+1)</f>
        <v/>
      </c>
      <c r="C282" s="33" t="inlineStr"/>
      <c r="D282" s="34" t="n"/>
      <c r="E282" s="34" t="n"/>
      <c r="F282" s="34">
        <f>IF(COUNTA(D282:E282)=0,"",N(D282)-N(E282))</f>
        <v/>
      </c>
      <c r="G282" s="32">
        <f>IFERROR(VLOOKUP($B282,'开奖记录'!$A:$K,2,FALSE),"")</f>
        <v/>
      </c>
      <c r="H282" s="32">
        <f>IFERROR(VLOOKUP($B282,'开奖记录'!$A:$K,9,FALSE),"")</f>
        <v/>
      </c>
      <c r="I282" s="32">
        <f>IFERROR(VLOOKUP($B282,'开奖记录'!$A:$K,11,FALSE),"")</f>
        <v/>
      </c>
      <c r="J282" s="32">
        <f>IF($B282="","",IF(ISNUMBER($D282),"命中",IF(ISNUMBER($E282),"未命中","")))</f>
        <v/>
      </c>
      <c r="K282" s="35" t="inlineStr"/>
      <c r="L282" s="32">
        <f>IFERROR(TEXT(VLOOKUP($B282-1,开奖记录!$A:$L,3,FALSE),"00")&amp;"+5="&amp;VLOOKUP(MOD(VLOOKUP($B282-1,开奖记录!$A:$L,3,FALSE)+4,49)+1,规律参数!$A:$C,3,FALSE),"")</f>
        <v/>
      </c>
      <c r="M282" s="32">
        <f>IF(L282="","",IF(I282="","待开奖",IF(ISNUMBER(SEARCH(I282,L282)),"命中","未命中")))</f>
        <v/>
      </c>
      <c r="N282" s="32">
        <f>IFERROR(VLOOKUP(VLOOKUP($B282-1,开奖记录!$A:$L,11,FALSE),八肖参数!$A:$B,2,FALSE),"")</f>
        <v/>
      </c>
      <c r="O282" s="32">
        <f>IF(N282="","",IF(I282="","待开奖",IF(ISNUMBER(SEARCH(I282,N282)),"命中","未命中")))</f>
        <v/>
      </c>
    </row>
    <row r="283" ht="23" customHeight="1" s="21">
      <c r="A283" s="32" t="n">
        <v>282</v>
      </c>
      <c r="B283" s="32">
        <f>IF(COUNTA(C283:E283)=0,"",B282+1)</f>
        <v/>
      </c>
      <c r="C283" s="33" t="inlineStr"/>
      <c r="D283" s="34" t="n"/>
      <c r="E283" s="34" t="n"/>
      <c r="F283" s="34">
        <f>IF(COUNTA(D283:E283)=0,"",N(D283)-N(E283))</f>
        <v/>
      </c>
      <c r="G283" s="32">
        <f>IFERROR(VLOOKUP($B283,'开奖记录'!$A:$K,2,FALSE),"")</f>
        <v/>
      </c>
      <c r="H283" s="32">
        <f>IFERROR(VLOOKUP($B283,'开奖记录'!$A:$K,9,FALSE),"")</f>
        <v/>
      </c>
      <c r="I283" s="32">
        <f>IFERROR(VLOOKUP($B283,'开奖记录'!$A:$K,11,FALSE),"")</f>
        <v/>
      </c>
      <c r="J283" s="32">
        <f>IF($B283="","",IF(ISNUMBER($D283),"命中",IF(ISNUMBER($E283),"未命中","")))</f>
        <v/>
      </c>
      <c r="K283" s="35" t="inlineStr"/>
      <c r="L283" s="32">
        <f>IFERROR(TEXT(VLOOKUP($B283-1,开奖记录!$A:$L,3,FALSE),"00")&amp;"+5="&amp;VLOOKUP(MOD(VLOOKUP($B283-1,开奖记录!$A:$L,3,FALSE)+4,49)+1,规律参数!$A:$C,3,FALSE),"")</f>
        <v/>
      </c>
      <c r="M283" s="32">
        <f>IF(L283="","",IF(I283="","待开奖",IF(ISNUMBER(SEARCH(I283,L283)),"命中","未命中")))</f>
        <v/>
      </c>
      <c r="N283" s="32">
        <f>IFERROR(VLOOKUP(VLOOKUP($B283-1,开奖记录!$A:$L,11,FALSE),八肖参数!$A:$B,2,FALSE),"")</f>
        <v/>
      </c>
      <c r="O283" s="32">
        <f>IF(N283="","",IF(I283="","待开奖",IF(ISNUMBER(SEARCH(I283,N283)),"命中","未命中")))</f>
        <v/>
      </c>
    </row>
    <row r="284" ht="23" customHeight="1" s="21">
      <c r="A284" s="32" t="n">
        <v>283</v>
      </c>
      <c r="B284" s="32">
        <f>IF(COUNTA(C284:E284)=0,"",B283+1)</f>
        <v/>
      </c>
      <c r="C284" s="33" t="inlineStr"/>
      <c r="D284" s="34" t="n"/>
      <c r="E284" s="34" t="n"/>
      <c r="F284" s="34">
        <f>IF(COUNTA(D284:E284)=0,"",N(D284)-N(E284))</f>
        <v/>
      </c>
      <c r="G284" s="32">
        <f>IFERROR(VLOOKUP($B284,'开奖记录'!$A:$K,2,FALSE),"")</f>
        <v/>
      </c>
      <c r="H284" s="32">
        <f>IFERROR(VLOOKUP($B284,'开奖记录'!$A:$K,9,FALSE),"")</f>
        <v/>
      </c>
      <c r="I284" s="32">
        <f>IFERROR(VLOOKUP($B284,'开奖记录'!$A:$K,11,FALSE),"")</f>
        <v/>
      </c>
      <c r="J284" s="32">
        <f>IF($B284="","",IF(ISNUMBER($D284),"命中",IF(ISNUMBER($E284),"未命中","")))</f>
        <v/>
      </c>
      <c r="K284" s="35" t="inlineStr"/>
      <c r="L284" s="32">
        <f>IFERROR(TEXT(VLOOKUP($B284-1,开奖记录!$A:$L,3,FALSE),"00")&amp;"+5="&amp;VLOOKUP(MOD(VLOOKUP($B284-1,开奖记录!$A:$L,3,FALSE)+4,49)+1,规律参数!$A:$C,3,FALSE),"")</f>
        <v/>
      </c>
      <c r="M284" s="32">
        <f>IF(L284="","",IF(I284="","待开奖",IF(ISNUMBER(SEARCH(I284,L284)),"命中","未命中")))</f>
        <v/>
      </c>
      <c r="N284" s="32">
        <f>IFERROR(VLOOKUP(VLOOKUP($B284-1,开奖记录!$A:$L,11,FALSE),八肖参数!$A:$B,2,FALSE),"")</f>
        <v/>
      </c>
      <c r="O284" s="32">
        <f>IF(N284="","",IF(I284="","待开奖",IF(ISNUMBER(SEARCH(I284,N284)),"命中","未命中")))</f>
        <v/>
      </c>
    </row>
    <row r="285" ht="23" customHeight="1" s="21">
      <c r="A285" s="32" t="n">
        <v>284</v>
      </c>
      <c r="B285" s="32">
        <f>IF(COUNTA(C285:E285)=0,"",B284+1)</f>
        <v/>
      </c>
      <c r="C285" s="33" t="inlineStr"/>
      <c r="D285" s="34" t="n"/>
      <c r="E285" s="34" t="n"/>
      <c r="F285" s="34">
        <f>IF(COUNTA(D285:E285)=0,"",N(D285)-N(E285))</f>
        <v/>
      </c>
      <c r="G285" s="32">
        <f>IFERROR(VLOOKUP($B285,'开奖记录'!$A:$K,2,FALSE),"")</f>
        <v/>
      </c>
      <c r="H285" s="32">
        <f>IFERROR(VLOOKUP($B285,'开奖记录'!$A:$K,9,FALSE),"")</f>
        <v/>
      </c>
      <c r="I285" s="32">
        <f>IFERROR(VLOOKUP($B285,'开奖记录'!$A:$K,11,FALSE),"")</f>
        <v/>
      </c>
      <c r="J285" s="32">
        <f>IF($B285="","",IF(ISNUMBER($D285),"命中",IF(ISNUMBER($E285),"未命中","")))</f>
        <v/>
      </c>
      <c r="K285" s="35" t="inlineStr"/>
      <c r="L285" s="32">
        <f>IFERROR(TEXT(VLOOKUP($B285-1,开奖记录!$A:$L,3,FALSE),"00")&amp;"+5="&amp;VLOOKUP(MOD(VLOOKUP($B285-1,开奖记录!$A:$L,3,FALSE)+4,49)+1,规律参数!$A:$C,3,FALSE),"")</f>
        <v/>
      </c>
      <c r="M285" s="32">
        <f>IF(L285="","",IF(I285="","待开奖",IF(ISNUMBER(SEARCH(I285,L285)),"命中","未命中")))</f>
        <v/>
      </c>
      <c r="N285" s="32">
        <f>IFERROR(VLOOKUP(VLOOKUP($B285-1,开奖记录!$A:$L,11,FALSE),八肖参数!$A:$B,2,FALSE),"")</f>
        <v/>
      </c>
      <c r="O285" s="32">
        <f>IF(N285="","",IF(I285="","待开奖",IF(ISNUMBER(SEARCH(I285,N285)),"命中","未命中")))</f>
        <v/>
      </c>
    </row>
    <row r="286" ht="23" customHeight="1" s="21">
      <c r="A286" s="32" t="n">
        <v>285</v>
      </c>
      <c r="B286" s="32">
        <f>IF(COUNTA(C286:E286)=0,"",B285+1)</f>
        <v/>
      </c>
      <c r="C286" s="33" t="inlineStr"/>
      <c r="D286" s="34" t="n"/>
      <c r="E286" s="34" t="n"/>
      <c r="F286" s="34">
        <f>IF(COUNTA(D286:E286)=0,"",N(D286)-N(E286))</f>
        <v/>
      </c>
      <c r="G286" s="32">
        <f>IFERROR(VLOOKUP($B286,'开奖记录'!$A:$K,2,FALSE),"")</f>
        <v/>
      </c>
      <c r="H286" s="32">
        <f>IFERROR(VLOOKUP($B286,'开奖记录'!$A:$K,9,FALSE),"")</f>
        <v/>
      </c>
      <c r="I286" s="32">
        <f>IFERROR(VLOOKUP($B286,'开奖记录'!$A:$K,11,FALSE),"")</f>
        <v/>
      </c>
      <c r="J286" s="32">
        <f>IF($B286="","",IF(ISNUMBER($D286),"命中",IF(ISNUMBER($E286),"未命中","")))</f>
        <v/>
      </c>
      <c r="K286" s="35" t="inlineStr"/>
      <c r="L286" s="32">
        <f>IFERROR(TEXT(VLOOKUP($B286-1,开奖记录!$A:$L,3,FALSE),"00")&amp;"+5="&amp;VLOOKUP(MOD(VLOOKUP($B286-1,开奖记录!$A:$L,3,FALSE)+4,49)+1,规律参数!$A:$C,3,FALSE),"")</f>
        <v/>
      </c>
      <c r="M286" s="32">
        <f>IF(L286="","",IF(I286="","待开奖",IF(ISNUMBER(SEARCH(I286,L286)),"命中","未命中")))</f>
        <v/>
      </c>
      <c r="N286" s="32">
        <f>IFERROR(VLOOKUP(VLOOKUP($B286-1,开奖记录!$A:$L,11,FALSE),八肖参数!$A:$B,2,FALSE),"")</f>
        <v/>
      </c>
      <c r="O286" s="32">
        <f>IF(N286="","",IF(I286="","待开奖",IF(ISNUMBER(SEARCH(I286,N286)),"命中","未命中")))</f>
        <v/>
      </c>
    </row>
    <row r="287" ht="23" customHeight="1" s="21">
      <c r="A287" s="32" t="n">
        <v>286</v>
      </c>
      <c r="B287" s="32">
        <f>IF(COUNTA(C287:E287)=0,"",B286+1)</f>
        <v/>
      </c>
      <c r="C287" s="33" t="inlineStr"/>
      <c r="D287" s="34" t="n"/>
      <c r="E287" s="34" t="n"/>
      <c r="F287" s="34">
        <f>IF(COUNTA(D287:E287)=0,"",N(D287)-N(E287))</f>
        <v/>
      </c>
      <c r="G287" s="32">
        <f>IFERROR(VLOOKUP($B287,'开奖记录'!$A:$K,2,FALSE),"")</f>
        <v/>
      </c>
      <c r="H287" s="32">
        <f>IFERROR(VLOOKUP($B287,'开奖记录'!$A:$K,9,FALSE),"")</f>
        <v/>
      </c>
      <c r="I287" s="32">
        <f>IFERROR(VLOOKUP($B287,'开奖记录'!$A:$K,11,FALSE),"")</f>
        <v/>
      </c>
      <c r="J287" s="32">
        <f>IF($B287="","",IF(ISNUMBER($D287),"命中",IF(ISNUMBER($E287),"未命中","")))</f>
        <v/>
      </c>
      <c r="K287" s="35" t="inlineStr"/>
      <c r="L287" s="32">
        <f>IFERROR(TEXT(VLOOKUP($B287-1,开奖记录!$A:$L,3,FALSE),"00")&amp;"+5="&amp;VLOOKUP(MOD(VLOOKUP($B287-1,开奖记录!$A:$L,3,FALSE)+4,49)+1,规律参数!$A:$C,3,FALSE),"")</f>
        <v/>
      </c>
      <c r="M287" s="32">
        <f>IF(L287="","",IF(I287="","待开奖",IF(ISNUMBER(SEARCH(I287,L287)),"命中","未命中")))</f>
        <v/>
      </c>
      <c r="N287" s="32">
        <f>IFERROR(VLOOKUP(VLOOKUP($B287-1,开奖记录!$A:$L,11,FALSE),八肖参数!$A:$B,2,FALSE),"")</f>
        <v/>
      </c>
      <c r="O287" s="32">
        <f>IF(N287="","",IF(I287="","待开奖",IF(ISNUMBER(SEARCH(I287,N287)),"命中","未命中")))</f>
        <v/>
      </c>
    </row>
    <row r="288" ht="23" customHeight="1" s="21">
      <c r="A288" s="32" t="n">
        <v>287</v>
      </c>
      <c r="B288" s="32">
        <f>IF(COUNTA(C288:E288)=0,"",B287+1)</f>
        <v/>
      </c>
      <c r="C288" s="33" t="inlineStr"/>
      <c r="D288" s="34" t="n"/>
      <c r="E288" s="34" t="n"/>
      <c r="F288" s="34">
        <f>IF(COUNTA(D288:E288)=0,"",N(D288)-N(E288))</f>
        <v/>
      </c>
      <c r="G288" s="32">
        <f>IFERROR(VLOOKUP($B288,'开奖记录'!$A:$K,2,FALSE),"")</f>
        <v/>
      </c>
      <c r="H288" s="32">
        <f>IFERROR(VLOOKUP($B288,'开奖记录'!$A:$K,9,FALSE),"")</f>
        <v/>
      </c>
      <c r="I288" s="32">
        <f>IFERROR(VLOOKUP($B288,'开奖记录'!$A:$K,11,FALSE),"")</f>
        <v/>
      </c>
      <c r="J288" s="32">
        <f>IF($B288="","",IF(ISNUMBER($D288),"命中",IF(ISNUMBER($E288),"未命中","")))</f>
        <v/>
      </c>
      <c r="K288" s="35" t="inlineStr"/>
      <c r="L288" s="32">
        <f>IFERROR(TEXT(VLOOKUP($B288-1,开奖记录!$A:$L,3,FALSE),"00")&amp;"+5="&amp;VLOOKUP(MOD(VLOOKUP($B288-1,开奖记录!$A:$L,3,FALSE)+4,49)+1,规律参数!$A:$C,3,FALSE),"")</f>
        <v/>
      </c>
      <c r="M288" s="32">
        <f>IF(L288="","",IF(I288="","待开奖",IF(ISNUMBER(SEARCH(I288,L288)),"命中","未命中")))</f>
        <v/>
      </c>
      <c r="N288" s="32">
        <f>IFERROR(VLOOKUP(VLOOKUP($B288-1,开奖记录!$A:$L,11,FALSE),八肖参数!$A:$B,2,FALSE),"")</f>
        <v/>
      </c>
      <c r="O288" s="32">
        <f>IF(N288="","",IF(I288="","待开奖",IF(ISNUMBER(SEARCH(I288,N288)),"命中","未命中")))</f>
        <v/>
      </c>
    </row>
    <row r="289" ht="23" customHeight="1" s="21">
      <c r="A289" s="32" t="n">
        <v>288</v>
      </c>
      <c r="B289" s="32">
        <f>IF(COUNTA(C289:E289)=0,"",B288+1)</f>
        <v/>
      </c>
      <c r="C289" s="33" t="inlineStr"/>
      <c r="D289" s="34" t="n"/>
      <c r="E289" s="34" t="n"/>
      <c r="F289" s="34">
        <f>IF(COUNTA(D289:E289)=0,"",N(D289)-N(E289))</f>
        <v/>
      </c>
      <c r="G289" s="32">
        <f>IFERROR(VLOOKUP($B289,'开奖记录'!$A:$K,2,FALSE),"")</f>
        <v/>
      </c>
      <c r="H289" s="32">
        <f>IFERROR(VLOOKUP($B289,'开奖记录'!$A:$K,9,FALSE),"")</f>
        <v/>
      </c>
      <c r="I289" s="32">
        <f>IFERROR(VLOOKUP($B289,'开奖记录'!$A:$K,11,FALSE),"")</f>
        <v/>
      </c>
      <c r="J289" s="32">
        <f>IF($B289="","",IF(ISNUMBER($D289),"命中",IF(ISNUMBER($E289),"未命中","")))</f>
        <v/>
      </c>
      <c r="K289" s="35" t="inlineStr"/>
      <c r="L289" s="32">
        <f>IFERROR(TEXT(VLOOKUP($B289-1,开奖记录!$A:$L,3,FALSE),"00")&amp;"+5="&amp;VLOOKUP(MOD(VLOOKUP($B289-1,开奖记录!$A:$L,3,FALSE)+4,49)+1,规律参数!$A:$C,3,FALSE),"")</f>
        <v/>
      </c>
      <c r="M289" s="32">
        <f>IF(L289="","",IF(I289="","待开奖",IF(ISNUMBER(SEARCH(I289,L289)),"命中","未命中")))</f>
        <v/>
      </c>
      <c r="N289" s="32">
        <f>IFERROR(VLOOKUP(VLOOKUP($B289-1,开奖记录!$A:$L,11,FALSE),八肖参数!$A:$B,2,FALSE),"")</f>
        <v/>
      </c>
      <c r="O289" s="32">
        <f>IF(N289="","",IF(I289="","待开奖",IF(ISNUMBER(SEARCH(I289,N289)),"命中","未命中")))</f>
        <v/>
      </c>
    </row>
    <row r="290" ht="23" customHeight="1" s="21">
      <c r="A290" s="32" t="n">
        <v>289</v>
      </c>
      <c r="B290" s="32">
        <f>IF(COUNTA(C290:E290)=0,"",B289+1)</f>
        <v/>
      </c>
      <c r="C290" s="33" t="inlineStr"/>
      <c r="D290" s="34" t="n"/>
      <c r="E290" s="34" t="n"/>
      <c r="F290" s="34">
        <f>IF(COUNTA(D290:E290)=0,"",N(D290)-N(E290))</f>
        <v/>
      </c>
      <c r="G290" s="32">
        <f>IFERROR(VLOOKUP($B290,'开奖记录'!$A:$K,2,FALSE),"")</f>
        <v/>
      </c>
      <c r="H290" s="32">
        <f>IFERROR(VLOOKUP($B290,'开奖记录'!$A:$K,9,FALSE),"")</f>
        <v/>
      </c>
      <c r="I290" s="32">
        <f>IFERROR(VLOOKUP($B290,'开奖记录'!$A:$K,11,FALSE),"")</f>
        <v/>
      </c>
      <c r="J290" s="32">
        <f>IF($B290="","",IF(ISNUMBER($D290),"命中",IF(ISNUMBER($E290),"未命中","")))</f>
        <v/>
      </c>
      <c r="K290" s="35" t="inlineStr"/>
      <c r="L290" s="32">
        <f>IFERROR(TEXT(VLOOKUP($B290-1,开奖记录!$A:$L,3,FALSE),"00")&amp;"+5="&amp;VLOOKUP(MOD(VLOOKUP($B290-1,开奖记录!$A:$L,3,FALSE)+4,49)+1,规律参数!$A:$C,3,FALSE),"")</f>
        <v/>
      </c>
      <c r="M290" s="32">
        <f>IF(L290="","",IF(I290="","待开奖",IF(ISNUMBER(SEARCH(I290,L290)),"命中","未命中")))</f>
        <v/>
      </c>
      <c r="N290" s="32">
        <f>IFERROR(VLOOKUP(VLOOKUP($B290-1,开奖记录!$A:$L,11,FALSE),八肖参数!$A:$B,2,FALSE),"")</f>
        <v/>
      </c>
      <c r="O290" s="32">
        <f>IF(N290="","",IF(I290="","待开奖",IF(ISNUMBER(SEARCH(I290,N290)),"命中","未命中")))</f>
        <v/>
      </c>
    </row>
    <row r="291" ht="23" customHeight="1" s="21">
      <c r="A291" s="32" t="n">
        <v>290</v>
      </c>
      <c r="B291" s="32">
        <f>IF(COUNTA(C291:E291)=0,"",B290+1)</f>
        <v/>
      </c>
      <c r="C291" s="33" t="inlineStr"/>
      <c r="D291" s="34" t="n"/>
      <c r="E291" s="34" t="n"/>
      <c r="F291" s="34">
        <f>IF(COUNTA(D291:E291)=0,"",N(D291)-N(E291))</f>
        <v/>
      </c>
      <c r="G291" s="32">
        <f>IFERROR(VLOOKUP($B291,'开奖记录'!$A:$K,2,FALSE),"")</f>
        <v/>
      </c>
      <c r="H291" s="32">
        <f>IFERROR(VLOOKUP($B291,'开奖记录'!$A:$K,9,FALSE),"")</f>
        <v/>
      </c>
      <c r="I291" s="32">
        <f>IFERROR(VLOOKUP($B291,'开奖记录'!$A:$K,11,FALSE),"")</f>
        <v/>
      </c>
      <c r="J291" s="32">
        <f>IF($B291="","",IF(ISNUMBER($D291),"命中",IF(ISNUMBER($E291),"未命中","")))</f>
        <v/>
      </c>
      <c r="K291" s="35" t="inlineStr"/>
      <c r="L291" s="32">
        <f>IFERROR(TEXT(VLOOKUP($B291-1,开奖记录!$A:$L,3,FALSE),"00")&amp;"+5="&amp;VLOOKUP(MOD(VLOOKUP($B291-1,开奖记录!$A:$L,3,FALSE)+4,49)+1,规律参数!$A:$C,3,FALSE),"")</f>
        <v/>
      </c>
      <c r="M291" s="32">
        <f>IF(L291="","",IF(I291="","待开奖",IF(ISNUMBER(SEARCH(I291,L291)),"命中","未命中")))</f>
        <v/>
      </c>
      <c r="N291" s="32">
        <f>IFERROR(VLOOKUP(VLOOKUP($B291-1,开奖记录!$A:$L,11,FALSE),八肖参数!$A:$B,2,FALSE),"")</f>
        <v/>
      </c>
      <c r="O291" s="32">
        <f>IF(N291="","",IF(I291="","待开奖",IF(ISNUMBER(SEARCH(I291,N291)),"命中","未命中")))</f>
        <v/>
      </c>
    </row>
    <row r="292" ht="23" customHeight="1" s="21">
      <c r="A292" s="32" t="n">
        <v>291</v>
      </c>
      <c r="B292" s="32">
        <f>IF(COUNTA(C292:E292)=0,"",B291+1)</f>
        <v/>
      </c>
      <c r="C292" s="33" t="inlineStr"/>
      <c r="D292" s="34" t="n"/>
      <c r="E292" s="34" t="n"/>
      <c r="F292" s="34">
        <f>IF(COUNTA(D292:E292)=0,"",N(D292)-N(E292))</f>
        <v/>
      </c>
      <c r="G292" s="32">
        <f>IFERROR(VLOOKUP($B292,'开奖记录'!$A:$K,2,FALSE),"")</f>
        <v/>
      </c>
      <c r="H292" s="32">
        <f>IFERROR(VLOOKUP($B292,'开奖记录'!$A:$K,9,FALSE),"")</f>
        <v/>
      </c>
      <c r="I292" s="32">
        <f>IFERROR(VLOOKUP($B292,'开奖记录'!$A:$K,11,FALSE),"")</f>
        <v/>
      </c>
      <c r="J292" s="32">
        <f>IF($B292="","",IF(ISNUMBER($D292),"命中",IF(ISNUMBER($E292),"未命中","")))</f>
        <v/>
      </c>
      <c r="K292" s="35" t="inlineStr"/>
      <c r="L292" s="32">
        <f>IFERROR(TEXT(VLOOKUP($B292-1,开奖记录!$A:$L,3,FALSE),"00")&amp;"+5="&amp;VLOOKUP(MOD(VLOOKUP($B292-1,开奖记录!$A:$L,3,FALSE)+4,49)+1,规律参数!$A:$C,3,FALSE),"")</f>
        <v/>
      </c>
      <c r="M292" s="32">
        <f>IF(L292="","",IF(I292="","待开奖",IF(ISNUMBER(SEARCH(I292,L292)),"命中","未命中")))</f>
        <v/>
      </c>
      <c r="N292" s="32">
        <f>IFERROR(VLOOKUP(VLOOKUP($B292-1,开奖记录!$A:$L,11,FALSE),八肖参数!$A:$B,2,FALSE),"")</f>
        <v/>
      </c>
      <c r="O292" s="32">
        <f>IF(N292="","",IF(I292="","待开奖",IF(ISNUMBER(SEARCH(I292,N292)),"命中","未命中")))</f>
        <v/>
      </c>
    </row>
    <row r="293" ht="23" customHeight="1" s="21">
      <c r="A293" s="32" t="n">
        <v>292</v>
      </c>
      <c r="B293" s="32">
        <f>IF(COUNTA(C293:E293)=0,"",B292+1)</f>
        <v/>
      </c>
      <c r="C293" s="33" t="inlineStr"/>
      <c r="D293" s="34" t="n"/>
      <c r="E293" s="34" t="n"/>
      <c r="F293" s="34">
        <f>IF(COUNTA(D293:E293)=0,"",N(D293)-N(E293))</f>
        <v/>
      </c>
      <c r="G293" s="32">
        <f>IFERROR(VLOOKUP($B293,'开奖记录'!$A:$K,2,FALSE),"")</f>
        <v/>
      </c>
      <c r="H293" s="32">
        <f>IFERROR(VLOOKUP($B293,'开奖记录'!$A:$K,9,FALSE),"")</f>
        <v/>
      </c>
      <c r="I293" s="32">
        <f>IFERROR(VLOOKUP($B293,'开奖记录'!$A:$K,11,FALSE),"")</f>
        <v/>
      </c>
      <c r="J293" s="32">
        <f>IF($B293="","",IF(ISNUMBER($D293),"命中",IF(ISNUMBER($E293),"未命中","")))</f>
        <v/>
      </c>
      <c r="K293" s="35" t="inlineStr"/>
      <c r="L293" s="32">
        <f>IFERROR(TEXT(VLOOKUP($B293-1,开奖记录!$A:$L,3,FALSE),"00")&amp;"+5="&amp;VLOOKUP(MOD(VLOOKUP($B293-1,开奖记录!$A:$L,3,FALSE)+4,49)+1,规律参数!$A:$C,3,FALSE),"")</f>
        <v/>
      </c>
      <c r="M293" s="32">
        <f>IF(L293="","",IF(I293="","待开奖",IF(ISNUMBER(SEARCH(I293,L293)),"命中","未命中")))</f>
        <v/>
      </c>
      <c r="N293" s="32">
        <f>IFERROR(VLOOKUP(VLOOKUP($B293-1,开奖记录!$A:$L,11,FALSE),八肖参数!$A:$B,2,FALSE),"")</f>
        <v/>
      </c>
      <c r="O293" s="32">
        <f>IF(N293="","",IF(I293="","待开奖",IF(ISNUMBER(SEARCH(I293,N293)),"命中","未命中")))</f>
        <v/>
      </c>
    </row>
    <row r="294" ht="23" customHeight="1" s="21">
      <c r="A294" s="32" t="n">
        <v>293</v>
      </c>
      <c r="B294" s="32">
        <f>IF(COUNTA(C294:E294)=0,"",B293+1)</f>
        <v/>
      </c>
      <c r="C294" s="33" t="inlineStr"/>
      <c r="D294" s="34" t="n"/>
      <c r="E294" s="34" t="n"/>
      <c r="F294" s="34">
        <f>IF(COUNTA(D294:E294)=0,"",N(D294)-N(E294))</f>
        <v/>
      </c>
      <c r="G294" s="32">
        <f>IFERROR(VLOOKUP($B294,'开奖记录'!$A:$K,2,FALSE),"")</f>
        <v/>
      </c>
      <c r="H294" s="32">
        <f>IFERROR(VLOOKUP($B294,'开奖记录'!$A:$K,9,FALSE),"")</f>
        <v/>
      </c>
      <c r="I294" s="32">
        <f>IFERROR(VLOOKUP($B294,'开奖记录'!$A:$K,11,FALSE),"")</f>
        <v/>
      </c>
      <c r="J294" s="32">
        <f>IF($B294="","",IF(ISNUMBER($D294),"命中",IF(ISNUMBER($E294),"未命中","")))</f>
        <v/>
      </c>
      <c r="K294" s="35" t="inlineStr"/>
      <c r="L294" s="32">
        <f>IFERROR(TEXT(VLOOKUP($B294-1,开奖记录!$A:$L,3,FALSE),"00")&amp;"+5="&amp;VLOOKUP(MOD(VLOOKUP($B294-1,开奖记录!$A:$L,3,FALSE)+4,49)+1,规律参数!$A:$C,3,FALSE),"")</f>
        <v/>
      </c>
      <c r="M294" s="32">
        <f>IF(L294="","",IF(I294="","待开奖",IF(ISNUMBER(SEARCH(I294,L294)),"命中","未命中")))</f>
        <v/>
      </c>
      <c r="N294" s="32">
        <f>IFERROR(VLOOKUP(VLOOKUP($B294-1,开奖记录!$A:$L,11,FALSE),八肖参数!$A:$B,2,FALSE),"")</f>
        <v/>
      </c>
      <c r="O294" s="32">
        <f>IF(N294="","",IF(I294="","待开奖",IF(ISNUMBER(SEARCH(I294,N294)),"命中","未命中")))</f>
        <v/>
      </c>
    </row>
    <row r="295" ht="23" customHeight="1" s="21">
      <c r="A295" s="32" t="n">
        <v>294</v>
      </c>
      <c r="B295" s="32">
        <f>IF(COUNTA(C295:E295)=0,"",B294+1)</f>
        <v/>
      </c>
      <c r="C295" s="33" t="inlineStr"/>
      <c r="D295" s="34" t="n"/>
      <c r="E295" s="34" t="n"/>
      <c r="F295" s="34">
        <f>IF(COUNTA(D295:E295)=0,"",N(D295)-N(E295))</f>
        <v/>
      </c>
      <c r="G295" s="32">
        <f>IFERROR(VLOOKUP($B295,'开奖记录'!$A:$K,2,FALSE),"")</f>
        <v/>
      </c>
      <c r="H295" s="32">
        <f>IFERROR(VLOOKUP($B295,'开奖记录'!$A:$K,9,FALSE),"")</f>
        <v/>
      </c>
      <c r="I295" s="32">
        <f>IFERROR(VLOOKUP($B295,'开奖记录'!$A:$K,11,FALSE),"")</f>
        <v/>
      </c>
      <c r="J295" s="32">
        <f>IF($B295="","",IF(ISNUMBER($D295),"命中",IF(ISNUMBER($E295),"未命中","")))</f>
        <v/>
      </c>
      <c r="K295" s="35" t="inlineStr"/>
      <c r="L295" s="32">
        <f>IFERROR(TEXT(VLOOKUP($B295-1,开奖记录!$A:$L,3,FALSE),"00")&amp;"+5="&amp;VLOOKUP(MOD(VLOOKUP($B295-1,开奖记录!$A:$L,3,FALSE)+4,49)+1,规律参数!$A:$C,3,FALSE),"")</f>
        <v/>
      </c>
      <c r="M295" s="32">
        <f>IF(L295="","",IF(I295="","待开奖",IF(ISNUMBER(SEARCH(I295,L295)),"命中","未命中")))</f>
        <v/>
      </c>
      <c r="N295" s="32">
        <f>IFERROR(VLOOKUP(VLOOKUP($B295-1,开奖记录!$A:$L,11,FALSE),八肖参数!$A:$B,2,FALSE),"")</f>
        <v/>
      </c>
      <c r="O295" s="32">
        <f>IF(N295="","",IF(I295="","待开奖",IF(ISNUMBER(SEARCH(I295,N295)),"命中","未命中")))</f>
        <v/>
      </c>
    </row>
    <row r="296" ht="23" customHeight="1" s="21">
      <c r="A296" s="32" t="n">
        <v>295</v>
      </c>
      <c r="B296" s="32">
        <f>IF(COUNTA(C296:E296)=0,"",B295+1)</f>
        <v/>
      </c>
      <c r="C296" s="33" t="inlineStr"/>
      <c r="D296" s="34" t="n"/>
      <c r="E296" s="34" t="n"/>
      <c r="F296" s="34">
        <f>IF(COUNTA(D296:E296)=0,"",N(D296)-N(E296))</f>
        <v/>
      </c>
      <c r="G296" s="32">
        <f>IFERROR(VLOOKUP($B296,'开奖记录'!$A:$K,2,FALSE),"")</f>
        <v/>
      </c>
      <c r="H296" s="32">
        <f>IFERROR(VLOOKUP($B296,'开奖记录'!$A:$K,9,FALSE),"")</f>
        <v/>
      </c>
      <c r="I296" s="32">
        <f>IFERROR(VLOOKUP($B296,'开奖记录'!$A:$K,11,FALSE),"")</f>
        <v/>
      </c>
      <c r="J296" s="32">
        <f>IF($B296="","",IF(ISNUMBER($D296),"命中",IF(ISNUMBER($E296),"未命中","")))</f>
        <v/>
      </c>
      <c r="K296" s="35" t="inlineStr"/>
      <c r="L296" s="32">
        <f>IFERROR(TEXT(VLOOKUP($B296-1,开奖记录!$A:$L,3,FALSE),"00")&amp;"+5="&amp;VLOOKUP(MOD(VLOOKUP($B296-1,开奖记录!$A:$L,3,FALSE)+4,49)+1,规律参数!$A:$C,3,FALSE),"")</f>
        <v/>
      </c>
      <c r="M296" s="32">
        <f>IF(L296="","",IF(I296="","待开奖",IF(ISNUMBER(SEARCH(I296,L296)),"命中","未命中")))</f>
        <v/>
      </c>
      <c r="N296" s="32">
        <f>IFERROR(VLOOKUP(VLOOKUP($B296-1,开奖记录!$A:$L,11,FALSE),八肖参数!$A:$B,2,FALSE),"")</f>
        <v/>
      </c>
      <c r="O296" s="32">
        <f>IF(N296="","",IF(I296="","待开奖",IF(ISNUMBER(SEARCH(I296,N296)),"命中","未命中")))</f>
        <v/>
      </c>
    </row>
    <row r="297" ht="23" customHeight="1" s="21">
      <c r="A297" s="32" t="n">
        <v>296</v>
      </c>
      <c r="B297" s="32">
        <f>IF(COUNTA(C297:E297)=0,"",B296+1)</f>
        <v/>
      </c>
      <c r="C297" s="33" t="inlineStr"/>
      <c r="D297" s="34" t="n"/>
      <c r="E297" s="34" t="n"/>
      <c r="F297" s="34">
        <f>IF(COUNTA(D297:E297)=0,"",N(D297)-N(E297))</f>
        <v/>
      </c>
      <c r="G297" s="32">
        <f>IFERROR(VLOOKUP($B297,'开奖记录'!$A:$K,2,FALSE),"")</f>
        <v/>
      </c>
      <c r="H297" s="32">
        <f>IFERROR(VLOOKUP($B297,'开奖记录'!$A:$K,9,FALSE),"")</f>
        <v/>
      </c>
      <c r="I297" s="32">
        <f>IFERROR(VLOOKUP($B297,'开奖记录'!$A:$K,11,FALSE),"")</f>
        <v/>
      </c>
      <c r="J297" s="32">
        <f>IF($B297="","",IF(ISNUMBER($D297),"命中",IF(ISNUMBER($E297),"未命中","")))</f>
        <v/>
      </c>
      <c r="K297" s="35" t="inlineStr"/>
      <c r="L297" s="32">
        <f>IFERROR(TEXT(VLOOKUP($B297-1,开奖记录!$A:$L,3,FALSE),"00")&amp;"+5="&amp;VLOOKUP(MOD(VLOOKUP($B297-1,开奖记录!$A:$L,3,FALSE)+4,49)+1,规律参数!$A:$C,3,FALSE),"")</f>
        <v/>
      </c>
      <c r="M297" s="32">
        <f>IF(L297="","",IF(I297="","待开奖",IF(ISNUMBER(SEARCH(I297,L297)),"命中","未命中")))</f>
        <v/>
      </c>
      <c r="N297" s="32">
        <f>IFERROR(VLOOKUP(VLOOKUP($B297-1,开奖记录!$A:$L,11,FALSE),八肖参数!$A:$B,2,FALSE),"")</f>
        <v/>
      </c>
      <c r="O297" s="32">
        <f>IF(N297="","",IF(I297="","待开奖",IF(ISNUMBER(SEARCH(I297,N297)),"命中","未命中")))</f>
        <v/>
      </c>
    </row>
    <row r="298" ht="23" customHeight="1" s="21">
      <c r="A298" s="32" t="n">
        <v>297</v>
      </c>
      <c r="B298" s="32">
        <f>IF(COUNTA(C298:E298)=0,"",B297+1)</f>
        <v/>
      </c>
      <c r="C298" s="33" t="inlineStr"/>
      <c r="D298" s="34" t="n"/>
      <c r="E298" s="34" t="n"/>
      <c r="F298" s="34">
        <f>IF(COUNTA(D298:E298)=0,"",N(D298)-N(E298))</f>
        <v/>
      </c>
      <c r="G298" s="32">
        <f>IFERROR(VLOOKUP($B298,'开奖记录'!$A:$K,2,FALSE),"")</f>
        <v/>
      </c>
      <c r="H298" s="32">
        <f>IFERROR(VLOOKUP($B298,'开奖记录'!$A:$K,9,FALSE),"")</f>
        <v/>
      </c>
      <c r="I298" s="32">
        <f>IFERROR(VLOOKUP($B298,'开奖记录'!$A:$K,11,FALSE),"")</f>
        <v/>
      </c>
      <c r="J298" s="32">
        <f>IF($B298="","",IF(ISNUMBER($D298),"命中",IF(ISNUMBER($E298),"未命中","")))</f>
        <v/>
      </c>
      <c r="K298" s="35" t="inlineStr"/>
      <c r="L298" s="32">
        <f>IFERROR(TEXT(VLOOKUP($B298-1,开奖记录!$A:$L,3,FALSE),"00")&amp;"+5="&amp;VLOOKUP(MOD(VLOOKUP($B298-1,开奖记录!$A:$L,3,FALSE)+4,49)+1,规律参数!$A:$C,3,FALSE),"")</f>
        <v/>
      </c>
      <c r="M298" s="32">
        <f>IF(L298="","",IF(I298="","待开奖",IF(ISNUMBER(SEARCH(I298,L298)),"命中","未命中")))</f>
        <v/>
      </c>
      <c r="N298" s="32">
        <f>IFERROR(VLOOKUP(VLOOKUP($B298-1,开奖记录!$A:$L,11,FALSE),八肖参数!$A:$B,2,FALSE),"")</f>
        <v/>
      </c>
      <c r="O298" s="32">
        <f>IF(N298="","",IF(I298="","待开奖",IF(ISNUMBER(SEARCH(I298,N298)),"命中","未命中")))</f>
        <v/>
      </c>
    </row>
    <row r="299" ht="23" customHeight="1" s="21">
      <c r="A299" s="32" t="n">
        <v>298</v>
      </c>
      <c r="B299" s="32">
        <f>IF(COUNTA(C299:E299)=0,"",B298+1)</f>
        <v/>
      </c>
      <c r="C299" s="33" t="inlineStr"/>
      <c r="D299" s="34" t="n"/>
      <c r="E299" s="34" t="n"/>
      <c r="F299" s="34">
        <f>IF(COUNTA(D299:E299)=0,"",N(D299)-N(E299))</f>
        <v/>
      </c>
      <c r="G299" s="32">
        <f>IFERROR(VLOOKUP($B299,'开奖记录'!$A:$K,2,FALSE),"")</f>
        <v/>
      </c>
      <c r="H299" s="32">
        <f>IFERROR(VLOOKUP($B299,'开奖记录'!$A:$K,9,FALSE),"")</f>
        <v/>
      </c>
      <c r="I299" s="32">
        <f>IFERROR(VLOOKUP($B299,'开奖记录'!$A:$K,11,FALSE),"")</f>
        <v/>
      </c>
      <c r="J299" s="32">
        <f>IF($B299="","",IF(ISNUMBER($D299),"命中",IF(ISNUMBER($E299),"未命中","")))</f>
        <v/>
      </c>
      <c r="K299" s="35" t="inlineStr"/>
      <c r="L299" s="32">
        <f>IFERROR(TEXT(VLOOKUP($B299-1,开奖记录!$A:$L,3,FALSE),"00")&amp;"+5="&amp;VLOOKUP(MOD(VLOOKUP($B299-1,开奖记录!$A:$L,3,FALSE)+4,49)+1,规律参数!$A:$C,3,FALSE),"")</f>
        <v/>
      </c>
      <c r="M299" s="32">
        <f>IF(L299="","",IF(I299="","待开奖",IF(ISNUMBER(SEARCH(I299,L299)),"命中","未命中")))</f>
        <v/>
      </c>
      <c r="N299" s="32">
        <f>IFERROR(VLOOKUP(VLOOKUP($B299-1,开奖记录!$A:$L,11,FALSE),八肖参数!$A:$B,2,FALSE),"")</f>
        <v/>
      </c>
      <c r="O299" s="32">
        <f>IF(N299="","",IF(I299="","待开奖",IF(ISNUMBER(SEARCH(I299,N299)),"命中","未命中")))</f>
        <v/>
      </c>
    </row>
    <row r="300" ht="23" customHeight="1" s="21">
      <c r="A300" s="32" t="n">
        <v>299</v>
      </c>
      <c r="B300" s="32">
        <f>IF(COUNTA(C300:E300)=0,"",B299+1)</f>
        <v/>
      </c>
      <c r="C300" s="33" t="inlineStr"/>
      <c r="D300" s="34" t="n"/>
      <c r="E300" s="34" t="n"/>
      <c r="F300" s="34">
        <f>IF(COUNTA(D300:E300)=0,"",N(D300)-N(E300))</f>
        <v/>
      </c>
      <c r="G300" s="32">
        <f>IFERROR(VLOOKUP($B300,'开奖记录'!$A:$K,2,FALSE),"")</f>
        <v/>
      </c>
      <c r="H300" s="32">
        <f>IFERROR(VLOOKUP($B300,'开奖记录'!$A:$K,9,FALSE),"")</f>
        <v/>
      </c>
      <c r="I300" s="32">
        <f>IFERROR(VLOOKUP($B300,'开奖记录'!$A:$K,11,FALSE),"")</f>
        <v/>
      </c>
      <c r="J300" s="32">
        <f>IF($B300="","",IF(ISNUMBER($D300),"命中",IF(ISNUMBER($E300),"未命中","")))</f>
        <v/>
      </c>
      <c r="K300" s="35" t="inlineStr"/>
      <c r="L300" s="32">
        <f>IFERROR(TEXT(VLOOKUP($B300-1,开奖记录!$A:$L,3,FALSE),"00")&amp;"+5="&amp;VLOOKUP(MOD(VLOOKUP($B300-1,开奖记录!$A:$L,3,FALSE)+4,49)+1,规律参数!$A:$C,3,FALSE),"")</f>
        <v/>
      </c>
      <c r="M300" s="32">
        <f>IF(L300="","",IF(I300="","待开奖",IF(ISNUMBER(SEARCH(I300,L300)),"命中","未命中")))</f>
        <v/>
      </c>
      <c r="N300" s="32">
        <f>IFERROR(VLOOKUP(VLOOKUP($B300-1,开奖记录!$A:$L,11,FALSE),八肖参数!$A:$B,2,FALSE),"")</f>
        <v/>
      </c>
      <c r="O300" s="32">
        <f>IF(N300="","",IF(I300="","待开奖",IF(ISNUMBER(SEARCH(I300,N300)),"命中","未命中")))</f>
        <v/>
      </c>
    </row>
    <row r="301" ht="23" customHeight="1" s="21">
      <c r="A301" s="32" t="n">
        <v>300</v>
      </c>
      <c r="B301" s="32">
        <f>IF(COUNTA(C301:E301)=0,"",B300+1)</f>
        <v/>
      </c>
      <c r="C301" s="33" t="inlineStr"/>
      <c r="D301" s="34" t="n"/>
      <c r="E301" s="34" t="n"/>
      <c r="F301" s="34">
        <f>IF(COUNTA(D301:E301)=0,"",N(D301)-N(E301))</f>
        <v/>
      </c>
      <c r="G301" s="32">
        <f>IFERROR(VLOOKUP($B301,'开奖记录'!$A:$K,2,FALSE),"")</f>
        <v/>
      </c>
      <c r="H301" s="32">
        <f>IFERROR(VLOOKUP($B301,'开奖记录'!$A:$K,9,FALSE),"")</f>
        <v/>
      </c>
      <c r="I301" s="32">
        <f>IFERROR(VLOOKUP($B301,'开奖记录'!$A:$K,11,FALSE),"")</f>
        <v/>
      </c>
      <c r="J301" s="32">
        <f>IF($B301="","",IF(ISNUMBER($D301),"命中",IF(ISNUMBER($E301),"未命中","")))</f>
        <v/>
      </c>
      <c r="K301" s="35" t="inlineStr"/>
      <c r="L301" s="32">
        <f>IFERROR(TEXT(VLOOKUP($B301-1,开奖记录!$A:$L,3,FALSE),"00")&amp;"+5="&amp;VLOOKUP(MOD(VLOOKUP($B301-1,开奖记录!$A:$L,3,FALSE)+4,49)+1,规律参数!$A:$C,3,FALSE),"")</f>
        <v/>
      </c>
      <c r="M301" s="32">
        <f>IF(L301="","",IF(I301="","待开奖",IF(ISNUMBER(SEARCH(I301,L301)),"命中","未命中")))</f>
        <v/>
      </c>
      <c r="N301" s="32">
        <f>IFERROR(VLOOKUP(VLOOKUP($B301-1,开奖记录!$A:$L,11,FALSE),八肖参数!$A:$B,2,FALSE),"")</f>
        <v/>
      </c>
      <c r="O301" s="32">
        <f>IF(N301="","",IF(I301="","待开奖",IF(ISNUMBER(SEARCH(I301,N301)),"命中","未命中")))</f>
        <v/>
      </c>
    </row>
    <row r="302" ht="23" customHeight="1" s="21">
      <c r="A302" s="32" t="n">
        <v>301</v>
      </c>
      <c r="B302" s="32">
        <f>IF(COUNTA(C302:E302)=0,"",B301+1)</f>
        <v/>
      </c>
      <c r="C302" s="33" t="inlineStr"/>
      <c r="D302" s="34" t="n"/>
      <c r="E302" s="34" t="n"/>
      <c r="F302" s="34">
        <f>IF(COUNTA(D302:E302)=0,"",N(D302)-N(E302))</f>
        <v/>
      </c>
      <c r="G302" s="32">
        <f>IFERROR(VLOOKUP($B302,'开奖记录'!$A:$K,2,FALSE),"")</f>
        <v/>
      </c>
      <c r="H302" s="32">
        <f>IFERROR(VLOOKUP($B302,'开奖记录'!$A:$K,9,FALSE),"")</f>
        <v/>
      </c>
      <c r="I302" s="32">
        <f>IFERROR(VLOOKUP($B302,'开奖记录'!$A:$K,11,FALSE),"")</f>
        <v/>
      </c>
      <c r="J302" s="32">
        <f>IF($B302="","",IF(ISNUMBER($D302),"命中",IF(ISNUMBER($E302),"未命中","")))</f>
        <v/>
      </c>
      <c r="K302" s="35" t="inlineStr"/>
      <c r="L302" s="32">
        <f>IFERROR(TEXT(VLOOKUP($B302-1,开奖记录!$A:$L,3,FALSE),"00")&amp;"+5="&amp;VLOOKUP(MOD(VLOOKUP($B302-1,开奖记录!$A:$L,3,FALSE)+4,49)+1,规律参数!$A:$C,3,FALSE),"")</f>
        <v/>
      </c>
      <c r="M302" s="32">
        <f>IF(L302="","",IF(I302="","待开奖",IF(ISNUMBER(SEARCH(I302,L302)),"命中","未命中")))</f>
        <v/>
      </c>
      <c r="N302" s="32">
        <f>IFERROR(VLOOKUP(VLOOKUP($B302-1,开奖记录!$A:$L,11,FALSE),八肖参数!$A:$B,2,FALSE),"")</f>
        <v/>
      </c>
      <c r="O302" s="32">
        <f>IF(N302="","",IF(I302="","待开奖",IF(ISNUMBER(SEARCH(I302,N302)),"命中","未命中")))</f>
        <v/>
      </c>
    </row>
    <row r="303" ht="23" customHeight="1" s="21">
      <c r="A303" s="32" t="n">
        <v>302</v>
      </c>
      <c r="B303" s="32">
        <f>IF(COUNTA(C303:E303)=0,"",B302+1)</f>
        <v/>
      </c>
      <c r="C303" s="33" t="inlineStr"/>
      <c r="D303" s="34" t="n"/>
      <c r="E303" s="34" t="n"/>
      <c r="F303" s="34">
        <f>IF(COUNTA(D303:E303)=0,"",N(D303)-N(E303))</f>
        <v/>
      </c>
      <c r="G303" s="32">
        <f>IFERROR(VLOOKUP($B303,'开奖记录'!$A:$K,2,FALSE),"")</f>
        <v/>
      </c>
      <c r="H303" s="32">
        <f>IFERROR(VLOOKUP($B303,'开奖记录'!$A:$K,9,FALSE),"")</f>
        <v/>
      </c>
      <c r="I303" s="32">
        <f>IFERROR(VLOOKUP($B303,'开奖记录'!$A:$K,11,FALSE),"")</f>
        <v/>
      </c>
      <c r="J303" s="32">
        <f>IF($B303="","",IF(ISNUMBER($D303),"命中",IF(ISNUMBER($E303),"未命中","")))</f>
        <v/>
      </c>
      <c r="K303" s="35" t="inlineStr"/>
      <c r="L303" s="32">
        <f>IFERROR(TEXT(VLOOKUP($B303-1,开奖记录!$A:$L,3,FALSE),"00")&amp;"+5="&amp;VLOOKUP(MOD(VLOOKUP($B303-1,开奖记录!$A:$L,3,FALSE)+4,49)+1,规律参数!$A:$C,3,FALSE),"")</f>
        <v/>
      </c>
      <c r="M303" s="32">
        <f>IF(L303="","",IF(I303="","待开奖",IF(ISNUMBER(SEARCH(I303,L303)),"命中","未命中")))</f>
        <v/>
      </c>
      <c r="N303" s="32">
        <f>IFERROR(VLOOKUP(VLOOKUP($B303-1,开奖记录!$A:$L,11,FALSE),八肖参数!$A:$B,2,FALSE),"")</f>
        <v/>
      </c>
      <c r="O303" s="32">
        <f>IF(N303="","",IF(I303="","待开奖",IF(ISNUMBER(SEARCH(I303,N303)),"命中","未命中")))</f>
        <v/>
      </c>
    </row>
    <row r="304" ht="23" customHeight="1" s="21">
      <c r="A304" s="32" t="n">
        <v>303</v>
      </c>
      <c r="B304" s="32">
        <f>IF(COUNTA(C304:E304)=0,"",B303+1)</f>
        <v/>
      </c>
      <c r="C304" s="33" t="inlineStr"/>
      <c r="D304" s="34" t="n"/>
      <c r="E304" s="34" t="n"/>
      <c r="F304" s="34">
        <f>IF(COUNTA(D304:E304)=0,"",N(D304)-N(E304))</f>
        <v/>
      </c>
      <c r="G304" s="32">
        <f>IFERROR(VLOOKUP($B304,'开奖记录'!$A:$K,2,FALSE),"")</f>
        <v/>
      </c>
      <c r="H304" s="32">
        <f>IFERROR(VLOOKUP($B304,'开奖记录'!$A:$K,9,FALSE),"")</f>
        <v/>
      </c>
      <c r="I304" s="32">
        <f>IFERROR(VLOOKUP($B304,'开奖记录'!$A:$K,11,FALSE),"")</f>
        <v/>
      </c>
      <c r="J304" s="32">
        <f>IF($B304="","",IF(ISNUMBER($D304),"命中",IF(ISNUMBER($E304),"未命中","")))</f>
        <v/>
      </c>
      <c r="K304" s="35" t="inlineStr"/>
      <c r="L304" s="32">
        <f>IFERROR(TEXT(VLOOKUP($B304-1,开奖记录!$A:$L,3,FALSE),"00")&amp;"+5="&amp;VLOOKUP(MOD(VLOOKUP($B304-1,开奖记录!$A:$L,3,FALSE)+4,49)+1,规律参数!$A:$C,3,FALSE),"")</f>
        <v/>
      </c>
      <c r="M304" s="32">
        <f>IF(L304="","",IF(I304="","待开奖",IF(ISNUMBER(SEARCH(I304,L304)),"命中","未命中")))</f>
        <v/>
      </c>
      <c r="N304" s="32">
        <f>IFERROR(VLOOKUP(VLOOKUP($B304-1,开奖记录!$A:$L,11,FALSE),八肖参数!$A:$B,2,FALSE),"")</f>
        <v/>
      </c>
      <c r="O304" s="32">
        <f>IF(N304="","",IF(I304="","待开奖",IF(ISNUMBER(SEARCH(I304,N304)),"命中","未命中")))</f>
        <v/>
      </c>
    </row>
    <row r="305" ht="23" customHeight="1" s="21">
      <c r="A305" s="32" t="n">
        <v>304</v>
      </c>
      <c r="B305" s="32">
        <f>IF(COUNTA(C305:E305)=0,"",B304+1)</f>
        <v/>
      </c>
      <c r="C305" s="33" t="inlineStr"/>
      <c r="D305" s="34" t="n"/>
      <c r="E305" s="34" t="n"/>
      <c r="F305" s="34">
        <f>IF(COUNTA(D305:E305)=0,"",N(D305)-N(E305))</f>
        <v/>
      </c>
      <c r="G305" s="32">
        <f>IFERROR(VLOOKUP($B305,'开奖记录'!$A:$K,2,FALSE),"")</f>
        <v/>
      </c>
      <c r="H305" s="32">
        <f>IFERROR(VLOOKUP($B305,'开奖记录'!$A:$K,9,FALSE),"")</f>
        <v/>
      </c>
      <c r="I305" s="32">
        <f>IFERROR(VLOOKUP($B305,'开奖记录'!$A:$K,11,FALSE),"")</f>
        <v/>
      </c>
      <c r="J305" s="32">
        <f>IF($B305="","",IF(ISNUMBER($D305),"命中",IF(ISNUMBER($E305),"未命中","")))</f>
        <v/>
      </c>
      <c r="K305" s="35" t="inlineStr"/>
      <c r="L305" s="32">
        <f>IFERROR(TEXT(VLOOKUP($B305-1,开奖记录!$A:$L,3,FALSE),"00")&amp;"+5="&amp;VLOOKUP(MOD(VLOOKUP($B305-1,开奖记录!$A:$L,3,FALSE)+4,49)+1,规律参数!$A:$C,3,FALSE),"")</f>
        <v/>
      </c>
      <c r="M305" s="32">
        <f>IF(L305="","",IF(I305="","待开奖",IF(ISNUMBER(SEARCH(I305,L305)),"命中","未命中")))</f>
        <v/>
      </c>
      <c r="N305" s="32">
        <f>IFERROR(VLOOKUP(VLOOKUP($B305-1,开奖记录!$A:$L,11,FALSE),八肖参数!$A:$B,2,FALSE),"")</f>
        <v/>
      </c>
      <c r="O305" s="32">
        <f>IF(N305="","",IF(I305="","待开奖",IF(ISNUMBER(SEARCH(I305,N305)),"命中","未命中")))</f>
        <v/>
      </c>
    </row>
    <row r="306" ht="23" customHeight="1" s="21">
      <c r="A306" s="32" t="n">
        <v>305</v>
      </c>
      <c r="B306" s="32">
        <f>IF(COUNTA(C306:E306)=0,"",B305+1)</f>
        <v/>
      </c>
      <c r="C306" s="33" t="inlineStr"/>
      <c r="D306" s="34" t="n"/>
      <c r="E306" s="34" t="n"/>
      <c r="F306" s="34">
        <f>IF(COUNTA(D306:E306)=0,"",N(D306)-N(E306))</f>
        <v/>
      </c>
      <c r="G306" s="32">
        <f>IFERROR(VLOOKUP($B306,'开奖记录'!$A:$K,2,FALSE),"")</f>
        <v/>
      </c>
      <c r="H306" s="32">
        <f>IFERROR(VLOOKUP($B306,'开奖记录'!$A:$K,9,FALSE),"")</f>
        <v/>
      </c>
      <c r="I306" s="32">
        <f>IFERROR(VLOOKUP($B306,'开奖记录'!$A:$K,11,FALSE),"")</f>
        <v/>
      </c>
      <c r="J306" s="32">
        <f>IF($B306="","",IF(ISNUMBER($D306),"命中",IF(ISNUMBER($E306),"未命中","")))</f>
        <v/>
      </c>
      <c r="K306" s="35" t="inlineStr"/>
      <c r="L306" s="32">
        <f>IFERROR(TEXT(VLOOKUP($B306-1,开奖记录!$A:$L,3,FALSE),"00")&amp;"+5="&amp;VLOOKUP(MOD(VLOOKUP($B306-1,开奖记录!$A:$L,3,FALSE)+4,49)+1,规律参数!$A:$C,3,FALSE),"")</f>
        <v/>
      </c>
      <c r="M306" s="32">
        <f>IF(L306="","",IF(I306="","待开奖",IF(ISNUMBER(SEARCH(I306,L306)),"命中","未命中")))</f>
        <v/>
      </c>
      <c r="N306" s="32">
        <f>IFERROR(VLOOKUP(VLOOKUP($B306-1,开奖记录!$A:$L,11,FALSE),八肖参数!$A:$B,2,FALSE),"")</f>
        <v/>
      </c>
      <c r="O306" s="32">
        <f>IF(N306="","",IF(I306="","待开奖",IF(ISNUMBER(SEARCH(I306,N306)),"命中","未命中")))</f>
        <v/>
      </c>
    </row>
    <row r="307" ht="23" customHeight="1" s="21">
      <c r="A307" s="32" t="n">
        <v>306</v>
      </c>
      <c r="B307" s="32">
        <f>IF(COUNTA(C307:E307)=0,"",B306+1)</f>
        <v/>
      </c>
      <c r="C307" s="33" t="inlineStr"/>
      <c r="D307" s="34" t="n"/>
      <c r="E307" s="34" t="n"/>
      <c r="F307" s="34">
        <f>IF(COUNTA(D307:E307)=0,"",N(D307)-N(E307))</f>
        <v/>
      </c>
      <c r="G307" s="32">
        <f>IFERROR(VLOOKUP($B307,'开奖记录'!$A:$K,2,FALSE),"")</f>
        <v/>
      </c>
      <c r="H307" s="32">
        <f>IFERROR(VLOOKUP($B307,'开奖记录'!$A:$K,9,FALSE),"")</f>
        <v/>
      </c>
      <c r="I307" s="32">
        <f>IFERROR(VLOOKUP($B307,'开奖记录'!$A:$K,11,FALSE),"")</f>
        <v/>
      </c>
      <c r="J307" s="32">
        <f>IF($B307="","",IF(ISNUMBER($D307),"命中",IF(ISNUMBER($E307),"未命中","")))</f>
        <v/>
      </c>
      <c r="K307" s="35" t="inlineStr"/>
      <c r="L307" s="32">
        <f>IFERROR(TEXT(VLOOKUP($B307-1,开奖记录!$A:$L,3,FALSE),"00")&amp;"+5="&amp;VLOOKUP(MOD(VLOOKUP($B307-1,开奖记录!$A:$L,3,FALSE)+4,49)+1,规律参数!$A:$C,3,FALSE),"")</f>
        <v/>
      </c>
      <c r="M307" s="32">
        <f>IF(L307="","",IF(I307="","待开奖",IF(ISNUMBER(SEARCH(I307,L307)),"命中","未命中")))</f>
        <v/>
      </c>
      <c r="N307" s="32">
        <f>IFERROR(VLOOKUP(VLOOKUP($B307-1,开奖记录!$A:$L,11,FALSE),八肖参数!$A:$B,2,FALSE),"")</f>
        <v/>
      </c>
      <c r="O307" s="32">
        <f>IF(N307="","",IF(I307="","待开奖",IF(ISNUMBER(SEARCH(I307,N307)),"命中","未命中")))</f>
        <v/>
      </c>
    </row>
    <row r="308" ht="23" customHeight="1" s="21">
      <c r="A308" s="32" t="n">
        <v>307</v>
      </c>
      <c r="B308" s="32">
        <f>IF(COUNTA(C308:E308)=0,"",B307+1)</f>
        <v/>
      </c>
      <c r="C308" s="33" t="inlineStr"/>
      <c r="D308" s="34" t="n"/>
      <c r="E308" s="34" t="n"/>
      <c r="F308" s="34">
        <f>IF(COUNTA(D308:E308)=0,"",N(D308)-N(E308))</f>
        <v/>
      </c>
      <c r="G308" s="32">
        <f>IFERROR(VLOOKUP($B308,'开奖记录'!$A:$K,2,FALSE),"")</f>
        <v/>
      </c>
      <c r="H308" s="32">
        <f>IFERROR(VLOOKUP($B308,'开奖记录'!$A:$K,9,FALSE),"")</f>
        <v/>
      </c>
      <c r="I308" s="32">
        <f>IFERROR(VLOOKUP($B308,'开奖记录'!$A:$K,11,FALSE),"")</f>
        <v/>
      </c>
      <c r="J308" s="32">
        <f>IF($B308="","",IF(ISNUMBER($D308),"命中",IF(ISNUMBER($E308),"未命中","")))</f>
        <v/>
      </c>
      <c r="K308" s="35" t="inlineStr"/>
      <c r="L308" s="32">
        <f>IFERROR(TEXT(VLOOKUP($B308-1,开奖记录!$A:$L,3,FALSE),"00")&amp;"+5="&amp;VLOOKUP(MOD(VLOOKUP($B308-1,开奖记录!$A:$L,3,FALSE)+4,49)+1,规律参数!$A:$C,3,FALSE),"")</f>
        <v/>
      </c>
      <c r="M308" s="32">
        <f>IF(L308="","",IF(I308="","待开奖",IF(ISNUMBER(SEARCH(I308,L308)),"命中","未命中")))</f>
        <v/>
      </c>
      <c r="N308" s="32">
        <f>IFERROR(VLOOKUP(VLOOKUP($B308-1,开奖记录!$A:$L,11,FALSE),八肖参数!$A:$B,2,FALSE),"")</f>
        <v/>
      </c>
      <c r="O308" s="32">
        <f>IF(N308="","",IF(I308="","待开奖",IF(ISNUMBER(SEARCH(I308,N308)),"命中","未命中")))</f>
        <v/>
      </c>
    </row>
    <row r="309" ht="23" customHeight="1" s="21">
      <c r="A309" s="32" t="n">
        <v>308</v>
      </c>
      <c r="B309" s="32">
        <f>IF(COUNTA(C309:E309)=0,"",B308+1)</f>
        <v/>
      </c>
      <c r="C309" s="33" t="inlineStr"/>
      <c r="D309" s="34" t="n"/>
      <c r="E309" s="34" t="n"/>
      <c r="F309" s="34">
        <f>IF(COUNTA(D309:E309)=0,"",N(D309)-N(E309))</f>
        <v/>
      </c>
      <c r="G309" s="32">
        <f>IFERROR(VLOOKUP($B309,'开奖记录'!$A:$K,2,FALSE),"")</f>
        <v/>
      </c>
      <c r="H309" s="32">
        <f>IFERROR(VLOOKUP($B309,'开奖记录'!$A:$K,9,FALSE),"")</f>
        <v/>
      </c>
      <c r="I309" s="32">
        <f>IFERROR(VLOOKUP($B309,'开奖记录'!$A:$K,11,FALSE),"")</f>
        <v/>
      </c>
      <c r="J309" s="32">
        <f>IF($B309="","",IF(ISNUMBER($D309),"命中",IF(ISNUMBER($E309),"未命中","")))</f>
        <v/>
      </c>
      <c r="K309" s="35" t="inlineStr"/>
      <c r="L309" s="32">
        <f>IFERROR(TEXT(VLOOKUP($B309-1,开奖记录!$A:$L,3,FALSE),"00")&amp;"+5="&amp;VLOOKUP(MOD(VLOOKUP($B309-1,开奖记录!$A:$L,3,FALSE)+4,49)+1,规律参数!$A:$C,3,FALSE),"")</f>
        <v/>
      </c>
      <c r="M309" s="32">
        <f>IF(L309="","",IF(I309="","待开奖",IF(ISNUMBER(SEARCH(I309,L309)),"命中","未命中")))</f>
        <v/>
      </c>
      <c r="N309" s="32">
        <f>IFERROR(VLOOKUP(VLOOKUP($B309-1,开奖记录!$A:$L,11,FALSE),八肖参数!$A:$B,2,FALSE),"")</f>
        <v/>
      </c>
      <c r="O309" s="32">
        <f>IF(N309="","",IF(I309="","待开奖",IF(ISNUMBER(SEARCH(I309,N309)),"命中","未命中")))</f>
        <v/>
      </c>
    </row>
    <row r="310" ht="23" customHeight="1" s="21">
      <c r="A310" s="32" t="n">
        <v>309</v>
      </c>
      <c r="B310" s="32">
        <f>IF(COUNTA(C310:E310)=0,"",B309+1)</f>
        <v/>
      </c>
      <c r="C310" s="33" t="inlineStr"/>
      <c r="D310" s="34" t="n"/>
      <c r="E310" s="34" t="n"/>
      <c r="F310" s="34">
        <f>IF(COUNTA(D310:E310)=0,"",N(D310)-N(E310))</f>
        <v/>
      </c>
      <c r="G310" s="32">
        <f>IFERROR(VLOOKUP($B310,'开奖记录'!$A:$K,2,FALSE),"")</f>
        <v/>
      </c>
      <c r="H310" s="32">
        <f>IFERROR(VLOOKUP($B310,'开奖记录'!$A:$K,9,FALSE),"")</f>
        <v/>
      </c>
      <c r="I310" s="32">
        <f>IFERROR(VLOOKUP($B310,'开奖记录'!$A:$K,11,FALSE),"")</f>
        <v/>
      </c>
      <c r="J310" s="32">
        <f>IF($B310="","",IF(ISNUMBER($D310),"命中",IF(ISNUMBER($E310),"未命中","")))</f>
        <v/>
      </c>
      <c r="K310" s="35" t="inlineStr"/>
      <c r="L310" s="32">
        <f>IFERROR(TEXT(VLOOKUP($B310-1,开奖记录!$A:$L,3,FALSE),"00")&amp;"+5="&amp;VLOOKUP(MOD(VLOOKUP($B310-1,开奖记录!$A:$L,3,FALSE)+4,49)+1,规律参数!$A:$C,3,FALSE),"")</f>
        <v/>
      </c>
      <c r="M310" s="32">
        <f>IF(L310="","",IF(I310="","待开奖",IF(ISNUMBER(SEARCH(I310,L310)),"命中","未命中")))</f>
        <v/>
      </c>
      <c r="N310" s="32">
        <f>IFERROR(VLOOKUP(VLOOKUP($B310-1,开奖记录!$A:$L,11,FALSE),八肖参数!$A:$B,2,FALSE),"")</f>
        <v/>
      </c>
      <c r="O310" s="32">
        <f>IF(N310="","",IF(I310="","待开奖",IF(ISNUMBER(SEARCH(I310,N310)),"命中","未命中")))</f>
        <v/>
      </c>
    </row>
    <row r="311" ht="23" customHeight="1" s="21">
      <c r="A311" s="32" t="n">
        <v>310</v>
      </c>
      <c r="B311" s="32">
        <f>IF(COUNTA(C311:E311)=0,"",B310+1)</f>
        <v/>
      </c>
      <c r="C311" s="33" t="inlineStr"/>
      <c r="D311" s="34" t="n"/>
      <c r="E311" s="34" t="n"/>
      <c r="F311" s="34">
        <f>IF(COUNTA(D311:E311)=0,"",N(D311)-N(E311))</f>
        <v/>
      </c>
      <c r="G311" s="32">
        <f>IFERROR(VLOOKUP($B311,'开奖记录'!$A:$K,2,FALSE),"")</f>
        <v/>
      </c>
      <c r="H311" s="32">
        <f>IFERROR(VLOOKUP($B311,'开奖记录'!$A:$K,9,FALSE),"")</f>
        <v/>
      </c>
      <c r="I311" s="32">
        <f>IFERROR(VLOOKUP($B311,'开奖记录'!$A:$K,11,FALSE),"")</f>
        <v/>
      </c>
      <c r="J311" s="32">
        <f>IF($B311="","",IF(ISNUMBER($D311),"命中",IF(ISNUMBER($E311),"未命中","")))</f>
        <v/>
      </c>
      <c r="K311" s="35" t="inlineStr"/>
      <c r="L311" s="32">
        <f>IFERROR(TEXT(VLOOKUP($B311-1,开奖记录!$A:$L,3,FALSE),"00")&amp;"+5="&amp;VLOOKUP(MOD(VLOOKUP($B311-1,开奖记录!$A:$L,3,FALSE)+4,49)+1,规律参数!$A:$C,3,FALSE),"")</f>
        <v/>
      </c>
      <c r="M311" s="32">
        <f>IF(L311="","",IF(I311="","待开奖",IF(ISNUMBER(SEARCH(I311,L311)),"命中","未命中")))</f>
        <v/>
      </c>
      <c r="N311" s="32">
        <f>IFERROR(VLOOKUP(VLOOKUP($B311-1,开奖记录!$A:$L,11,FALSE),八肖参数!$A:$B,2,FALSE),"")</f>
        <v/>
      </c>
      <c r="O311" s="32">
        <f>IF(N311="","",IF(I311="","待开奖",IF(ISNUMBER(SEARCH(I311,N311)),"命中","未命中")))</f>
        <v/>
      </c>
    </row>
    <row r="312" ht="23" customHeight="1" s="21">
      <c r="A312" s="32" t="n">
        <v>311</v>
      </c>
      <c r="B312" s="32">
        <f>IF(COUNTA(C312:E312)=0,"",B311+1)</f>
        <v/>
      </c>
      <c r="C312" s="33" t="inlineStr"/>
      <c r="D312" s="34" t="n"/>
      <c r="E312" s="34" t="n"/>
      <c r="F312" s="34">
        <f>IF(COUNTA(D312:E312)=0,"",N(D312)-N(E312))</f>
        <v/>
      </c>
      <c r="G312" s="32">
        <f>IFERROR(VLOOKUP($B312,'开奖记录'!$A:$K,2,FALSE),"")</f>
        <v/>
      </c>
      <c r="H312" s="32">
        <f>IFERROR(VLOOKUP($B312,'开奖记录'!$A:$K,9,FALSE),"")</f>
        <v/>
      </c>
      <c r="I312" s="32">
        <f>IFERROR(VLOOKUP($B312,'开奖记录'!$A:$K,11,FALSE),"")</f>
        <v/>
      </c>
      <c r="J312" s="32">
        <f>IF($B312="","",IF(ISNUMBER($D312),"命中",IF(ISNUMBER($E312),"未命中","")))</f>
        <v/>
      </c>
      <c r="K312" s="35" t="inlineStr"/>
      <c r="L312" s="32">
        <f>IFERROR(TEXT(VLOOKUP($B312-1,开奖记录!$A:$L,3,FALSE),"00")&amp;"+5="&amp;VLOOKUP(MOD(VLOOKUP($B312-1,开奖记录!$A:$L,3,FALSE)+4,49)+1,规律参数!$A:$C,3,FALSE),"")</f>
        <v/>
      </c>
      <c r="M312" s="32">
        <f>IF(L312="","",IF(I312="","待开奖",IF(ISNUMBER(SEARCH(I312,L312)),"命中","未命中")))</f>
        <v/>
      </c>
      <c r="N312" s="32">
        <f>IFERROR(VLOOKUP(VLOOKUP($B312-1,开奖记录!$A:$L,11,FALSE),八肖参数!$A:$B,2,FALSE),"")</f>
        <v/>
      </c>
      <c r="O312" s="32">
        <f>IF(N312="","",IF(I312="","待开奖",IF(ISNUMBER(SEARCH(I312,N312)),"命中","未命中")))</f>
        <v/>
      </c>
    </row>
    <row r="313" ht="23" customHeight="1" s="21">
      <c r="A313" s="32" t="n">
        <v>312</v>
      </c>
      <c r="B313" s="32">
        <f>IF(COUNTA(C313:E313)=0,"",B312+1)</f>
        <v/>
      </c>
      <c r="C313" s="33" t="inlineStr"/>
      <c r="D313" s="34" t="n"/>
      <c r="E313" s="34" t="n"/>
      <c r="F313" s="34">
        <f>IF(COUNTA(D313:E313)=0,"",N(D313)-N(E313))</f>
        <v/>
      </c>
      <c r="G313" s="32">
        <f>IFERROR(VLOOKUP($B313,'开奖记录'!$A:$K,2,FALSE),"")</f>
        <v/>
      </c>
      <c r="H313" s="32">
        <f>IFERROR(VLOOKUP($B313,'开奖记录'!$A:$K,9,FALSE),"")</f>
        <v/>
      </c>
      <c r="I313" s="32">
        <f>IFERROR(VLOOKUP($B313,'开奖记录'!$A:$K,11,FALSE),"")</f>
        <v/>
      </c>
      <c r="J313" s="32">
        <f>IF($B313="","",IF(ISNUMBER($D313),"命中",IF(ISNUMBER($E313),"未命中","")))</f>
        <v/>
      </c>
      <c r="K313" s="35" t="inlineStr"/>
      <c r="L313" s="32">
        <f>IFERROR(TEXT(VLOOKUP($B313-1,开奖记录!$A:$L,3,FALSE),"00")&amp;"+5="&amp;VLOOKUP(MOD(VLOOKUP($B313-1,开奖记录!$A:$L,3,FALSE)+4,49)+1,规律参数!$A:$C,3,FALSE),"")</f>
        <v/>
      </c>
      <c r="M313" s="32">
        <f>IF(L313="","",IF(I313="","待开奖",IF(ISNUMBER(SEARCH(I313,L313)),"命中","未命中")))</f>
        <v/>
      </c>
      <c r="N313" s="32">
        <f>IFERROR(VLOOKUP(VLOOKUP($B313-1,开奖记录!$A:$L,11,FALSE),八肖参数!$A:$B,2,FALSE),"")</f>
        <v/>
      </c>
      <c r="O313" s="32">
        <f>IF(N313="","",IF(I313="","待开奖",IF(ISNUMBER(SEARCH(I313,N313)),"命中","未命中")))</f>
        <v/>
      </c>
    </row>
    <row r="314" ht="23" customHeight="1" s="21">
      <c r="A314" s="32" t="n">
        <v>313</v>
      </c>
      <c r="B314" s="32">
        <f>IF(COUNTA(C314:E314)=0,"",B313+1)</f>
        <v/>
      </c>
      <c r="C314" s="33" t="inlineStr"/>
      <c r="D314" s="34" t="n"/>
      <c r="E314" s="34" t="n"/>
      <c r="F314" s="34">
        <f>IF(COUNTA(D314:E314)=0,"",N(D314)-N(E314))</f>
        <v/>
      </c>
      <c r="G314" s="32">
        <f>IFERROR(VLOOKUP($B314,'开奖记录'!$A:$K,2,FALSE),"")</f>
        <v/>
      </c>
      <c r="H314" s="32">
        <f>IFERROR(VLOOKUP($B314,'开奖记录'!$A:$K,9,FALSE),"")</f>
        <v/>
      </c>
      <c r="I314" s="32">
        <f>IFERROR(VLOOKUP($B314,'开奖记录'!$A:$K,11,FALSE),"")</f>
        <v/>
      </c>
      <c r="J314" s="32">
        <f>IF($B314="","",IF(ISNUMBER($D314),"命中",IF(ISNUMBER($E314),"未命中","")))</f>
        <v/>
      </c>
      <c r="K314" s="35" t="inlineStr"/>
      <c r="L314" s="32">
        <f>IFERROR(TEXT(VLOOKUP($B314-1,开奖记录!$A:$L,3,FALSE),"00")&amp;"+5="&amp;VLOOKUP(MOD(VLOOKUP($B314-1,开奖记录!$A:$L,3,FALSE)+4,49)+1,规律参数!$A:$C,3,FALSE),"")</f>
        <v/>
      </c>
      <c r="M314" s="32">
        <f>IF(L314="","",IF(I314="","待开奖",IF(ISNUMBER(SEARCH(I314,L314)),"命中","未命中")))</f>
        <v/>
      </c>
      <c r="N314" s="32">
        <f>IFERROR(VLOOKUP(VLOOKUP($B314-1,开奖记录!$A:$L,11,FALSE),八肖参数!$A:$B,2,FALSE),"")</f>
        <v/>
      </c>
      <c r="O314" s="32">
        <f>IF(N314="","",IF(I314="","待开奖",IF(ISNUMBER(SEARCH(I314,N314)),"命中","未命中")))</f>
        <v/>
      </c>
    </row>
    <row r="315" ht="23" customHeight="1" s="21">
      <c r="A315" s="32" t="n">
        <v>314</v>
      </c>
      <c r="B315" s="32">
        <f>IF(COUNTA(C315:E315)=0,"",B314+1)</f>
        <v/>
      </c>
      <c r="C315" s="33" t="inlineStr"/>
      <c r="D315" s="34" t="n"/>
      <c r="E315" s="34" t="n"/>
      <c r="F315" s="34">
        <f>IF(COUNTA(D315:E315)=0,"",N(D315)-N(E315))</f>
        <v/>
      </c>
      <c r="G315" s="32">
        <f>IFERROR(VLOOKUP($B315,'开奖记录'!$A:$K,2,FALSE),"")</f>
        <v/>
      </c>
      <c r="H315" s="32">
        <f>IFERROR(VLOOKUP($B315,'开奖记录'!$A:$K,9,FALSE),"")</f>
        <v/>
      </c>
      <c r="I315" s="32">
        <f>IFERROR(VLOOKUP($B315,'开奖记录'!$A:$K,11,FALSE),"")</f>
        <v/>
      </c>
      <c r="J315" s="32">
        <f>IF($B315="","",IF(ISNUMBER($D315),"命中",IF(ISNUMBER($E315),"未命中","")))</f>
        <v/>
      </c>
      <c r="K315" s="35" t="inlineStr"/>
      <c r="L315" s="32">
        <f>IFERROR(TEXT(VLOOKUP($B315-1,开奖记录!$A:$L,3,FALSE),"00")&amp;"+5="&amp;VLOOKUP(MOD(VLOOKUP($B315-1,开奖记录!$A:$L,3,FALSE)+4,49)+1,规律参数!$A:$C,3,FALSE),"")</f>
        <v/>
      </c>
      <c r="M315" s="32">
        <f>IF(L315="","",IF(I315="","待开奖",IF(ISNUMBER(SEARCH(I315,L315)),"命中","未命中")))</f>
        <v/>
      </c>
      <c r="N315" s="32">
        <f>IFERROR(VLOOKUP(VLOOKUP($B315-1,开奖记录!$A:$L,11,FALSE),八肖参数!$A:$B,2,FALSE),"")</f>
        <v/>
      </c>
      <c r="O315" s="32">
        <f>IF(N315="","",IF(I315="","待开奖",IF(ISNUMBER(SEARCH(I315,N315)),"命中","未命中")))</f>
        <v/>
      </c>
    </row>
    <row r="316" ht="23" customHeight="1" s="21">
      <c r="A316" s="32" t="n">
        <v>315</v>
      </c>
      <c r="B316" s="32">
        <f>IF(COUNTA(C316:E316)=0,"",B315+1)</f>
        <v/>
      </c>
      <c r="C316" s="33" t="inlineStr"/>
      <c r="D316" s="34" t="n"/>
      <c r="E316" s="34" t="n"/>
      <c r="F316" s="34">
        <f>IF(COUNTA(D316:E316)=0,"",N(D316)-N(E316))</f>
        <v/>
      </c>
      <c r="G316" s="32">
        <f>IFERROR(VLOOKUP($B316,'开奖记录'!$A:$K,2,FALSE),"")</f>
        <v/>
      </c>
      <c r="H316" s="32">
        <f>IFERROR(VLOOKUP($B316,'开奖记录'!$A:$K,9,FALSE),"")</f>
        <v/>
      </c>
      <c r="I316" s="32">
        <f>IFERROR(VLOOKUP($B316,'开奖记录'!$A:$K,11,FALSE),"")</f>
        <v/>
      </c>
      <c r="J316" s="32">
        <f>IF($B316="","",IF(ISNUMBER($D316),"命中",IF(ISNUMBER($E316),"未命中","")))</f>
        <v/>
      </c>
      <c r="K316" s="35" t="inlineStr"/>
      <c r="L316" s="32">
        <f>IFERROR(TEXT(VLOOKUP($B316-1,开奖记录!$A:$L,3,FALSE),"00")&amp;"+5="&amp;VLOOKUP(MOD(VLOOKUP($B316-1,开奖记录!$A:$L,3,FALSE)+4,49)+1,规律参数!$A:$C,3,FALSE),"")</f>
        <v/>
      </c>
      <c r="M316" s="32">
        <f>IF(L316="","",IF(I316="","待开奖",IF(ISNUMBER(SEARCH(I316,L316)),"命中","未命中")))</f>
        <v/>
      </c>
      <c r="N316" s="32">
        <f>IFERROR(VLOOKUP(VLOOKUP($B316-1,开奖记录!$A:$L,11,FALSE),八肖参数!$A:$B,2,FALSE),"")</f>
        <v/>
      </c>
      <c r="O316" s="32">
        <f>IF(N316="","",IF(I316="","待开奖",IF(ISNUMBER(SEARCH(I316,N316)),"命中","未命中")))</f>
        <v/>
      </c>
    </row>
    <row r="317" ht="23" customHeight="1" s="21">
      <c r="A317" s="32" t="n">
        <v>316</v>
      </c>
      <c r="B317" s="32">
        <f>IF(COUNTA(C317:E317)=0,"",B316+1)</f>
        <v/>
      </c>
      <c r="C317" s="33" t="inlineStr"/>
      <c r="D317" s="34" t="n"/>
      <c r="E317" s="34" t="n"/>
      <c r="F317" s="34">
        <f>IF(COUNTA(D317:E317)=0,"",N(D317)-N(E317))</f>
        <v/>
      </c>
      <c r="G317" s="32">
        <f>IFERROR(VLOOKUP($B317,'开奖记录'!$A:$K,2,FALSE),"")</f>
        <v/>
      </c>
      <c r="H317" s="32">
        <f>IFERROR(VLOOKUP($B317,'开奖记录'!$A:$K,9,FALSE),"")</f>
        <v/>
      </c>
      <c r="I317" s="32">
        <f>IFERROR(VLOOKUP($B317,'开奖记录'!$A:$K,11,FALSE),"")</f>
        <v/>
      </c>
      <c r="J317" s="32">
        <f>IF($B317="","",IF(ISNUMBER($D317),"命中",IF(ISNUMBER($E317),"未命中","")))</f>
        <v/>
      </c>
      <c r="K317" s="35" t="inlineStr"/>
      <c r="L317" s="32">
        <f>IFERROR(TEXT(VLOOKUP($B317-1,开奖记录!$A:$L,3,FALSE),"00")&amp;"+5="&amp;VLOOKUP(MOD(VLOOKUP($B317-1,开奖记录!$A:$L,3,FALSE)+4,49)+1,规律参数!$A:$C,3,FALSE),"")</f>
        <v/>
      </c>
      <c r="M317" s="32">
        <f>IF(L317="","",IF(I317="","待开奖",IF(ISNUMBER(SEARCH(I317,L317)),"命中","未命中")))</f>
        <v/>
      </c>
      <c r="N317" s="32">
        <f>IFERROR(VLOOKUP(VLOOKUP($B317-1,开奖记录!$A:$L,11,FALSE),八肖参数!$A:$B,2,FALSE),"")</f>
        <v/>
      </c>
      <c r="O317" s="32">
        <f>IF(N317="","",IF(I317="","待开奖",IF(ISNUMBER(SEARCH(I317,N317)),"命中","未命中")))</f>
        <v/>
      </c>
    </row>
    <row r="318" ht="23" customHeight="1" s="21">
      <c r="A318" s="32" t="n">
        <v>317</v>
      </c>
      <c r="B318" s="32">
        <f>IF(COUNTA(C318:E318)=0,"",B317+1)</f>
        <v/>
      </c>
      <c r="C318" s="33" t="inlineStr"/>
      <c r="D318" s="34" t="n"/>
      <c r="E318" s="34" t="n"/>
      <c r="F318" s="34">
        <f>IF(COUNTA(D318:E318)=0,"",N(D318)-N(E318))</f>
        <v/>
      </c>
      <c r="G318" s="32">
        <f>IFERROR(VLOOKUP($B318,'开奖记录'!$A:$K,2,FALSE),"")</f>
        <v/>
      </c>
      <c r="H318" s="32">
        <f>IFERROR(VLOOKUP($B318,'开奖记录'!$A:$K,9,FALSE),"")</f>
        <v/>
      </c>
      <c r="I318" s="32">
        <f>IFERROR(VLOOKUP($B318,'开奖记录'!$A:$K,11,FALSE),"")</f>
        <v/>
      </c>
      <c r="J318" s="32">
        <f>IF($B318="","",IF(ISNUMBER($D318),"命中",IF(ISNUMBER($E318),"未命中","")))</f>
        <v/>
      </c>
      <c r="K318" s="35" t="inlineStr"/>
      <c r="L318" s="32">
        <f>IFERROR(TEXT(VLOOKUP($B318-1,开奖记录!$A:$L,3,FALSE),"00")&amp;"+5="&amp;VLOOKUP(MOD(VLOOKUP($B318-1,开奖记录!$A:$L,3,FALSE)+4,49)+1,规律参数!$A:$C,3,FALSE),"")</f>
        <v/>
      </c>
      <c r="M318" s="32">
        <f>IF(L318="","",IF(I318="","待开奖",IF(ISNUMBER(SEARCH(I318,L318)),"命中","未命中")))</f>
        <v/>
      </c>
      <c r="N318" s="32">
        <f>IFERROR(VLOOKUP(VLOOKUP($B318-1,开奖记录!$A:$L,11,FALSE),八肖参数!$A:$B,2,FALSE),"")</f>
        <v/>
      </c>
      <c r="O318" s="32">
        <f>IF(N318="","",IF(I318="","待开奖",IF(ISNUMBER(SEARCH(I318,N318)),"命中","未命中")))</f>
        <v/>
      </c>
    </row>
    <row r="319" ht="23" customHeight="1" s="21">
      <c r="A319" s="32" t="n">
        <v>318</v>
      </c>
      <c r="B319" s="32">
        <f>IF(COUNTA(C319:E319)=0,"",B318+1)</f>
        <v/>
      </c>
      <c r="C319" s="33" t="inlineStr"/>
      <c r="D319" s="34" t="n"/>
      <c r="E319" s="34" t="n"/>
      <c r="F319" s="34">
        <f>IF(COUNTA(D319:E319)=0,"",N(D319)-N(E319))</f>
        <v/>
      </c>
      <c r="G319" s="32">
        <f>IFERROR(VLOOKUP($B319,'开奖记录'!$A:$K,2,FALSE),"")</f>
        <v/>
      </c>
      <c r="H319" s="32">
        <f>IFERROR(VLOOKUP($B319,'开奖记录'!$A:$K,9,FALSE),"")</f>
        <v/>
      </c>
      <c r="I319" s="32">
        <f>IFERROR(VLOOKUP($B319,'开奖记录'!$A:$K,11,FALSE),"")</f>
        <v/>
      </c>
      <c r="J319" s="32">
        <f>IF($B319="","",IF(ISNUMBER($D319),"命中",IF(ISNUMBER($E319),"未命中","")))</f>
        <v/>
      </c>
      <c r="K319" s="35" t="inlineStr"/>
      <c r="L319" s="32">
        <f>IFERROR(TEXT(VLOOKUP($B319-1,开奖记录!$A:$L,3,FALSE),"00")&amp;"+5="&amp;VLOOKUP(MOD(VLOOKUP($B319-1,开奖记录!$A:$L,3,FALSE)+4,49)+1,规律参数!$A:$C,3,FALSE),"")</f>
        <v/>
      </c>
      <c r="M319" s="32">
        <f>IF(L319="","",IF(I319="","待开奖",IF(ISNUMBER(SEARCH(I319,L319)),"命中","未命中")))</f>
        <v/>
      </c>
      <c r="N319" s="32">
        <f>IFERROR(VLOOKUP(VLOOKUP($B319-1,开奖记录!$A:$L,11,FALSE),八肖参数!$A:$B,2,FALSE),"")</f>
        <v/>
      </c>
      <c r="O319" s="32">
        <f>IF(N319="","",IF(I319="","待开奖",IF(ISNUMBER(SEARCH(I319,N319)),"命中","未命中")))</f>
        <v/>
      </c>
    </row>
    <row r="320" ht="23" customHeight="1" s="21">
      <c r="A320" s="32" t="n">
        <v>319</v>
      </c>
      <c r="B320" s="32">
        <f>IF(COUNTA(C320:E320)=0,"",B319+1)</f>
        <v/>
      </c>
      <c r="C320" s="33" t="inlineStr"/>
      <c r="D320" s="34" t="n"/>
      <c r="E320" s="34" t="n"/>
      <c r="F320" s="34">
        <f>IF(COUNTA(D320:E320)=0,"",N(D320)-N(E320))</f>
        <v/>
      </c>
      <c r="G320" s="32">
        <f>IFERROR(VLOOKUP($B320,'开奖记录'!$A:$K,2,FALSE),"")</f>
        <v/>
      </c>
      <c r="H320" s="32">
        <f>IFERROR(VLOOKUP($B320,'开奖记录'!$A:$K,9,FALSE),"")</f>
        <v/>
      </c>
      <c r="I320" s="32">
        <f>IFERROR(VLOOKUP($B320,'开奖记录'!$A:$K,11,FALSE),"")</f>
        <v/>
      </c>
      <c r="J320" s="32">
        <f>IF($B320="","",IF(ISNUMBER($D320),"命中",IF(ISNUMBER($E320),"未命中","")))</f>
        <v/>
      </c>
      <c r="K320" s="35" t="inlineStr"/>
      <c r="L320" s="32">
        <f>IFERROR(TEXT(VLOOKUP($B320-1,开奖记录!$A:$L,3,FALSE),"00")&amp;"+5="&amp;VLOOKUP(MOD(VLOOKUP($B320-1,开奖记录!$A:$L,3,FALSE)+4,49)+1,规律参数!$A:$C,3,FALSE),"")</f>
        <v/>
      </c>
      <c r="M320" s="32">
        <f>IF(L320="","",IF(I320="","待开奖",IF(ISNUMBER(SEARCH(I320,L320)),"命中","未命中")))</f>
        <v/>
      </c>
      <c r="N320" s="32">
        <f>IFERROR(VLOOKUP(VLOOKUP($B320-1,开奖记录!$A:$L,11,FALSE),八肖参数!$A:$B,2,FALSE),"")</f>
        <v/>
      </c>
      <c r="O320" s="32">
        <f>IF(N320="","",IF(I320="","待开奖",IF(ISNUMBER(SEARCH(I320,N320)),"命中","未命中")))</f>
        <v/>
      </c>
    </row>
    <row r="321" ht="23" customHeight="1" s="21">
      <c r="A321" s="32" t="n">
        <v>320</v>
      </c>
      <c r="B321" s="32">
        <f>IF(COUNTA(C321:E321)=0,"",B320+1)</f>
        <v/>
      </c>
      <c r="C321" s="33" t="inlineStr"/>
      <c r="D321" s="34" t="n"/>
      <c r="E321" s="34" t="n"/>
      <c r="F321" s="34">
        <f>IF(COUNTA(D321:E321)=0,"",N(D321)-N(E321))</f>
        <v/>
      </c>
      <c r="G321" s="32">
        <f>IFERROR(VLOOKUP($B321,'开奖记录'!$A:$K,2,FALSE),"")</f>
        <v/>
      </c>
      <c r="H321" s="32">
        <f>IFERROR(VLOOKUP($B321,'开奖记录'!$A:$K,9,FALSE),"")</f>
        <v/>
      </c>
      <c r="I321" s="32">
        <f>IFERROR(VLOOKUP($B321,'开奖记录'!$A:$K,11,FALSE),"")</f>
        <v/>
      </c>
      <c r="J321" s="32">
        <f>IF($B321="","",IF(ISNUMBER($D321),"命中",IF(ISNUMBER($E321),"未命中","")))</f>
        <v/>
      </c>
      <c r="K321" s="35" t="inlineStr"/>
      <c r="L321" s="32">
        <f>IFERROR(TEXT(VLOOKUP($B321-1,开奖记录!$A:$L,3,FALSE),"00")&amp;"+5="&amp;VLOOKUP(MOD(VLOOKUP($B321-1,开奖记录!$A:$L,3,FALSE)+4,49)+1,规律参数!$A:$C,3,FALSE),"")</f>
        <v/>
      </c>
      <c r="M321" s="32">
        <f>IF(L321="","",IF(I321="","待开奖",IF(ISNUMBER(SEARCH(I321,L321)),"命中","未命中")))</f>
        <v/>
      </c>
      <c r="N321" s="32">
        <f>IFERROR(VLOOKUP(VLOOKUP($B321-1,开奖记录!$A:$L,11,FALSE),八肖参数!$A:$B,2,FALSE),"")</f>
        <v/>
      </c>
      <c r="O321" s="32">
        <f>IF(N321="","",IF(I321="","待开奖",IF(ISNUMBER(SEARCH(I321,N321)),"命中","未命中")))</f>
        <v/>
      </c>
    </row>
    <row r="322" ht="23" customHeight="1" s="21">
      <c r="A322" s="32" t="n">
        <v>321</v>
      </c>
      <c r="B322" s="32">
        <f>IF(COUNTA(C322:E322)=0,"",B321+1)</f>
        <v/>
      </c>
      <c r="C322" s="33" t="inlineStr"/>
      <c r="D322" s="34" t="n"/>
      <c r="E322" s="34" t="n"/>
      <c r="F322" s="34">
        <f>IF(COUNTA(D322:E322)=0,"",N(D322)-N(E322))</f>
        <v/>
      </c>
      <c r="G322" s="32">
        <f>IFERROR(VLOOKUP($B322,'开奖记录'!$A:$K,2,FALSE),"")</f>
        <v/>
      </c>
      <c r="H322" s="32">
        <f>IFERROR(VLOOKUP($B322,'开奖记录'!$A:$K,9,FALSE),"")</f>
        <v/>
      </c>
      <c r="I322" s="32">
        <f>IFERROR(VLOOKUP($B322,'开奖记录'!$A:$K,11,FALSE),"")</f>
        <v/>
      </c>
      <c r="J322" s="32">
        <f>IF($B322="","",IF(ISNUMBER($D322),"命中",IF(ISNUMBER($E322),"未命中","")))</f>
        <v/>
      </c>
      <c r="K322" s="35" t="inlineStr"/>
      <c r="L322" s="32">
        <f>IFERROR(TEXT(VLOOKUP($B322-1,开奖记录!$A:$L,3,FALSE),"00")&amp;"+5="&amp;VLOOKUP(MOD(VLOOKUP($B322-1,开奖记录!$A:$L,3,FALSE)+4,49)+1,规律参数!$A:$C,3,FALSE),"")</f>
        <v/>
      </c>
      <c r="M322" s="32">
        <f>IF(L322="","",IF(I322="","待开奖",IF(ISNUMBER(SEARCH(I322,L322)),"命中","未命中")))</f>
        <v/>
      </c>
      <c r="N322" s="32">
        <f>IFERROR(VLOOKUP(VLOOKUP($B322-1,开奖记录!$A:$L,11,FALSE),八肖参数!$A:$B,2,FALSE),"")</f>
        <v/>
      </c>
      <c r="O322" s="32">
        <f>IF(N322="","",IF(I322="","待开奖",IF(ISNUMBER(SEARCH(I322,N322)),"命中","未命中")))</f>
        <v/>
      </c>
    </row>
    <row r="323" ht="23" customHeight="1" s="21">
      <c r="A323" s="32" t="n">
        <v>322</v>
      </c>
      <c r="B323" s="32">
        <f>IF(COUNTA(C323:E323)=0,"",B322+1)</f>
        <v/>
      </c>
      <c r="C323" s="33" t="inlineStr"/>
      <c r="D323" s="34" t="n"/>
      <c r="E323" s="34" t="n"/>
      <c r="F323" s="34">
        <f>IF(COUNTA(D323:E323)=0,"",N(D323)-N(E323))</f>
        <v/>
      </c>
      <c r="G323" s="32">
        <f>IFERROR(VLOOKUP($B323,'开奖记录'!$A:$K,2,FALSE),"")</f>
        <v/>
      </c>
      <c r="H323" s="32">
        <f>IFERROR(VLOOKUP($B323,'开奖记录'!$A:$K,9,FALSE),"")</f>
        <v/>
      </c>
      <c r="I323" s="32">
        <f>IFERROR(VLOOKUP($B323,'开奖记录'!$A:$K,11,FALSE),"")</f>
        <v/>
      </c>
      <c r="J323" s="32">
        <f>IF($B323="","",IF(ISNUMBER($D323),"命中",IF(ISNUMBER($E323),"未命中","")))</f>
        <v/>
      </c>
      <c r="K323" s="35" t="inlineStr"/>
      <c r="L323" s="32">
        <f>IFERROR(TEXT(VLOOKUP($B323-1,开奖记录!$A:$L,3,FALSE),"00")&amp;"+5="&amp;VLOOKUP(MOD(VLOOKUP($B323-1,开奖记录!$A:$L,3,FALSE)+4,49)+1,规律参数!$A:$C,3,FALSE),"")</f>
        <v/>
      </c>
      <c r="M323" s="32">
        <f>IF(L323="","",IF(I323="","待开奖",IF(ISNUMBER(SEARCH(I323,L323)),"命中","未命中")))</f>
        <v/>
      </c>
      <c r="N323" s="32">
        <f>IFERROR(VLOOKUP(VLOOKUP($B323-1,开奖记录!$A:$L,11,FALSE),八肖参数!$A:$B,2,FALSE),"")</f>
        <v/>
      </c>
      <c r="O323" s="32">
        <f>IF(N323="","",IF(I323="","待开奖",IF(ISNUMBER(SEARCH(I323,N323)),"命中","未命中")))</f>
        <v/>
      </c>
    </row>
    <row r="324" ht="23" customHeight="1" s="21">
      <c r="A324" s="32" t="n">
        <v>323</v>
      </c>
      <c r="B324" s="32">
        <f>IF(COUNTA(C324:E324)=0,"",B323+1)</f>
        <v/>
      </c>
      <c r="C324" s="33" t="inlineStr"/>
      <c r="D324" s="34" t="n"/>
      <c r="E324" s="34" t="n"/>
      <c r="F324" s="34">
        <f>IF(COUNTA(D324:E324)=0,"",N(D324)-N(E324))</f>
        <v/>
      </c>
      <c r="G324" s="32">
        <f>IFERROR(VLOOKUP($B324,'开奖记录'!$A:$K,2,FALSE),"")</f>
        <v/>
      </c>
      <c r="H324" s="32">
        <f>IFERROR(VLOOKUP($B324,'开奖记录'!$A:$K,9,FALSE),"")</f>
        <v/>
      </c>
      <c r="I324" s="32">
        <f>IFERROR(VLOOKUP($B324,'开奖记录'!$A:$K,11,FALSE),"")</f>
        <v/>
      </c>
      <c r="J324" s="32">
        <f>IF($B324="","",IF(ISNUMBER($D324),"命中",IF(ISNUMBER($E324),"未命中","")))</f>
        <v/>
      </c>
      <c r="K324" s="35" t="inlineStr"/>
      <c r="L324" s="32">
        <f>IFERROR(TEXT(VLOOKUP($B324-1,开奖记录!$A:$L,3,FALSE),"00")&amp;"+5="&amp;VLOOKUP(MOD(VLOOKUP($B324-1,开奖记录!$A:$L,3,FALSE)+4,49)+1,规律参数!$A:$C,3,FALSE),"")</f>
        <v/>
      </c>
      <c r="M324" s="32">
        <f>IF(L324="","",IF(I324="","待开奖",IF(ISNUMBER(SEARCH(I324,L324)),"命中","未命中")))</f>
        <v/>
      </c>
      <c r="N324" s="32">
        <f>IFERROR(VLOOKUP(VLOOKUP($B324-1,开奖记录!$A:$L,11,FALSE),八肖参数!$A:$B,2,FALSE),"")</f>
        <v/>
      </c>
      <c r="O324" s="32">
        <f>IF(N324="","",IF(I324="","待开奖",IF(ISNUMBER(SEARCH(I324,N324)),"命中","未命中")))</f>
        <v/>
      </c>
    </row>
    <row r="325" ht="23" customHeight="1" s="21">
      <c r="A325" s="32" t="n">
        <v>324</v>
      </c>
      <c r="B325" s="32">
        <f>IF(COUNTA(C325:E325)=0,"",B324+1)</f>
        <v/>
      </c>
      <c r="C325" s="33" t="inlineStr"/>
      <c r="D325" s="34" t="n"/>
      <c r="E325" s="34" t="n"/>
      <c r="F325" s="34">
        <f>IF(COUNTA(D325:E325)=0,"",N(D325)-N(E325))</f>
        <v/>
      </c>
      <c r="G325" s="32">
        <f>IFERROR(VLOOKUP($B325,'开奖记录'!$A:$K,2,FALSE),"")</f>
        <v/>
      </c>
      <c r="H325" s="32">
        <f>IFERROR(VLOOKUP($B325,'开奖记录'!$A:$K,9,FALSE),"")</f>
        <v/>
      </c>
      <c r="I325" s="32">
        <f>IFERROR(VLOOKUP($B325,'开奖记录'!$A:$K,11,FALSE),"")</f>
        <v/>
      </c>
      <c r="J325" s="32">
        <f>IF($B325="","",IF(ISNUMBER($D325),"命中",IF(ISNUMBER($E325),"未命中","")))</f>
        <v/>
      </c>
      <c r="K325" s="35" t="inlineStr"/>
      <c r="L325" s="32">
        <f>IFERROR(TEXT(VLOOKUP($B325-1,开奖记录!$A:$L,3,FALSE),"00")&amp;"+5="&amp;VLOOKUP(MOD(VLOOKUP($B325-1,开奖记录!$A:$L,3,FALSE)+4,49)+1,规律参数!$A:$C,3,FALSE),"")</f>
        <v/>
      </c>
      <c r="M325" s="32">
        <f>IF(L325="","",IF(I325="","待开奖",IF(ISNUMBER(SEARCH(I325,L325)),"命中","未命中")))</f>
        <v/>
      </c>
      <c r="N325" s="32">
        <f>IFERROR(VLOOKUP(VLOOKUP($B325-1,开奖记录!$A:$L,11,FALSE),八肖参数!$A:$B,2,FALSE),"")</f>
        <v/>
      </c>
      <c r="O325" s="32">
        <f>IF(N325="","",IF(I325="","待开奖",IF(ISNUMBER(SEARCH(I325,N325)),"命中","未命中")))</f>
        <v/>
      </c>
    </row>
    <row r="326" ht="23" customHeight="1" s="21">
      <c r="A326" s="32" t="n">
        <v>325</v>
      </c>
      <c r="B326" s="32">
        <f>IF(COUNTA(C326:E326)=0,"",B325+1)</f>
        <v/>
      </c>
      <c r="C326" s="33" t="inlineStr"/>
      <c r="D326" s="34" t="n"/>
      <c r="E326" s="34" t="n"/>
      <c r="F326" s="34">
        <f>IF(COUNTA(D326:E326)=0,"",N(D326)-N(E326))</f>
        <v/>
      </c>
      <c r="G326" s="32">
        <f>IFERROR(VLOOKUP($B326,'开奖记录'!$A:$K,2,FALSE),"")</f>
        <v/>
      </c>
      <c r="H326" s="32">
        <f>IFERROR(VLOOKUP($B326,'开奖记录'!$A:$K,9,FALSE),"")</f>
        <v/>
      </c>
      <c r="I326" s="32">
        <f>IFERROR(VLOOKUP($B326,'开奖记录'!$A:$K,11,FALSE),"")</f>
        <v/>
      </c>
      <c r="J326" s="32">
        <f>IF($B326="","",IF(ISNUMBER($D326),"命中",IF(ISNUMBER($E326),"未命中","")))</f>
        <v/>
      </c>
      <c r="K326" s="35" t="inlineStr"/>
      <c r="L326" s="32">
        <f>IFERROR(TEXT(VLOOKUP($B326-1,开奖记录!$A:$L,3,FALSE),"00")&amp;"+5="&amp;VLOOKUP(MOD(VLOOKUP($B326-1,开奖记录!$A:$L,3,FALSE)+4,49)+1,规律参数!$A:$C,3,FALSE),"")</f>
        <v/>
      </c>
      <c r="M326" s="32">
        <f>IF(L326="","",IF(I326="","待开奖",IF(ISNUMBER(SEARCH(I326,L326)),"命中","未命中")))</f>
        <v/>
      </c>
      <c r="N326" s="32">
        <f>IFERROR(VLOOKUP(VLOOKUP($B326-1,开奖记录!$A:$L,11,FALSE),八肖参数!$A:$B,2,FALSE),"")</f>
        <v/>
      </c>
      <c r="O326" s="32">
        <f>IF(N326="","",IF(I326="","待开奖",IF(ISNUMBER(SEARCH(I326,N326)),"命中","未命中")))</f>
        <v/>
      </c>
    </row>
    <row r="327" ht="23" customHeight="1" s="21">
      <c r="A327" s="32" t="n">
        <v>326</v>
      </c>
      <c r="B327" s="32">
        <f>IF(COUNTA(C327:E327)=0,"",B326+1)</f>
        <v/>
      </c>
      <c r="C327" s="33" t="inlineStr"/>
      <c r="D327" s="34" t="n"/>
      <c r="E327" s="34" t="n"/>
      <c r="F327" s="34">
        <f>IF(COUNTA(D327:E327)=0,"",N(D327)-N(E327))</f>
        <v/>
      </c>
      <c r="G327" s="32">
        <f>IFERROR(VLOOKUP($B327,'开奖记录'!$A:$K,2,FALSE),"")</f>
        <v/>
      </c>
      <c r="H327" s="32">
        <f>IFERROR(VLOOKUP($B327,'开奖记录'!$A:$K,9,FALSE),"")</f>
        <v/>
      </c>
      <c r="I327" s="32">
        <f>IFERROR(VLOOKUP($B327,'开奖记录'!$A:$K,11,FALSE),"")</f>
        <v/>
      </c>
      <c r="J327" s="32">
        <f>IF($B327="","",IF(ISNUMBER($D327),"命中",IF(ISNUMBER($E327),"未命中","")))</f>
        <v/>
      </c>
      <c r="K327" s="35" t="inlineStr"/>
      <c r="L327" s="32">
        <f>IFERROR(TEXT(VLOOKUP($B327-1,开奖记录!$A:$L,3,FALSE),"00")&amp;"+5="&amp;VLOOKUP(MOD(VLOOKUP($B327-1,开奖记录!$A:$L,3,FALSE)+4,49)+1,规律参数!$A:$C,3,FALSE),"")</f>
        <v/>
      </c>
      <c r="M327" s="32">
        <f>IF(L327="","",IF(I327="","待开奖",IF(ISNUMBER(SEARCH(I327,L327)),"命中","未命中")))</f>
        <v/>
      </c>
      <c r="N327" s="32">
        <f>IFERROR(VLOOKUP(VLOOKUP($B327-1,开奖记录!$A:$L,11,FALSE),八肖参数!$A:$B,2,FALSE),"")</f>
        <v/>
      </c>
      <c r="O327" s="32">
        <f>IF(N327="","",IF(I327="","待开奖",IF(ISNUMBER(SEARCH(I327,N327)),"命中","未命中")))</f>
        <v/>
      </c>
    </row>
    <row r="328" ht="23" customHeight="1" s="21">
      <c r="A328" s="32" t="n">
        <v>327</v>
      </c>
      <c r="B328" s="32">
        <f>IF(COUNTA(C328:E328)=0,"",B327+1)</f>
        <v/>
      </c>
      <c r="C328" s="33" t="inlineStr"/>
      <c r="D328" s="34" t="n"/>
      <c r="E328" s="34" t="n"/>
      <c r="F328" s="34">
        <f>IF(COUNTA(D328:E328)=0,"",N(D328)-N(E328))</f>
        <v/>
      </c>
      <c r="G328" s="32">
        <f>IFERROR(VLOOKUP($B328,'开奖记录'!$A:$K,2,FALSE),"")</f>
        <v/>
      </c>
      <c r="H328" s="32">
        <f>IFERROR(VLOOKUP($B328,'开奖记录'!$A:$K,9,FALSE),"")</f>
        <v/>
      </c>
      <c r="I328" s="32">
        <f>IFERROR(VLOOKUP($B328,'开奖记录'!$A:$K,11,FALSE),"")</f>
        <v/>
      </c>
      <c r="J328" s="32">
        <f>IF($B328="","",IF(ISNUMBER($D328),"命中",IF(ISNUMBER($E328),"未命中","")))</f>
        <v/>
      </c>
      <c r="K328" s="35" t="inlineStr"/>
      <c r="L328" s="32">
        <f>IFERROR(TEXT(VLOOKUP($B328-1,开奖记录!$A:$L,3,FALSE),"00")&amp;"+5="&amp;VLOOKUP(MOD(VLOOKUP($B328-1,开奖记录!$A:$L,3,FALSE)+4,49)+1,规律参数!$A:$C,3,FALSE),"")</f>
        <v/>
      </c>
      <c r="M328" s="32">
        <f>IF(L328="","",IF(I328="","待开奖",IF(ISNUMBER(SEARCH(I328,L328)),"命中","未命中")))</f>
        <v/>
      </c>
      <c r="N328" s="32">
        <f>IFERROR(VLOOKUP(VLOOKUP($B328-1,开奖记录!$A:$L,11,FALSE),八肖参数!$A:$B,2,FALSE),"")</f>
        <v/>
      </c>
      <c r="O328" s="32">
        <f>IF(N328="","",IF(I328="","待开奖",IF(ISNUMBER(SEARCH(I328,N328)),"命中","未命中")))</f>
        <v/>
      </c>
    </row>
    <row r="329" ht="23" customHeight="1" s="21">
      <c r="A329" s="32" t="n">
        <v>328</v>
      </c>
      <c r="B329" s="32">
        <f>IF(COUNTA(C329:E329)=0,"",B328+1)</f>
        <v/>
      </c>
      <c r="C329" s="33" t="inlineStr"/>
      <c r="D329" s="34" t="n"/>
      <c r="E329" s="34" t="n"/>
      <c r="F329" s="34">
        <f>IF(COUNTA(D329:E329)=0,"",N(D329)-N(E329))</f>
        <v/>
      </c>
      <c r="G329" s="32">
        <f>IFERROR(VLOOKUP($B329,'开奖记录'!$A:$K,2,FALSE),"")</f>
        <v/>
      </c>
      <c r="H329" s="32">
        <f>IFERROR(VLOOKUP($B329,'开奖记录'!$A:$K,9,FALSE),"")</f>
        <v/>
      </c>
      <c r="I329" s="32">
        <f>IFERROR(VLOOKUP($B329,'开奖记录'!$A:$K,11,FALSE),"")</f>
        <v/>
      </c>
      <c r="J329" s="32">
        <f>IF($B329="","",IF(ISNUMBER($D329),"命中",IF(ISNUMBER($E329),"未命中","")))</f>
        <v/>
      </c>
      <c r="K329" s="35" t="inlineStr"/>
      <c r="L329" s="32">
        <f>IFERROR(TEXT(VLOOKUP($B329-1,开奖记录!$A:$L,3,FALSE),"00")&amp;"+5="&amp;VLOOKUP(MOD(VLOOKUP($B329-1,开奖记录!$A:$L,3,FALSE)+4,49)+1,规律参数!$A:$C,3,FALSE),"")</f>
        <v/>
      </c>
      <c r="M329" s="32">
        <f>IF(L329="","",IF(I329="","待开奖",IF(ISNUMBER(SEARCH(I329,L329)),"命中","未命中")))</f>
        <v/>
      </c>
      <c r="N329" s="32">
        <f>IFERROR(VLOOKUP(VLOOKUP($B329-1,开奖记录!$A:$L,11,FALSE),八肖参数!$A:$B,2,FALSE),"")</f>
        <v/>
      </c>
      <c r="O329" s="32">
        <f>IF(N329="","",IF(I329="","待开奖",IF(ISNUMBER(SEARCH(I329,N329)),"命中","未命中")))</f>
        <v/>
      </c>
    </row>
    <row r="330" ht="23" customHeight="1" s="21">
      <c r="A330" s="32" t="n">
        <v>329</v>
      </c>
      <c r="B330" s="32">
        <f>IF(COUNTA(C330:E330)=0,"",B329+1)</f>
        <v/>
      </c>
      <c r="C330" s="33" t="inlineStr"/>
      <c r="D330" s="34" t="n"/>
      <c r="E330" s="34" t="n"/>
      <c r="F330" s="34">
        <f>IF(COUNTA(D330:E330)=0,"",N(D330)-N(E330))</f>
        <v/>
      </c>
      <c r="G330" s="32">
        <f>IFERROR(VLOOKUP($B330,'开奖记录'!$A:$K,2,FALSE),"")</f>
        <v/>
      </c>
      <c r="H330" s="32">
        <f>IFERROR(VLOOKUP($B330,'开奖记录'!$A:$K,9,FALSE),"")</f>
        <v/>
      </c>
      <c r="I330" s="32">
        <f>IFERROR(VLOOKUP($B330,'开奖记录'!$A:$K,11,FALSE),"")</f>
        <v/>
      </c>
      <c r="J330" s="32">
        <f>IF($B330="","",IF(ISNUMBER($D330),"命中",IF(ISNUMBER($E330),"未命中","")))</f>
        <v/>
      </c>
      <c r="K330" s="35" t="inlineStr"/>
      <c r="L330" s="32">
        <f>IFERROR(TEXT(VLOOKUP($B330-1,开奖记录!$A:$L,3,FALSE),"00")&amp;"+5="&amp;VLOOKUP(MOD(VLOOKUP($B330-1,开奖记录!$A:$L,3,FALSE)+4,49)+1,规律参数!$A:$C,3,FALSE),"")</f>
        <v/>
      </c>
      <c r="M330" s="32">
        <f>IF(L330="","",IF(I330="","待开奖",IF(ISNUMBER(SEARCH(I330,L330)),"命中","未命中")))</f>
        <v/>
      </c>
      <c r="N330" s="32">
        <f>IFERROR(VLOOKUP(VLOOKUP($B330-1,开奖记录!$A:$L,11,FALSE),八肖参数!$A:$B,2,FALSE),"")</f>
        <v/>
      </c>
      <c r="O330" s="32">
        <f>IF(N330="","",IF(I330="","待开奖",IF(ISNUMBER(SEARCH(I330,N330)),"命中","未命中")))</f>
        <v/>
      </c>
    </row>
    <row r="331" ht="23" customHeight="1" s="21">
      <c r="A331" s="32" t="n">
        <v>330</v>
      </c>
      <c r="B331" s="32">
        <f>IF(COUNTA(C331:E331)=0,"",B330+1)</f>
        <v/>
      </c>
      <c r="C331" s="33" t="inlineStr"/>
      <c r="D331" s="34" t="n"/>
      <c r="E331" s="34" t="n"/>
      <c r="F331" s="34">
        <f>IF(COUNTA(D331:E331)=0,"",N(D331)-N(E331))</f>
        <v/>
      </c>
      <c r="G331" s="32">
        <f>IFERROR(VLOOKUP($B331,'开奖记录'!$A:$K,2,FALSE),"")</f>
        <v/>
      </c>
      <c r="H331" s="32">
        <f>IFERROR(VLOOKUP($B331,'开奖记录'!$A:$K,9,FALSE),"")</f>
        <v/>
      </c>
      <c r="I331" s="32">
        <f>IFERROR(VLOOKUP($B331,'开奖记录'!$A:$K,11,FALSE),"")</f>
        <v/>
      </c>
      <c r="J331" s="32">
        <f>IF($B331="","",IF(ISNUMBER($D331),"命中",IF(ISNUMBER($E331),"未命中","")))</f>
        <v/>
      </c>
      <c r="K331" s="35" t="inlineStr"/>
      <c r="L331" s="32">
        <f>IFERROR(TEXT(VLOOKUP($B331-1,开奖记录!$A:$L,3,FALSE),"00")&amp;"+5="&amp;VLOOKUP(MOD(VLOOKUP($B331-1,开奖记录!$A:$L,3,FALSE)+4,49)+1,规律参数!$A:$C,3,FALSE),"")</f>
        <v/>
      </c>
      <c r="M331" s="32">
        <f>IF(L331="","",IF(I331="","待开奖",IF(ISNUMBER(SEARCH(I331,L331)),"命中","未命中")))</f>
        <v/>
      </c>
      <c r="N331" s="32">
        <f>IFERROR(VLOOKUP(VLOOKUP($B331-1,开奖记录!$A:$L,11,FALSE),八肖参数!$A:$B,2,FALSE),"")</f>
        <v/>
      </c>
      <c r="O331" s="32">
        <f>IF(N331="","",IF(I331="","待开奖",IF(ISNUMBER(SEARCH(I331,N331)),"命中","未命中")))</f>
        <v/>
      </c>
    </row>
    <row r="332" ht="23" customHeight="1" s="21">
      <c r="A332" s="32" t="n">
        <v>331</v>
      </c>
      <c r="B332" s="32">
        <f>IF(COUNTA(C332:E332)=0,"",B331+1)</f>
        <v/>
      </c>
      <c r="C332" s="33" t="inlineStr"/>
      <c r="D332" s="34" t="n"/>
      <c r="E332" s="34" t="n"/>
      <c r="F332" s="34">
        <f>IF(COUNTA(D332:E332)=0,"",N(D332)-N(E332))</f>
        <v/>
      </c>
      <c r="G332" s="32">
        <f>IFERROR(VLOOKUP($B332,'开奖记录'!$A:$K,2,FALSE),"")</f>
        <v/>
      </c>
      <c r="H332" s="32">
        <f>IFERROR(VLOOKUP($B332,'开奖记录'!$A:$K,9,FALSE),"")</f>
        <v/>
      </c>
      <c r="I332" s="32">
        <f>IFERROR(VLOOKUP($B332,'开奖记录'!$A:$K,11,FALSE),"")</f>
        <v/>
      </c>
      <c r="J332" s="32">
        <f>IF($B332="","",IF(ISNUMBER($D332),"命中",IF(ISNUMBER($E332),"未命中","")))</f>
        <v/>
      </c>
      <c r="K332" s="35" t="inlineStr"/>
      <c r="L332" s="32">
        <f>IFERROR(TEXT(VLOOKUP($B332-1,开奖记录!$A:$L,3,FALSE),"00")&amp;"+5="&amp;VLOOKUP(MOD(VLOOKUP($B332-1,开奖记录!$A:$L,3,FALSE)+4,49)+1,规律参数!$A:$C,3,FALSE),"")</f>
        <v/>
      </c>
      <c r="M332" s="32">
        <f>IF(L332="","",IF(I332="","待开奖",IF(ISNUMBER(SEARCH(I332,L332)),"命中","未命中")))</f>
        <v/>
      </c>
      <c r="N332" s="32">
        <f>IFERROR(VLOOKUP(VLOOKUP($B332-1,开奖记录!$A:$L,11,FALSE),八肖参数!$A:$B,2,FALSE),"")</f>
        <v/>
      </c>
      <c r="O332" s="32">
        <f>IF(N332="","",IF(I332="","待开奖",IF(ISNUMBER(SEARCH(I332,N332)),"命中","未命中")))</f>
        <v/>
      </c>
    </row>
    <row r="333" ht="23" customHeight="1" s="21">
      <c r="A333" s="32" t="n">
        <v>332</v>
      </c>
      <c r="B333" s="32">
        <f>IF(COUNTA(C333:E333)=0,"",B332+1)</f>
        <v/>
      </c>
      <c r="C333" s="33" t="inlineStr"/>
      <c r="D333" s="34" t="n"/>
      <c r="E333" s="34" t="n"/>
      <c r="F333" s="34">
        <f>IF(COUNTA(D333:E333)=0,"",N(D333)-N(E333))</f>
        <v/>
      </c>
      <c r="G333" s="32">
        <f>IFERROR(VLOOKUP($B333,'开奖记录'!$A:$K,2,FALSE),"")</f>
        <v/>
      </c>
      <c r="H333" s="32">
        <f>IFERROR(VLOOKUP($B333,'开奖记录'!$A:$K,9,FALSE),"")</f>
        <v/>
      </c>
      <c r="I333" s="32">
        <f>IFERROR(VLOOKUP($B333,'开奖记录'!$A:$K,11,FALSE),"")</f>
        <v/>
      </c>
      <c r="J333" s="32">
        <f>IF($B333="","",IF(ISNUMBER($D333),"命中",IF(ISNUMBER($E333),"未命中","")))</f>
        <v/>
      </c>
      <c r="K333" s="35" t="inlineStr"/>
      <c r="L333" s="32">
        <f>IFERROR(TEXT(VLOOKUP($B333-1,开奖记录!$A:$L,3,FALSE),"00")&amp;"+5="&amp;VLOOKUP(MOD(VLOOKUP($B333-1,开奖记录!$A:$L,3,FALSE)+4,49)+1,规律参数!$A:$C,3,FALSE),"")</f>
        <v/>
      </c>
      <c r="M333" s="32">
        <f>IF(L333="","",IF(I333="","待开奖",IF(ISNUMBER(SEARCH(I333,L333)),"命中","未命中")))</f>
        <v/>
      </c>
      <c r="N333" s="32">
        <f>IFERROR(VLOOKUP(VLOOKUP($B333-1,开奖记录!$A:$L,11,FALSE),八肖参数!$A:$B,2,FALSE),"")</f>
        <v/>
      </c>
      <c r="O333" s="32">
        <f>IF(N333="","",IF(I333="","待开奖",IF(ISNUMBER(SEARCH(I333,N333)),"命中","未命中")))</f>
        <v/>
      </c>
    </row>
    <row r="334" ht="23" customHeight="1" s="21">
      <c r="A334" s="32" t="n">
        <v>333</v>
      </c>
      <c r="B334" s="32">
        <f>IF(COUNTA(C334:E334)=0,"",B333+1)</f>
        <v/>
      </c>
      <c r="C334" s="33" t="inlineStr"/>
      <c r="D334" s="34" t="n"/>
      <c r="E334" s="34" t="n"/>
      <c r="F334" s="34">
        <f>IF(COUNTA(D334:E334)=0,"",N(D334)-N(E334))</f>
        <v/>
      </c>
      <c r="G334" s="32">
        <f>IFERROR(VLOOKUP($B334,'开奖记录'!$A:$K,2,FALSE),"")</f>
        <v/>
      </c>
      <c r="H334" s="32">
        <f>IFERROR(VLOOKUP($B334,'开奖记录'!$A:$K,9,FALSE),"")</f>
        <v/>
      </c>
      <c r="I334" s="32">
        <f>IFERROR(VLOOKUP($B334,'开奖记录'!$A:$K,11,FALSE),"")</f>
        <v/>
      </c>
      <c r="J334" s="32">
        <f>IF($B334="","",IF(ISNUMBER($D334),"命中",IF(ISNUMBER($E334),"未命中","")))</f>
        <v/>
      </c>
      <c r="K334" s="35" t="inlineStr"/>
      <c r="L334" s="32">
        <f>IFERROR(TEXT(VLOOKUP($B334-1,开奖记录!$A:$L,3,FALSE),"00")&amp;"+5="&amp;VLOOKUP(MOD(VLOOKUP($B334-1,开奖记录!$A:$L,3,FALSE)+4,49)+1,规律参数!$A:$C,3,FALSE),"")</f>
        <v/>
      </c>
      <c r="M334" s="32">
        <f>IF(L334="","",IF(I334="","待开奖",IF(ISNUMBER(SEARCH(I334,L334)),"命中","未命中")))</f>
        <v/>
      </c>
      <c r="N334" s="32">
        <f>IFERROR(VLOOKUP(VLOOKUP($B334-1,开奖记录!$A:$L,11,FALSE),八肖参数!$A:$B,2,FALSE),"")</f>
        <v/>
      </c>
      <c r="O334" s="32">
        <f>IF(N334="","",IF(I334="","待开奖",IF(ISNUMBER(SEARCH(I334,N334)),"命中","未命中")))</f>
        <v/>
      </c>
    </row>
    <row r="335" ht="23" customHeight="1" s="21">
      <c r="A335" s="32" t="n">
        <v>334</v>
      </c>
      <c r="B335" s="32">
        <f>IF(COUNTA(C335:E335)=0,"",B334+1)</f>
        <v/>
      </c>
      <c r="C335" s="33" t="inlineStr"/>
      <c r="D335" s="34" t="n"/>
      <c r="E335" s="34" t="n"/>
      <c r="F335" s="34">
        <f>IF(COUNTA(D335:E335)=0,"",N(D335)-N(E335))</f>
        <v/>
      </c>
      <c r="G335" s="32">
        <f>IFERROR(VLOOKUP($B335,'开奖记录'!$A:$K,2,FALSE),"")</f>
        <v/>
      </c>
      <c r="H335" s="32">
        <f>IFERROR(VLOOKUP($B335,'开奖记录'!$A:$K,9,FALSE),"")</f>
        <v/>
      </c>
      <c r="I335" s="32">
        <f>IFERROR(VLOOKUP($B335,'开奖记录'!$A:$K,11,FALSE),"")</f>
        <v/>
      </c>
      <c r="J335" s="32">
        <f>IF($B335="","",IF(ISNUMBER($D335),"命中",IF(ISNUMBER($E335),"未命中","")))</f>
        <v/>
      </c>
      <c r="K335" s="35" t="inlineStr"/>
      <c r="L335" s="32">
        <f>IFERROR(TEXT(VLOOKUP($B335-1,开奖记录!$A:$L,3,FALSE),"00")&amp;"+5="&amp;VLOOKUP(MOD(VLOOKUP($B335-1,开奖记录!$A:$L,3,FALSE)+4,49)+1,规律参数!$A:$C,3,FALSE),"")</f>
        <v/>
      </c>
      <c r="M335" s="32">
        <f>IF(L335="","",IF(I335="","待开奖",IF(ISNUMBER(SEARCH(I335,L335)),"命中","未命中")))</f>
        <v/>
      </c>
      <c r="N335" s="32">
        <f>IFERROR(VLOOKUP(VLOOKUP($B335-1,开奖记录!$A:$L,11,FALSE),八肖参数!$A:$B,2,FALSE),"")</f>
        <v/>
      </c>
      <c r="O335" s="32">
        <f>IF(N335="","",IF(I335="","待开奖",IF(ISNUMBER(SEARCH(I335,N335)),"命中","未命中")))</f>
        <v/>
      </c>
    </row>
    <row r="336" ht="23" customHeight="1" s="21">
      <c r="A336" s="32" t="n">
        <v>335</v>
      </c>
      <c r="B336" s="32">
        <f>IF(COUNTA(C336:E336)=0,"",B335+1)</f>
        <v/>
      </c>
      <c r="C336" s="33" t="inlineStr"/>
      <c r="D336" s="34" t="n"/>
      <c r="E336" s="34" t="n"/>
      <c r="F336" s="34">
        <f>IF(COUNTA(D336:E336)=0,"",N(D336)-N(E336))</f>
        <v/>
      </c>
      <c r="G336" s="32">
        <f>IFERROR(VLOOKUP($B336,'开奖记录'!$A:$K,2,FALSE),"")</f>
        <v/>
      </c>
      <c r="H336" s="32">
        <f>IFERROR(VLOOKUP($B336,'开奖记录'!$A:$K,9,FALSE),"")</f>
        <v/>
      </c>
      <c r="I336" s="32">
        <f>IFERROR(VLOOKUP($B336,'开奖记录'!$A:$K,11,FALSE),"")</f>
        <v/>
      </c>
      <c r="J336" s="32">
        <f>IF($B336="","",IF(ISNUMBER($D336),"命中",IF(ISNUMBER($E336),"未命中","")))</f>
        <v/>
      </c>
      <c r="K336" s="35" t="inlineStr"/>
      <c r="L336" s="32">
        <f>IFERROR(TEXT(VLOOKUP($B336-1,开奖记录!$A:$L,3,FALSE),"00")&amp;"+5="&amp;VLOOKUP(MOD(VLOOKUP($B336-1,开奖记录!$A:$L,3,FALSE)+4,49)+1,规律参数!$A:$C,3,FALSE),"")</f>
        <v/>
      </c>
      <c r="M336" s="32">
        <f>IF(L336="","",IF(I336="","待开奖",IF(ISNUMBER(SEARCH(I336,L336)),"命中","未命中")))</f>
        <v/>
      </c>
      <c r="N336" s="32">
        <f>IFERROR(VLOOKUP(VLOOKUP($B336-1,开奖记录!$A:$L,11,FALSE),八肖参数!$A:$B,2,FALSE),"")</f>
        <v/>
      </c>
      <c r="O336" s="32">
        <f>IF(N336="","",IF(I336="","待开奖",IF(ISNUMBER(SEARCH(I336,N336)),"命中","未命中")))</f>
        <v/>
      </c>
    </row>
    <row r="337" ht="23" customHeight="1" s="21">
      <c r="A337" s="32" t="n">
        <v>336</v>
      </c>
      <c r="B337" s="32">
        <f>IF(COUNTA(C337:E337)=0,"",B336+1)</f>
        <v/>
      </c>
      <c r="C337" s="33" t="inlineStr"/>
      <c r="D337" s="34" t="n"/>
      <c r="E337" s="34" t="n"/>
      <c r="F337" s="34">
        <f>IF(COUNTA(D337:E337)=0,"",N(D337)-N(E337))</f>
        <v/>
      </c>
      <c r="G337" s="32">
        <f>IFERROR(VLOOKUP($B337,'开奖记录'!$A:$K,2,FALSE),"")</f>
        <v/>
      </c>
      <c r="H337" s="32">
        <f>IFERROR(VLOOKUP($B337,'开奖记录'!$A:$K,9,FALSE),"")</f>
        <v/>
      </c>
      <c r="I337" s="32">
        <f>IFERROR(VLOOKUP($B337,'开奖记录'!$A:$K,11,FALSE),"")</f>
        <v/>
      </c>
      <c r="J337" s="32">
        <f>IF($B337="","",IF(ISNUMBER($D337),"命中",IF(ISNUMBER($E337),"未命中","")))</f>
        <v/>
      </c>
      <c r="K337" s="35" t="inlineStr"/>
      <c r="L337" s="32">
        <f>IFERROR(TEXT(VLOOKUP($B337-1,开奖记录!$A:$L,3,FALSE),"00")&amp;"+5="&amp;VLOOKUP(MOD(VLOOKUP($B337-1,开奖记录!$A:$L,3,FALSE)+4,49)+1,规律参数!$A:$C,3,FALSE),"")</f>
        <v/>
      </c>
      <c r="M337" s="32">
        <f>IF(L337="","",IF(I337="","待开奖",IF(ISNUMBER(SEARCH(I337,L337)),"命中","未命中")))</f>
        <v/>
      </c>
      <c r="N337" s="32">
        <f>IFERROR(VLOOKUP(VLOOKUP($B337-1,开奖记录!$A:$L,11,FALSE),八肖参数!$A:$B,2,FALSE),"")</f>
        <v/>
      </c>
      <c r="O337" s="32">
        <f>IF(N337="","",IF(I337="","待开奖",IF(ISNUMBER(SEARCH(I337,N337)),"命中","未命中")))</f>
        <v/>
      </c>
    </row>
    <row r="338" ht="23" customHeight="1" s="21">
      <c r="A338" s="32" t="n">
        <v>337</v>
      </c>
      <c r="B338" s="32">
        <f>IF(COUNTA(C338:E338)=0,"",B337+1)</f>
        <v/>
      </c>
      <c r="C338" s="33" t="inlineStr"/>
      <c r="D338" s="34" t="n"/>
      <c r="E338" s="34" t="n"/>
      <c r="F338" s="34">
        <f>IF(COUNTA(D338:E338)=0,"",N(D338)-N(E338))</f>
        <v/>
      </c>
      <c r="G338" s="32">
        <f>IFERROR(VLOOKUP($B338,'开奖记录'!$A:$K,2,FALSE),"")</f>
        <v/>
      </c>
      <c r="H338" s="32">
        <f>IFERROR(VLOOKUP($B338,'开奖记录'!$A:$K,9,FALSE),"")</f>
        <v/>
      </c>
      <c r="I338" s="32">
        <f>IFERROR(VLOOKUP($B338,'开奖记录'!$A:$K,11,FALSE),"")</f>
        <v/>
      </c>
      <c r="J338" s="32">
        <f>IF($B338="","",IF(ISNUMBER($D338),"命中",IF(ISNUMBER($E338),"未命中","")))</f>
        <v/>
      </c>
      <c r="K338" s="35" t="inlineStr"/>
      <c r="L338" s="32">
        <f>IFERROR(TEXT(VLOOKUP($B338-1,开奖记录!$A:$L,3,FALSE),"00")&amp;"+5="&amp;VLOOKUP(MOD(VLOOKUP($B338-1,开奖记录!$A:$L,3,FALSE)+4,49)+1,规律参数!$A:$C,3,FALSE),"")</f>
        <v/>
      </c>
      <c r="M338" s="32">
        <f>IF(L338="","",IF(I338="","待开奖",IF(ISNUMBER(SEARCH(I338,L338)),"命中","未命中")))</f>
        <v/>
      </c>
      <c r="N338" s="32">
        <f>IFERROR(VLOOKUP(VLOOKUP($B338-1,开奖记录!$A:$L,11,FALSE),八肖参数!$A:$B,2,FALSE),"")</f>
        <v/>
      </c>
      <c r="O338" s="32">
        <f>IF(N338="","",IF(I338="","待开奖",IF(ISNUMBER(SEARCH(I338,N338)),"命中","未命中")))</f>
        <v/>
      </c>
    </row>
    <row r="339" ht="23" customHeight="1" s="21">
      <c r="A339" s="32" t="n">
        <v>338</v>
      </c>
      <c r="B339" s="32">
        <f>IF(COUNTA(C339:E339)=0,"",B338+1)</f>
        <v/>
      </c>
      <c r="C339" s="33" t="inlineStr"/>
      <c r="D339" s="34" t="n"/>
      <c r="E339" s="34" t="n"/>
      <c r="F339" s="34">
        <f>IF(COUNTA(D339:E339)=0,"",N(D339)-N(E339))</f>
        <v/>
      </c>
      <c r="G339" s="32">
        <f>IFERROR(VLOOKUP($B339,'开奖记录'!$A:$K,2,FALSE),"")</f>
        <v/>
      </c>
      <c r="H339" s="32">
        <f>IFERROR(VLOOKUP($B339,'开奖记录'!$A:$K,9,FALSE),"")</f>
        <v/>
      </c>
      <c r="I339" s="32">
        <f>IFERROR(VLOOKUP($B339,'开奖记录'!$A:$K,11,FALSE),"")</f>
        <v/>
      </c>
      <c r="J339" s="32">
        <f>IF($B339="","",IF(ISNUMBER($D339),"命中",IF(ISNUMBER($E339),"未命中","")))</f>
        <v/>
      </c>
      <c r="K339" s="35" t="inlineStr"/>
      <c r="L339" s="32">
        <f>IFERROR(TEXT(VLOOKUP($B339-1,开奖记录!$A:$L,3,FALSE),"00")&amp;"+5="&amp;VLOOKUP(MOD(VLOOKUP($B339-1,开奖记录!$A:$L,3,FALSE)+4,49)+1,规律参数!$A:$C,3,FALSE),"")</f>
        <v/>
      </c>
      <c r="M339" s="32">
        <f>IF(L339="","",IF(I339="","待开奖",IF(ISNUMBER(SEARCH(I339,L339)),"命中","未命中")))</f>
        <v/>
      </c>
      <c r="N339" s="32">
        <f>IFERROR(VLOOKUP(VLOOKUP($B339-1,开奖记录!$A:$L,11,FALSE),八肖参数!$A:$B,2,FALSE),"")</f>
        <v/>
      </c>
      <c r="O339" s="32">
        <f>IF(N339="","",IF(I339="","待开奖",IF(ISNUMBER(SEARCH(I339,N339)),"命中","未命中")))</f>
        <v/>
      </c>
    </row>
    <row r="340" ht="23" customHeight="1" s="21">
      <c r="A340" s="32" t="n">
        <v>339</v>
      </c>
      <c r="B340" s="32">
        <f>IF(COUNTA(C340:E340)=0,"",B339+1)</f>
        <v/>
      </c>
      <c r="C340" s="33" t="inlineStr"/>
      <c r="D340" s="34" t="n"/>
      <c r="E340" s="34" t="n"/>
      <c r="F340" s="34">
        <f>IF(COUNTA(D340:E340)=0,"",N(D340)-N(E340))</f>
        <v/>
      </c>
      <c r="G340" s="32">
        <f>IFERROR(VLOOKUP($B340,'开奖记录'!$A:$K,2,FALSE),"")</f>
        <v/>
      </c>
      <c r="H340" s="32">
        <f>IFERROR(VLOOKUP($B340,'开奖记录'!$A:$K,9,FALSE),"")</f>
        <v/>
      </c>
      <c r="I340" s="32">
        <f>IFERROR(VLOOKUP($B340,'开奖记录'!$A:$K,11,FALSE),"")</f>
        <v/>
      </c>
      <c r="J340" s="32">
        <f>IF($B340="","",IF(ISNUMBER($D340),"命中",IF(ISNUMBER($E340),"未命中","")))</f>
        <v/>
      </c>
      <c r="K340" s="35" t="inlineStr"/>
      <c r="L340" s="32">
        <f>IFERROR(TEXT(VLOOKUP($B340-1,开奖记录!$A:$L,3,FALSE),"00")&amp;"+5="&amp;VLOOKUP(MOD(VLOOKUP($B340-1,开奖记录!$A:$L,3,FALSE)+4,49)+1,规律参数!$A:$C,3,FALSE),"")</f>
        <v/>
      </c>
      <c r="M340" s="32">
        <f>IF(L340="","",IF(I340="","待开奖",IF(ISNUMBER(SEARCH(I340,L340)),"命中","未命中")))</f>
        <v/>
      </c>
      <c r="N340" s="32">
        <f>IFERROR(VLOOKUP(VLOOKUP($B340-1,开奖记录!$A:$L,11,FALSE),八肖参数!$A:$B,2,FALSE),"")</f>
        <v/>
      </c>
      <c r="O340" s="32">
        <f>IF(N340="","",IF(I340="","待开奖",IF(ISNUMBER(SEARCH(I340,N340)),"命中","未命中")))</f>
        <v/>
      </c>
    </row>
    <row r="341" ht="23" customHeight="1" s="21">
      <c r="A341" s="32" t="n">
        <v>340</v>
      </c>
      <c r="B341" s="32">
        <f>IF(COUNTA(C341:E341)=0,"",B340+1)</f>
        <v/>
      </c>
      <c r="C341" s="33" t="inlineStr"/>
      <c r="D341" s="34" t="n"/>
      <c r="E341" s="34" t="n"/>
      <c r="F341" s="34">
        <f>IF(COUNTA(D341:E341)=0,"",N(D341)-N(E341))</f>
        <v/>
      </c>
      <c r="G341" s="32">
        <f>IFERROR(VLOOKUP($B341,'开奖记录'!$A:$K,2,FALSE),"")</f>
        <v/>
      </c>
      <c r="H341" s="32">
        <f>IFERROR(VLOOKUP($B341,'开奖记录'!$A:$K,9,FALSE),"")</f>
        <v/>
      </c>
      <c r="I341" s="32">
        <f>IFERROR(VLOOKUP($B341,'开奖记录'!$A:$K,11,FALSE),"")</f>
        <v/>
      </c>
      <c r="J341" s="32">
        <f>IF($B341="","",IF(ISNUMBER($D341),"命中",IF(ISNUMBER($E341),"未命中","")))</f>
        <v/>
      </c>
      <c r="K341" s="35" t="inlineStr"/>
      <c r="L341" s="32">
        <f>IFERROR(TEXT(VLOOKUP($B341-1,开奖记录!$A:$L,3,FALSE),"00")&amp;"+5="&amp;VLOOKUP(MOD(VLOOKUP($B341-1,开奖记录!$A:$L,3,FALSE)+4,49)+1,规律参数!$A:$C,3,FALSE),"")</f>
        <v/>
      </c>
      <c r="M341" s="32">
        <f>IF(L341="","",IF(I341="","待开奖",IF(ISNUMBER(SEARCH(I341,L341)),"命中","未命中")))</f>
        <v/>
      </c>
      <c r="N341" s="32">
        <f>IFERROR(VLOOKUP(VLOOKUP($B341-1,开奖记录!$A:$L,11,FALSE),八肖参数!$A:$B,2,FALSE),"")</f>
        <v/>
      </c>
      <c r="O341" s="32">
        <f>IF(N341="","",IF(I341="","待开奖",IF(ISNUMBER(SEARCH(I341,N341)),"命中","未命中")))</f>
        <v/>
      </c>
    </row>
    <row r="342" ht="23" customHeight="1" s="21">
      <c r="A342" s="32" t="n">
        <v>341</v>
      </c>
      <c r="B342" s="32">
        <f>IF(COUNTA(C342:E342)=0,"",B341+1)</f>
        <v/>
      </c>
      <c r="C342" s="33" t="inlineStr"/>
      <c r="D342" s="34" t="n"/>
      <c r="E342" s="34" t="n"/>
      <c r="F342" s="34">
        <f>IF(COUNTA(D342:E342)=0,"",N(D342)-N(E342))</f>
        <v/>
      </c>
      <c r="G342" s="32">
        <f>IFERROR(VLOOKUP($B342,'开奖记录'!$A:$K,2,FALSE),"")</f>
        <v/>
      </c>
      <c r="H342" s="32">
        <f>IFERROR(VLOOKUP($B342,'开奖记录'!$A:$K,9,FALSE),"")</f>
        <v/>
      </c>
      <c r="I342" s="32">
        <f>IFERROR(VLOOKUP($B342,'开奖记录'!$A:$K,11,FALSE),"")</f>
        <v/>
      </c>
      <c r="J342" s="32">
        <f>IF($B342="","",IF(ISNUMBER($D342),"命中",IF(ISNUMBER($E342),"未命中","")))</f>
        <v/>
      </c>
      <c r="K342" s="35" t="inlineStr"/>
      <c r="L342" s="32">
        <f>IFERROR(TEXT(VLOOKUP($B342-1,开奖记录!$A:$L,3,FALSE),"00")&amp;"+5="&amp;VLOOKUP(MOD(VLOOKUP($B342-1,开奖记录!$A:$L,3,FALSE)+4,49)+1,规律参数!$A:$C,3,FALSE),"")</f>
        <v/>
      </c>
      <c r="M342" s="32">
        <f>IF(L342="","",IF(I342="","待开奖",IF(ISNUMBER(SEARCH(I342,L342)),"命中","未命中")))</f>
        <v/>
      </c>
      <c r="N342" s="32">
        <f>IFERROR(VLOOKUP(VLOOKUP($B342-1,开奖记录!$A:$L,11,FALSE),八肖参数!$A:$B,2,FALSE),"")</f>
        <v/>
      </c>
      <c r="O342" s="32">
        <f>IF(N342="","",IF(I342="","待开奖",IF(ISNUMBER(SEARCH(I342,N342)),"命中","未命中")))</f>
        <v/>
      </c>
    </row>
    <row r="343" ht="23" customHeight="1" s="21">
      <c r="A343" s="32" t="n">
        <v>342</v>
      </c>
      <c r="B343" s="32">
        <f>IF(COUNTA(C343:E343)=0,"",B342+1)</f>
        <v/>
      </c>
      <c r="C343" s="33" t="inlineStr"/>
      <c r="D343" s="34" t="n"/>
      <c r="E343" s="34" t="n"/>
      <c r="F343" s="34">
        <f>IF(COUNTA(D343:E343)=0,"",N(D343)-N(E343))</f>
        <v/>
      </c>
      <c r="G343" s="32">
        <f>IFERROR(VLOOKUP($B343,'开奖记录'!$A:$K,2,FALSE),"")</f>
        <v/>
      </c>
      <c r="H343" s="32">
        <f>IFERROR(VLOOKUP($B343,'开奖记录'!$A:$K,9,FALSE),"")</f>
        <v/>
      </c>
      <c r="I343" s="32">
        <f>IFERROR(VLOOKUP($B343,'开奖记录'!$A:$K,11,FALSE),"")</f>
        <v/>
      </c>
      <c r="J343" s="32">
        <f>IF($B343="","",IF(ISNUMBER($D343),"命中",IF(ISNUMBER($E343),"未命中","")))</f>
        <v/>
      </c>
      <c r="K343" s="35" t="inlineStr"/>
      <c r="L343" s="32">
        <f>IFERROR(TEXT(VLOOKUP($B343-1,开奖记录!$A:$L,3,FALSE),"00")&amp;"+5="&amp;VLOOKUP(MOD(VLOOKUP($B343-1,开奖记录!$A:$L,3,FALSE)+4,49)+1,规律参数!$A:$C,3,FALSE),"")</f>
        <v/>
      </c>
      <c r="M343" s="32">
        <f>IF(L343="","",IF(I343="","待开奖",IF(ISNUMBER(SEARCH(I343,L343)),"命中","未命中")))</f>
        <v/>
      </c>
      <c r="N343" s="32">
        <f>IFERROR(VLOOKUP(VLOOKUP($B343-1,开奖记录!$A:$L,11,FALSE),八肖参数!$A:$B,2,FALSE),"")</f>
        <v/>
      </c>
      <c r="O343" s="32">
        <f>IF(N343="","",IF(I343="","待开奖",IF(ISNUMBER(SEARCH(I343,N343)),"命中","未命中")))</f>
        <v/>
      </c>
    </row>
    <row r="344" ht="23" customHeight="1" s="21">
      <c r="A344" s="32" t="n">
        <v>343</v>
      </c>
      <c r="B344" s="32">
        <f>IF(COUNTA(C344:E344)=0,"",B343+1)</f>
        <v/>
      </c>
      <c r="C344" s="33" t="inlineStr"/>
      <c r="D344" s="34" t="n"/>
      <c r="E344" s="34" t="n"/>
      <c r="F344" s="34">
        <f>IF(COUNTA(D344:E344)=0,"",N(D344)-N(E344))</f>
        <v/>
      </c>
      <c r="G344" s="32">
        <f>IFERROR(VLOOKUP($B344,'开奖记录'!$A:$K,2,FALSE),"")</f>
        <v/>
      </c>
      <c r="H344" s="32">
        <f>IFERROR(VLOOKUP($B344,'开奖记录'!$A:$K,9,FALSE),"")</f>
        <v/>
      </c>
      <c r="I344" s="32">
        <f>IFERROR(VLOOKUP($B344,'开奖记录'!$A:$K,11,FALSE),"")</f>
        <v/>
      </c>
      <c r="J344" s="32">
        <f>IF($B344="","",IF(ISNUMBER($D344),"命中",IF(ISNUMBER($E344),"未命中","")))</f>
        <v/>
      </c>
      <c r="K344" s="35" t="inlineStr"/>
      <c r="L344" s="32">
        <f>IFERROR(TEXT(VLOOKUP($B344-1,开奖记录!$A:$L,3,FALSE),"00")&amp;"+5="&amp;VLOOKUP(MOD(VLOOKUP($B344-1,开奖记录!$A:$L,3,FALSE)+4,49)+1,规律参数!$A:$C,3,FALSE),"")</f>
        <v/>
      </c>
      <c r="M344" s="32">
        <f>IF(L344="","",IF(I344="","待开奖",IF(ISNUMBER(SEARCH(I344,L344)),"命中","未命中")))</f>
        <v/>
      </c>
      <c r="N344" s="32">
        <f>IFERROR(VLOOKUP(VLOOKUP($B344-1,开奖记录!$A:$L,11,FALSE),八肖参数!$A:$B,2,FALSE),"")</f>
        <v/>
      </c>
      <c r="O344" s="32">
        <f>IF(N344="","",IF(I344="","待开奖",IF(ISNUMBER(SEARCH(I344,N344)),"命中","未命中")))</f>
        <v/>
      </c>
    </row>
    <row r="345" ht="23" customHeight="1" s="21">
      <c r="A345" s="32" t="n">
        <v>344</v>
      </c>
      <c r="B345" s="32">
        <f>IF(COUNTA(C345:E345)=0,"",B344+1)</f>
        <v/>
      </c>
      <c r="C345" s="33" t="inlineStr"/>
      <c r="D345" s="34" t="n"/>
      <c r="E345" s="34" t="n"/>
      <c r="F345" s="34">
        <f>IF(COUNTA(D345:E345)=0,"",N(D345)-N(E345))</f>
        <v/>
      </c>
      <c r="G345" s="32">
        <f>IFERROR(VLOOKUP($B345,'开奖记录'!$A:$K,2,FALSE),"")</f>
        <v/>
      </c>
      <c r="H345" s="32">
        <f>IFERROR(VLOOKUP($B345,'开奖记录'!$A:$K,9,FALSE),"")</f>
        <v/>
      </c>
      <c r="I345" s="32">
        <f>IFERROR(VLOOKUP($B345,'开奖记录'!$A:$K,11,FALSE),"")</f>
        <v/>
      </c>
      <c r="J345" s="32">
        <f>IF($B345="","",IF(ISNUMBER($D345),"命中",IF(ISNUMBER($E345),"未命中","")))</f>
        <v/>
      </c>
      <c r="K345" s="35" t="inlineStr"/>
      <c r="L345" s="32">
        <f>IFERROR(TEXT(VLOOKUP($B345-1,开奖记录!$A:$L,3,FALSE),"00")&amp;"+5="&amp;VLOOKUP(MOD(VLOOKUP($B345-1,开奖记录!$A:$L,3,FALSE)+4,49)+1,规律参数!$A:$C,3,FALSE),"")</f>
        <v/>
      </c>
      <c r="M345" s="32">
        <f>IF(L345="","",IF(I345="","待开奖",IF(ISNUMBER(SEARCH(I345,L345)),"命中","未命中")))</f>
        <v/>
      </c>
      <c r="N345" s="32">
        <f>IFERROR(VLOOKUP(VLOOKUP($B345-1,开奖记录!$A:$L,11,FALSE),八肖参数!$A:$B,2,FALSE),"")</f>
        <v/>
      </c>
      <c r="O345" s="32">
        <f>IF(N345="","",IF(I345="","待开奖",IF(ISNUMBER(SEARCH(I345,N345)),"命中","未命中")))</f>
        <v/>
      </c>
    </row>
    <row r="346" ht="23" customHeight="1" s="21">
      <c r="A346" s="32" t="n">
        <v>345</v>
      </c>
      <c r="B346" s="32">
        <f>IF(COUNTA(C346:E346)=0,"",B345+1)</f>
        <v/>
      </c>
      <c r="C346" s="33" t="inlineStr"/>
      <c r="D346" s="34" t="n"/>
      <c r="E346" s="34" t="n"/>
      <c r="F346" s="34">
        <f>IF(COUNTA(D346:E346)=0,"",N(D346)-N(E346))</f>
        <v/>
      </c>
      <c r="G346" s="32">
        <f>IFERROR(VLOOKUP($B346,'开奖记录'!$A:$K,2,FALSE),"")</f>
        <v/>
      </c>
      <c r="H346" s="32">
        <f>IFERROR(VLOOKUP($B346,'开奖记录'!$A:$K,9,FALSE),"")</f>
        <v/>
      </c>
      <c r="I346" s="32">
        <f>IFERROR(VLOOKUP($B346,'开奖记录'!$A:$K,11,FALSE),"")</f>
        <v/>
      </c>
      <c r="J346" s="32">
        <f>IF($B346="","",IF(ISNUMBER($D346),"命中",IF(ISNUMBER($E346),"未命中","")))</f>
        <v/>
      </c>
      <c r="K346" s="35" t="inlineStr"/>
      <c r="L346" s="32">
        <f>IFERROR(TEXT(VLOOKUP($B346-1,开奖记录!$A:$L,3,FALSE),"00")&amp;"+5="&amp;VLOOKUP(MOD(VLOOKUP($B346-1,开奖记录!$A:$L,3,FALSE)+4,49)+1,规律参数!$A:$C,3,FALSE),"")</f>
        <v/>
      </c>
      <c r="M346" s="32">
        <f>IF(L346="","",IF(I346="","待开奖",IF(ISNUMBER(SEARCH(I346,L346)),"命中","未命中")))</f>
        <v/>
      </c>
      <c r="N346" s="32">
        <f>IFERROR(VLOOKUP(VLOOKUP($B346-1,开奖记录!$A:$L,11,FALSE),八肖参数!$A:$B,2,FALSE),"")</f>
        <v/>
      </c>
      <c r="O346" s="32">
        <f>IF(N346="","",IF(I346="","待开奖",IF(ISNUMBER(SEARCH(I346,N346)),"命中","未命中")))</f>
        <v/>
      </c>
    </row>
    <row r="347" ht="23" customHeight="1" s="21">
      <c r="A347" s="32" t="n">
        <v>346</v>
      </c>
      <c r="B347" s="32">
        <f>IF(COUNTA(C347:E347)=0,"",B346+1)</f>
        <v/>
      </c>
      <c r="C347" s="33" t="inlineStr"/>
      <c r="D347" s="34" t="n"/>
      <c r="E347" s="34" t="n"/>
      <c r="F347" s="34">
        <f>IF(COUNTA(D347:E347)=0,"",N(D347)-N(E347))</f>
        <v/>
      </c>
      <c r="G347" s="32">
        <f>IFERROR(VLOOKUP($B347,'开奖记录'!$A:$K,2,FALSE),"")</f>
        <v/>
      </c>
      <c r="H347" s="32">
        <f>IFERROR(VLOOKUP($B347,'开奖记录'!$A:$K,9,FALSE),"")</f>
        <v/>
      </c>
      <c r="I347" s="32">
        <f>IFERROR(VLOOKUP($B347,'开奖记录'!$A:$K,11,FALSE),"")</f>
        <v/>
      </c>
      <c r="J347" s="32">
        <f>IF($B347="","",IF(ISNUMBER($D347),"命中",IF(ISNUMBER($E347),"未命中","")))</f>
        <v/>
      </c>
      <c r="K347" s="35" t="inlineStr"/>
      <c r="L347" s="32">
        <f>IFERROR(TEXT(VLOOKUP($B347-1,开奖记录!$A:$L,3,FALSE),"00")&amp;"+5="&amp;VLOOKUP(MOD(VLOOKUP($B347-1,开奖记录!$A:$L,3,FALSE)+4,49)+1,规律参数!$A:$C,3,FALSE),"")</f>
        <v/>
      </c>
      <c r="M347" s="32">
        <f>IF(L347="","",IF(I347="","待开奖",IF(ISNUMBER(SEARCH(I347,L347)),"命中","未命中")))</f>
        <v/>
      </c>
      <c r="N347" s="32">
        <f>IFERROR(VLOOKUP(VLOOKUP($B347-1,开奖记录!$A:$L,11,FALSE),八肖参数!$A:$B,2,FALSE),"")</f>
        <v/>
      </c>
      <c r="O347" s="32">
        <f>IF(N347="","",IF(I347="","待开奖",IF(ISNUMBER(SEARCH(I347,N347)),"命中","未命中")))</f>
        <v/>
      </c>
    </row>
    <row r="348" ht="23" customHeight="1" s="21">
      <c r="A348" s="32" t="n">
        <v>347</v>
      </c>
      <c r="B348" s="32">
        <f>IF(COUNTA(C348:E348)=0,"",B347+1)</f>
        <v/>
      </c>
      <c r="C348" s="33" t="inlineStr"/>
      <c r="D348" s="34" t="n"/>
      <c r="E348" s="34" t="n"/>
      <c r="F348" s="34">
        <f>IF(COUNTA(D348:E348)=0,"",N(D348)-N(E348))</f>
        <v/>
      </c>
      <c r="G348" s="32">
        <f>IFERROR(VLOOKUP($B348,'开奖记录'!$A:$K,2,FALSE),"")</f>
        <v/>
      </c>
      <c r="H348" s="32">
        <f>IFERROR(VLOOKUP($B348,'开奖记录'!$A:$K,9,FALSE),"")</f>
        <v/>
      </c>
      <c r="I348" s="32">
        <f>IFERROR(VLOOKUP($B348,'开奖记录'!$A:$K,11,FALSE),"")</f>
        <v/>
      </c>
      <c r="J348" s="32">
        <f>IF($B348="","",IF(ISNUMBER($D348),"命中",IF(ISNUMBER($E348),"未命中","")))</f>
        <v/>
      </c>
      <c r="K348" s="35" t="inlineStr"/>
      <c r="L348" s="32">
        <f>IFERROR(TEXT(VLOOKUP($B348-1,开奖记录!$A:$L,3,FALSE),"00")&amp;"+5="&amp;VLOOKUP(MOD(VLOOKUP($B348-1,开奖记录!$A:$L,3,FALSE)+4,49)+1,规律参数!$A:$C,3,FALSE),"")</f>
        <v/>
      </c>
      <c r="M348" s="32">
        <f>IF(L348="","",IF(I348="","待开奖",IF(ISNUMBER(SEARCH(I348,L348)),"命中","未命中")))</f>
        <v/>
      </c>
      <c r="N348" s="32">
        <f>IFERROR(VLOOKUP(VLOOKUP($B348-1,开奖记录!$A:$L,11,FALSE),八肖参数!$A:$B,2,FALSE),"")</f>
        <v/>
      </c>
      <c r="O348" s="32">
        <f>IF(N348="","",IF(I348="","待开奖",IF(ISNUMBER(SEARCH(I348,N348)),"命中","未命中")))</f>
        <v/>
      </c>
    </row>
    <row r="349" ht="23" customHeight="1" s="21">
      <c r="A349" s="32" t="n">
        <v>348</v>
      </c>
      <c r="B349" s="32">
        <f>IF(COUNTA(C349:E349)=0,"",B348+1)</f>
        <v/>
      </c>
      <c r="C349" s="33" t="inlineStr"/>
      <c r="D349" s="34" t="n"/>
      <c r="E349" s="34" t="n"/>
      <c r="F349" s="34">
        <f>IF(COUNTA(D349:E349)=0,"",N(D349)-N(E349))</f>
        <v/>
      </c>
      <c r="G349" s="32">
        <f>IFERROR(VLOOKUP($B349,'开奖记录'!$A:$K,2,FALSE),"")</f>
        <v/>
      </c>
      <c r="H349" s="32">
        <f>IFERROR(VLOOKUP($B349,'开奖记录'!$A:$K,9,FALSE),"")</f>
        <v/>
      </c>
      <c r="I349" s="32">
        <f>IFERROR(VLOOKUP($B349,'开奖记录'!$A:$K,11,FALSE),"")</f>
        <v/>
      </c>
      <c r="J349" s="32">
        <f>IF($B349="","",IF(ISNUMBER($D349),"命中",IF(ISNUMBER($E349),"未命中","")))</f>
        <v/>
      </c>
      <c r="K349" s="35" t="inlineStr"/>
      <c r="L349" s="32">
        <f>IFERROR(TEXT(VLOOKUP($B349-1,开奖记录!$A:$L,3,FALSE),"00")&amp;"+5="&amp;VLOOKUP(MOD(VLOOKUP($B349-1,开奖记录!$A:$L,3,FALSE)+4,49)+1,规律参数!$A:$C,3,FALSE),"")</f>
        <v/>
      </c>
      <c r="M349" s="32">
        <f>IF(L349="","",IF(I349="","待开奖",IF(ISNUMBER(SEARCH(I349,L349)),"命中","未命中")))</f>
        <v/>
      </c>
      <c r="N349" s="32">
        <f>IFERROR(VLOOKUP(VLOOKUP($B349-1,开奖记录!$A:$L,11,FALSE),八肖参数!$A:$B,2,FALSE),"")</f>
        <v/>
      </c>
      <c r="O349" s="32">
        <f>IF(N349="","",IF(I349="","待开奖",IF(ISNUMBER(SEARCH(I349,N349)),"命中","未命中")))</f>
        <v/>
      </c>
    </row>
    <row r="350" ht="23" customHeight="1" s="21">
      <c r="A350" s="32" t="n">
        <v>349</v>
      </c>
      <c r="B350" s="32">
        <f>IF(COUNTA(C350:E350)=0,"",B349+1)</f>
        <v/>
      </c>
      <c r="C350" s="33" t="inlineStr"/>
      <c r="D350" s="34" t="n"/>
      <c r="E350" s="34" t="n"/>
      <c r="F350" s="34">
        <f>IF(COUNTA(D350:E350)=0,"",N(D350)-N(E350))</f>
        <v/>
      </c>
      <c r="G350" s="32">
        <f>IFERROR(VLOOKUP($B350,'开奖记录'!$A:$K,2,FALSE),"")</f>
        <v/>
      </c>
      <c r="H350" s="32">
        <f>IFERROR(VLOOKUP($B350,'开奖记录'!$A:$K,9,FALSE),"")</f>
        <v/>
      </c>
      <c r="I350" s="32">
        <f>IFERROR(VLOOKUP($B350,'开奖记录'!$A:$K,11,FALSE),"")</f>
        <v/>
      </c>
      <c r="J350" s="32">
        <f>IF($B350="","",IF(ISNUMBER($D350),"命中",IF(ISNUMBER($E350),"未命中","")))</f>
        <v/>
      </c>
      <c r="K350" s="35" t="inlineStr"/>
      <c r="L350" s="32">
        <f>IFERROR(TEXT(VLOOKUP($B350-1,开奖记录!$A:$L,3,FALSE),"00")&amp;"+5="&amp;VLOOKUP(MOD(VLOOKUP($B350-1,开奖记录!$A:$L,3,FALSE)+4,49)+1,规律参数!$A:$C,3,FALSE),"")</f>
        <v/>
      </c>
      <c r="M350" s="32">
        <f>IF(L350="","",IF(I350="","待开奖",IF(ISNUMBER(SEARCH(I350,L350)),"命中","未命中")))</f>
        <v/>
      </c>
      <c r="N350" s="32">
        <f>IFERROR(VLOOKUP(VLOOKUP($B350-1,开奖记录!$A:$L,11,FALSE),八肖参数!$A:$B,2,FALSE),"")</f>
        <v/>
      </c>
      <c r="O350" s="32">
        <f>IF(N350="","",IF(I350="","待开奖",IF(ISNUMBER(SEARCH(I350,N350)),"命中","未命中")))</f>
        <v/>
      </c>
    </row>
    <row r="351" ht="23" customHeight="1" s="21">
      <c r="A351" s="32" t="n">
        <v>350</v>
      </c>
      <c r="B351" s="32">
        <f>IF(COUNTA(C351:E351)=0,"",B350+1)</f>
        <v/>
      </c>
      <c r="C351" s="33" t="inlineStr"/>
      <c r="D351" s="34" t="n"/>
      <c r="E351" s="34" t="n"/>
      <c r="F351" s="34">
        <f>IF(COUNTA(D351:E351)=0,"",N(D351)-N(E351))</f>
        <v/>
      </c>
      <c r="G351" s="32">
        <f>IFERROR(VLOOKUP($B351,'开奖记录'!$A:$K,2,FALSE),"")</f>
        <v/>
      </c>
      <c r="H351" s="32">
        <f>IFERROR(VLOOKUP($B351,'开奖记录'!$A:$K,9,FALSE),"")</f>
        <v/>
      </c>
      <c r="I351" s="32">
        <f>IFERROR(VLOOKUP($B351,'开奖记录'!$A:$K,11,FALSE),"")</f>
        <v/>
      </c>
      <c r="J351" s="32">
        <f>IF($B351="","",IF(ISNUMBER($D351),"命中",IF(ISNUMBER($E351),"未命中","")))</f>
        <v/>
      </c>
      <c r="K351" s="35" t="inlineStr"/>
      <c r="L351" s="32">
        <f>IFERROR(TEXT(VLOOKUP($B351-1,开奖记录!$A:$L,3,FALSE),"00")&amp;"+5="&amp;VLOOKUP(MOD(VLOOKUP($B351-1,开奖记录!$A:$L,3,FALSE)+4,49)+1,规律参数!$A:$C,3,FALSE),"")</f>
        <v/>
      </c>
      <c r="M351" s="32">
        <f>IF(L351="","",IF(I351="","待开奖",IF(ISNUMBER(SEARCH(I351,L351)),"命中","未命中")))</f>
        <v/>
      </c>
      <c r="N351" s="32">
        <f>IFERROR(VLOOKUP(VLOOKUP($B351-1,开奖记录!$A:$L,11,FALSE),八肖参数!$A:$B,2,FALSE),"")</f>
        <v/>
      </c>
      <c r="O351" s="32">
        <f>IF(N351="","",IF(I351="","待开奖",IF(ISNUMBER(SEARCH(I351,N351)),"命中","未命中")))</f>
        <v/>
      </c>
    </row>
    <row r="352" ht="23" customHeight="1" s="21">
      <c r="A352" s="32" t="n">
        <v>351</v>
      </c>
      <c r="B352" s="32">
        <f>IF(COUNTA(C352:E352)=0,"",B351+1)</f>
        <v/>
      </c>
      <c r="C352" s="33" t="inlineStr"/>
      <c r="D352" s="34" t="n"/>
      <c r="E352" s="34" t="n"/>
      <c r="F352" s="34">
        <f>IF(COUNTA(D352:E352)=0,"",N(D352)-N(E352))</f>
        <v/>
      </c>
      <c r="G352" s="32">
        <f>IFERROR(VLOOKUP($B352,'开奖记录'!$A:$K,2,FALSE),"")</f>
        <v/>
      </c>
      <c r="H352" s="32">
        <f>IFERROR(VLOOKUP($B352,'开奖记录'!$A:$K,9,FALSE),"")</f>
        <v/>
      </c>
      <c r="I352" s="32">
        <f>IFERROR(VLOOKUP($B352,'开奖记录'!$A:$K,11,FALSE),"")</f>
        <v/>
      </c>
      <c r="J352" s="32">
        <f>IF($B352="","",IF(ISNUMBER($D352),"命中",IF(ISNUMBER($E352),"未命中","")))</f>
        <v/>
      </c>
      <c r="K352" s="35" t="inlineStr"/>
      <c r="L352" s="32">
        <f>IFERROR(TEXT(VLOOKUP($B352-1,开奖记录!$A:$L,3,FALSE),"00")&amp;"+5="&amp;VLOOKUP(MOD(VLOOKUP($B352-1,开奖记录!$A:$L,3,FALSE)+4,49)+1,规律参数!$A:$C,3,FALSE),"")</f>
        <v/>
      </c>
      <c r="M352" s="32">
        <f>IF(L352="","",IF(I352="","待开奖",IF(ISNUMBER(SEARCH(I352,L352)),"命中","未命中")))</f>
        <v/>
      </c>
      <c r="N352" s="32">
        <f>IFERROR(VLOOKUP(VLOOKUP($B352-1,开奖记录!$A:$L,11,FALSE),八肖参数!$A:$B,2,FALSE),"")</f>
        <v/>
      </c>
      <c r="O352" s="32">
        <f>IF(N352="","",IF(I352="","待开奖",IF(ISNUMBER(SEARCH(I352,N352)),"命中","未命中")))</f>
        <v/>
      </c>
    </row>
    <row r="353" ht="23" customHeight="1" s="21">
      <c r="A353" s="32" t="n">
        <v>352</v>
      </c>
      <c r="B353" s="32">
        <f>IF(COUNTA(C353:E353)=0,"",B352+1)</f>
        <v/>
      </c>
      <c r="C353" s="33" t="inlineStr"/>
      <c r="D353" s="34" t="n"/>
      <c r="E353" s="34" t="n"/>
      <c r="F353" s="34">
        <f>IF(COUNTA(D353:E353)=0,"",N(D353)-N(E353))</f>
        <v/>
      </c>
      <c r="G353" s="32">
        <f>IFERROR(VLOOKUP($B353,'开奖记录'!$A:$K,2,FALSE),"")</f>
        <v/>
      </c>
      <c r="H353" s="32">
        <f>IFERROR(VLOOKUP($B353,'开奖记录'!$A:$K,9,FALSE),"")</f>
        <v/>
      </c>
      <c r="I353" s="32">
        <f>IFERROR(VLOOKUP($B353,'开奖记录'!$A:$K,11,FALSE),"")</f>
        <v/>
      </c>
      <c r="J353" s="32">
        <f>IF($B353="","",IF(ISNUMBER($D353),"命中",IF(ISNUMBER($E353),"未命中","")))</f>
        <v/>
      </c>
      <c r="K353" s="35" t="inlineStr"/>
      <c r="L353" s="32">
        <f>IFERROR(TEXT(VLOOKUP($B353-1,开奖记录!$A:$L,3,FALSE),"00")&amp;"+5="&amp;VLOOKUP(MOD(VLOOKUP($B353-1,开奖记录!$A:$L,3,FALSE)+4,49)+1,规律参数!$A:$C,3,FALSE),"")</f>
        <v/>
      </c>
      <c r="M353" s="32">
        <f>IF(L353="","",IF(I353="","待开奖",IF(ISNUMBER(SEARCH(I353,L353)),"命中","未命中")))</f>
        <v/>
      </c>
      <c r="N353" s="32">
        <f>IFERROR(VLOOKUP(VLOOKUP($B353-1,开奖记录!$A:$L,11,FALSE),八肖参数!$A:$B,2,FALSE),"")</f>
        <v/>
      </c>
      <c r="O353" s="32">
        <f>IF(N353="","",IF(I353="","待开奖",IF(ISNUMBER(SEARCH(I353,N353)),"命中","未命中")))</f>
        <v/>
      </c>
    </row>
    <row r="354" ht="23" customHeight="1" s="21">
      <c r="A354" s="32" t="n">
        <v>353</v>
      </c>
      <c r="B354" s="32">
        <f>IF(COUNTA(C354:E354)=0,"",B353+1)</f>
        <v/>
      </c>
      <c r="C354" s="33" t="inlineStr"/>
      <c r="D354" s="34" t="n"/>
      <c r="E354" s="34" t="n"/>
      <c r="F354" s="34">
        <f>IF(COUNTA(D354:E354)=0,"",N(D354)-N(E354))</f>
        <v/>
      </c>
      <c r="G354" s="32">
        <f>IFERROR(VLOOKUP($B354,'开奖记录'!$A:$K,2,FALSE),"")</f>
        <v/>
      </c>
      <c r="H354" s="32">
        <f>IFERROR(VLOOKUP($B354,'开奖记录'!$A:$K,9,FALSE),"")</f>
        <v/>
      </c>
      <c r="I354" s="32">
        <f>IFERROR(VLOOKUP($B354,'开奖记录'!$A:$K,11,FALSE),"")</f>
        <v/>
      </c>
      <c r="J354" s="32">
        <f>IF($B354="","",IF(ISNUMBER($D354),"命中",IF(ISNUMBER($E354),"未命中","")))</f>
        <v/>
      </c>
      <c r="K354" s="35" t="inlineStr"/>
      <c r="L354" s="32">
        <f>IFERROR(TEXT(VLOOKUP($B354-1,开奖记录!$A:$L,3,FALSE),"00")&amp;"+5="&amp;VLOOKUP(MOD(VLOOKUP($B354-1,开奖记录!$A:$L,3,FALSE)+4,49)+1,规律参数!$A:$C,3,FALSE),"")</f>
        <v/>
      </c>
      <c r="M354" s="32">
        <f>IF(L354="","",IF(I354="","待开奖",IF(ISNUMBER(SEARCH(I354,L354)),"命中","未命中")))</f>
        <v/>
      </c>
      <c r="N354" s="32">
        <f>IFERROR(VLOOKUP(VLOOKUP($B354-1,开奖记录!$A:$L,11,FALSE),八肖参数!$A:$B,2,FALSE),"")</f>
        <v/>
      </c>
      <c r="O354" s="32">
        <f>IF(N354="","",IF(I354="","待开奖",IF(ISNUMBER(SEARCH(I354,N354)),"命中","未命中")))</f>
        <v/>
      </c>
    </row>
    <row r="355" ht="23" customHeight="1" s="21">
      <c r="A355" s="32" t="n">
        <v>354</v>
      </c>
      <c r="B355" s="32">
        <f>IF(COUNTA(C355:E355)=0,"",B354+1)</f>
        <v/>
      </c>
      <c r="C355" s="33" t="inlineStr"/>
      <c r="D355" s="34" t="n"/>
      <c r="E355" s="34" t="n"/>
      <c r="F355" s="34">
        <f>IF(COUNTA(D355:E355)=0,"",N(D355)-N(E355))</f>
        <v/>
      </c>
      <c r="G355" s="32">
        <f>IFERROR(VLOOKUP($B355,'开奖记录'!$A:$K,2,FALSE),"")</f>
        <v/>
      </c>
      <c r="H355" s="32">
        <f>IFERROR(VLOOKUP($B355,'开奖记录'!$A:$K,9,FALSE),"")</f>
        <v/>
      </c>
      <c r="I355" s="32">
        <f>IFERROR(VLOOKUP($B355,'开奖记录'!$A:$K,11,FALSE),"")</f>
        <v/>
      </c>
      <c r="J355" s="32">
        <f>IF($B355="","",IF(ISNUMBER($D355),"命中",IF(ISNUMBER($E355),"未命中","")))</f>
        <v/>
      </c>
      <c r="K355" s="35" t="inlineStr"/>
      <c r="L355" s="32">
        <f>IFERROR(TEXT(VLOOKUP($B355-1,开奖记录!$A:$L,3,FALSE),"00")&amp;"+5="&amp;VLOOKUP(MOD(VLOOKUP($B355-1,开奖记录!$A:$L,3,FALSE)+4,49)+1,规律参数!$A:$C,3,FALSE),"")</f>
        <v/>
      </c>
      <c r="M355" s="32">
        <f>IF(L355="","",IF(I355="","待开奖",IF(ISNUMBER(SEARCH(I355,L355)),"命中","未命中")))</f>
        <v/>
      </c>
      <c r="N355" s="32">
        <f>IFERROR(VLOOKUP(VLOOKUP($B355-1,开奖记录!$A:$L,11,FALSE),八肖参数!$A:$B,2,FALSE),"")</f>
        <v/>
      </c>
      <c r="O355" s="32">
        <f>IF(N355="","",IF(I355="","待开奖",IF(ISNUMBER(SEARCH(I355,N355)),"命中","未命中")))</f>
        <v/>
      </c>
    </row>
    <row r="356" ht="23" customHeight="1" s="21">
      <c r="A356" s="32" t="n">
        <v>355</v>
      </c>
      <c r="B356" s="32">
        <f>IF(COUNTA(C356:E356)=0,"",B355+1)</f>
        <v/>
      </c>
      <c r="C356" s="33" t="inlineStr"/>
      <c r="D356" s="34" t="n"/>
      <c r="E356" s="34" t="n"/>
      <c r="F356" s="34">
        <f>IF(COUNTA(D356:E356)=0,"",N(D356)-N(E356))</f>
        <v/>
      </c>
      <c r="G356" s="32">
        <f>IFERROR(VLOOKUP($B356,'开奖记录'!$A:$K,2,FALSE),"")</f>
        <v/>
      </c>
      <c r="H356" s="32">
        <f>IFERROR(VLOOKUP($B356,'开奖记录'!$A:$K,9,FALSE),"")</f>
        <v/>
      </c>
      <c r="I356" s="32">
        <f>IFERROR(VLOOKUP($B356,'开奖记录'!$A:$K,11,FALSE),"")</f>
        <v/>
      </c>
      <c r="J356" s="32">
        <f>IF($B356="","",IF(ISNUMBER($D356),"命中",IF(ISNUMBER($E356),"未命中","")))</f>
        <v/>
      </c>
      <c r="K356" s="35" t="inlineStr"/>
      <c r="L356" s="32">
        <f>IFERROR(TEXT(VLOOKUP($B356-1,开奖记录!$A:$L,3,FALSE),"00")&amp;"+5="&amp;VLOOKUP(MOD(VLOOKUP($B356-1,开奖记录!$A:$L,3,FALSE)+4,49)+1,规律参数!$A:$C,3,FALSE),"")</f>
        <v/>
      </c>
      <c r="M356" s="32">
        <f>IF(L356="","",IF(I356="","待开奖",IF(ISNUMBER(SEARCH(I356,L356)),"命中","未命中")))</f>
        <v/>
      </c>
      <c r="N356" s="32">
        <f>IFERROR(VLOOKUP(VLOOKUP($B356-1,开奖记录!$A:$L,11,FALSE),八肖参数!$A:$B,2,FALSE),"")</f>
        <v/>
      </c>
      <c r="O356" s="32">
        <f>IF(N356="","",IF(I356="","待开奖",IF(ISNUMBER(SEARCH(I356,N356)),"命中","未命中")))</f>
        <v/>
      </c>
    </row>
    <row r="357" ht="23" customHeight="1" s="21">
      <c r="A357" s="32" t="n">
        <v>356</v>
      </c>
      <c r="B357" s="32">
        <f>IF(COUNTA(C357:E357)=0,"",B356+1)</f>
        <v/>
      </c>
      <c r="C357" s="33" t="inlineStr"/>
      <c r="D357" s="34" t="n"/>
      <c r="E357" s="34" t="n"/>
      <c r="F357" s="34">
        <f>IF(COUNTA(D357:E357)=0,"",N(D357)-N(E357))</f>
        <v/>
      </c>
      <c r="G357" s="32">
        <f>IFERROR(VLOOKUP($B357,'开奖记录'!$A:$K,2,FALSE),"")</f>
        <v/>
      </c>
      <c r="H357" s="32">
        <f>IFERROR(VLOOKUP($B357,'开奖记录'!$A:$K,9,FALSE),"")</f>
        <v/>
      </c>
      <c r="I357" s="32">
        <f>IFERROR(VLOOKUP($B357,'开奖记录'!$A:$K,11,FALSE),"")</f>
        <v/>
      </c>
      <c r="J357" s="32">
        <f>IF($B357="","",IF(ISNUMBER($D357),"命中",IF(ISNUMBER($E357),"未命中","")))</f>
        <v/>
      </c>
      <c r="K357" s="35" t="inlineStr"/>
      <c r="L357" s="32">
        <f>IFERROR(TEXT(VLOOKUP($B357-1,开奖记录!$A:$L,3,FALSE),"00")&amp;"+5="&amp;VLOOKUP(MOD(VLOOKUP($B357-1,开奖记录!$A:$L,3,FALSE)+4,49)+1,规律参数!$A:$C,3,FALSE),"")</f>
        <v/>
      </c>
      <c r="M357" s="32">
        <f>IF(L357="","",IF(I357="","待开奖",IF(ISNUMBER(SEARCH(I357,L357)),"命中","未命中")))</f>
        <v/>
      </c>
      <c r="N357" s="32">
        <f>IFERROR(VLOOKUP(VLOOKUP($B357-1,开奖记录!$A:$L,11,FALSE),八肖参数!$A:$B,2,FALSE),"")</f>
        <v/>
      </c>
      <c r="O357" s="32">
        <f>IF(N357="","",IF(I357="","待开奖",IF(ISNUMBER(SEARCH(I357,N357)),"命中","未命中")))</f>
        <v/>
      </c>
    </row>
    <row r="358" ht="23" customHeight="1" s="21">
      <c r="A358" s="32" t="n">
        <v>357</v>
      </c>
      <c r="B358" s="32">
        <f>IF(COUNTA(C358:E358)=0,"",B357+1)</f>
        <v/>
      </c>
      <c r="C358" s="33" t="inlineStr"/>
      <c r="D358" s="34" t="n"/>
      <c r="E358" s="34" t="n"/>
      <c r="F358" s="34">
        <f>IF(COUNTA(D358:E358)=0,"",N(D358)-N(E358))</f>
        <v/>
      </c>
      <c r="G358" s="32">
        <f>IFERROR(VLOOKUP($B358,'开奖记录'!$A:$K,2,FALSE),"")</f>
        <v/>
      </c>
      <c r="H358" s="32">
        <f>IFERROR(VLOOKUP($B358,'开奖记录'!$A:$K,9,FALSE),"")</f>
        <v/>
      </c>
      <c r="I358" s="32">
        <f>IFERROR(VLOOKUP($B358,'开奖记录'!$A:$K,11,FALSE),"")</f>
        <v/>
      </c>
      <c r="J358" s="32">
        <f>IF($B358="","",IF(ISNUMBER($D358),"命中",IF(ISNUMBER($E358),"未命中","")))</f>
        <v/>
      </c>
      <c r="K358" s="35" t="inlineStr"/>
      <c r="L358" s="32">
        <f>IFERROR(TEXT(VLOOKUP($B358-1,开奖记录!$A:$L,3,FALSE),"00")&amp;"+5="&amp;VLOOKUP(MOD(VLOOKUP($B358-1,开奖记录!$A:$L,3,FALSE)+4,49)+1,规律参数!$A:$C,3,FALSE),"")</f>
        <v/>
      </c>
      <c r="M358" s="32">
        <f>IF(L358="","",IF(I358="","待开奖",IF(ISNUMBER(SEARCH(I358,L358)),"命中","未命中")))</f>
        <v/>
      </c>
      <c r="N358" s="32">
        <f>IFERROR(VLOOKUP(VLOOKUP($B358-1,开奖记录!$A:$L,11,FALSE),八肖参数!$A:$B,2,FALSE),"")</f>
        <v/>
      </c>
      <c r="O358" s="32">
        <f>IF(N358="","",IF(I358="","待开奖",IF(ISNUMBER(SEARCH(I358,N358)),"命中","未命中")))</f>
        <v/>
      </c>
    </row>
    <row r="359" ht="23" customHeight="1" s="21">
      <c r="A359" s="32" t="n">
        <v>358</v>
      </c>
      <c r="B359" s="32">
        <f>IF(COUNTA(C359:E359)=0,"",B358+1)</f>
        <v/>
      </c>
      <c r="C359" s="33" t="inlineStr"/>
      <c r="D359" s="34" t="n"/>
      <c r="E359" s="34" t="n"/>
      <c r="F359" s="34">
        <f>IF(COUNTA(D359:E359)=0,"",N(D359)-N(E359))</f>
        <v/>
      </c>
      <c r="G359" s="32">
        <f>IFERROR(VLOOKUP($B359,'开奖记录'!$A:$K,2,FALSE),"")</f>
        <v/>
      </c>
      <c r="H359" s="32">
        <f>IFERROR(VLOOKUP($B359,'开奖记录'!$A:$K,9,FALSE),"")</f>
        <v/>
      </c>
      <c r="I359" s="32">
        <f>IFERROR(VLOOKUP($B359,'开奖记录'!$A:$K,11,FALSE),"")</f>
        <v/>
      </c>
      <c r="J359" s="32">
        <f>IF($B359="","",IF(ISNUMBER($D359),"命中",IF(ISNUMBER($E359),"未命中","")))</f>
        <v/>
      </c>
      <c r="K359" s="35" t="inlineStr"/>
      <c r="L359" s="32">
        <f>IFERROR(TEXT(VLOOKUP($B359-1,开奖记录!$A:$L,3,FALSE),"00")&amp;"+5="&amp;VLOOKUP(MOD(VLOOKUP($B359-1,开奖记录!$A:$L,3,FALSE)+4,49)+1,规律参数!$A:$C,3,FALSE),"")</f>
        <v/>
      </c>
      <c r="M359" s="32">
        <f>IF(L359="","",IF(I359="","待开奖",IF(ISNUMBER(SEARCH(I359,L359)),"命中","未命中")))</f>
        <v/>
      </c>
      <c r="N359" s="32">
        <f>IFERROR(VLOOKUP(VLOOKUP($B359-1,开奖记录!$A:$L,11,FALSE),八肖参数!$A:$B,2,FALSE),"")</f>
        <v/>
      </c>
      <c r="O359" s="32">
        <f>IF(N359="","",IF(I359="","待开奖",IF(ISNUMBER(SEARCH(I359,N359)),"命中","未命中")))</f>
        <v/>
      </c>
    </row>
    <row r="360" ht="23" customHeight="1" s="21">
      <c r="A360" s="32" t="n">
        <v>359</v>
      </c>
      <c r="B360" s="32">
        <f>IF(COUNTA(C360:E360)=0,"",B359+1)</f>
        <v/>
      </c>
      <c r="C360" s="33" t="inlineStr"/>
      <c r="D360" s="34" t="n"/>
      <c r="E360" s="34" t="n"/>
      <c r="F360" s="34">
        <f>IF(COUNTA(D360:E360)=0,"",N(D360)-N(E360))</f>
        <v/>
      </c>
      <c r="G360" s="32">
        <f>IFERROR(VLOOKUP($B360,'开奖记录'!$A:$K,2,FALSE),"")</f>
        <v/>
      </c>
      <c r="H360" s="32">
        <f>IFERROR(VLOOKUP($B360,'开奖记录'!$A:$K,9,FALSE),"")</f>
        <v/>
      </c>
      <c r="I360" s="32">
        <f>IFERROR(VLOOKUP($B360,'开奖记录'!$A:$K,11,FALSE),"")</f>
        <v/>
      </c>
      <c r="J360" s="32">
        <f>IF($B360="","",IF(ISNUMBER($D360),"命中",IF(ISNUMBER($E360),"未命中","")))</f>
        <v/>
      </c>
      <c r="K360" s="35" t="inlineStr"/>
      <c r="L360" s="32">
        <f>IFERROR(TEXT(VLOOKUP($B360-1,开奖记录!$A:$L,3,FALSE),"00")&amp;"+5="&amp;VLOOKUP(MOD(VLOOKUP($B360-1,开奖记录!$A:$L,3,FALSE)+4,49)+1,规律参数!$A:$C,3,FALSE),"")</f>
        <v/>
      </c>
      <c r="M360" s="32">
        <f>IF(L360="","",IF(I360="","待开奖",IF(ISNUMBER(SEARCH(I360,L360)),"命中","未命中")))</f>
        <v/>
      </c>
      <c r="N360" s="32">
        <f>IFERROR(VLOOKUP(VLOOKUP($B360-1,开奖记录!$A:$L,11,FALSE),八肖参数!$A:$B,2,FALSE),"")</f>
        <v/>
      </c>
      <c r="O360" s="32">
        <f>IF(N360="","",IF(I360="","待开奖",IF(ISNUMBER(SEARCH(I360,N360)),"命中","未命中")))</f>
        <v/>
      </c>
    </row>
    <row r="361" ht="23" customHeight="1" s="21">
      <c r="A361" s="32" t="n">
        <v>360</v>
      </c>
      <c r="B361" s="32">
        <f>IF(COUNTA(C361:E361)=0,"",B360+1)</f>
        <v/>
      </c>
      <c r="C361" s="33" t="inlineStr"/>
      <c r="D361" s="34" t="n"/>
      <c r="E361" s="34" t="n"/>
      <c r="F361" s="34">
        <f>IF(COUNTA(D361:E361)=0,"",N(D361)-N(E361))</f>
        <v/>
      </c>
      <c r="G361" s="32">
        <f>IFERROR(VLOOKUP($B361,'开奖记录'!$A:$K,2,FALSE),"")</f>
        <v/>
      </c>
      <c r="H361" s="32">
        <f>IFERROR(VLOOKUP($B361,'开奖记录'!$A:$K,9,FALSE),"")</f>
        <v/>
      </c>
      <c r="I361" s="32">
        <f>IFERROR(VLOOKUP($B361,'开奖记录'!$A:$K,11,FALSE),"")</f>
        <v/>
      </c>
      <c r="J361" s="32">
        <f>IF($B361="","",IF(ISNUMBER($D361),"命中",IF(ISNUMBER($E361),"未命中","")))</f>
        <v/>
      </c>
      <c r="K361" s="35" t="inlineStr"/>
      <c r="L361" s="32">
        <f>IFERROR(TEXT(VLOOKUP($B361-1,开奖记录!$A:$L,3,FALSE),"00")&amp;"+5="&amp;VLOOKUP(MOD(VLOOKUP($B361-1,开奖记录!$A:$L,3,FALSE)+4,49)+1,规律参数!$A:$C,3,FALSE),"")</f>
        <v/>
      </c>
      <c r="M361" s="32">
        <f>IF(L361="","",IF(I361="","待开奖",IF(ISNUMBER(SEARCH(I361,L361)),"命中","未命中")))</f>
        <v/>
      </c>
      <c r="N361" s="32">
        <f>IFERROR(VLOOKUP(VLOOKUP($B361-1,开奖记录!$A:$L,11,FALSE),八肖参数!$A:$B,2,FALSE),"")</f>
        <v/>
      </c>
      <c r="O361" s="32">
        <f>IF(N361="","",IF(I361="","待开奖",IF(ISNUMBER(SEARCH(I361,N361)),"命中","未命中")))</f>
        <v/>
      </c>
    </row>
    <row r="362" ht="23" customHeight="1" s="21">
      <c r="A362" s="32" t="n">
        <v>361</v>
      </c>
      <c r="B362" s="32">
        <f>IF(COUNTA(C362:E362)=0,"",B361+1)</f>
        <v/>
      </c>
      <c r="C362" s="33" t="inlineStr"/>
      <c r="D362" s="34" t="n"/>
      <c r="E362" s="34" t="n"/>
      <c r="F362" s="34">
        <f>IF(COUNTA(D362:E362)=0,"",N(D362)-N(E362))</f>
        <v/>
      </c>
      <c r="G362" s="32">
        <f>IFERROR(VLOOKUP($B362,'开奖记录'!$A:$K,2,FALSE),"")</f>
        <v/>
      </c>
      <c r="H362" s="32">
        <f>IFERROR(VLOOKUP($B362,'开奖记录'!$A:$K,9,FALSE),"")</f>
        <v/>
      </c>
      <c r="I362" s="32">
        <f>IFERROR(VLOOKUP($B362,'开奖记录'!$A:$K,11,FALSE),"")</f>
        <v/>
      </c>
      <c r="J362" s="32">
        <f>IF($B362="","",IF(ISNUMBER($D362),"命中",IF(ISNUMBER($E362),"未命中","")))</f>
        <v/>
      </c>
      <c r="K362" s="35" t="inlineStr"/>
      <c r="L362" s="32">
        <f>IFERROR(TEXT(VLOOKUP($B362-1,开奖记录!$A:$L,3,FALSE),"00")&amp;"+5="&amp;VLOOKUP(MOD(VLOOKUP($B362-1,开奖记录!$A:$L,3,FALSE)+4,49)+1,规律参数!$A:$C,3,FALSE),"")</f>
        <v/>
      </c>
      <c r="M362" s="32">
        <f>IF(L362="","",IF(I362="","待开奖",IF(ISNUMBER(SEARCH(I362,L362)),"命中","未命中")))</f>
        <v/>
      </c>
      <c r="N362" s="32">
        <f>IFERROR(VLOOKUP(VLOOKUP($B362-1,开奖记录!$A:$L,11,FALSE),八肖参数!$A:$B,2,FALSE),"")</f>
        <v/>
      </c>
      <c r="O362" s="32">
        <f>IF(N362="","",IF(I362="","待开奖",IF(ISNUMBER(SEARCH(I362,N362)),"命中","未命中")))</f>
        <v/>
      </c>
    </row>
    <row r="363" ht="23" customHeight="1" s="21">
      <c r="A363" s="32" t="n">
        <v>362</v>
      </c>
      <c r="B363" s="32">
        <f>IF(COUNTA(C363:E363)=0,"",B362+1)</f>
        <v/>
      </c>
      <c r="C363" s="33" t="inlineStr"/>
      <c r="D363" s="34" t="n"/>
      <c r="E363" s="34" t="n"/>
      <c r="F363" s="34">
        <f>IF(COUNTA(D363:E363)=0,"",N(D363)-N(E363))</f>
        <v/>
      </c>
      <c r="G363" s="32">
        <f>IFERROR(VLOOKUP($B363,'开奖记录'!$A:$K,2,FALSE),"")</f>
        <v/>
      </c>
      <c r="H363" s="32">
        <f>IFERROR(VLOOKUP($B363,'开奖记录'!$A:$K,9,FALSE),"")</f>
        <v/>
      </c>
      <c r="I363" s="32">
        <f>IFERROR(VLOOKUP($B363,'开奖记录'!$A:$K,11,FALSE),"")</f>
        <v/>
      </c>
      <c r="J363" s="32">
        <f>IF($B363="","",IF(ISNUMBER($D363),"命中",IF(ISNUMBER($E363),"未命中","")))</f>
        <v/>
      </c>
      <c r="K363" s="35" t="inlineStr"/>
      <c r="L363" s="32">
        <f>IFERROR(TEXT(VLOOKUP($B363-1,开奖记录!$A:$L,3,FALSE),"00")&amp;"+5="&amp;VLOOKUP(MOD(VLOOKUP($B363-1,开奖记录!$A:$L,3,FALSE)+4,49)+1,规律参数!$A:$C,3,FALSE),"")</f>
        <v/>
      </c>
      <c r="M363" s="32">
        <f>IF(L363="","",IF(I363="","待开奖",IF(ISNUMBER(SEARCH(I363,L363)),"命中","未命中")))</f>
        <v/>
      </c>
      <c r="N363" s="32">
        <f>IFERROR(VLOOKUP(VLOOKUP($B363-1,开奖记录!$A:$L,11,FALSE),八肖参数!$A:$B,2,FALSE),"")</f>
        <v/>
      </c>
      <c r="O363" s="32">
        <f>IF(N363="","",IF(I363="","待开奖",IF(ISNUMBER(SEARCH(I363,N363)),"命中","未命中")))</f>
        <v/>
      </c>
    </row>
    <row r="364" ht="23" customHeight="1" s="21">
      <c r="A364" s="32" t="n">
        <v>363</v>
      </c>
      <c r="B364" s="32">
        <f>IF(COUNTA(C364:E364)=0,"",B363+1)</f>
        <v/>
      </c>
      <c r="C364" s="33" t="inlineStr"/>
      <c r="D364" s="34" t="n"/>
      <c r="E364" s="34" t="n"/>
      <c r="F364" s="34">
        <f>IF(COUNTA(D364:E364)=0,"",N(D364)-N(E364))</f>
        <v/>
      </c>
      <c r="G364" s="32">
        <f>IFERROR(VLOOKUP($B364,'开奖记录'!$A:$K,2,FALSE),"")</f>
        <v/>
      </c>
      <c r="H364" s="32">
        <f>IFERROR(VLOOKUP($B364,'开奖记录'!$A:$K,9,FALSE),"")</f>
        <v/>
      </c>
      <c r="I364" s="32">
        <f>IFERROR(VLOOKUP($B364,'开奖记录'!$A:$K,11,FALSE),"")</f>
        <v/>
      </c>
      <c r="J364" s="32">
        <f>IF($B364="","",IF(ISNUMBER($D364),"命中",IF(ISNUMBER($E364),"未命中","")))</f>
        <v/>
      </c>
      <c r="K364" s="35" t="inlineStr"/>
      <c r="L364" s="32">
        <f>IFERROR(TEXT(VLOOKUP($B364-1,开奖记录!$A:$L,3,FALSE),"00")&amp;"+5="&amp;VLOOKUP(MOD(VLOOKUP($B364-1,开奖记录!$A:$L,3,FALSE)+4,49)+1,规律参数!$A:$C,3,FALSE),"")</f>
        <v/>
      </c>
      <c r="M364" s="32">
        <f>IF(L364="","",IF(I364="","待开奖",IF(ISNUMBER(SEARCH(I364,L364)),"命中","未命中")))</f>
        <v/>
      </c>
      <c r="N364" s="32">
        <f>IFERROR(VLOOKUP(VLOOKUP($B364-1,开奖记录!$A:$L,11,FALSE),八肖参数!$A:$B,2,FALSE),"")</f>
        <v/>
      </c>
      <c r="O364" s="32">
        <f>IF(N364="","",IF(I364="","待开奖",IF(ISNUMBER(SEARCH(I364,N364)),"命中","未命中")))</f>
        <v/>
      </c>
    </row>
    <row r="365" ht="23" customHeight="1" s="21">
      <c r="A365" s="32" t="n">
        <v>364</v>
      </c>
      <c r="B365" s="32">
        <f>IF(COUNTA(C365:E365)=0,"",B364+1)</f>
        <v/>
      </c>
      <c r="C365" s="33" t="inlineStr"/>
      <c r="D365" s="34" t="n"/>
      <c r="E365" s="34" t="n"/>
      <c r="F365" s="34">
        <f>IF(COUNTA(D365:E365)=0,"",N(D365)-N(E365))</f>
        <v/>
      </c>
      <c r="G365" s="32">
        <f>IFERROR(VLOOKUP($B365,'开奖记录'!$A:$K,2,FALSE),"")</f>
        <v/>
      </c>
      <c r="H365" s="32">
        <f>IFERROR(VLOOKUP($B365,'开奖记录'!$A:$K,9,FALSE),"")</f>
        <v/>
      </c>
      <c r="I365" s="32">
        <f>IFERROR(VLOOKUP($B365,'开奖记录'!$A:$K,11,FALSE),"")</f>
        <v/>
      </c>
      <c r="J365" s="32">
        <f>IF($B365="","",IF(ISNUMBER($D365),"命中",IF(ISNUMBER($E365),"未命中","")))</f>
        <v/>
      </c>
      <c r="K365" s="35" t="inlineStr"/>
      <c r="L365" s="32">
        <f>IFERROR(TEXT(VLOOKUP($B365-1,开奖记录!$A:$L,3,FALSE),"00")&amp;"+5="&amp;VLOOKUP(MOD(VLOOKUP($B365-1,开奖记录!$A:$L,3,FALSE)+4,49)+1,规律参数!$A:$C,3,FALSE),"")</f>
        <v/>
      </c>
      <c r="M365" s="32">
        <f>IF(L365="","",IF(I365="","待开奖",IF(ISNUMBER(SEARCH(I365,L365)),"命中","未命中")))</f>
        <v/>
      </c>
      <c r="N365" s="32">
        <f>IFERROR(VLOOKUP(VLOOKUP($B365-1,开奖记录!$A:$L,11,FALSE),八肖参数!$A:$B,2,FALSE),"")</f>
        <v/>
      </c>
      <c r="O365" s="32">
        <f>IF(N365="","",IF(I365="","待开奖",IF(ISNUMBER(SEARCH(I365,N365)),"命中","未命中")))</f>
        <v/>
      </c>
    </row>
    <row r="366" ht="23" customHeight="1" s="21">
      <c r="A366" s="32" t="n">
        <v>365</v>
      </c>
      <c r="B366" s="32">
        <f>IF(COUNTA(C366:E366)=0,"",B365+1)</f>
        <v/>
      </c>
      <c r="C366" s="33" t="inlineStr"/>
      <c r="D366" s="34" t="n"/>
      <c r="E366" s="34" t="n"/>
      <c r="F366" s="34">
        <f>IF(COUNTA(D366:E366)=0,"",N(D366)-N(E366))</f>
        <v/>
      </c>
      <c r="G366" s="32">
        <f>IFERROR(VLOOKUP($B366,'开奖记录'!$A:$K,2,FALSE),"")</f>
        <v/>
      </c>
      <c r="H366" s="32">
        <f>IFERROR(VLOOKUP($B366,'开奖记录'!$A:$K,9,FALSE),"")</f>
        <v/>
      </c>
      <c r="I366" s="32">
        <f>IFERROR(VLOOKUP($B366,'开奖记录'!$A:$K,11,FALSE),"")</f>
        <v/>
      </c>
      <c r="J366" s="32">
        <f>IF($B366="","",IF(ISNUMBER($D366),"命中",IF(ISNUMBER($E366),"未命中","")))</f>
        <v/>
      </c>
      <c r="K366" s="35" t="inlineStr"/>
      <c r="L366" s="32">
        <f>IFERROR(TEXT(VLOOKUP($B366-1,开奖记录!$A:$L,3,FALSE),"00")&amp;"+5="&amp;VLOOKUP(MOD(VLOOKUP($B366-1,开奖记录!$A:$L,3,FALSE)+4,49)+1,规律参数!$A:$C,3,FALSE),"")</f>
        <v/>
      </c>
      <c r="M366" s="32">
        <f>IF(L366="","",IF(I366="","待开奖",IF(ISNUMBER(SEARCH(I366,L366)),"命中","未命中")))</f>
        <v/>
      </c>
      <c r="N366" s="32">
        <f>IFERROR(VLOOKUP(VLOOKUP($B366-1,开奖记录!$A:$L,11,FALSE),八肖参数!$A:$B,2,FALSE),"")</f>
        <v/>
      </c>
      <c r="O366" s="32">
        <f>IF(N366="","",IF(I366="","待开奖",IF(ISNUMBER(SEARCH(I366,N366)),"命中","未命中")))</f>
        <v/>
      </c>
    </row>
    <row r="367" ht="23" customHeight="1" s="21">
      <c r="A367" s="32" t="n">
        <v>366</v>
      </c>
      <c r="B367" s="32">
        <f>IF(COUNTA(C367:E367)=0,"",B366+1)</f>
        <v/>
      </c>
      <c r="C367" s="33" t="inlineStr"/>
      <c r="D367" s="34" t="n"/>
      <c r="E367" s="34" t="n"/>
      <c r="F367" s="34">
        <f>IF(COUNTA(D367:E367)=0,"",N(D367)-N(E367))</f>
        <v/>
      </c>
      <c r="G367" s="32">
        <f>IFERROR(VLOOKUP($B367,'开奖记录'!$A:$K,2,FALSE),"")</f>
        <v/>
      </c>
      <c r="H367" s="32">
        <f>IFERROR(VLOOKUP($B367,'开奖记录'!$A:$K,9,FALSE),"")</f>
        <v/>
      </c>
      <c r="I367" s="32">
        <f>IFERROR(VLOOKUP($B367,'开奖记录'!$A:$K,11,FALSE),"")</f>
        <v/>
      </c>
      <c r="J367" s="32">
        <f>IF($B367="","",IF(ISNUMBER($D367),"命中",IF(ISNUMBER($E367),"未命中","")))</f>
        <v/>
      </c>
      <c r="K367" s="35" t="inlineStr"/>
      <c r="L367" s="32">
        <f>IFERROR(TEXT(VLOOKUP($B367-1,开奖记录!$A:$L,3,FALSE),"00")&amp;"+5="&amp;VLOOKUP(MOD(VLOOKUP($B367-1,开奖记录!$A:$L,3,FALSE)+4,49)+1,规律参数!$A:$C,3,FALSE),"")</f>
        <v/>
      </c>
      <c r="M367" s="32">
        <f>IF(L367="","",IF(I367="","待开奖",IF(ISNUMBER(SEARCH(I367,L367)),"命中","未命中")))</f>
        <v/>
      </c>
      <c r="N367" s="32">
        <f>IFERROR(VLOOKUP(VLOOKUP($B367-1,开奖记录!$A:$L,11,FALSE),八肖参数!$A:$B,2,FALSE),"")</f>
        <v/>
      </c>
      <c r="O367" s="32">
        <f>IF(N367="","",IF(I367="","待开奖",IF(ISNUMBER(SEARCH(I367,N367)),"命中","未命中")))</f>
        <v/>
      </c>
    </row>
    <row r="368">
      <c r="A368" s="19" t="n">
        <v>367</v>
      </c>
      <c r="B368" s="19">
        <f>IF(COUNTA(C368:E368)=0,"",B367+1)</f>
        <v/>
      </c>
      <c r="C368" s="19" t="inlineStr"/>
      <c r="D368" s="19" t="n"/>
      <c r="E368" s="19" t="n"/>
      <c r="F368" s="19">
        <f>IF(COUNTA(D368:E368)=0,"",N(D368)-N(E368))</f>
        <v/>
      </c>
      <c r="G368" s="19">
        <f>IFERROR(VLOOKUP($B368,'开奖记录'!$A:$K,2,FALSE),"")</f>
        <v/>
      </c>
      <c r="H368" s="19">
        <f>IFERROR(VLOOKUP($B368,'开奖记录'!$A:$K,9,FALSE),"")</f>
        <v/>
      </c>
      <c r="I368" s="19">
        <f>IFERROR(VLOOKUP($B368,'开奖记录'!$A:$K,11,FALSE),"")</f>
        <v/>
      </c>
      <c r="J368" s="19">
        <f>IF($B368="","",IF(ISNUMBER($D368),"命中",IF(ISNUMBER($E368),"未命中","")))</f>
        <v/>
      </c>
      <c r="K368" s="19" t="inlineStr"/>
      <c r="L368" s="19">
        <f>IFERROR(TEXT(VLOOKUP($B368-1,开奖记录!$A:$L,3,FALSE),"00")&amp;"+5="&amp;VLOOKUP(MOD(VLOOKUP($B368-1,开奖记录!$A:$L,3,FALSE)+4,49)+1,规律参数!$A:$C,3,FALSE),"")</f>
        <v/>
      </c>
      <c r="M368" s="19">
        <f>IF(L368="","",IF(I368="","待开奖",IF(ISNUMBER(SEARCH(I368,L368)),"命中","未命中")))</f>
        <v/>
      </c>
      <c r="N368" s="19">
        <f>IFERROR(VLOOKUP(VLOOKUP($B368-1,开奖记录!$A:$L,11,FALSE),八肖参数!$A:$B,2,FALSE),"")</f>
        <v/>
      </c>
      <c r="O368" s="19">
        <f>IF(N368="","",IF(I368="","待开奖",IF(ISNUMBER(SEARCH(I368,N368)),"命中","未命中")))</f>
        <v/>
      </c>
    </row>
    <row r="369">
      <c r="A369" s="19" t="n">
        <v>368</v>
      </c>
      <c r="B369" s="19">
        <f>IF(COUNTA(C369:E369)=0,"",B368+1)</f>
        <v/>
      </c>
      <c r="C369" s="19" t="inlineStr"/>
      <c r="D369" s="19" t="n"/>
      <c r="E369" s="19" t="n"/>
      <c r="F369" s="19">
        <f>IF(COUNTA(D369:E369)=0,"",N(D369)-N(E369))</f>
        <v/>
      </c>
      <c r="G369" s="19">
        <f>IFERROR(VLOOKUP($B369,'开奖记录'!$A:$K,2,FALSE),"")</f>
        <v/>
      </c>
      <c r="H369" s="19">
        <f>IFERROR(VLOOKUP($B369,'开奖记录'!$A:$K,9,FALSE),"")</f>
        <v/>
      </c>
      <c r="I369" s="19">
        <f>IFERROR(VLOOKUP($B369,'开奖记录'!$A:$K,11,FALSE),"")</f>
        <v/>
      </c>
      <c r="J369" s="19">
        <f>IF($B369="","",IF(ISNUMBER($D369),"命中",IF(ISNUMBER($E369),"未命中","")))</f>
        <v/>
      </c>
      <c r="K369" s="19" t="inlineStr"/>
      <c r="L369" s="19">
        <f>IFERROR(TEXT(VLOOKUP($B369-1,开奖记录!$A:$L,3,FALSE),"00")&amp;"+5="&amp;VLOOKUP(MOD(VLOOKUP($B369-1,开奖记录!$A:$L,3,FALSE)+4,49)+1,规律参数!$A:$C,3,FALSE),"")</f>
        <v/>
      </c>
      <c r="M369" s="19">
        <f>IF(L369="","",IF(I369="","待开奖",IF(ISNUMBER(SEARCH(I369,L369)),"命中","未命中")))</f>
        <v/>
      </c>
      <c r="N369" s="19">
        <f>IFERROR(VLOOKUP(VLOOKUP($B369-1,开奖记录!$A:$L,11,FALSE),八肖参数!$A:$B,2,FALSE),"")</f>
        <v/>
      </c>
      <c r="O369" s="19">
        <f>IF(N369="","",IF(I369="","待开奖",IF(ISNUMBER(SEARCH(I369,N369)),"命中","未命中")))</f>
        <v/>
      </c>
    </row>
    <row r="370">
      <c r="A370" s="19" t="n">
        <v>369</v>
      </c>
      <c r="B370" s="19">
        <f>IF(COUNTA(C370:E370)=0,"",B369+1)</f>
        <v/>
      </c>
      <c r="C370" s="19" t="inlineStr"/>
      <c r="D370" s="19" t="n"/>
      <c r="E370" s="19" t="n"/>
      <c r="F370" s="19">
        <f>IF(COUNTA(D370:E370)=0,"",N(D370)-N(E370))</f>
        <v/>
      </c>
      <c r="G370" s="19">
        <f>IFERROR(VLOOKUP($B370,'开奖记录'!$A:$K,2,FALSE),"")</f>
        <v/>
      </c>
      <c r="H370" s="19">
        <f>IFERROR(VLOOKUP($B370,'开奖记录'!$A:$K,9,FALSE),"")</f>
        <v/>
      </c>
      <c r="I370" s="19">
        <f>IFERROR(VLOOKUP($B370,'开奖记录'!$A:$K,11,FALSE),"")</f>
        <v/>
      </c>
      <c r="J370" s="19">
        <f>IF($B370="","",IF(ISNUMBER($D370),"命中",IF(ISNUMBER($E370),"未命中","")))</f>
        <v/>
      </c>
      <c r="K370" s="19" t="inlineStr"/>
      <c r="L370" s="19">
        <f>IFERROR(TEXT(VLOOKUP($B370-1,开奖记录!$A:$L,3,FALSE),"00")&amp;"+5="&amp;VLOOKUP(MOD(VLOOKUP($B370-1,开奖记录!$A:$L,3,FALSE)+4,49)+1,规律参数!$A:$C,3,FALSE),"")</f>
        <v/>
      </c>
      <c r="M370" s="19">
        <f>IF(L370="","",IF(I370="","待开奖",IF(ISNUMBER(SEARCH(I370,L370)),"命中","未命中")))</f>
        <v/>
      </c>
      <c r="N370" s="19">
        <f>IFERROR(VLOOKUP(VLOOKUP($B370-1,开奖记录!$A:$L,11,FALSE),八肖参数!$A:$B,2,FALSE),"")</f>
        <v/>
      </c>
      <c r="O370" s="19">
        <f>IF(N370="","",IF(I370="","待开奖",IF(ISNUMBER(SEARCH(I370,N370)),"命中","未命中")))</f>
        <v/>
      </c>
    </row>
    <row r="371">
      <c r="A371" s="19" t="n">
        <v>370</v>
      </c>
      <c r="B371" s="19">
        <f>IF(COUNTA(C371:E371)=0,"",B370+1)</f>
        <v/>
      </c>
      <c r="C371" s="19" t="inlineStr"/>
      <c r="D371" s="19" t="n"/>
      <c r="E371" s="19" t="n"/>
      <c r="F371" s="19">
        <f>IF(COUNTA(D371:E371)=0,"",N(D371)-N(E371))</f>
        <v/>
      </c>
      <c r="G371" s="19">
        <f>IFERROR(VLOOKUP($B371,'开奖记录'!$A:$K,2,FALSE),"")</f>
        <v/>
      </c>
      <c r="H371" s="19">
        <f>IFERROR(VLOOKUP($B371,'开奖记录'!$A:$K,9,FALSE),"")</f>
        <v/>
      </c>
      <c r="I371" s="19">
        <f>IFERROR(VLOOKUP($B371,'开奖记录'!$A:$K,11,FALSE),"")</f>
        <v/>
      </c>
      <c r="J371" s="19">
        <f>IF($B371="","",IF(ISNUMBER($D371),"命中",IF(ISNUMBER($E371),"未命中","")))</f>
        <v/>
      </c>
      <c r="K371" s="19" t="inlineStr"/>
      <c r="L371" s="19">
        <f>IFERROR(TEXT(VLOOKUP($B371-1,开奖记录!$A:$L,3,FALSE),"00")&amp;"+5="&amp;VLOOKUP(MOD(VLOOKUP($B371-1,开奖记录!$A:$L,3,FALSE)+4,49)+1,规律参数!$A:$C,3,FALSE),"")</f>
        <v/>
      </c>
      <c r="M371" s="19">
        <f>IF(L371="","",IF(I371="","待开奖",IF(ISNUMBER(SEARCH(I371,L371)),"命中","未命中")))</f>
        <v/>
      </c>
      <c r="N371" s="19">
        <f>IFERROR(VLOOKUP(VLOOKUP($B371-1,开奖记录!$A:$L,11,FALSE),八肖参数!$A:$B,2,FALSE),"")</f>
        <v/>
      </c>
      <c r="O371" s="19">
        <f>IF(N371="","",IF(I371="","待开奖",IF(ISNUMBER(SEARCH(I371,N371)),"命中","未命中")))</f>
        <v/>
      </c>
    </row>
    <row r="372">
      <c r="A372" s="19" t="n">
        <v>371</v>
      </c>
      <c r="B372" s="19">
        <f>IF(COUNTA(C372:E372)=0,"",B371+1)</f>
        <v/>
      </c>
      <c r="C372" s="19" t="inlineStr"/>
      <c r="D372" s="19" t="n"/>
      <c r="E372" s="19" t="n"/>
      <c r="F372" s="19">
        <f>IF(COUNTA(D372:E372)=0,"",N(D372)-N(E372))</f>
        <v/>
      </c>
      <c r="G372" s="19">
        <f>IFERROR(VLOOKUP($B372,'开奖记录'!$A:$K,2,FALSE),"")</f>
        <v/>
      </c>
      <c r="H372" s="19">
        <f>IFERROR(VLOOKUP($B372,'开奖记录'!$A:$K,9,FALSE),"")</f>
        <v/>
      </c>
      <c r="I372" s="19">
        <f>IFERROR(VLOOKUP($B372,'开奖记录'!$A:$K,11,FALSE),"")</f>
        <v/>
      </c>
      <c r="J372" s="19">
        <f>IF($B372="","",IF(ISNUMBER($D372),"命中",IF(ISNUMBER($E372),"未命中","")))</f>
        <v/>
      </c>
      <c r="K372" s="19" t="inlineStr"/>
      <c r="L372" s="19">
        <f>IFERROR(TEXT(VLOOKUP($B372-1,开奖记录!$A:$L,3,FALSE),"00")&amp;"+5="&amp;VLOOKUP(MOD(VLOOKUP($B372-1,开奖记录!$A:$L,3,FALSE)+4,49)+1,规律参数!$A:$C,3,FALSE),"")</f>
        <v/>
      </c>
      <c r="M372" s="19">
        <f>IF(L372="","",IF(I372="","待开奖",IF(ISNUMBER(SEARCH(I372,L372)),"命中","未命中")))</f>
        <v/>
      </c>
      <c r="N372" s="19">
        <f>IFERROR(VLOOKUP(VLOOKUP($B372-1,开奖记录!$A:$L,11,FALSE),八肖参数!$A:$B,2,FALSE),"")</f>
        <v/>
      </c>
      <c r="O372" s="19">
        <f>IF(N372="","",IF(I372="","待开奖",IF(ISNUMBER(SEARCH(I372,N372)),"命中","未命中")))</f>
        <v/>
      </c>
    </row>
    <row r="373">
      <c r="A373" s="19" t="n">
        <v>372</v>
      </c>
      <c r="B373" s="19">
        <f>IF(COUNTA(C373:E373)=0,"",B372+1)</f>
        <v/>
      </c>
      <c r="C373" s="19" t="inlineStr"/>
      <c r="D373" s="19" t="n"/>
      <c r="E373" s="19" t="n"/>
      <c r="F373" s="19">
        <f>IF(COUNTA(D373:E373)=0,"",N(D373)-N(E373))</f>
        <v/>
      </c>
      <c r="G373" s="19">
        <f>IFERROR(VLOOKUP($B373,'开奖记录'!$A:$K,2,FALSE),"")</f>
        <v/>
      </c>
      <c r="H373" s="19">
        <f>IFERROR(VLOOKUP($B373,'开奖记录'!$A:$K,9,FALSE),"")</f>
        <v/>
      </c>
      <c r="I373" s="19">
        <f>IFERROR(VLOOKUP($B373,'开奖记录'!$A:$K,11,FALSE),"")</f>
        <v/>
      </c>
      <c r="J373" s="19">
        <f>IF($B373="","",IF(ISNUMBER($D373),"命中",IF(ISNUMBER($E373),"未命中","")))</f>
        <v/>
      </c>
      <c r="K373" s="19" t="inlineStr"/>
      <c r="L373" s="19">
        <f>IFERROR(TEXT(VLOOKUP($B373-1,开奖记录!$A:$L,3,FALSE),"00")&amp;"+5="&amp;VLOOKUP(MOD(VLOOKUP($B373-1,开奖记录!$A:$L,3,FALSE)+4,49)+1,规律参数!$A:$C,3,FALSE),"")</f>
        <v/>
      </c>
      <c r="M373" s="19">
        <f>IF(L373="","",IF(I373="","待开奖",IF(ISNUMBER(SEARCH(I373,L373)),"命中","未命中")))</f>
        <v/>
      </c>
      <c r="N373" s="19">
        <f>IFERROR(VLOOKUP(VLOOKUP($B373-1,开奖记录!$A:$L,11,FALSE),八肖参数!$A:$B,2,FALSE),"")</f>
        <v/>
      </c>
      <c r="O373" s="19">
        <f>IF(N373="","",IF(I373="","待开奖",IF(ISNUMBER(SEARCH(I373,N373)),"命中","未命中")))</f>
        <v/>
      </c>
    </row>
    <row r="374">
      <c r="A374" s="19" t="n">
        <v>373</v>
      </c>
      <c r="B374" s="19">
        <f>IF(COUNTA(C374:E374)=0,"",B373+1)</f>
        <v/>
      </c>
      <c r="C374" s="19" t="inlineStr"/>
      <c r="D374" s="19" t="n"/>
      <c r="E374" s="19" t="n"/>
      <c r="F374" s="19">
        <f>IF(COUNTA(D374:E374)=0,"",N(D374)-N(E374))</f>
        <v/>
      </c>
      <c r="G374" s="19">
        <f>IFERROR(VLOOKUP($B374,'开奖记录'!$A:$K,2,FALSE),"")</f>
        <v/>
      </c>
      <c r="H374" s="19">
        <f>IFERROR(VLOOKUP($B374,'开奖记录'!$A:$K,9,FALSE),"")</f>
        <v/>
      </c>
      <c r="I374" s="19">
        <f>IFERROR(VLOOKUP($B374,'开奖记录'!$A:$K,11,FALSE),"")</f>
        <v/>
      </c>
      <c r="J374" s="19">
        <f>IF($B374="","",IF(ISNUMBER($D374),"命中",IF(ISNUMBER($E374),"未命中","")))</f>
        <v/>
      </c>
      <c r="K374" s="19" t="inlineStr"/>
      <c r="L374" s="19">
        <f>IFERROR(TEXT(VLOOKUP($B374-1,开奖记录!$A:$L,3,FALSE),"00")&amp;"+5="&amp;VLOOKUP(MOD(VLOOKUP($B374-1,开奖记录!$A:$L,3,FALSE)+4,49)+1,规律参数!$A:$C,3,FALSE),"")</f>
        <v/>
      </c>
      <c r="M374" s="19">
        <f>IF(L374="","",IF(I374="","待开奖",IF(ISNUMBER(SEARCH(I374,L374)),"命中","未命中")))</f>
        <v/>
      </c>
      <c r="N374" s="19">
        <f>IFERROR(VLOOKUP(VLOOKUP($B374-1,开奖记录!$A:$L,11,FALSE),八肖参数!$A:$B,2,FALSE),"")</f>
        <v/>
      </c>
      <c r="O374" s="19">
        <f>IF(N374="","",IF(I374="","待开奖",IF(ISNUMBER(SEARCH(I374,N374)),"命中","未命中")))</f>
        <v/>
      </c>
    </row>
    <row r="375">
      <c r="A375" s="19" t="n">
        <v>374</v>
      </c>
      <c r="B375" s="19">
        <f>IF(COUNTA(C375:E375)=0,"",B374+1)</f>
        <v/>
      </c>
      <c r="C375" s="19" t="inlineStr"/>
      <c r="D375" s="19" t="n"/>
      <c r="E375" s="19" t="n"/>
      <c r="F375" s="19">
        <f>IF(COUNTA(D375:E375)=0,"",N(D375)-N(E375))</f>
        <v/>
      </c>
      <c r="G375" s="19">
        <f>IFERROR(VLOOKUP($B375,'开奖记录'!$A:$K,2,FALSE),"")</f>
        <v/>
      </c>
      <c r="H375" s="19">
        <f>IFERROR(VLOOKUP($B375,'开奖记录'!$A:$K,9,FALSE),"")</f>
        <v/>
      </c>
      <c r="I375" s="19">
        <f>IFERROR(VLOOKUP($B375,'开奖记录'!$A:$K,11,FALSE),"")</f>
        <v/>
      </c>
      <c r="J375" s="19">
        <f>IF($B375="","",IF(ISNUMBER($D375),"命中",IF(ISNUMBER($E375),"未命中","")))</f>
        <v/>
      </c>
      <c r="K375" s="19" t="inlineStr"/>
      <c r="L375" s="19">
        <f>IFERROR(TEXT(VLOOKUP($B375-1,开奖记录!$A:$L,3,FALSE),"00")&amp;"+5="&amp;VLOOKUP(MOD(VLOOKUP($B375-1,开奖记录!$A:$L,3,FALSE)+4,49)+1,规律参数!$A:$C,3,FALSE),"")</f>
        <v/>
      </c>
      <c r="M375" s="19">
        <f>IF(L375="","",IF(I375="","待开奖",IF(ISNUMBER(SEARCH(I375,L375)),"命中","未命中")))</f>
        <v/>
      </c>
      <c r="N375" s="19">
        <f>IFERROR(VLOOKUP(VLOOKUP($B375-1,开奖记录!$A:$L,11,FALSE),八肖参数!$A:$B,2,FALSE),"")</f>
        <v/>
      </c>
      <c r="O375" s="19">
        <f>IF(N375="","",IF(I375="","待开奖",IF(ISNUMBER(SEARCH(I375,N375)),"命中","未命中")))</f>
        <v/>
      </c>
    </row>
    <row r="376">
      <c r="A376" s="19" t="n">
        <v>375</v>
      </c>
      <c r="B376" s="19">
        <f>IF(COUNTA(C376:E376)=0,"",B375+1)</f>
        <v/>
      </c>
      <c r="C376" s="19" t="inlineStr"/>
      <c r="D376" s="19" t="n"/>
      <c r="E376" s="19" t="n"/>
      <c r="F376" s="19">
        <f>IF(COUNTA(D376:E376)=0,"",N(D376)-N(E376))</f>
        <v/>
      </c>
      <c r="G376" s="19">
        <f>IFERROR(VLOOKUP($B376,'开奖记录'!$A:$K,2,FALSE),"")</f>
        <v/>
      </c>
      <c r="H376" s="19">
        <f>IFERROR(VLOOKUP($B376,'开奖记录'!$A:$K,9,FALSE),"")</f>
        <v/>
      </c>
      <c r="I376" s="19">
        <f>IFERROR(VLOOKUP($B376,'开奖记录'!$A:$K,11,FALSE),"")</f>
        <v/>
      </c>
      <c r="J376" s="19">
        <f>IF($B376="","",IF(ISNUMBER($D376),"命中",IF(ISNUMBER($E376),"未命中","")))</f>
        <v/>
      </c>
      <c r="K376" s="19" t="inlineStr"/>
      <c r="L376" s="19">
        <f>IFERROR(TEXT(VLOOKUP($B376-1,开奖记录!$A:$L,3,FALSE),"00")&amp;"+5="&amp;VLOOKUP(MOD(VLOOKUP($B376-1,开奖记录!$A:$L,3,FALSE)+4,49)+1,规律参数!$A:$C,3,FALSE),"")</f>
        <v/>
      </c>
      <c r="M376" s="19">
        <f>IF(L376="","",IF(I376="","待开奖",IF(ISNUMBER(SEARCH(I376,L376)),"命中","未命中")))</f>
        <v/>
      </c>
      <c r="N376" s="19">
        <f>IFERROR(VLOOKUP(VLOOKUP($B376-1,开奖记录!$A:$L,11,FALSE),八肖参数!$A:$B,2,FALSE),"")</f>
        <v/>
      </c>
      <c r="O376" s="19">
        <f>IF(N376="","",IF(I376="","待开奖",IF(ISNUMBER(SEARCH(I376,N376)),"命中","未命中")))</f>
        <v/>
      </c>
    </row>
    <row r="377">
      <c r="A377" s="19" t="n">
        <v>376</v>
      </c>
      <c r="B377" s="19">
        <f>IF(COUNTA(C377:E377)=0,"",B376+1)</f>
        <v/>
      </c>
      <c r="C377" s="19" t="inlineStr"/>
      <c r="D377" s="19" t="n"/>
      <c r="E377" s="19" t="n"/>
      <c r="F377" s="19">
        <f>IF(COUNTA(D377:E377)=0,"",N(D377)-N(E377))</f>
        <v/>
      </c>
      <c r="G377" s="19">
        <f>IFERROR(VLOOKUP($B377,'开奖记录'!$A:$K,2,FALSE),"")</f>
        <v/>
      </c>
      <c r="H377" s="19">
        <f>IFERROR(VLOOKUP($B377,'开奖记录'!$A:$K,9,FALSE),"")</f>
        <v/>
      </c>
      <c r="I377" s="19">
        <f>IFERROR(VLOOKUP($B377,'开奖记录'!$A:$K,11,FALSE),"")</f>
        <v/>
      </c>
      <c r="J377" s="19">
        <f>IF($B377="","",IF(ISNUMBER($D377),"命中",IF(ISNUMBER($E377),"未命中","")))</f>
        <v/>
      </c>
      <c r="K377" s="19" t="inlineStr"/>
      <c r="L377" s="19">
        <f>IFERROR(TEXT(VLOOKUP($B377-1,开奖记录!$A:$L,3,FALSE),"00")&amp;"+5="&amp;VLOOKUP(MOD(VLOOKUP($B377-1,开奖记录!$A:$L,3,FALSE)+4,49)+1,规律参数!$A:$C,3,FALSE),"")</f>
        <v/>
      </c>
      <c r="M377" s="19">
        <f>IF(L377="","",IF(I377="","待开奖",IF(ISNUMBER(SEARCH(I377,L377)),"命中","未命中")))</f>
        <v/>
      </c>
      <c r="N377" s="19">
        <f>IFERROR(VLOOKUP(VLOOKUP($B377-1,开奖记录!$A:$L,11,FALSE),八肖参数!$A:$B,2,FALSE),"")</f>
        <v/>
      </c>
      <c r="O377" s="19">
        <f>IF(N377="","",IF(I377="","待开奖",IF(ISNUMBER(SEARCH(I377,N377)),"命中","未命中")))</f>
        <v/>
      </c>
    </row>
    <row r="378">
      <c r="A378" s="19" t="n">
        <v>377</v>
      </c>
      <c r="B378" s="19">
        <f>IF(COUNTA(C378:E378)=0,"",B377+1)</f>
        <v/>
      </c>
      <c r="C378" s="19" t="inlineStr"/>
      <c r="D378" s="19" t="n"/>
      <c r="E378" s="19" t="n"/>
      <c r="F378" s="19">
        <f>IF(COUNTA(D378:E378)=0,"",N(D378)-N(E378))</f>
        <v/>
      </c>
      <c r="G378" s="19">
        <f>IFERROR(VLOOKUP($B378,'开奖记录'!$A:$K,2,FALSE),"")</f>
        <v/>
      </c>
      <c r="H378" s="19">
        <f>IFERROR(VLOOKUP($B378,'开奖记录'!$A:$K,9,FALSE),"")</f>
        <v/>
      </c>
      <c r="I378" s="19">
        <f>IFERROR(VLOOKUP($B378,'开奖记录'!$A:$K,11,FALSE),"")</f>
        <v/>
      </c>
      <c r="J378" s="19">
        <f>IF($B378="","",IF(ISNUMBER($D378),"命中",IF(ISNUMBER($E378),"未命中","")))</f>
        <v/>
      </c>
      <c r="K378" s="19" t="inlineStr"/>
      <c r="L378" s="19">
        <f>IFERROR(TEXT(VLOOKUP($B378-1,开奖记录!$A:$L,3,FALSE),"00")&amp;"+5="&amp;VLOOKUP(MOD(VLOOKUP($B378-1,开奖记录!$A:$L,3,FALSE)+4,49)+1,规律参数!$A:$C,3,FALSE),"")</f>
        <v/>
      </c>
      <c r="M378" s="19">
        <f>IF(L378="","",IF(I378="","待开奖",IF(ISNUMBER(SEARCH(I378,L378)),"命中","未命中")))</f>
        <v/>
      </c>
      <c r="N378" s="19">
        <f>IFERROR(VLOOKUP(VLOOKUP($B378-1,开奖记录!$A:$L,11,FALSE),八肖参数!$A:$B,2,FALSE),"")</f>
        <v/>
      </c>
      <c r="O378" s="19">
        <f>IF(N378="","",IF(I378="","待开奖",IF(ISNUMBER(SEARCH(I378,N378)),"命中","未命中")))</f>
        <v/>
      </c>
    </row>
    <row r="379">
      <c r="A379" s="19" t="n">
        <v>378</v>
      </c>
      <c r="B379" s="19">
        <f>IF(COUNTA(C379:E379)=0,"",B378+1)</f>
        <v/>
      </c>
      <c r="C379" s="19" t="inlineStr"/>
      <c r="D379" s="19" t="n"/>
      <c r="E379" s="19" t="n"/>
      <c r="F379" s="19">
        <f>IF(COUNTA(D379:E379)=0,"",N(D379)-N(E379))</f>
        <v/>
      </c>
      <c r="G379" s="19">
        <f>IFERROR(VLOOKUP($B379,'开奖记录'!$A:$K,2,FALSE),"")</f>
        <v/>
      </c>
      <c r="H379" s="19">
        <f>IFERROR(VLOOKUP($B379,'开奖记录'!$A:$K,9,FALSE),"")</f>
        <v/>
      </c>
      <c r="I379" s="19">
        <f>IFERROR(VLOOKUP($B379,'开奖记录'!$A:$K,11,FALSE),"")</f>
        <v/>
      </c>
      <c r="J379" s="19">
        <f>IF($B379="","",IF(ISNUMBER($D379),"命中",IF(ISNUMBER($E379),"未命中","")))</f>
        <v/>
      </c>
      <c r="K379" s="19" t="inlineStr"/>
      <c r="L379" s="19">
        <f>IFERROR(TEXT(VLOOKUP($B379-1,开奖记录!$A:$L,3,FALSE),"00")&amp;"+5="&amp;VLOOKUP(MOD(VLOOKUP($B379-1,开奖记录!$A:$L,3,FALSE)+4,49)+1,规律参数!$A:$C,3,FALSE),"")</f>
        <v/>
      </c>
      <c r="M379" s="19">
        <f>IF(L379="","",IF(I379="","待开奖",IF(ISNUMBER(SEARCH(I379,L379)),"命中","未命中")))</f>
        <v/>
      </c>
      <c r="N379" s="19">
        <f>IFERROR(VLOOKUP(VLOOKUP($B379-1,开奖记录!$A:$L,11,FALSE),八肖参数!$A:$B,2,FALSE),"")</f>
        <v/>
      </c>
      <c r="O379" s="19">
        <f>IF(N379="","",IF(I379="","待开奖",IF(ISNUMBER(SEARCH(I379,N379)),"命中","未命中")))</f>
        <v/>
      </c>
    </row>
    <row r="380">
      <c r="A380" s="19" t="n">
        <v>379</v>
      </c>
      <c r="B380" s="19">
        <f>IF(COUNTA(C380:E380)=0,"",B379+1)</f>
        <v/>
      </c>
      <c r="C380" s="19" t="inlineStr"/>
      <c r="D380" s="19" t="n"/>
      <c r="E380" s="19" t="n"/>
      <c r="F380" s="19">
        <f>IF(COUNTA(D380:E380)=0,"",N(D380)-N(E380))</f>
        <v/>
      </c>
      <c r="G380" s="19">
        <f>IFERROR(VLOOKUP($B380,'开奖记录'!$A:$K,2,FALSE),"")</f>
        <v/>
      </c>
      <c r="H380" s="19">
        <f>IFERROR(VLOOKUP($B380,'开奖记录'!$A:$K,9,FALSE),"")</f>
        <v/>
      </c>
      <c r="I380" s="19">
        <f>IFERROR(VLOOKUP($B380,'开奖记录'!$A:$K,11,FALSE),"")</f>
        <v/>
      </c>
      <c r="J380" s="19">
        <f>IF($B380="","",IF(ISNUMBER($D380),"命中",IF(ISNUMBER($E380),"未命中","")))</f>
        <v/>
      </c>
      <c r="K380" s="19" t="inlineStr"/>
      <c r="L380" s="19">
        <f>IFERROR(TEXT(VLOOKUP($B380-1,开奖记录!$A:$L,3,FALSE),"00")&amp;"+5="&amp;VLOOKUP(MOD(VLOOKUP($B380-1,开奖记录!$A:$L,3,FALSE)+4,49)+1,规律参数!$A:$C,3,FALSE),"")</f>
        <v/>
      </c>
      <c r="M380" s="19">
        <f>IF(L380="","",IF(I380="","待开奖",IF(ISNUMBER(SEARCH(I380,L380)),"命中","未命中")))</f>
        <v/>
      </c>
      <c r="N380" s="19">
        <f>IFERROR(VLOOKUP(VLOOKUP($B380-1,开奖记录!$A:$L,11,FALSE),八肖参数!$A:$B,2,FALSE),"")</f>
        <v/>
      </c>
      <c r="O380" s="19">
        <f>IF(N380="","",IF(I380="","待开奖",IF(ISNUMBER(SEARCH(I380,N380)),"命中","未命中")))</f>
        <v/>
      </c>
    </row>
    <row r="381">
      <c r="A381" s="19" t="n">
        <v>380</v>
      </c>
      <c r="B381" s="19">
        <f>IF(COUNTA(C381:E381)=0,"",B380+1)</f>
        <v/>
      </c>
      <c r="C381" s="19" t="inlineStr"/>
      <c r="D381" s="19" t="n"/>
      <c r="E381" s="19" t="n"/>
      <c r="F381" s="19">
        <f>IF(COUNTA(D381:E381)=0,"",N(D381)-N(E381))</f>
        <v/>
      </c>
      <c r="G381" s="19">
        <f>IFERROR(VLOOKUP($B381,'开奖记录'!$A:$K,2,FALSE),"")</f>
        <v/>
      </c>
      <c r="H381" s="19">
        <f>IFERROR(VLOOKUP($B381,'开奖记录'!$A:$K,9,FALSE),"")</f>
        <v/>
      </c>
      <c r="I381" s="19">
        <f>IFERROR(VLOOKUP($B381,'开奖记录'!$A:$K,11,FALSE),"")</f>
        <v/>
      </c>
      <c r="J381" s="19">
        <f>IF($B381="","",IF(ISNUMBER($D381),"命中",IF(ISNUMBER($E381),"未命中","")))</f>
        <v/>
      </c>
      <c r="K381" s="19" t="inlineStr"/>
      <c r="L381" s="19">
        <f>IFERROR(TEXT(VLOOKUP($B381-1,开奖记录!$A:$L,3,FALSE),"00")&amp;"+5="&amp;VLOOKUP(MOD(VLOOKUP($B381-1,开奖记录!$A:$L,3,FALSE)+4,49)+1,规律参数!$A:$C,3,FALSE),"")</f>
        <v/>
      </c>
      <c r="M381" s="19">
        <f>IF(L381="","",IF(I381="","待开奖",IF(ISNUMBER(SEARCH(I381,L381)),"命中","未命中")))</f>
        <v/>
      </c>
      <c r="N381" s="19">
        <f>IFERROR(VLOOKUP(VLOOKUP($B381-1,开奖记录!$A:$L,11,FALSE),八肖参数!$A:$B,2,FALSE),"")</f>
        <v/>
      </c>
      <c r="O381" s="19">
        <f>IF(N381="","",IF(I381="","待开奖",IF(ISNUMBER(SEARCH(I381,N381)),"命中","未命中")))</f>
        <v/>
      </c>
    </row>
    <row r="382">
      <c r="A382" s="19" t="n">
        <v>381</v>
      </c>
      <c r="B382" s="19">
        <f>IF(COUNTA(C382:E382)=0,"",B381+1)</f>
        <v/>
      </c>
      <c r="C382" s="19" t="inlineStr"/>
      <c r="D382" s="19" t="n"/>
      <c r="E382" s="19" t="n"/>
      <c r="F382" s="19">
        <f>IF(COUNTA(D382:E382)=0,"",N(D382)-N(E382))</f>
        <v/>
      </c>
      <c r="G382" s="19">
        <f>IFERROR(VLOOKUP($B382,'开奖记录'!$A:$K,2,FALSE),"")</f>
        <v/>
      </c>
      <c r="H382" s="19">
        <f>IFERROR(VLOOKUP($B382,'开奖记录'!$A:$K,9,FALSE),"")</f>
        <v/>
      </c>
      <c r="I382" s="19">
        <f>IFERROR(VLOOKUP($B382,'开奖记录'!$A:$K,11,FALSE),"")</f>
        <v/>
      </c>
      <c r="J382" s="19">
        <f>IF($B382="","",IF(ISNUMBER($D382),"命中",IF(ISNUMBER($E382),"未命中","")))</f>
        <v/>
      </c>
      <c r="K382" s="19" t="inlineStr"/>
      <c r="L382" s="19">
        <f>IFERROR(TEXT(VLOOKUP($B382-1,开奖记录!$A:$L,3,FALSE),"00")&amp;"+5="&amp;VLOOKUP(MOD(VLOOKUP($B382-1,开奖记录!$A:$L,3,FALSE)+4,49)+1,规律参数!$A:$C,3,FALSE),"")</f>
        <v/>
      </c>
      <c r="M382" s="19">
        <f>IF(L382="","",IF(I382="","待开奖",IF(ISNUMBER(SEARCH(I382,L382)),"命中","未命中")))</f>
        <v/>
      </c>
      <c r="N382" s="19">
        <f>IFERROR(VLOOKUP(VLOOKUP($B382-1,开奖记录!$A:$L,11,FALSE),八肖参数!$A:$B,2,FALSE),"")</f>
        <v/>
      </c>
      <c r="O382" s="19">
        <f>IF(N382="","",IF(I382="","待开奖",IF(ISNUMBER(SEARCH(I382,N382)),"命中","未命中")))</f>
        <v/>
      </c>
    </row>
    <row r="383">
      <c r="A383" s="19" t="n">
        <v>382</v>
      </c>
      <c r="B383" s="19">
        <f>IF(COUNTA(C383:E383)=0,"",B382+1)</f>
        <v/>
      </c>
      <c r="C383" s="19" t="inlineStr"/>
      <c r="D383" s="19" t="n"/>
      <c r="E383" s="19" t="n"/>
      <c r="F383" s="19">
        <f>IF(COUNTA(D383:E383)=0,"",N(D383)-N(E383))</f>
        <v/>
      </c>
      <c r="G383" s="19">
        <f>IFERROR(VLOOKUP($B383,'开奖记录'!$A:$K,2,FALSE),"")</f>
        <v/>
      </c>
      <c r="H383" s="19">
        <f>IFERROR(VLOOKUP($B383,'开奖记录'!$A:$K,9,FALSE),"")</f>
        <v/>
      </c>
      <c r="I383" s="19">
        <f>IFERROR(VLOOKUP($B383,'开奖记录'!$A:$K,11,FALSE),"")</f>
        <v/>
      </c>
      <c r="J383" s="19">
        <f>IF($B383="","",IF(ISNUMBER($D383),"命中",IF(ISNUMBER($E383),"未命中","")))</f>
        <v/>
      </c>
      <c r="K383" s="19" t="inlineStr"/>
      <c r="L383" s="19">
        <f>IFERROR(TEXT(VLOOKUP($B383-1,开奖记录!$A:$L,3,FALSE),"00")&amp;"+5="&amp;VLOOKUP(MOD(VLOOKUP($B383-1,开奖记录!$A:$L,3,FALSE)+4,49)+1,规律参数!$A:$C,3,FALSE),"")</f>
        <v/>
      </c>
      <c r="M383" s="19">
        <f>IF(L383="","",IF(I383="","待开奖",IF(ISNUMBER(SEARCH(I383,L383)),"命中","未命中")))</f>
        <v/>
      </c>
      <c r="N383" s="19">
        <f>IFERROR(VLOOKUP(VLOOKUP($B383-1,开奖记录!$A:$L,11,FALSE),八肖参数!$A:$B,2,FALSE),"")</f>
        <v/>
      </c>
      <c r="O383" s="19">
        <f>IF(N383="","",IF(I383="","待开奖",IF(ISNUMBER(SEARCH(I383,N383)),"命中","未命中")))</f>
        <v/>
      </c>
    </row>
    <row r="384">
      <c r="A384" s="19" t="n">
        <v>383</v>
      </c>
      <c r="B384" s="19">
        <f>IF(COUNTA(C384:E384)=0,"",B383+1)</f>
        <v/>
      </c>
      <c r="C384" s="19" t="inlineStr"/>
      <c r="D384" s="19" t="n"/>
      <c r="E384" s="19" t="n"/>
      <c r="F384" s="19">
        <f>IF(COUNTA(D384:E384)=0,"",N(D384)-N(E384))</f>
        <v/>
      </c>
      <c r="G384" s="19">
        <f>IFERROR(VLOOKUP($B384,'开奖记录'!$A:$K,2,FALSE),"")</f>
        <v/>
      </c>
      <c r="H384" s="19">
        <f>IFERROR(VLOOKUP($B384,'开奖记录'!$A:$K,9,FALSE),"")</f>
        <v/>
      </c>
      <c r="I384" s="19">
        <f>IFERROR(VLOOKUP($B384,'开奖记录'!$A:$K,11,FALSE),"")</f>
        <v/>
      </c>
      <c r="J384" s="19">
        <f>IF($B384="","",IF(ISNUMBER($D384),"命中",IF(ISNUMBER($E384),"未命中","")))</f>
        <v/>
      </c>
      <c r="K384" s="19" t="inlineStr"/>
      <c r="L384" s="19">
        <f>IFERROR(TEXT(VLOOKUP($B384-1,开奖记录!$A:$L,3,FALSE),"00")&amp;"+5="&amp;VLOOKUP(MOD(VLOOKUP($B384-1,开奖记录!$A:$L,3,FALSE)+4,49)+1,规律参数!$A:$C,3,FALSE),"")</f>
        <v/>
      </c>
      <c r="M384" s="19">
        <f>IF(L384="","",IF(I384="","待开奖",IF(ISNUMBER(SEARCH(I384,L384)),"命中","未命中")))</f>
        <v/>
      </c>
      <c r="N384" s="19">
        <f>IFERROR(VLOOKUP(VLOOKUP($B384-1,开奖记录!$A:$L,11,FALSE),八肖参数!$A:$B,2,FALSE),"")</f>
        <v/>
      </c>
      <c r="O384" s="19">
        <f>IF(N384="","",IF(I384="","待开奖",IF(ISNUMBER(SEARCH(I384,N384)),"命中","未命中")))</f>
        <v/>
      </c>
    </row>
    <row r="385">
      <c r="A385" s="19" t="n">
        <v>384</v>
      </c>
      <c r="B385" s="19">
        <f>IF(COUNTA(C385:E385)=0,"",B384+1)</f>
        <v/>
      </c>
      <c r="C385" s="19" t="inlineStr"/>
      <c r="D385" s="19" t="n"/>
      <c r="E385" s="19" t="n"/>
      <c r="F385" s="19">
        <f>IF(COUNTA(D385:E385)=0,"",N(D385)-N(E385))</f>
        <v/>
      </c>
      <c r="G385" s="19">
        <f>IFERROR(VLOOKUP($B385,'开奖记录'!$A:$K,2,FALSE),"")</f>
        <v/>
      </c>
      <c r="H385" s="19">
        <f>IFERROR(VLOOKUP($B385,'开奖记录'!$A:$K,9,FALSE),"")</f>
        <v/>
      </c>
      <c r="I385" s="19">
        <f>IFERROR(VLOOKUP($B385,'开奖记录'!$A:$K,11,FALSE),"")</f>
        <v/>
      </c>
      <c r="J385" s="19">
        <f>IF($B385="","",IF(ISNUMBER($D385),"命中",IF(ISNUMBER($E385),"未命中","")))</f>
        <v/>
      </c>
      <c r="K385" s="19" t="inlineStr"/>
      <c r="L385" s="19">
        <f>IFERROR(TEXT(VLOOKUP($B385-1,开奖记录!$A:$L,3,FALSE),"00")&amp;"+5="&amp;VLOOKUP(MOD(VLOOKUP($B385-1,开奖记录!$A:$L,3,FALSE)+4,49)+1,规律参数!$A:$C,3,FALSE),"")</f>
        <v/>
      </c>
      <c r="M385" s="19">
        <f>IF(L385="","",IF(I385="","待开奖",IF(ISNUMBER(SEARCH(I385,L385)),"命中","未命中")))</f>
        <v/>
      </c>
      <c r="N385" s="19">
        <f>IFERROR(VLOOKUP(VLOOKUP($B385-1,开奖记录!$A:$L,11,FALSE),八肖参数!$A:$B,2,FALSE),"")</f>
        <v/>
      </c>
      <c r="O385" s="19">
        <f>IF(N385="","",IF(I385="","待开奖",IF(ISNUMBER(SEARCH(I385,N385)),"命中","未命中")))</f>
        <v/>
      </c>
    </row>
    <row r="386">
      <c r="A386" s="19" t="n">
        <v>385</v>
      </c>
      <c r="B386" s="19">
        <f>IF(COUNTA(C386:E386)=0,"",B385+1)</f>
        <v/>
      </c>
      <c r="C386" s="19" t="inlineStr"/>
      <c r="D386" s="19" t="n"/>
      <c r="E386" s="19" t="n"/>
      <c r="F386" s="19">
        <f>IF(COUNTA(D386:E386)=0,"",N(D386)-N(E386))</f>
        <v/>
      </c>
      <c r="G386" s="19">
        <f>IFERROR(VLOOKUP($B386,'开奖记录'!$A:$K,2,FALSE),"")</f>
        <v/>
      </c>
      <c r="H386" s="19">
        <f>IFERROR(VLOOKUP($B386,'开奖记录'!$A:$K,9,FALSE),"")</f>
        <v/>
      </c>
      <c r="I386" s="19">
        <f>IFERROR(VLOOKUP($B386,'开奖记录'!$A:$K,11,FALSE),"")</f>
        <v/>
      </c>
      <c r="J386" s="19">
        <f>IF($B386="","",IF(ISNUMBER($D386),"命中",IF(ISNUMBER($E386),"未命中","")))</f>
        <v/>
      </c>
      <c r="K386" s="19" t="inlineStr"/>
      <c r="L386" s="19">
        <f>IFERROR(TEXT(VLOOKUP($B386-1,开奖记录!$A:$L,3,FALSE),"00")&amp;"+5="&amp;VLOOKUP(MOD(VLOOKUP($B386-1,开奖记录!$A:$L,3,FALSE)+4,49)+1,规律参数!$A:$C,3,FALSE),"")</f>
        <v/>
      </c>
      <c r="M386" s="19">
        <f>IF(L386="","",IF(I386="","待开奖",IF(ISNUMBER(SEARCH(I386,L386)),"命中","未命中")))</f>
        <v/>
      </c>
      <c r="N386" s="19">
        <f>IFERROR(VLOOKUP(VLOOKUP($B386-1,开奖记录!$A:$L,11,FALSE),八肖参数!$A:$B,2,FALSE),"")</f>
        <v/>
      </c>
      <c r="O386" s="19">
        <f>IF(N386="","",IF(I386="","待开奖",IF(ISNUMBER(SEARCH(I386,N386)),"命中","未命中")))</f>
        <v/>
      </c>
    </row>
    <row r="387">
      <c r="A387" s="19" t="n">
        <v>386</v>
      </c>
      <c r="B387" s="19">
        <f>IF(COUNTA(C387:E387)=0,"",B386+1)</f>
        <v/>
      </c>
      <c r="C387" s="19" t="inlineStr"/>
      <c r="D387" s="19" t="n"/>
      <c r="E387" s="19" t="n"/>
      <c r="F387" s="19">
        <f>IF(COUNTA(D387:E387)=0,"",N(D387)-N(E387))</f>
        <v/>
      </c>
      <c r="G387" s="19">
        <f>IFERROR(VLOOKUP($B387,'开奖记录'!$A:$K,2,FALSE),"")</f>
        <v/>
      </c>
      <c r="H387" s="19">
        <f>IFERROR(VLOOKUP($B387,'开奖记录'!$A:$K,9,FALSE),"")</f>
        <v/>
      </c>
      <c r="I387" s="19">
        <f>IFERROR(VLOOKUP($B387,'开奖记录'!$A:$K,11,FALSE),"")</f>
        <v/>
      </c>
      <c r="J387" s="19">
        <f>IF($B387="","",IF(ISNUMBER($D387),"命中",IF(ISNUMBER($E387),"未命中","")))</f>
        <v/>
      </c>
      <c r="K387" s="19" t="inlineStr"/>
      <c r="L387" s="19">
        <f>IFERROR(TEXT(VLOOKUP($B387-1,开奖记录!$A:$L,3,FALSE),"00")&amp;"+5="&amp;VLOOKUP(MOD(VLOOKUP($B387-1,开奖记录!$A:$L,3,FALSE)+4,49)+1,规律参数!$A:$C,3,FALSE),"")</f>
        <v/>
      </c>
      <c r="M387" s="19">
        <f>IF(L387="","",IF(I387="","待开奖",IF(ISNUMBER(SEARCH(I387,L387)),"命中","未命中")))</f>
        <v/>
      </c>
      <c r="N387" s="19">
        <f>IFERROR(VLOOKUP(VLOOKUP($B387-1,开奖记录!$A:$L,11,FALSE),八肖参数!$A:$B,2,FALSE),"")</f>
        <v/>
      </c>
      <c r="O387" s="19">
        <f>IF(N387="","",IF(I387="","待开奖",IF(ISNUMBER(SEARCH(I387,N387)),"命中","未命中")))</f>
        <v/>
      </c>
    </row>
    <row r="388">
      <c r="A388" s="19" t="n">
        <v>387</v>
      </c>
      <c r="B388" s="19">
        <f>IF(COUNTA(C388:E388)=0,"",B387+1)</f>
        <v/>
      </c>
      <c r="C388" s="19" t="inlineStr"/>
      <c r="D388" s="19" t="n"/>
      <c r="E388" s="19" t="n"/>
      <c r="F388" s="19">
        <f>IF(COUNTA(D388:E388)=0,"",N(D388)-N(E388))</f>
        <v/>
      </c>
      <c r="G388" s="19">
        <f>IFERROR(VLOOKUP($B388,'开奖记录'!$A:$K,2,FALSE),"")</f>
        <v/>
      </c>
      <c r="H388" s="19">
        <f>IFERROR(VLOOKUP($B388,'开奖记录'!$A:$K,9,FALSE),"")</f>
        <v/>
      </c>
      <c r="I388" s="19">
        <f>IFERROR(VLOOKUP($B388,'开奖记录'!$A:$K,11,FALSE),"")</f>
        <v/>
      </c>
      <c r="J388" s="19">
        <f>IF($B388="","",IF(ISNUMBER($D388),"命中",IF(ISNUMBER($E388),"未命中","")))</f>
        <v/>
      </c>
      <c r="K388" s="19" t="inlineStr"/>
      <c r="L388" s="19">
        <f>IFERROR(TEXT(VLOOKUP($B388-1,开奖记录!$A:$L,3,FALSE),"00")&amp;"+5="&amp;VLOOKUP(MOD(VLOOKUP($B388-1,开奖记录!$A:$L,3,FALSE)+4,49)+1,规律参数!$A:$C,3,FALSE),"")</f>
        <v/>
      </c>
      <c r="M388" s="19">
        <f>IF(L388="","",IF(I388="","待开奖",IF(ISNUMBER(SEARCH(I388,L388)),"命中","未命中")))</f>
        <v/>
      </c>
      <c r="N388" s="19">
        <f>IFERROR(VLOOKUP(VLOOKUP($B388-1,开奖记录!$A:$L,11,FALSE),八肖参数!$A:$B,2,FALSE),"")</f>
        <v/>
      </c>
      <c r="O388" s="19">
        <f>IF(N388="","",IF(I388="","待开奖",IF(ISNUMBER(SEARCH(I388,N388)),"命中","未命中")))</f>
        <v/>
      </c>
    </row>
    <row r="389">
      <c r="A389" s="19" t="n">
        <v>388</v>
      </c>
      <c r="B389" s="19">
        <f>IF(COUNTA(C389:E389)=0,"",B388+1)</f>
        <v/>
      </c>
      <c r="C389" s="19" t="inlineStr"/>
      <c r="D389" s="19" t="n"/>
      <c r="E389" s="19" t="n"/>
      <c r="F389" s="19">
        <f>IF(COUNTA(D389:E389)=0,"",N(D389)-N(E389))</f>
        <v/>
      </c>
      <c r="G389" s="19">
        <f>IFERROR(VLOOKUP($B389,'开奖记录'!$A:$K,2,FALSE),"")</f>
        <v/>
      </c>
      <c r="H389" s="19">
        <f>IFERROR(VLOOKUP($B389,'开奖记录'!$A:$K,9,FALSE),"")</f>
        <v/>
      </c>
      <c r="I389" s="19">
        <f>IFERROR(VLOOKUP($B389,'开奖记录'!$A:$K,11,FALSE),"")</f>
        <v/>
      </c>
      <c r="J389" s="19">
        <f>IF($B389="","",IF(ISNUMBER($D389),"命中",IF(ISNUMBER($E389),"未命中","")))</f>
        <v/>
      </c>
      <c r="K389" s="19" t="inlineStr"/>
      <c r="L389" s="19">
        <f>IFERROR(TEXT(VLOOKUP($B389-1,开奖记录!$A:$L,3,FALSE),"00")&amp;"+5="&amp;VLOOKUP(MOD(VLOOKUP($B389-1,开奖记录!$A:$L,3,FALSE)+4,49)+1,规律参数!$A:$C,3,FALSE),"")</f>
        <v/>
      </c>
      <c r="M389" s="19">
        <f>IF(L389="","",IF(I389="","待开奖",IF(ISNUMBER(SEARCH(I389,L389)),"命中","未命中")))</f>
        <v/>
      </c>
      <c r="N389" s="19">
        <f>IFERROR(VLOOKUP(VLOOKUP($B389-1,开奖记录!$A:$L,11,FALSE),八肖参数!$A:$B,2,FALSE),"")</f>
        <v/>
      </c>
      <c r="O389" s="19">
        <f>IF(N389="","",IF(I389="","待开奖",IF(ISNUMBER(SEARCH(I389,N389)),"命中","未命中")))</f>
        <v/>
      </c>
    </row>
    <row r="390">
      <c r="A390" s="19" t="n">
        <v>389</v>
      </c>
      <c r="B390" s="19">
        <f>IF(COUNTA(C390:E390)=0,"",B389+1)</f>
        <v/>
      </c>
      <c r="C390" s="19" t="inlineStr"/>
      <c r="D390" s="19" t="n"/>
      <c r="E390" s="19" t="n"/>
      <c r="F390" s="19">
        <f>IF(COUNTA(D390:E390)=0,"",N(D390)-N(E390))</f>
        <v/>
      </c>
      <c r="G390" s="19">
        <f>IFERROR(VLOOKUP($B390,'开奖记录'!$A:$K,2,FALSE),"")</f>
        <v/>
      </c>
      <c r="H390" s="19">
        <f>IFERROR(VLOOKUP($B390,'开奖记录'!$A:$K,9,FALSE),"")</f>
        <v/>
      </c>
      <c r="I390" s="19">
        <f>IFERROR(VLOOKUP($B390,'开奖记录'!$A:$K,11,FALSE),"")</f>
        <v/>
      </c>
      <c r="J390" s="19">
        <f>IF($B390="","",IF(ISNUMBER($D390),"命中",IF(ISNUMBER($E390),"未命中","")))</f>
        <v/>
      </c>
      <c r="K390" s="19" t="inlineStr"/>
      <c r="L390" s="19">
        <f>IFERROR(TEXT(VLOOKUP($B390-1,开奖记录!$A:$L,3,FALSE),"00")&amp;"+5="&amp;VLOOKUP(MOD(VLOOKUP($B390-1,开奖记录!$A:$L,3,FALSE)+4,49)+1,规律参数!$A:$C,3,FALSE),"")</f>
        <v/>
      </c>
      <c r="M390" s="19">
        <f>IF(L390="","",IF(I390="","待开奖",IF(ISNUMBER(SEARCH(I390,L390)),"命中","未命中")))</f>
        <v/>
      </c>
      <c r="N390" s="19">
        <f>IFERROR(VLOOKUP(VLOOKUP($B390-1,开奖记录!$A:$L,11,FALSE),八肖参数!$A:$B,2,FALSE),"")</f>
        <v/>
      </c>
      <c r="O390" s="19">
        <f>IF(N390="","",IF(I390="","待开奖",IF(ISNUMBER(SEARCH(I390,N390)),"命中","未命中")))</f>
        <v/>
      </c>
    </row>
    <row r="391">
      <c r="A391" s="19" t="n">
        <v>390</v>
      </c>
      <c r="B391" s="19">
        <f>IF(COUNTA(C391:E391)=0,"",B390+1)</f>
        <v/>
      </c>
      <c r="C391" s="19" t="inlineStr"/>
      <c r="D391" s="19" t="n"/>
      <c r="E391" s="19" t="n"/>
      <c r="F391" s="19">
        <f>IF(COUNTA(D391:E391)=0,"",N(D391)-N(E391))</f>
        <v/>
      </c>
      <c r="G391" s="19">
        <f>IFERROR(VLOOKUP($B391,'开奖记录'!$A:$K,2,FALSE),"")</f>
        <v/>
      </c>
      <c r="H391" s="19">
        <f>IFERROR(VLOOKUP($B391,'开奖记录'!$A:$K,9,FALSE),"")</f>
        <v/>
      </c>
      <c r="I391" s="19">
        <f>IFERROR(VLOOKUP($B391,'开奖记录'!$A:$K,11,FALSE),"")</f>
        <v/>
      </c>
      <c r="J391" s="19">
        <f>IF($B391="","",IF(ISNUMBER($D391),"命中",IF(ISNUMBER($E391),"未命中","")))</f>
        <v/>
      </c>
      <c r="K391" s="19" t="inlineStr"/>
      <c r="L391" s="19">
        <f>IFERROR(TEXT(VLOOKUP($B391-1,开奖记录!$A:$L,3,FALSE),"00")&amp;"+5="&amp;VLOOKUP(MOD(VLOOKUP($B391-1,开奖记录!$A:$L,3,FALSE)+4,49)+1,规律参数!$A:$C,3,FALSE),"")</f>
        <v/>
      </c>
      <c r="M391" s="19">
        <f>IF(L391="","",IF(I391="","待开奖",IF(ISNUMBER(SEARCH(I391,L391)),"命中","未命中")))</f>
        <v/>
      </c>
      <c r="N391" s="19">
        <f>IFERROR(VLOOKUP(VLOOKUP($B391-1,开奖记录!$A:$L,11,FALSE),八肖参数!$A:$B,2,FALSE),"")</f>
        <v/>
      </c>
      <c r="O391" s="19">
        <f>IF(N391="","",IF(I391="","待开奖",IF(ISNUMBER(SEARCH(I391,N391)),"命中","未命中")))</f>
        <v/>
      </c>
    </row>
    <row r="392">
      <c r="A392" s="19" t="n">
        <v>391</v>
      </c>
      <c r="B392" s="19">
        <f>IF(COUNTA(C392:E392)=0,"",B391+1)</f>
        <v/>
      </c>
      <c r="C392" s="19" t="inlineStr"/>
      <c r="D392" s="19" t="n"/>
      <c r="E392" s="19" t="n"/>
      <c r="F392" s="19">
        <f>IF(COUNTA(D392:E392)=0,"",N(D392)-N(E392))</f>
        <v/>
      </c>
      <c r="G392" s="19">
        <f>IFERROR(VLOOKUP($B392,'开奖记录'!$A:$K,2,FALSE),"")</f>
        <v/>
      </c>
      <c r="H392" s="19">
        <f>IFERROR(VLOOKUP($B392,'开奖记录'!$A:$K,9,FALSE),"")</f>
        <v/>
      </c>
      <c r="I392" s="19">
        <f>IFERROR(VLOOKUP($B392,'开奖记录'!$A:$K,11,FALSE),"")</f>
        <v/>
      </c>
      <c r="J392" s="19">
        <f>IF($B392="","",IF(ISNUMBER($D392),"命中",IF(ISNUMBER($E392),"未命中","")))</f>
        <v/>
      </c>
      <c r="K392" s="19" t="inlineStr"/>
      <c r="L392" s="19">
        <f>IFERROR(TEXT(VLOOKUP($B392-1,开奖记录!$A:$L,3,FALSE),"00")&amp;"+5="&amp;VLOOKUP(MOD(VLOOKUP($B392-1,开奖记录!$A:$L,3,FALSE)+4,49)+1,规律参数!$A:$C,3,FALSE),"")</f>
        <v/>
      </c>
      <c r="M392" s="19">
        <f>IF(L392="","",IF(I392="","待开奖",IF(ISNUMBER(SEARCH(I392,L392)),"命中","未命中")))</f>
        <v/>
      </c>
      <c r="N392" s="19">
        <f>IFERROR(VLOOKUP(VLOOKUP($B392-1,开奖记录!$A:$L,11,FALSE),八肖参数!$A:$B,2,FALSE),"")</f>
        <v/>
      </c>
      <c r="O392" s="19">
        <f>IF(N392="","",IF(I392="","待开奖",IF(ISNUMBER(SEARCH(I392,N392)),"命中","未命中")))</f>
        <v/>
      </c>
    </row>
    <row r="393">
      <c r="A393" s="19" t="n">
        <v>392</v>
      </c>
      <c r="B393" s="19">
        <f>IF(COUNTA(C393:E393)=0,"",B392+1)</f>
        <v/>
      </c>
      <c r="C393" s="19" t="inlineStr"/>
      <c r="D393" s="19" t="n"/>
      <c r="E393" s="19" t="n"/>
      <c r="F393" s="19">
        <f>IF(COUNTA(D393:E393)=0,"",N(D393)-N(E393))</f>
        <v/>
      </c>
      <c r="G393" s="19">
        <f>IFERROR(VLOOKUP($B393,'开奖记录'!$A:$K,2,FALSE),"")</f>
        <v/>
      </c>
      <c r="H393" s="19">
        <f>IFERROR(VLOOKUP($B393,'开奖记录'!$A:$K,9,FALSE),"")</f>
        <v/>
      </c>
      <c r="I393" s="19">
        <f>IFERROR(VLOOKUP($B393,'开奖记录'!$A:$K,11,FALSE),"")</f>
        <v/>
      </c>
      <c r="J393" s="19">
        <f>IF($B393="","",IF(ISNUMBER($D393),"命中",IF(ISNUMBER($E393),"未命中","")))</f>
        <v/>
      </c>
      <c r="K393" s="19" t="inlineStr"/>
      <c r="L393" s="19">
        <f>IFERROR(TEXT(VLOOKUP($B393-1,开奖记录!$A:$L,3,FALSE),"00")&amp;"+5="&amp;VLOOKUP(MOD(VLOOKUP($B393-1,开奖记录!$A:$L,3,FALSE)+4,49)+1,规律参数!$A:$C,3,FALSE),"")</f>
        <v/>
      </c>
      <c r="M393" s="19">
        <f>IF(L393="","",IF(I393="","待开奖",IF(ISNUMBER(SEARCH(I393,L393)),"命中","未命中")))</f>
        <v/>
      </c>
      <c r="N393" s="19">
        <f>IFERROR(VLOOKUP(VLOOKUP($B393-1,开奖记录!$A:$L,11,FALSE),八肖参数!$A:$B,2,FALSE),"")</f>
        <v/>
      </c>
      <c r="O393" s="19">
        <f>IF(N393="","",IF(I393="","待开奖",IF(ISNUMBER(SEARCH(I393,N393)),"命中","未命中")))</f>
        <v/>
      </c>
    </row>
    <row r="394">
      <c r="A394" s="19" t="n">
        <v>393</v>
      </c>
      <c r="B394" s="19">
        <f>IF(COUNTA(C394:E394)=0,"",B393+1)</f>
        <v/>
      </c>
      <c r="C394" s="19" t="inlineStr"/>
      <c r="D394" s="19" t="n"/>
      <c r="E394" s="19" t="n"/>
      <c r="F394" s="19">
        <f>IF(COUNTA(D394:E394)=0,"",N(D394)-N(E394))</f>
        <v/>
      </c>
      <c r="G394" s="19">
        <f>IFERROR(VLOOKUP($B394,'开奖记录'!$A:$K,2,FALSE),"")</f>
        <v/>
      </c>
      <c r="H394" s="19">
        <f>IFERROR(VLOOKUP($B394,'开奖记录'!$A:$K,9,FALSE),"")</f>
        <v/>
      </c>
      <c r="I394" s="19">
        <f>IFERROR(VLOOKUP($B394,'开奖记录'!$A:$K,11,FALSE),"")</f>
        <v/>
      </c>
      <c r="J394" s="19">
        <f>IF($B394="","",IF(ISNUMBER($D394),"命中",IF(ISNUMBER($E394),"未命中","")))</f>
        <v/>
      </c>
      <c r="K394" s="19" t="inlineStr"/>
      <c r="L394" s="19">
        <f>IFERROR(TEXT(VLOOKUP($B394-1,开奖记录!$A:$L,3,FALSE),"00")&amp;"+5="&amp;VLOOKUP(MOD(VLOOKUP($B394-1,开奖记录!$A:$L,3,FALSE)+4,49)+1,规律参数!$A:$C,3,FALSE),"")</f>
        <v/>
      </c>
      <c r="M394" s="19">
        <f>IF(L394="","",IF(I394="","待开奖",IF(ISNUMBER(SEARCH(I394,L394)),"命中","未命中")))</f>
        <v/>
      </c>
      <c r="N394" s="19">
        <f>IFERROR(VLOOKUP(VLOOKUP($B394-1,开奖记录!$A:$L,11,FALSE),八肖参数!$A:$B,2,FALSE),"")</f>
        <v/>
      </c>
      <c r="O394" s="19">
        <f>IF(N394="","",IF(I394="","待开奖",IF(ISNUMBER(SEARCH(I394,N394)),"命中","未命中")))</f>
        <v/>
      </c>
    </row>
    <row r="395">
      <c r="A395" s="19" t="n">
        <v>394</v>
      </c>
      <c r="B395" s="19">
        <f>IF(COUNTA(C395:E395)=0,"",B394+1)</f>
        <v/>
      </c>
      <c r="C395" s="19" t="inlineStr"/>
      <c r="D395" s="19" t="n"/>
      <c r="E395" s="19" t="n"/>
      <c r="F395" s="19">
        <f>IF(COUNTA(D395:E395)=0,"",N(D395)-N(E395))</f>
        <v/>
      </c>
      <c r="G395" s="19">
        <f>IFERROR(VLOOKUP($B395,'开奖记录'!$A:$K,2,FALSE),"")</f>
        <v/>
      </c>
      <c r="H395" s="19">
        <f>IFERROR(VLOOKUP($B395,'开奖记录'!$A:$K,9,FALSE),"")</f>
        <v/>
      </c>
      <c r="I395" s="19">
        <f>IFERROR(VLOOKUP($B395,'开奖记录'!$A:$K,11,FALSE),"")</f>
        <v/>
      </c>
      <c r="J395" s="19">
        <f>IF($B395="","",IF(ISNUMBER($D395),"命中",IF(ISNUMBER($E395),"未命中","")))</f>
        <v/>
      </c>
      <c r="K395" s="19" t="inlineStr"/>
      <c r="L395" s="19">
        <f>IFERROR(TEXT(VLOOKUP($B395-1,开奖记录!$A:$L,3,FALSE),"00")&amp;"+5="&amp;VLOOKUP(MOD(VLOOKUP($B395-1,开奖记录!$A:$L,3,FALSE)+4,49)+1,规律参数!$A:$C,3,FALSE),"")</f>
        <v/>
      </c>
      <c r="M395" s="19">
        <f>IF(L395="","",IF(I395="","待开奖",IF(ISNUMBER(SEARCH(I395,L395)),"命中","未命中")))</f>
        <v/>
      </c>
      <c r="N395" s="19">
        <f>IFERROR(VLOOKUP(VLOOKUP($B395-1,开奖记录!$A:$L,11,FALSE),八肖参数!$A:$B,2,FALSE),"")</f>
        <v/>
      </c>
      <c r="O395" s="19">
        <f>IF(N395="","",IF(I395="","待开奖",IF(ISNUMBER(SEARCH(I395,N395)),"命中","未命中")))</f>
        <v/>
      </c>
    </row>
    <row r="396">
      <c r="A396" s="19" t="n">
        <v>395</v>
      </c>
      <c r="B396" s="19">
        <f>IF(COUNTA(C396:E396)=0,"",B395+1)</f>
        <v/>
      </c>
      <c r="C396" s="19" t="inlineStr"/>
      <c r="D396" s="19" t="n"/>
      <c r="E396" s="19" t="n"/>
      <c r="F396" s="19">
        <f>IF(COUNTA(D396:E396)=0,"",N(D396)-N(E396))</f>
        <v/>
      </c>
      <c r="G396" s="19">
        <f>IFERROR(VLOOKUP($B396,'开奖记录'!$A:$K,2,FALSE),"")</f>
        <v/>
      </c>
      <c r="H396" s="19">
        <f>IFERROR(VLOOKUP($B396,'开奖记录'!$A:$K,9,FALSE),"")</f>
        <v/>
      </c>
      <c r="I396" s="19">
        <f>IFERROR(VLOOKUP($B396,'开奖记录'!$A:$K,11,FALSE),"")</f>
        <v/>
      </c>
      <c r="J396" s="19">
        <f>IF($B396="","",IF(ISNUMBER($D396),"命中",IF(ISNUMBER($E396),"未命中","")))</f>
        <v/>
      </c>
      <c r="K396" s="19" t="inlineStr"/>
      <c r="L396" s="19">
        <f>IFERROR(TEXT(VLOOKUP($B396-1,开奖记录!$A:$L,3,FALSE),"00")&amp;"+5="&amp;VLOOKUP(MOD(VLOOKUP($B396-1,开奖记录!$A:$L,3,FALSE)+4,49)+1,规律参数!$A:$C,3,FALSE),"")</f>
        <v/>
      </c>
      <c r="M396" s="19">
        <f>IF(L396="","",IF(I396="","待开奖",IF(ISNUMBER(SEARCH(I396,L396)),"命中","未命中")))</f>
        <v/>
      </c>
      <c r="N396" s="19">
        <f>IFERROR(VLOOKUP(VLOOKUP($B396-1,开奖记录!$A:$L,11,FALSE),八肖参数!$A:$B,2,FALSE),"")</f>
        <v/>
      </c>
      <c r="O396" s="19">
        <f>IF(N396="","",IF(I396="","待开奖",IF(ISNUMBER(SEARCH(I396,N396)),"命中","未命中")))</f>
        <v/>
      </c>
    </row>
    <row r="397">
      <c r="A397" s="19" t="n">
        <v>396</v>
      </c>
      <c r="B397" s="19">
        <f>IF(COUNTA(C397:E397)=0,"",B396+1)</f>
        <v/>
      </c>
      <c r="C397" s="19" t="inlineStr"/>
      <c r="D397" s="19" t="n"/>
      <c r="E397" s="19" t="n"/>
      <c r="F397" s="19">
        <f>IF(COUNTA(D397:E397)=0,"",N(D397)-N(E397))</f>
        <v/>
      </c>
      <c r="G397" s="19">
        <f>IFERROR(VLOOKUP($B397,'开奖记录'!$A:$K,2,FALSE),"")</f>
        <v/>
      </c>
      <c r="H397" s="19">
        <f>IFERROR(VLOOKUP($B397,'开奖记录'!$A:$K,9,FALSE),"")</f>
        <v/>
      </c>
      <c r="I397" s="19">
        <f>IFERROR(VLOOKUP($B397,'开奖记录'!$A:$K,11,FALSE),"")</f>
        <v/>
      </c>
      <c r="J397" s="19">
        <f>IF($B397="","",IF(ISNUMBER($D397),"命中",IF(ISNUMBER($E397),"未命中","")))</f>
        <v/>
      </c>
      <c r="K397" s="19" t="inlineStr"/>
      <c r="L397" s="19">
        <f>IFERROR(TEXT(VLOOKUP($B397-1,开奖记录!$A:$L,3,FALSE),"00")&amp;"+5="&amp;VLOOKUP(MOD(VLOOKUP($B397-1,开奖记录!$A:$L,3,FALSE)+4,49)+1,规律参数!$A:$C,3,FALSE),"")</f>
        <v/>
      </c>
      <c r="M397" s="19">
        <f>IF(L397="","",IF(I397="","待开奖",IF(ISNUMBER(SEARCH(I397,L397)),"命中","未命中")))</f>
        <v/>
      </c>
      <c r="N397" s="19">
        <f>IFERROR(VLOOKUP(VLOOKUP($B397-1,开奖记录!$A:$L,11,FALSE),八肖参数!$A:$B,2,FALSE),"")</f>
        <v/>
      </c>
      <c r="O397" s="19">
        <f>IF(N397="","",IF(I397="","待开奖",IF(ISNUMBER(SEARCH(I397,N397)),"命中","未命中")))</f>
        <v/>
      </c>
    </row>
    <row r="398">
      <c r="A398" s="19" t="n">
        <v>397</v>
      </c>
      <c r="B398" s="19">
        <f>IF(COUNTA(C398:E398)=0,"",B397+1)</f>
        <v/>
      </c>
      <c r="C398" s="19" t="inlineStr"/>
      <c r="D398" s="19" t="n"/>
      <c r="E398" s="19" t="n"/>
      <c r="F398" s="19">
        <f>IF(COUNTA(D398:E398)=0,"",N(D398)-N(E398))</f>
        <v/>
      </c>
      <c r="G398" s="19">
        <f>IFERROR(VLOOKUP($B398,'开奖记录'!$A:$K,2,FALSE),"")</f>
        <v/>
      </c>
      <c r="H398" s="19">
        <f>IFERROR(VLOOKUP($B398,'开奖记录'!$A:$K,9,FALSE),"")</f>
        <v/>
      </c>
      <c r="I398" s="19">
        <f>IFERROR(VLOOKUP($B398,'开奖记录'!$A:$K,11,FALSE),"")</f>
        <v/>
      </c>
      <c r="J398" s="19">
        <f>IF($B398="","",IF(ISNUMBER($D398),"命中",IF(ISNUMBER($E398),"未命中","")))</f>
        <v/>
      </c>
      <c r="K398" s="19" t="inlineStr"/>
      <c r="L398" s="19">
        <f>IFERROR(TEXT(VLOOKUP($B398-1,开奖记录!$A:$L,3,FALSE),"00")&amp;"+5="&amp;VLOOKUP(MOD(VLOOKUP($B398-1,开奖记录!$A:$L,3,FALSE)+4,49)+1,规律参数!$A:$C,3,FALSE),"")</f>
        <v/>
      </c>
      <c r="M398" s="19">
        <f>IF(L398="","",IF(I398="","待开奖",IF(ISNUMBER(SEARCH(I398,L398)),"命中","未命中")))</f>
        <v/>
      </c>
      <c r="N398" s="19">
        <f>IFERROR(VLOOKUP(VLOOKUP($B398-1,开奖记录!$A:$L,11,FALSE),八肖参数!$A:$B,2,FALSE),"")</f>
        <v/>
      </c>
      <c r="O398" s="19">
        <f>IF(N398="","",IF(I398="","待开奖",IF(ISNUMBER(SEARCH(I398,N398)),"命中","未命中")))</f>
        <v/>
      </c>
    </row>
    <row r="399">
      <c r="A399" s="19" t="n">
        <v>398</v>
      </c>
      <c r="B399" s="19">
        <f>IF(COUNTA(C399:E399)=0,"",B398+1)</f>
        <v/>
      </c>
      <c r="C399" s="19" t="inlineStr"/>
      <c r="D399" s="19" t="n"/>
      <c r="E399" s="19" t="n"/>
      <c r="F399" s="19">
        <f>IF(COUNTA(D399:E399)=0,"",N(D399)-N(E399))</f>
        <v/>
      </c>
      <c r="G399" s="19">
        <f>IFERROR(VLOOKUP($B399,'开奖记录'!$A:$K,2,FALSE),"")</f>
        <v/>
      </c>
      <c r="H399" s="19">
        <f>IFERROR(VLOOKUP($B399,'开奖记录'!$A:$K,9,FALSE),"")</f>
        <v/>
      </c>
      <c r="I399" s="19">
        <f>IFERROR(VLOOKUP($B399,'开奖记录'!$A:$K,11,FALSE),"")</f>
        <v/>
      </c>
      <c r="J399" s="19">
        <f>IF($B399="","",IF(ISNUMBER($D399),"命中",IF(ISNUMBER($E399),"未命中","")))</f>
        <v/>
      </c>
      <c r="K399" s="19" t="inlineStr"/>
      <c r="L399" s="19">
        <f>IFERROR(TEXT(VLOOKUP($B399-1,开奖记录!$A:$L,3,FALSE),"00")&amp;"+5="&amp;VLOOKUP(MOD(VLOOKUP($B399-1,开奖记录!$A:$L,3,FALSE)+4,49)+1,规律参数!$A:$C,3,FALSE),"")</f>
        <v/>
      </c>
      <c r="M399" s="19">
        <f>IF(L399="","",IF(I399="","待开奖",IF(ISNUMBER(SEARCH(I399,L399)),"命中","未命中")))</f>
        <v/>
      </c>
      <c r="N399" s="19">
        <f>IFERROR(VLOOKUP(VLOOKUP($B399-1,开奖记录!$A:$L,11,FALSE),八肖参数!$A:$B,2,FALSE),"")</f>
        <v/>
      </c>
      <c r="O399" s="19">
        <f>IF(N399="","",IF(I399="","待开奖",IF(ISNUMBER(SEARCH(I399,N399)),"命中","未命中")))</f>
        <v/>
      </c>
    </row>
    <row r="400">
      <c r="A400" s="19" t="n">
        <v>399</v>
      </c>
      <c r="B400" s="19">
        <f>IF(COUNTA(C400:E400)=0,"",B399+1)</f>
        <v/>
      </c>
      <c r="C400" s="19" t="inlineStr"/>
      <c r="D400" s="19" t="n"/>
      <c r="E400" s="19" t="n"/>
      <c r="F400" s="19">
        <f>IF(COUNTA(D400:E400)=0,"",N(D400)-N(E400))</f>
        <v/>
      </c>
      <c r="G400" s="19">
        <f>IFERROR(VLOOKUP($B400,'开奖记录'!$A:$K,2,FALSE),"")</f>
        <v/>
      </c>
      <c r="H400" s="19">
        <f>IFERROR(VLOOKUP($B400,'开奖记录'!$A:$K,9,FALSE),"")</f>
        <v/>
      </c>
      <c r="I400" s="19">
        <f>IFERROR(VLOOKUP($B400,'开奖记录'!$A:$K,11,FALSE),"")</f>
        <v/>
      </c>
      <c r="J400" s="19">
        <f>IF($B400="","",IF(ISNUMBER($D400),"命中",IF(ISNUMBER($E400),"未命中","")))</f>
        <v/>
      </c>
      <c r="K400" s="19" t="inlineStr"/>
      <c r="L400" s="19">
        <f>IFERROR(TEXT(VLOOKUP($B400-1,开奖记录!$A:$L,3,FALSE),"00")&amp;"+5="&amp;VLOOKUP(MOD(VLOOKUP($B400-1,开奖记录!$A:$L,3,FALSE)+4,49)+1,规律参数!$A:$C,3,FALSE),"")</f>
        <v/>
      </c>
      <c r="M400" s="19">
        <f>IF(L400="","",IF(I400="","待开奖",IF(ISNUMBER(SEARCH(I400,L400)),"命中","未命中")))</f>
        <v/>
      </c>
      <c r="N400" s="19">
        <f>IFERROR(VLOOKUP(VLOOKUP($B400-1,开奖记录!$A:$L,11,FALSE),八肖参数!$A:$B,2,FALSE),"")</f>
        <v/>
      </c>
      <c r="O400" s="19">
        <f>IF(N400="","",IF(I400="","待开奖",IF(ISNUMBER(SEARCH(I400,N400)),"命中","未命中")))</f>
        <v/>
      </c>
    </row>
    <row r="401">
      <c r="A401" s="19" t="n">
        <v>400</v>
      </c>
      <c r="B401" s="19">
        <f>IF(COUNTA(C401:E401)=0,"",B400+1)</f>
        <v/>
      </c>
      <c r="C401" s="19" t="inlineStr"/>
      <c r="D401" s="19" t="n"/>
      <c r="E401" s="19" t="n"/>
      <c r="F401" s="19">
        <f>IF(COUNTA(D401:E401)=0,"",N(D401)-N(E401))</f>
        <v/>
      </c>
      <c r="G401" s="19">
        <f>IFERROR(VLOOKUP($B401,'开奖记录'!$A:$K,2,FALSE),"")</f>
        <v/>
      </c>
      <c r="H401" s="19">
        <f>IFERROR(VLOOKUP($B401,'开奖记录'!$A:$K,9,FALSE),"")</f>
        <v/>
      </c>
      <c r="I401" s="19">
        <f>IFERROR(VLOOKUP($B401,'开奖记录'!$A:$K,11,FALSE),"")</f>
        <v/>
      </c>
      <c r="J401" s="19">
        <f>IF($B401="","",IF(ISNUMBER($D401),"命中",IF(ISNUMBER($E401),"未命中","")))</f>
        <v/>
      </c>
      <c r="K401" s="19" t="inlineStr"/>
      <c r="L401" s="19">
        <f>IFERROR(TEXT(VLOOKUP($B401-1,开奖记录!$A:$L,3,FALSE),"00")&amp;"+5="&amp;VLOOKUP(MOD(VLOOKUP($B401-1,开奖记录!$A:$L,3,FALSE)+4,49)+1,规律参数!$A:$C,3,FALSE),"")</f>
        <v/>
      </c>
      <c r="M401" s="19">
        <f>IF(L401="","",IF(I401="","待开奖",IF(ISNUMBER(SEARCH(I401,L401)),"命中","未命中")))</f>
        <v/>
      </c>
      <c r="N401" s="19">
        <f>IFERROR(VLOOKUP(VLOOKUP($B401-1,开奖记录!$A:$L,11,FALSE),八肖参数!$A:$B,2,FALSE),"")</f>
        <v/>
      </c>
      <c r="O401" s="19">
        <f>IF(N401="","",IF(I401="","待开奖",IF(ISNUMBER(SEARCH(I401,N401)),"命中","未命中")))</f>
        <v/>
      </c>
    </row>
    <row r="402">
      <c r="A402" s="19" t="n">
        <v>401</v>
      </c>
      <c r="B402" s="19">
        <f>IF(COUNTA(C402:E402)=0,"",B401+1)</f>
        <v/>
      </c>
      <c r="C402" s="19" t="inlineStr"/>
      <c r="D402" s="19" t="n"/>
      <c r="E402" s="19" t="n"/>
      <c r="F402" s="19">
        <f>IF(COUNTA(D402:E402)=0,"",N(D402)-N(E402))</f>
        <v/>
      </c>
      <c r="G402" s="19">
        <f>IFERROR(VLOOKUP($B402,'开奖记录'!$A:$K,2,FALSE),"")</f>
        <v/>
      </c>
      <c r="H402" s="19">
        <f>IFERROR(VLOOKUP($B402,'开奖记录'!$A:$K,9,FALSE),"")</f>
        <v/>
      </c>
      <c r="I402" s="19">
        <f>IFERROR(VLOOKUP($B402,'开奖记录'!$A:$K,11,FALSE),"")</f>
        <v/>
      </c>
      <c r="J402" s="19">
        <f>IF($B402="","",IF(ISNUMBER($D402),"命中",IF(ISNUMBER($E402),"未命中","")))</f>
        <v/>
      </c>
      <c r="K402" s="19" t="inlineStr"/>
      <c r="L402" s="19">
        <f>IFERROR(TEXT(VLOOKUP($B402-1,开奖记录!$A:$L,3,FALSE),"00")&amp;"+5="&amp;VLOOKUP(MOD(VLOOKUP($B402-1,开奖记录!$A:$L,3,FALSE)+4,49)+1,规律参数!$A:$C,3,FALSE),"")</f>
        <v/>
      </c>
      <c r="M402" s="19">
        <f>IF(L402="","",IF(I402="","待开奖",IF(ISNUMBER(SEARCH(I402,L402)),"命中","未命中")))</f>
        <v/>
      </c>
      <c r="N402" s="19">
        <f>IFERROR(VLOOKUP(VLOOKUP($B402-1,开奖记录!$A:$L,11,FALSE),八肖参数!$A:$B,2,FALSE),"")</f>
        <v/>
      </c>
      <c r="O402" s="19">
        <f>IF(N402="","",IF(I402="","待开奖",IF(ISNUMBER(SEARCH(I402,N402)),"命中","未命中")))</f>
        <v/>
      </c>
    </row>
    <row r="403">
      <c r="A403" s="19" t="n">
        <v>402</v>
      </c>
      <c r="B403" s="19">
        <f>IF(COUNTA(C403:E403)=0,"",B402+1)</f>
        <v/>
      </c>
      <c r="C403" s="19" t="inlineStr"/>
      <c r="D403" s="19" t="n"/>
      <c r="E403" s="19" t="n"/>
      <c r="F403" s="19">
        <f>IF(COUNTA(D403:E403)=0,"",N(D403)-N(E403))</f>
        <v/>
      </c>
      <c r="G403" s="19">
        <f>IFERROR(VLOOKUP($B403,'开奖记录'!$A:$K,2,FALSE),"")</f>
        <v/>
      </c>
      <c r="H403" s="19">
        <f>IFERROR(VLOOKUP($B403,'开奖记录'!$A:$K,9,FALSE),"")</f>
        <v/>
      </c>
      <c r="I403" s="19">
        <f>IFERROR(VLOOKUP($B403,'开奖记录'!$A:$K,11,FALSE),"")</f>
        <v/>
      </c>
      <c r="J403" s="19">
        <f>IF($B403="","",IF(ISNUMBER($D403),"命中",IF(ISNUMBER($E403),"未命中","")))</f>
        <v/>
      </c>
      <c r="K403" s="19" t="inlineStr"/>
      <c r="L403" s="19">
        <f>IFERROR(TEXT(VLOOKUP($B403-1,开奖记录!$A:$L,3,FALSE),"00")&amp;"+5="&amp;VLOOKUP(MOD(VLOOKUP($B403-1,开奖记录!$A:$L,3,FALSE)+4,49)+1,规律参数!$A:$C,3,FALSE),"")</f>
        <v/>
      </c>
      <c r="M403" s="19">
        <f>IF(L403="","",IF(I403="","待开奖",IF(ISNUMBER(SEARCH(I403,L403)),"命中","未命中")))</f>
        <v/>
      </c>
      <c r="N403" s="19">
        <f>IFERROR(VLOOKUP(VLOOKUP($B403-1,开奖记录!$A:$L,11,FALSE),八肖参数!$A:$B,2,FALSE),"")</f>
        <v/>
      </c>
      <c r="O403" s="19">
        <f>IF(N403="","",IF(I403="","待开奖",IF(ISNUMBER(SEARCH(I403,N403)),"命中","未命中")))</f>
        <v/>
      </c>
    </row>
    <row r="404">
      <c r="A404" s="19" t="n">
        <v>403</v>
      </c>
      <c r="B404" s="19">
        <f>IF(COUNTA(C404:E404)=0,"",B403+1)</f>
        <v/>
      </c>
      <c r="C404" s="19" t="inlineStr"/>
      <c r="D404" s="19" t="n"/>
      <c r="E404" s="19" t="n"/>
      <c r="F404" s="19">
        <f>IF(COUNTA(D404:E404)=0,"",N(D404)-N(E404))</f>
        <v/>
      </c>
      <c r="G404" s="19">
        <f>IFERROR(VLOOKUP($B404,'开奖记录'!$A:$K,2,FALSE),"")</f>
        <v/>
      </c>
      <c r="H404" s="19">
        <f>IFERROR(VLOOKUP($B404,'开奖记录'!$A:$K,9,FALSE),"")</f>
        <v/>
      </c>
      <c r="I404" s="19">
        <f>IFERROR(VLOOKUP($B404,'开奖记录'!$A:$K,11,FALSE),"")</f>
        <v/>
      </c>
      <c r="J404" s="19">
        <f>IF($B404="","",IF(ISNUMBER($D404),"命中",IF(ISNUMBER($E404),"未命中","")))</f>
        <v/>
      </c>
      <c r="K404" s="19" t="inlineStr"/>
      <c r="L404" s="19">
        <f>IFERROR(TEXT(VLOOKUP($B404-1,开奖记录!$A:$L,3,FALSE),"00")&amp;"+5="&amp;VLOOKUP(MOD(VLOOKUP($B404-1,开奖记录!$A:$L,3,FALSE)+4,49)+1,规律参数!$A:$C,3,FALSE),"")</f>
        <v/>
      </c>
      <c r="M404" s="19">
        <f>IF(L404="","",IF(I404="","待开奖",IF(ISNUMBER(SEARCH(I404,L404)),"命中","未命中")))</f>
        <v/>
      </c>
      <c r="N404" s="19">
        <f>IFERROR(VLOOKUP(VLOOKUP($B404-1,开奖记录!$A:$L,11,FALSE),八肖参数!$A:$B,2,FALSE),"")</f>
        <v/>
      </c>
      <c r="O404" s="19">
        <f>IF(N404="","",IF(I404="","待开奖",IF(ISNUMBER(SEARCH(I404,N404)),"命中","未命中")))</f>
        <v/>
      </c>
    </row>
    <row r="405">
      <c r="A405" s="19" t="n">
        <v>404</v>
      </c>
      <c r="B405" s="19">
        <f>IF(COUNTA(C405:E405)=0,"",B404+1)</f>
        <v/>
      </c>
      <c r="C405" s="19" t="inlineStr"/>
      <c r="D405" s="19" t="n"/>
      <c r="E405" s="19" t="n"/>
      <c r="F405" s="19">
        <f>IF(COUNTA(D405:E405)=0,"",N(D405)-N(E405))</f>
        <v/>
      </c>
      <c r="G405" s="19">
        <f>IFERROR(VLOOKUP($B405,'开奖记录'!$A:$K,2,FALSE),"")</f>
        <v/>
      </c>
      <c r="H405" s="19">
        <f>IFERROR(VLOOKUP($B405,'开奖记录'!$A:$K,9,FALSE),"")</f>
        <v/>
      </c>
      <c r="I405" s="19">
        <f>IFERROR(VLOOKUP($B405,'开奖记录'!$A:$K,11,FALSE),"")</f>
        <v/>
      </c>
      <c r="J405" s="19">
        <f>IF($B405="","",IF(ISNUMBER($D405),"命中",IF(ISNUMBER($E405),"未命中","")))</f>
        <v/>
      </c>
      <c r="K405" s="19" t="inlineStr"/>
      <c r="L405" s="19">
        <f>IFERROR(TEXT(VLOOKUP($B405-1,开奖记录!$A:$L,3,FALSE),"00")&amp;"+5="&amp;VLOOKUP(MOD(VLOOKUP($B405-1,开奖记录!$A:$L,3,FALSE)+4,49)+1,规律参数!$A:$C,3,FALSE),"")</f>
        <v/>
      </c>
      <c r="M405" s="19">
        <f>IF(L405="","",IF(I405="","待开奖",IF(ISNUMBER(SEARCH(I405,L405)),"命中","未命中")))</f>
        <v/>
      </c>
      <c r="N405" s="19">
        <f>IFERROR(VLOOKUP(VLOOKUP($B405-1,开奖记录!$A:$L,11,FALSE),八肖参数!$A:$B,2,FALSE),"")</f>
        <v/>
      </c>
      <c r="O405" s="19">
        <f>IF(N405="","",IF(I405="","待开奖",IF(ISNUMBER(SEARCH(I405,N405)),"命中","未命中")))</f>
        <v/>
      </c>
    </row>
    <row r="406">
      <c r="A406" s="19" t="n">
        <v>405</v>
      </c>
      <c r="B406" s="19">
        <f>IF(COUNTA(C406:E406)=0,"",B405+1)</f>
        <v/>
      </c>
      <c r="C406" s="19" t="inlineStr"/>
      <c r="D406" s="19" t="n"/>
      <c r="E406" s="19" t="n"/>
      <c r="F406" s="19">
        <f>IF(COUNTA(D406:E406)=0,"",N(D406)-N(E406))</f>
        <v/>
      </c>
      <c r="G406" s="19">
        <f>IFERROR(VLOOKUP($B406,'开奖记录'!$A:$K,2,FALSE),"")</f>
        <v/>
      </c>
      <c r="H406" s="19">
        <f>IFERROR(VLOOKUP($B406,'开奖记录'!$A:$K,9,FALSE),"")</f>
        <v/>
      </c>
      <c r="I406" s="19">
        <f>IFERROR(VLOOKUP($B406,'开奖记录'!$A:$K,11,FALSE),"")</f>
        <v/>
      </c>
      <c r="J406" s="19">
        <f>IF($B406="","",IF(ISNUMBER($D406),"命中",IF(ISNUMBER($E406),"未命中","")))</f>
        <v/>
      </c>
      <c r="K406" s="19" t="inlineStr"/>
      <c r="L406" s="19">
        <f>IFERROR(TEXT(VLOOKUP($B406-1,开奖记录!$A:$L,3,FALSE),"00")&amp;"+5="&amp;VLOOKUP(MOD(VLOOKUP($B406-1,开奖记录!$A:$L,3,FALSE)+4,49)+1,规律参数!$A:$C,3,FALSE),"")</f>
        <v/>
      </c>
      <c r="M406" s="19">
        <f>IF(L406="","",IF(I406="","待开奖",IF(ISNUMBER(SEARCH(I406,L406)),"命中","未命中")))</f>
        <v/>
      </c>
      <c r="N406" s="19">
        <f>IFERROR(VLOOKUP(VLOOKUP($B406-1,开奖记录!$A:$L,11,FALSE),八肖参数!$A:$B,2,FALSE),"")</f>
        <v/>
      </c>
      <c r="O406" s="19">
        <f>IF(N406="","",IF(I406="","待开奖",IF(ISNUMBER(SEARCH(I406,N406)),"命中","未命中")))</f>
        <v/>
      </c>
    </row>
    <row r="407">
      <c r="A407" s="19" t="n">
        <v>406</v>
      </c>
      <c r="B407" s="19">
        <f>IF(COUNTA(C407:E407)=0,"",B406+1)</f>
        <v/>
      </c>
      <c r="C407" s="19" t="inlineStr"/>
      <c r="D407" s="19" t="n"/>
      <c r="E407" s="19" t="n"/>
      <c r="F407" s="19">
        <f>IF(COUNTA(D407:E407)=0,"",N(D407)-N(E407))</f>
        <v/>
      </c>
      <c r="G407" s="19">
        <f>IFERROR(VLOOKUP($B407,'开奖记录'!$A:$K,2,FALSE),"")</f>
        <v/>
      </c>
      <c r="H407" s="19">
        <f>IFERROR(VLOOKUP($B407,'开奖记录'!$A:$K,9,FALSE),"")</f>
        <v/>
      </c>
      <c r="I407" s="19">
        <f>IFERROR(VLOOKUP($B407,'开奖记录'!$A:$K,11,FALSE),"")</f>
        <v/>
      </c>
      <c r="J407" s="19">
        <f>IF($B407="","",IF(ISNUMBER($D407),"命中",IF(ISNUMBER($E407),"未命中","")))</f>
        <v/>
      </c>
      <c r="K407" s="19" t="inlineStr"/>
      <c r="L407" s="19">
        <f>IFERROR(TEXT(VLOOKUP($B407-1,开奖记录!$A:$L,3,FALSE),"00")&amp;"+5="&amp;VLOOKUP(MOD(VLOOKUP($B407-1,开奖记录!$A:$L,3,FALSE)+4,49)+1,规律参数!$A:$C,3,FALSE),"")</f>
        <v/>
      </c>
      <c r="M407" s="19">
        <f>IF(L407="","",IF(I407="","待开奖",IF(ISNUMBER(SEARCH(I407,L407)),"命中","未命中")))</f>
        <v/>
      </c>
      <c r="N407" s="19">
        <f>IFERROR(VLOOKUP(VLOOKUP($B407-1,开奖记录!$A:$L,11,FALSE),八肖参数!$A:$B,2,FALSE),"")</f>
        <v/>
      </c>
      <c r="O407" s="19">
        <f>IF(N407="","",IF(I407="","待开奖",IF(ISNUMBER(SEARCH(I407,N407)),"命中","未命中")))</f>
        <v/>
      </c>
    </row>
    <row r="408">
      <c r="A408" s="19" t="n">
        <v>407</v>
      </c>
      <c r="B408" s="19">
        <f>IF(COUNTA(C408:E408)=0,"",B407+1)</f>
        <v/>
      </c>
      <c r="C408" s="19" t="inlineStr"/>
      <c r="D408" s="19" t="n"/>
      <c r="E408" s="19" t="n"/>
      <c r="F408" s="19">
        <f>IF(COUNTA(D408:E408)=0,"",N(D408)-N(E408))</f>
        <v/>
      </c>
      <c r="G408" s="19">
        <f>IFERROR(VLOOKUP($B408,'开奖记录'!$A:$K,2,FALSE),"")</f>
        <v/>
      </c>
      <c r="H408" s="19">
        <f>IFERROR(VLOOKUP($B408,'开奖记录'!$A:$K,9,FALSE),"")</f>
        <v/>
      </c>
      <c r="I408" s="19">
        <f>IFERROR(VLOOKUP($B408,'开奖记录'!$A:$K,11,FALSE),"")</f>
        <v/>
      </c>
      <c r="J408" s="19">
        <f>IF($B408="","",IF(ISNUMBER($D408),"命中",IF(ISNUMBER($E408),"未命中","")))</f>
        <v/>
      </c>
      <c r="K408" s="19" t="inlineStr"/>
      <c r="L408" s="19">
        <f>IFERROR(TEXT(VLOOKUP($B408-1,开奖记录!$A:$L,3,FALSE),"00")&amp;"+5="&amp;VLOOKUP(MOD(VLOOKUP($B408-1,开奖记录!$A:$L,3,FALSE)+4,49)+1,规律参数!$A:$C,3,FALSE),"")</f>
        <v/>
      </c>
      <c r="M408" s="19">
        <f>IF(L408="","",IF(I408="","待开奖",IF(ISNUMBER(SEARCH(I408,L408)),"命中","未命中")))</f>
        <v/>
      </c>
      <c r="N408" s="19">
        <f>IFERROR(VLOOKUP(VLOOKUP($B408-1,开奖记录!$A:$L,11,FALSE),八肖参数!$A:$B,2,FALSE),"")</f>
        <v/>
      </c>
      <c r="O408" s="19">
        <f>IF(N408="","",IF(I408="","待开奖",IF(ISNUMBER(SEARCH(I408,N408)),"命中","未命中")))</f>
        <v/>
      </c>
    </row>
    <row r="409">
      <c r="A409" s="19" t="n">
        <v>408</v>
      </c>
      <c r="B409" s="19">
        <f>IF(COUNTA(C409:E409)=0,"",B408+1)</f>
        <v/>
      </c>
      <c r="C409" s="19" t="inlineStr"/>
      <c r="D409" s="19" t="n"/>
      <c r="E409" s="19" t="n"/>
      <c r="F409" s="19">
        <f>IF(COUNTA(D409:E409)=0,"",N(D409)-N(E409))</f>
        <v/>
      </c>
      <c r="G409" s="19">
        <f>IFERROR(VLOOKUP($B409,'开奖记录'!$A:$K,2,FALSE),"")</f>
        <v/>
      </c>
      <c r="H409" s="19">
        <f>IFERROR(VLOOKUP($B409,'开奖记录'!$A:$K,9,FALSE),"")</f>
        <v/>
      </c>
      <c r="I409" s="19">
        <f>IFERROR(VLOOKUP($B409,'开奖记录'!$A:$K,11,FALSE),"")</f>
        <v/>
      </c>
      <c r="J409" s="19">
        <f>IF($B409="","",IF(ISNUMBER($D409),"命中",IF(ISNUMBER($E409),"未命中","")))</f>
        <v/>
      </c>
      <c r="K409" s="19" t="inlineStr"/>
      <c r="L409" s="19">
        <f>IFERROR(TEXT(VLOOKUP($B409-1,开奖记录!$A:$L,3,FALSE),"00")&amp;"+5="&amp;VLOOKUP(MOD(VLOOKUP($B409-1,开奖记录!$A:$L,3,FALSE)+4,49)+1,规律参数!$A:$C,3,FALSE),"")</f>
        <v/>
      </c>
      <c r="M409" s="19">
        <f>IF(L409="","",IF(I409="","待开奖",IF(ISNUMBER(SEARCH(I409,L409)),"命中","未命中")))</f>
        <v/>
      </c>
      <c r="N409" s="19">
        <f>IFERROR(VLOOKUP(VLOOKUP($B409-1,开奖记录!$A:$L,11,FALSE),八肖参数!$A:$B,2,FALSE),"")</f>
        <v/>
      </c>
      <c r="O409" s="19">
        <f>IF(N409="","",IF(I409="","待开奖",IF(ISNUMBER(SEARCH(I409,N409)),"命中","未命中")))</f>
        <v/>
      </c>
    </row>
    <row r="410">
      <c r="A410" s="19" t="n">
        <v>409</v>
      </c>
      <c r="B410" s="19">
        <f>IF(COUNTA(C410:E410)=0,"",B409+1)</f>
        <v/>
      </c>
      <c r="C410" s="19" t="inlineStr"/>
      <c r="D410" s="19" t="n"/>
      <c r="E410" s="19" t="n"/>
      <c r="F410" s="19">
        <f>IF(COUNTA(D410:E410)=0,"",N(D410)-N(E410))</f>
        <v/>
      </c>
      <c r="G410" s="19">
        <f>IFERROR(VLOOKUP($B410,'开奖记录'!$A:$K,2,FALSE),"")</f>
        <v/>
      </c>
      <c r="H410" s="19">
        <f>IFERROR(VLOOKUP($B410,'开奖记录'!$A:$K,9,FALSE),"")</f>
        <v/>
      </c>
      <c r="I410" s="19">
        <f>IFERROR(VLOOKUP($B410,'开奖记录'!$A:$K,11,FALSE),"")</f>
        <v/>
      </c>
      <c r="J410" s="19">
        <f>IF($B410="","",IF(ISNUMBER($D410),"命中",IF(ISNUMBER($E410),"未命中","")))</f>
        <v/>
      </c>
      <c r="K410" s="19" t="inlineStr"/>
      <c r="L410" s="19">
        <f>IFERROR(TEXT(VLOOKUP($B410-1,开奖记录!$A:$L,3,FALSE),"00")&amp;"+5="&amp;VLOOKUP(MOD(VLOOKUP($B410-1,开奖记录!$A:$L,3,FALSE)+4,49)+1,规律参数!$A:$C,3,FALSE),"")</f>
        <v/>
      </c>
      <c r="M410" s="19">
        <f>IF(L410="","",IF(I410="","待开奖",IF(ISNUMBER(SEARCH(I410,L410)),"命中","未命中")))</f>
        <v/>
      </c>
      <c r="N410" s="19">
        <f>IFERROR(VLOOKUP(VLOOKUP($B410-1,开奖记录!$A:$L,11,FALSE),八肖参数!$A:$B,2,FALSE),"")</f>
        <v/>
      </c>
      <c r="O410" s="19">
        <f>IF(N410="","",IF(I410="","待开奖",IF(ISNUMBER(SEARCH(I410,N410)),"命中","未命中")))</f>
        <v/>
      </c>
    </row>
    <row r="411">
      <c r="A411" s="19" t="n">
        <v>410</v>
      </c>
      <c r="B411" s="19">
        <f>IF(COUNTA(C411:E411)=0,"",B410+1)</f>
        <v/>
      </c>
      <c r="C411" s="19" t="inlineStr"/>
      <c r="D411" s="19" t="n"/>
      <c r="E411" s="19" t="n"/>
      <c r="F411" s="19">
        <f>IF(COUNTA(D411:E411)=0,"",N(D411)-N(E411))</f>
        <v/>
      </c>
      <c r="G411" s="19">
        <f>IFERROR(VLOOKUP($B411,'开奖记录'!$A:$K,2,FALSE),"")</f>
        <v/>
      </c>
      <c r="H411" s="19">
        <f>IFERROR(VLOOKUP($B411,'开奖记录'!$A:$K,9,FALSE),"")</f>
        <v/>
      </c>
      <c r="I411" s="19">
        <f>IFERROR(VLOOKUP($B411,'开奖记录'!$A:$K,11,FALSE),"")</f>
        <v/>
      </c>
      <c r="J411" s="19">
        <f>IF($B411="","",IF(ISNUMBER($D411),"命中",IF(ISNUMBER($E411),"未命中","")))</f>
        <v/>
      </c>
      <c r="K411" s="19" t="inlineStr"/>
      <c r="L411" s="19">
        <f>IFERROR(TEXT(VLOOKUP($B411-1,开奖记录!$A:$L,3,FALSE),"00")&amp;"+5="&amp;VLOOKUP(MOD(VLOOKUP($B411-1,开奖记录!$A:$L,3,FALSE)+4,49)+1,规律参数!$A:$C,3,FALSE),"")</f>
        <v/>
      </c>
      <c r="M411" s="19">
        <f>IF(L411="","",IF(I411="","待开奖",IF(ISNUMBER(SEARCH(I411,L411)),"命中","未命中")))</f>
        <v/>
      </c>
      <c r="N411" s="19">
        <f>IFERROR(VLOOKUP(VLOOKUP($B411-1,开奖记录!$A:$L,11,FALSE),八肖参数!$A:$B,2,FALSE),"")</f>
        <v/>
      </c>
      <c r="O411" s="19">
        <f>IF(N411="","",IF(I411="","待开奖",IF(ISNUMBER(SEARCH(I411,N411)),"命中","未命中")))</f>
        <v/>
      </c>
    </row>
    <row r="412">
      <c r="A412" s="19" t="n">
        <v>411</v>
      </c>
      <c r="B412" s="19">
        <f>IF(COUNTA(C412:E412)=0,"",B411+1)</f>
        <v/>
      </c>
      <c r="C412" s="19" t="inlineStr"/>
      <c r="D412" s="19" t="n"/>
      <c r="E412" s="19" t="n"/>
      <c r="F412" s="19">
        <f>IF(COUNTA(D412:E412)=0,"",N(D412)-N(E412))</f>
        <v/>
      </c>
      <c r="G412" s="19">
        <f>IFERROR(VLOOKUP($B412,'开奖记录'!$A:$K,2,FALSE),"")</f>
        <v/>
      </c>
      <c r="H412" s="19">
        <f>IFERROR(VLOOKUP($B412,'开奖记录'!$A:$K,9,FALSE),"")</f>
        <v/>
      </c>
      <c r="I412" s="19">
        <f>IFERROR(VLOOKUP($B412,'开奖记录'!$A:$K,11,FALSE),"")</f>
        <v/>
      </c>
      <c r="J412" s="19">
        <f>IF($B412="","",IF(ISNUMBER($D412),"命中",IF(ISNUMBER($E412),"未命中","")))</f>
        <v/>
      </c>
      <c r="K412" s="19" t="inlineStr"/>
      <c r="L412" s="19">
        <f>IFERROR(TEXT(VLOOKUP($B412-1,开奖记录!$A:$L,3,FALSE),"00")&amp;"+5="&amp;VLOOKUP(MOD(VLOOKUP($B412-1,开奖记录!$A:$L,3,FALSE)+4,49)+1,规律参数!$A:$C,3,FALSE),"")</f>
        <v/>
      </c>
      <c r="M412" s="19">
        <f>IF(L412="","",IF(I412="","待开奖",IF(ISNUMBER(SEARCH(I412,L412)),"命中","未命中")))</f>
        <v/>
      </c>
      <c r="N412" s="19">
        <f>IFERROR(VLOOKUP(VLOOKUP($B412-1,开奖记录!$A:$L,11,FALSE),八肖参数!$A:$B,2,FALSE),"")</f>
        <v/>
      </c>
      <c r="O412" s="19">
        <f>IF(N412="","",IF(I412="","待开奖",IF(ISNUMBER(SEARCH(I412,N412)),"命中","未命中")))</f>
        <v/>
      </c>
    </row>
    <row r="413">
      <c r="A413" s="19" t="n">
        <v>412</v>
      </c>
      <c r="B413" s="19">
        <f>IF(COUNTA(C413:E413)=0,"",B412+1)</f>
        <v/>
      </c>
      <c r="C413" s="19" t="inlineStr"/>
      <c r="D413" s="19" t="n"/>
      <c r="E413" s="19" t="n"/>
      <c r="F413" s="19">
        <f>IF(COUNTA(D413:E413)=0,"",N(D413)-N(E413))</f>
        <v/>
      </c>
      <c r="G413" s="19">
        <f>IFERROR(VLOOKUP($B413,'开奖记录'!$A:$K,2,FALSE),"")</f>
        <v/>
      </c>
      <c r="H413" s="19">
        <f>IFERROR(VLOOKUP($B413,'开奖记录'!$A:$K,9,FALSE),"")</f>
        <v/>
      </c>
      <c r="I413" s="19">
        <f>IFERROR(VLOOKUP($B413,'开奖记录'!$A:$K,11,FALSE),"")</f>
        <v/>
      </c>
      <c r="J413" s="19">
        <f>IF($B413="","",IF(ISNUMBER($D413),"命中",IF(ISNUMBER($E413),"未命中","")))</f>
        <v/>
      </c>
      <c r="K413" s="19" t="inlineStr"/>
      <c r="L413" s="19">
        <f>IFERROR(TEXT(VLOOKUP($B413-1,开奖记录!$A:$L,3,FALSE),"00")&amp;"+5="&amp;VLOOKUP(MOD(VLOOKUP($B413-1,开奖记录!$A:$L,3,FALSE)+4,49)+1,规律参数!$A:$C,3,FALSE),"")</f>
        <v/>
      </c>
      <c r="M413" s="19">
        <f>IF(L413="","",IF(I413="","待开奖",IF(ISNUMBER(SEARCH(I413,L413)),"命中","未命中")))</f>
        <v/>
      </c>
      <c r="N413" s="19">
        <f>IFERROR(VLOOKUP(VLOOKUP($B413-1,开奖记录!$A:$L,11,FALSE),八肖参数!$A:$B,2,FALSE),"")</f>
        <v/>
      </c>
      <c r="O413" s="19">
        <f>IF(N413="","",IF(I413="","待开奖",IF(ISNUMBER(SEARCH(I413,N413)),"命中","未命中")))</f>
        <v/>
      </c>
    </row>
    <row r="414">
      <c r="A414" s="19" t="n">
        <v>413</v>
      </c>
      <c r="B414" s="19">
        <f>IF(COUNTA(C414:E414)=0,"",B413+1)</f>
        <v/>
      </c>
      <c r="C414" s="19" t="inlineStr"/>
      <c r="D414" s="19" t="n"/>
      <c r="E414" s="19" t="n"/>
      <c r="F414" s="19">
        <f>IF(COUNTA(D414:E414)=0,"",N(D414)-N(E414))</f>
        <v/>
      </c>
      <c r="G414" s="19">
        <f>IFERROR(VLOOKUP($B414,'开奖记录'!$A:$K,2,FALSE),"")</f>
        <v/>
      </c>
      <c r="H414" s="19">
        <f>IFERROR(VLOOKUP($B414,'开奖记录'!$A:$K,9,FALSE),"")</f>
        <v/>
      </c>
      <c r="I414" s="19">
        <f>IFERROR(VLOOKUP($B414,'开奖记录'!$A:$K,11,FALSE),"")</f>
        <v/>
      </c>
      <c r="J414" s="19">
        <f>IF($B414="","",IF(ISNUMBER($D414),"命中",IF(ISNUMBER($E414),"未命中","")))</f>
        <v/>
      </c>
      <c r="K414" s="19" t="inlineStr"/>
      <c r="L414" s="19">
        <f>IFERROR(TEXT(VLOOKUP($B414-1,开奖记录!$A:$L,3,FALSE),"00")&amp;"+5="&amp;VLOOKUP(MOD(VLOOKUP($B414-1,开奖记录!$A:$L,3,FALSE)+4,49)+1,规律参数!$A:$C,3,FALSE),"")</f>
        <v/>
      </c>
      <c r="M414" s="19">
        <f>IF(L414="","",IF(I414="","待开奖",IF(ISNUMBER(SEARCH(I414,L414)),"命中","未命中")))</f>
        <v/>
      </c>
      <c r="N414" s="19">
        <f>IFERROR(VLOOKUP(VLOOKUP($B414-1,开奖记录!$A:$L,11,FALSE),八肖参数!$A:$B,2,FALSE),"")</f>
        <v/>
      </c>
      <c r="O414" s="19">
        <f>IF(N414="","",IF(I414="","待开奖",IF(ISNUMBER(SEARCH(I414,N414)),"命中","未命中")))</f>
        <v/>
      </c>
    </row>
    <row r="415">
      <c r="A415" s="19" t="n">
        <v>414</v>
      </c>
      <c r="B415" s="19">
        <f>IF(COUNTA(C415:E415)=0,"",B414+1)</f>
        <v/>
      </c>
      <c r="C415" s="19" t="inlineStr"/>
      <c r="D415" s="19" t="n"/>
      <c r="E415" s="19" t="n"/>
      <c r="F415" s="19">
        <f>IF(COUNTA(D415:E415)=0,"",N(D415)-N(E415))</f>
        <v/>
      </c>
      <c r="G415" s="19">
        <f>IFERROR(VLOOKUP($B415,'开奖记录'!$A:$K,2,FALSE),"")</f>
        <v/>
      </c>
      <c r="H415" s="19">
        <f>IFERROR(VLOOKUP($B415,'开奖记录'!$A:$K,9,FALSE),"")</f>
        <v/>
      </c>
      <c r="I415" s="19">
        <f>IFERROR(VLOOKUP($B415,'开奖记录'!$A:$K,11,FALSE),"")</f>
        <v/>
      </c>
      <c r="J415" s="19">
        <f>IF($B415="","",IF(ISNUMBER($D415),"命中",IF(ISNUMBER($E415),"未命中","")))</f>
        <v/>
      </c>
      <c r="K415" s="19" t="inlineStr"/>
      <c r="L415" s="19">
        <f>IFERROR(TEXT(VLOOKUP($B415-1,开奖记录!$A:$L,3,FALSE),"00")&amp;"+5="&amp;VLOOKUP(MOD(VLOOKUP($B415-1,开奖记录!$A:$L,3,FALSE)+4,49)+1,规律参数!$A:$C,3,FALSE),"")</f>
        <v/>
      </c>
      <c r="M415" s="19">
        <f>IF(L415="","",IF(I415="","待开奖",IF(ISNUMBER(SEARCH(I415,L415)),"命中","未命中")))</f>
        <v/>
      </c>
      <c r="N415" s="19">
        <f>IFERROR(VLOOKUP(VLOOKUP($B415-1,开奖记录!$A:$L,11,FALSE),八肖参数!$A:$B,2,FALSE),"")</f>
        <v/>
      </c>
      <c r="O415" s="19">
        <f>IF(N415="","",IF(I415="","待开奖",IF(ISNUMBER(SEARCH(I415,N415)),"命中","未命中")))</f>
        <v/>
      </c>
    </row>
    <row r="416">
      <c r="A416" s="19" t="n">
        <v>415</v>
      </c>
      <c r="B416" s="19">
        <f>IF(COUNTA(C416:E416)=0,"",B415+1)</f>
        <v/>
      </c>
      <c r="C416" s="19" t="inlineStr"/>
      <c r="D416" s="19" t="n"/>
      <c r="E416" s="19" t="n"/>
      <c r="F416" s="19">
        <f>IF(COUNTA(D416:E416)=0,"",N(D416)-N(E416))</f>
        <v/>
      </c>
      <c r="G416" s="19">
        <f>IFERROR(VLOOKUP($B416,'开奖记录'!$A:$K,2,FALSE),"")</f>
        <v/>
      </c>
      <c r="H416" s="19">
        <f>IFERROR(VLOOKUP($B416,'开奖记录'!$A:$K,9,FALSE),"")</f>
        <v/>
      </c>
      <c r="I416" s="19">
        <f>IFERROR(VLOOKUP($B416,'开奖记录'!$A:$K,11,FALSE),"")</f>
        <v/>
      </c>
      <c r="J416" s="19">
        <f>IF($B416="","",IF(ISNUMBER($D416),"命中",IF(ISNUMBER($E416),"未命中","")))</f>
        <v/>
      </c>
      <c r="K416" s="19" t="inlineStr"/>
      <c r="L416" s="19">
        <f>IFERROR(TEXT(VLOOKUP($B416-1,开奖记录!$A:$L,3,FALSE),"00")&amp;"+5="&amp;VLOOKUP(MOD(VLOOKUP($B416-1,开奖记录!$A:$L,3,FALSE)+4,49)+1,规律参数!$A:$C,3,FALSE),"")</f>
        <v/>
      </c>
      <c r="M416" s="19">
        <f>IF(L416="","",IF(I416="","待开奖",IF(ISNUMBER(SEARCH(I416,L416)),"命中","未命中")))</f>
        <v/>
      </c>
      <c r="N416" s="19">
        <f>IFERROR(VLOOKUP(VLOOKUP($B416-1,开奖记录!$A:$L,11,FALSE),八肖参数!$A:$B,2,FALSE),"")</f>
        <v/>
      </c>
      <c r="O416" s="19">
        <f>IF(N416="","",IF(I416="","待开奖",IF(ISNUMBER(SEARCH(I416,N416)),"命中","未命中")))</f>
        <v/>
      </c>
    </row>
    <row r="417">
      <c r="A417" s="19" t="n">
        <v>416</v>
      </c>
      <c r="B417" s="19">
        <f>IF(COUNTA(C417:E417)=0,"",B416+1)</f>
        <v/>
      </c>
      <c r="C417" s="19" t="inlineStr"/>
      <c r="D417" s="19" t="n"/>
      <c r="E417" s="19" t="n"/>
      <c r="F417" s="19">
        <f>IF(COUNTA(D417:E417)=0,"",N(D417)-N(E417))</f>
        <v/>
      </c>
      <c r="G417" s="19">
        <f>IFERROR(VLOOKUP($B417,'开奖记录'!$A:$K,2,FALSE),"")</f>
        <v/>
      </c>
      <c r="H417" s="19">
        <f>IFERROR(VLOOKUP($B417,'开奖记录'!$A:$K,9,FALSE),"")</f>
        <v/>
      </c>
      <c r="I417" s="19">
        <f>IFERROR(VLOOKUP($B417,'开奖记录'!$A:$K,11,FALSE),"")</f>
        <v/>
      </c>
      <c r="J417" s="19">
        <f>IF($B417="","",IF(ISNUMBER($D417),"命中",IF(ISNUMBER($E417),"未命中","")))</f>
        <v/>
      </c>
      <c r="K417" s="19" t="inlineStr"/>
      <c r="L417" s="19">
        <f>IFERROR(TEXT(VLOOKUP($B417-1,开奖记录!$A:$L,3,FALSE),"00")&amp;"+5="&amp;VLOOKUP(MOD(VLOOKUP($B417-1,开奖记录!$A:$L,3,FALSE)+4,49)+1,规律参数!$A:$C,3,FALSE),"")</f>
        <v/>
      </c>
      <c r="M417" s="19">
        <f>IF(L417="","",IF(I417="","待开奖",IF(ISNUMBER(SEARCH(I417,L417)),"命中","未命中")))</f>
        <v/>
      </c>
      <c r="N417" s="19">
        <f>IFERROR(VLOOKUP(VLOOKUP($B417-1,开奖记录!$A:$L,11,FALSE),八肖参数!$A:$B,2,FALSE),"")</f>
        <v/>
      </c>
      <c r="O417" s="19">
        <f>IF(N417="","",IF(I417="","待开奖",IF(ISNUMBER(SEARCH(I417,N417)),"命中","未命中")))</f>
        <v/>
      </c>
    </row>
    <row r="418">
      <c r="A418" s="19" t="n">
        <v>417</v>
      </c>
      <c r="B418" s="19">
        <f>IF(COUNTA(C418:E418)=0,"",B417+1)</f>
        <v/>
      </c>
      <c r="C418" s="19" t="inlineStr"/>
      <c r="D418" s="19" t="n"/>
      <c r="E418" s="19" t="n"/>
      <c r="F418" s="19">
        <f>IF(COUNTA(D418:E418)=0,"",N(D418)-N(E418))</f>
        <v/>
      </c>
      <c r="G418" s="19">
        <f>IFERROR(VLOOKUP($B418,'开奖记录'!$A:$K,2,FALSE),"")</f>
        <v/>
      </c>
      <c r="H418" s="19">
        <f>IFERROR(VLOOKUP($B418,'开奖记录'!$A:$K,9,FALSE),"")</f>
        <v/>
      </c>
      <c r="I418" s="19">
        <f>IFERROR(VLOOKUP($B418,'开奖记录'!$A:$K,11,FALSE),"")</f>
        <v/>
      </c>
      <c r="J418" s="19">
        <f>IF($B418="","",IF(ISNUMBER($D418),"命中",IF(ISNUMBER($E418),"未命中","")))</f>
        <v/>
      </c>
      <c r="K418" s="19" t="inlineStr"/>
      <c r="L418" s="19">
        <f>IFERROR(TEXT(VLOOKUP($B418-1,开奖记录!$A:$L,3,FALSE),"00")&amp;"+5="&amp;VLOOKUP(MOD(VLOOKUP($B418-1,开奖记录!$A:$L,3,FALSE)+4,49)+1,规律参数!$A:$C,3,FALSE),"")</f>
        <v/>
      </c>
      <c r="M418" s="19">
        <f>IF(L418="","",IF(I418="","待开奖",IF(ISNUMBER(SEARCH(I418,L418)),"命中","未命中")))</f>
        <v/>
      </c>
      <c r="N418" s="19">
        <f>IFERROR(VLOOKUP(VLOOKUP($B418-1,开奖记录!$A:$L,11,FALSE),八肖参数!$A:$B,2,FALSE),"")</f>
        <v/>
      </c>
      <c r="O418" s="19">
        <f>IF(N418="","",IF(I418="","待开奖",IF(ISNUMBER(SEARCH(I418,N418)),"命中","未命中")))</f>
        <v/>
      </c>
    </row>
    <row r="419">
      <c r="A419" s="19" t="n">
        <v>418</v>
      </c>
      <c r="B419" s="19">
        <f>IF(COUNTA(C419:E419)=0,"",B418+1)</f>
        <v/>
      </c>
      <c r="C419" s="19" t="inlineStr"/>
      <c r="D419" s="19" t="n"/>
      <c r="E419" s="19" t="n"/>
      <c r="F419" s="19">
        <f>IF(COUNTA(D419:E419)=0,"",N(D419)-N(E419))</f>
        <v/>
      </c>
      <c r="G419" s="19">
        <f>IFERROR(VLOOKUP($B419,'开奖记录'!$A:$K,2,FALSE),"")</f>
        <v/>
      </c>
      <c r="H419" s="19">
        <f>IFERROR(VLOOKUP($B419,'开奖记录'!$A:$K,9,FALSE),"")</f>
        <v/>
      </c>
      <c r="I419" s="19">
        <f>IFERROR(VLOOKUP($B419,'开奖记录'!$A:$K,11,FALSE),"")</f>
        <v/>
      </c>
      <c r="J419" s="19">
        <f>IF($B419="","",IF(ISNUMBER($D419),"命中",IF(ISNUMBER($E419),"未命中","")))</f>
        <v/>
      </c>
      <c r="K419" s="19" t="inlineStr"/>
      <c r="L419" s="19">
        <f>IFERROR(TEXT(VLOOKUP($B419-1,开奖记录!$A:$L,3,FALSE),"00")&amp;"+5="&amp;VLOOKUP(MOD(VLOOKUP($B419-1,开奖记录!$A:$L,3,FALSE)+4,49)+1,规律参数!$A:$C,3,FALSE),"")</f>
        <v/>
      </c>
      <c r="M419" s="19">
        <f>IF(L419="","",IF(I419="","待开奖",IF(ISNUMBER(SEARCH(I419,L419)),"命中","未命中")))</f>
        <v/>
      </c>
      <c r="N419" s="19">
        <f>IFERROR(VLOOKUP(VLOOKUP($B419-1,开奖记录!$A:$L,11,FALSE),八肖参数!$A:$B,2,FALSE),"")</f>
        <v/>
      </c>
      <c r="O419" s="19">
        <f>IF(N419="","",IF(I419="","待开奖",IF(ISNUMBER(SEARCH(I419,N419)),"命中","未命中")))</f>
        <v/>
      </c>
    </row>
    <row r="420">
      <c r="A420" s="19" t="n">
        <v>419</v>
      </c>
      <c r="B420" s="19">
        <f>IF(COUNTA(C420:E420)=0,"",B419+1)</f>
        <v/>
      </c>
      <c r="C420" s="19" t="inlineStr"/>
      <c r="D420" s="19" t="n"/>
      <c r="E420" s="19" t="n"/>
      <c r="F420" s="19">
        <f>IF(COUNTA(D420:E420)=0,"",N(D420)-N(E420))</f>
        <v/>
      </c>
      <c r="G420" s="19">
        <f>IFERROR(VLOOKUP($B420,'开奖记录'!$A:$K,2,FALSE),"")</f>
        <v/>
      </c>
      <c r="H420" s="19">
        <f>IFERROR(VLOOKUP($B420,'开奖记录'!$A:$K,9,FALSE),"")</f>
        <v/>
      </c>
      <c r="I420" s="19">
        <f>IFERROR(VLOOKUP($B420,'开奖记录'!$A:$K,11,FALSE),"")</f>
        <v/>
      </c>
      <c r="J420" s="19">
        <f>IF($B420="","",IF(ISNUMBER($D420),"命中",IF(ISNUMBER($E420),"未命中","")))</f>
        <v/>
      </c>
      <c r="K420" s="19" t="inlineStr"/>
      <c r="L420" s="19">
        <f>IFERROR(TEXT(VLOOKUP($B420-1,开奖记录!$A:$L,3,FALSE),"00")&amp;"+5="&amp;VLOOKUP(MOD(VLOOKUP($B420-1,开奖记录!$A:$L,3,FALSE)+4,49)+1,规律参数!$A:$C,3,FALSE),"")</f>
        <v/>
      </c>
      <c r="M420" s="19">
        <f>IF(L420="","",IF(I420="","待开奖",IF(ISNUMBER(SEARCH(I420,L420)),"命中","未命中")))</f>
        <v/>
      </c>
      <c r="N420" s="19">
        <f>IFERROR(VLOOKUP(VLOOKUP($B420-1,开奖记录!$A:$L,11,FALSE),八肖参数!$A:$B,2,FALSE),"")</f>
        <v/>
      </c>
      <c r="O420" s="19">
        <f>IF(N420="","",IF(I420="","待开奖",IF(ISNUMBER(SEARCH(I420,N420)),"命中","未命中")))</f>
        <v/>
      </c>
    </row>
    <row r="421">
      <c r="A421" s="19" t="n">
        <v>420</v>
      </c>
      <c r="B421" s="19">
        <f>IF(COUNTA(C421:E421)=0,"",B420+1)</f>
        <v/>
      </c>
      <c r="C421" s="19" t="inlineStr"/>
      <c r="D421" s="19" t="n"/>
      <c r="E421" s="19" t="n"/>
      <c r="F421" s="19">
        <f>IF(COUNTA(D421:E421)=0,"",N(D421)-N(E421))</f>
        <v/>
      </c>
      <c r="G421" s="19">
        <f>IFERROR(VLOOKUP($B421,'开奖记录'!$A:$K,2,FALSE),"")</f>
        <v/>
      </c>
      <c r="H421" s="19">
        <f>IFERROR(VLOOKUP($B421,'开奖记录'!$A:$K,9,FALSE),"")</f>
        <v/>
      </c>
      <c r="I421" s="19">
        <f>IFERROR(VLOOKUP($B421,'开奖记录'!$A:$K,11,FALSE),"")</f>
        <v/>
      </c>
      <c r="J421" s="19">
        <f>IF($B421="","",IF(ISNUMBER($D421),"命中",IF(ISNUMBER($E421),"未命中","")))</f>
        <v/>
      </c>
      <c r="K421" s="19" t="inlineStr"/>
      <c r="L421" s="19">
        <f>IFERROR(TEXT(VLOOKUP($B421-1,开奖记录!$A:$L,3,FALSE),"00")&amp;"+5="&amp;VLOOKUP(MOD(VLOOKUP($B421-1,开奖记录!$A:$L,3,FALSE)+4,49)+1,规律参数!$A:$C,3,FALSE),"")</f>
        <v/>
      </c>
      <c r="M421" s="19">
        <f>IF(L421="","",IF(I421="","待开奖",IF(ISNUMBER(SEARCH(I421,L421)),"命中","未命中")))</f>
        <v/>
      </c>
      <c r="N421" s="19">
        <f>IFERROR(VLOOKUP(VLOOKUP($B421-1,开奖记录!$A:$L,11,FALSE),八肖参数!$A:$B,2,FALSE),"")</f>
        <v/>
      </c>
      <c r="O421" s="19">
        <f>IF(N421="","",IF(I421="","待开奖",IF(ISNUMBER(SEARCH(I421,N421)),"命中","未命中")))</f>
        <v/>
      </c>
    </row>
    <row r="422">
      <c r="A422" s="19" t="n">
        <v>421</v>
      </c>
      <c r="B422" s="19">
        <f>IF(COUNTA(C422:E422)=0,"",B421+1)</f>
        <v/>
      </c>
      <c r="C422" s="19" t="inlineStr"/>
      <c r="D422" s="19" t="n"/>
      <c r="E422" s="19" t="n"/>
      <c r="F422" s="19">
        <f>IF(COUNTA(D422:E422)=0,"",N(D422)-N(E422))</f>
        <v/>
      </c>
      <c r="G422" s="19">
        <f>IFERROR(VLOOKUP($B422,'开奖记录'!$A:$K,2,FALSE),"")</f>
        <v/>
      </c>
      <c r="H422" s="19">
        <f>IFERROR(VLOOKUP($B422,'开奖记录'!$A:$K,9,FALSE),"")</f>
        <v/>
      </c>
      <c r="I422" s="19">
        <f>IFERROR(VLOOKUP($B422,'开奖记录'!$A:$K,11,FALSE),"")</f>
        <v/>
      </c>
      <c r="J422" s="19">
        <f>IF($B422="","",IF(ISNUMBER($D422),"命中",IF(ISNUMBER($E422),"未命中","")))</f>
        <v/>
      </c>
      <c r="K422" s="19" t="inlineStr"/>
      <c r="L422" s="19">
        <f>IFERROR(TEXT(VLOOKUP($B422-1,开奖记录!$A:$L,3,FALSE),"00")&amp;"+5="&amp;VLOOKUP(MOD(VLOOKUP($B422-1,开奖记录!$A:$L,3,FALSE)+4,49)+1,规律参数!$A:$C,3,FALSE),"")</f>
        <v/>
      </c>
      <c r="M422" s="19">
        <f>IF(L422="","",IF(I422="","待开奖",IF(ISNUMBER(SEARCH(I422,L422)),"命中","未命中")))</f>
        <v/>
      </c>
      <c r="N422" s="19">
        <f>IFERROR(VLOOKUP(VLOOKUP($B422-1,开奖记录!$A:$L,11,FALSE),八肖参数!$A:$B,2,FALSE),"")</f>
        <v/>
      </c>
      <c r="O422" s="19">
        <f>IF(N422="","",IF(I422="","待开奖",IF(ISNUMBER(SEARCH(I422,N422)),"命中","未命中")))</f>
        <v/>
      </c>
    </row>
    <row r="423">
      <c r="A423" s="19" t="n">
        <v>422</v>
      </c>
      <c r="B423" s="19">
        <f>IF(COUNTA(C423:E423)=0,"",B422+1)</f>
        <v/>
      </c>
      <c r="C423" s="19" t="inlineStr"/>
      <c r="D423" s="19" t="n"/>
      <c r="E423" s="19" t="n"/>
      <c r="F423" s="19">
        <f>IF(COUNTA(D423:E423)=0,"",N(D423)-N(E423))</f>
        <v/>
      </c>
      <c r="G423" s="19">
        <f>IFERROR(VLOOKUP($B423,'开奖记录'!$A:$K,2,FALSE),"")</f>
        <v/>
      </c>
      <c r="H423" s="19">
        <f>IFERROR(VLOOKUP($B423,'开奖记录'!$A:$K,9,FALSE),"")</f>
        <v/>
      </c>
      <c r="I423" s="19">
        <f>IFERROR(VLOOKUP($B423,'开奖记录'!$A:$K,11,FALSE),"")</f>
        <v/>
      </c>
      <c r="J423" s="19">
        <f>IF($B423="","",IF(ISNUMBER($D423),"命中",IF(ISNUMBER($E423),"未命中","")))</f>
        <v/>
      </c>
      <c r="K423" s="19" t="inlineStr"/>
      <c r="L423" s="19">
        <f>IFERROR(TEXT(VLOOKUP($B423-1,开奖记录!$A:$L,3,FALSE),"00")&amp;"+5="&amp;VLOOKUP(MOD(VLOOKUP($B423-1,开奖记录!$A:$L,3,FALSE)+4,49)+1,规律参数!$A:$C,3,FALSE),"")</f>
        <v/>
      </c>
      <c r="M423" s="19">
        <f>IF(L423="","",IF(I423="","待开奖",IF(ISNUMBER(SEARCH(I423,L423)),"命中","未命中")))</f>
        <v/>
      </c>
      <c r="N423" s="19">
        <f>IFERROR(VLOOKUP(VLOOKUP($B423-1,开奖记录!$A:$L,11,FALSE),八肖参数!$A:$B,2,FALSE),"")</f>
        <v/>
      </c>
      <c r="O423" s="19">
        <f>IF(N423="","",IF(I423="","待开奖",IF(ISNUMBER(SEARCH(I423,N423)),"命中","未命中")))</f>
        <v/>
      </c>
    </row>
    <row r="424">
      <c r="A424" s="19" t="n">
        <v>423</v>
      </c>
      <c r="B424" s="19">
        <f>IF(COUNTA(C424:E424)=0,"",B423+1)</f>
        <v/>
      </c>
      <c r="C424" s="19" t="inlineStr"/>
      <c r="D424" s="19" t="n"/>
      <c r="E424" s="19" t="n"/>
      <c r="F424" s="19">
        <f>IF(COUNTA(D424:E424)=0,"",N(D424)-N(E424))</f>
        <v/>
      </c>
      <c r="G424" s="19">
        <f>IFERROR(VLOOKUP($B424,'开奖记录'!$A:$K,2,FALSE),"")</f>
        <v/>
      </c>
      <c r="H424" s="19">
        <f>IFERROR(VLOOKUP($B424,'开奖记录'!$A:$K,9,FALSE),"")</f>
        <v/>
      </c>
      <c r="I424" s="19">
        <f>IFERROR(VLOOKUP($B424,'开奖记录'!$A:$K,11,FALSE),"")</f>
        <v/>
      </c>
      <c r="J424" s="19">
        <f>IF($B424="","",IF(ISNUMBER($D424),"命中",IF(ISNUMBER($E424),"未命中","")))</f>
        <v/>
      </c>
      <c r="K424" s="19" t="inlineStr"/>
      <c r="L424" s="19">
        <f>IFERROR(TEXT(VLOOKUP($B424-1,开奖记录!$A:$L,3,FALSE),"00")&amp;"+5="&amp;VLOOKUP(MOD(VLOOKUP($B424-1,开奖记录!$A:$L,3,FALSE)+4,49)+1,规律参数!$A:$C,3,FALSE),"")</f>
        <v/>
      </c>
      <c r="M424" s="19">
        <f>IF(L424="","",IF(I424="","待开奖",IF(ISNUMBER(SEARCH(I424,L424)),"命中","未命中")))</f>
        <v/>
      </c>
      <c r="N424" s="19">
        <f>IFERROR(VLOOKUP(VLOOKUP($B424-1,开奖记录!$A:$L,11,FALSE),八肖参数!$A:$B,2,FALSE),"")</f>
        <v/>
      </c>
      <c r="O424" s="19">
        <f>IF(N424="","",IF(I424="","待开奖",IF(ISNUMBER(SEARCH(I424,N424)),"命中","未命中")))</f>
        <v/>
      </c>
    </row>
    <row r="425">
      <c r="A425" s="19" t="n">
        <v>424</v>
      </c>
      <c r="B425" s="19">
        <f>IF(COUNTA(C425:E425)=0,"",B424+1)</f>
        <v/>
      </c>
      <c r="C425" s="19" t="inlineStr"/>
      <c r="D425" s="19" t="n"/>
      <c r="E425" s="19" t="n"/>
      <c r="F425" s="19">
        <f>IF(COUNTA(D425:E425)=0,"",N(D425)-N(E425))</f>
        <v/>
      </c>
      <c r="G425" s="19">
        <f>IFERROR(VLOOKUP($B425,'开奖记录'!$A:$K,2,FALSE),"")</f>
        <v/>
      </c>
      <c r="H425" s="19">
        <f>IFERROR(VLOOKUP($B425,'开奖记录'!$A:$K,9,FALSE),"")</f>
        <v/>
      </c>
      <c r="I425" s="19">
        <f>IFERROR(VLOOKUP($B425,'开奖记录'!$A:$K,11,FALSE),"")</f>
        <v/>
      </c>
      <c r="J425" s="19">
        <f>IF($B425="","",IF(ISNUMBER($D425),"命中",IF(ISNUMBER($E425),"未命中","")))</f>
        <v/>
      </c>
      <c r="K425" s="19" t="inlineStr"/>
      <c r="L425" s="19">
        <f>IFERROR(TEXT(VLOOKUP($B425-1,开奖记录!$A:$L,3,FALSE),"00")&amp;"+5="&amp;VLOOKUP(MOD(VLOOKUP($B425-1,开奖记录!$A:$L,3,FALSE)+4,49)+1,规律参数!$A:$C,3,FALSE),"")</f>
        <v/>
      </c>
      <c r="M425" s="19">
        <f>IF(L425="","",IF(I425="","待开奖",IF(ISNUMBER(SEARCH(I425,L425)),"命中","未命中")))</f>
        <v/>
      </c>
      <c r="N425" s="19">
        <f>IFERROR(VLOOKUP(VLOOKUP($B425-1,开奖记录!$A:$L,11,FALSE),八肖参数!$A:$B,2,FALSE),"")</f>
        <v/>
      </c>
      <c r="O425" s="19">
        <f>IF(N425="","",IF(I425="","待开奖",IF(ISNUMBER(SEARCH(I425,N425)),"命中","未命中")))</f>
        <v/>
      </c>
    </row>
    <row r="426">
      <c r="A426" s="19" t="n">
        <v>425</v>
      </c>
      <c r="B426" s="19">
        <f>IF(COUNTA(C426:E426)=0,"",B425+1)</f>
        <v/>
      </c>
      <c r="C426" s="19" t="inlineStr"/>
      <c r="D426" s="19" t="n"/>
      <c r="E426" s="19" t="n"/>
      <c r="F426" s="19">
        <f>IF(COUNTA(D426:E426)=0,"",N(D426)-N(E426))</f>
        <v/>
      </c>
      <c r="G426" s="19">
        <f>IFERROR(VLOOKUP($B426,'开奖记录'!$A:$K,2,FALSE),"")</f>
        <v/>
      </c>
      <c r="H426" s="19">
        <f>IFERROR(VLOOKUP($B426,'开奖记录'!$A:$K,9,FALSE),"")</f>
        <v/>
      </c>
      <c r="I426" s="19">
        <f>IFERROR(VLOOKUP($B426,'开奖记录'!$A:$K,11,FALSE),"")</f>
        <v/>
      </c>
      <c r="J426" s="19">
        <f>IF($B426="","",IF(ISNUMBER($D426),"命中",IF(ISNUMBER($E426),"未命中","")))</f>
        <v/>
      </c>
      <c r="K426" s="19" t="inlineStr"/>
      <c r="L426" s="19">
        <f>IFERROR(TEXT(VLOOKUP($B426-1,开奖记录!$A:$L,3,FALSE),"00")&amp;"+5="&amp;VLOOKUP(MOD(VLOOKUP($B426-1,开奖记录!$A:$L,3,FALSE)+4,49)+1,规律参数!$A:$C,3,FALSE),"")</f>
        <v/>
      </c>
      <c r="M426" s="19">
        <f>IF(L426="","",IF(I426="","待开奖",IF(ISNUMBER(SEARCH(I426,L426)),"命中","未命中")))</f>
        <v/>
      </c>
      <c r="N426" s="19">
        <f>IFERROR(VLOOKUP(VLOOKUP($B426-1,开奖记录!$A:$L,11,FALSE),八肖参数!$A:$B,2,FALSE),"")</f>
        <v/>
      </c>
      <c r="O426" s="19">
        <f>IF(N426="","",IF(I426="","待开奖",IF(ISNUMBER(SEARCH(I426,N426)),"命中","未命中")))</f>
        <v/>
      </c>
    </row>
    <row r="427">
      <c r="A427" s="19" t="n">
        <v>426</v>
      </c>
      <c r="B427" s="19">
        <f>IF(COUNTA(C427:E427)=0,"",B426+1)</f>
        <v/>
      </c>
      <c r="C427" s="19" t="inlineStr"/>
      <c r="D427" s="19" t="n"/>
      <c r="E427" s="19" t="n"/>
      <c r="F427" s="19">
        <f>IF(COUNTA(D427:E427)=0,"",N(D427)-N(E427))</f>
        <v/>
      </c>
      <c r="G427" s="19">
        <f>IFERROR(VLOOKUP($B427,'开奖记录'!$A:$K,2,FALSE),"")</f>
        <v/>
      </c>
      <c r="H427" s="19">
        <f>IFERROR(VLOOKUP($B427,'开奖记录'!$A:$K,9,FALSE),"")</f>
        <v/>
      </c>
      <c r="I427" s="19">
        <f>IFERROR(VLOOKUP($B427,'开奖记录'!$A:$K,11,FALSE),"")</f>
        <v/>
      </c>
      <c r="J427" s="19">
        <f>IF($B427="","",IF(ISNUMBER($D427),"命中",IF(ISNUMBER($E427),"未命中","")))</f>
        <v/>
      </c>
      <c r="K427" s="19" t="inlineStr"/>
      <c r="L427" s="19">
        <f>IFERROR(TEXT(VLOOKUP($B427-1,开奖记录!$A:$L,3,FALSE),"00")&amp;"+5="&amp;VLOOKUP(MOD(VLOOKUP($B427-1,开奖记录!$A:$L,3,FALSE)+4,49)+1,规律参数!$A:$C,3,FALSE),"")</f>
        <v/>
      </c>
      <c r="M427" s="19">
        <f>IF(L427="","",IF(I427="","待开奖",IF(ISNUMBER(SEARCH(I427,L427)),"命中","未命中")))</f>
        <v/>
      </c>
      <c r="N427" s="19">
        <f>IFERROR(VLOOKUP(VLOOKUP($B427-1,开奖记录!$A:$L,11,FALSE),八肖参数!$A:$B,2,FALSE),"")</f>
        <v/>
      </c>
      <c r="O427" s="19">
        <f>IF(N427="","",IF(I427="","待开奖",IF(ISNUMBER(SEARCH(I427,N427)),"命中","未命中")))</f>
        <v/>
      </c>
    </row>
    <row r="428">
      <c r="A428" s="19" t="n">
        <v>427</v>
      </c>
      <c r="B428" s="19">
        <f>IF(COUNTA(C428:E428)=0,"",B427+1)</f>
        <v/>
      </c>
      <c r="C428" s="19" t="inlineStr"/>
      <c r="D428" s="19" t="n"/>
      <c r="E428" s="19" t="n"/>
      <c r="F428" s="19">
        <f>IF(COUNTA(D428:E428)=0,"",N(D428)-N(E428))</f>
        <v/>
      </c>
      <c r="G428" s="19">
        <f>IFERROR(VLOOKUP($B428,'开奖记录'!$A:$K,2,FALSE),"")</f>
        <v/>
      </c>
      <c r="H428" s="19">
        <f>IFERROR(VLOOKUP($B428,'开奖记录'!$A:$K,9,FALSE),"")</f>
        <v/>
      </c>
      <c r="I428" s="19">
        <f>IFERROR(VLOOKUP($B428,'开奖记录'!$A:$K,11,FALSE),"")</f>
        <v/>
      </c>
      <c r="J428" s="19">
        <f>IF($B428="","",IF(ISNUMBER($D428),"命中",IF(ISNUMBER($E428),"未命中","")))</f>
        <v/>
      </c>
      <c r="K428" s="19" t="inlineStr"/>
      <c r="L428" s="19">
        <f>IFERROR(TEXT(VLOOKUP($B428-1,开奖记录!$A:$L,3,FALSE),"00")&amp;"+5="&amp;VLOOKUP(MOD(VLOOKUP($B428-1,开奖记录!$A:$L,3,FALSE)+4,49)+1,规律参数!$A:$C,3,FALSE),"")</f>
        <v/>
      </c>
      <c r="M428" s="19">
        <f>IF(L428="","",IF(I428="","待开奖",IF(ISNUMBER(SEARCH(I428,L428)),"命中","未命中")))</f>
        <v/>
      </c>
      <c r="N428" s="19">
        <f>IFERROR(VLOOKUP(VLOOKUP($B428-1,开奖记录!$A:$L,11,FALSE),八肖参数!$A:$B,2,FALSE),"")</f>
        <v/>
      </c>
      <c r="O428" s="19">
        <f>IF(N428="","",IF(I428="","待开奖",IF(ISNUMBER(SEARCH(I428,N428)),"命中","未命中")))</f>
        <v/>
      </c>
    </row>
    <row r="429">
      <c r="A429" s="19" t="n">
        <v>428</v>
      </c>
      <c r="B429" s="19">
        <f>IF(COUNTA(C429:E429)=0,"",B428+1)</f>
        <v/>
      </c>
      <c r="C429" s="19" t="inlineStr"/>
      <c r="D429" s="19" t="n"/>
      <c r="E429" s="19" t="n"/>
      <c r="F429" s="19">
        <f>IF(COUNTA(D429:E429)=0,"",N(D429)-N(E429))</f>
        <v/>
      </c>
      <c r="G429" s="19">
        <f>IFERROR(VLOOKUP($B429,'开奖记录'!$A:$K,2,FALSE),"")</f>
        <v/>
      </c>
      <c r="H429" s="19">
        <f>IFERROR(VLOOKUP($B429,'开奖记录'!$A:$K,9,FALSE),"")</f>
        <v/>
      </c>
      <c r="I429" s="19">
        <f>IFERROR(VLOOKUP($B429,'开奖记录'!$A:$K,11,FALSE),"")</f>
        <v/>
      </c>
      <c r="J429" s="19">
        <f>IF($B429="","",IF(ISNUMBER($D429),"命中",IF(ISNUMBER($E429),"未命中","")))</f>
        <v/>
      </c>
      <c r="K429" s="19" t="inlineStr"/>
      <c r="L429" s="19">
        <f>IFERROR(TEXT(VLOOKUP($B429-1,开奖记录!$A:$L,3,FALSE),"00")&amp;"+5="&amp;VLOOKUP(MOD(VLOOKUP($B429-1,开奖记录!$A:$L,3,FALSE)+4,49)+1,规律参数!$A:$C,3,FALSE),"")</f>
        <v/>
      </c>
      <c r="M429" s="19">
        <f>IF(L429="","",IF(I429="","待开奖",IF(ISNUMBER(SEARCH(I429,L429)),"命中","未命中")))</f>
        <v/>
      </c>
      <c r="N429" s="19">
        <f>IFERROR(VLOOKUP(VLOOKUP($B429-1,开奖记录!$A:$L,11,FALSE),八肖参数!$A:$B,2,FALSE),"")</f>
        <v/>
      </c>
      <c r="O429" s="19">
        <f>IF(N429="","",IF(I429="","待开奖",IF(ISNUMBER(SEARCH(I429,N429)),"命中","未命中")))</f>
        <v/>
      </c>
    </row>
    <row r="430">
      <c r="A430" s="19" t="n">
        <v>429</v>
      </c>
      <c r="B430" s="19">
        <f>IF(COUNTA(C430:E430)=0,"",B429+1)</f>
        <v/>
      </c>
      <c r="C430" s="19" t="inlineStr"/>
      <c r="D430" s="19" t="n"/>
      <c r="E430" s="19" t="n"/>
      <c r="F430" s="19">
        <f>IF(COUNTA(D430:E430)=0,"",N(D430)-N(E430))</f>
        <v/>
      </c>
      <c r="G430" s="19">
        <f>IFERROR(VLOOKUP($B430,'开奖记录'!$A:$K,2,FALSE),"")</f>
        <v/>
      </c>
      <c r="H430" s="19">
        <f>IFERROR(VLOOKUP($B430,'开奖记录'!$A:$K,9,FALSE),"")</f>
        <v/>
      </c>
      <c r="I430" s="19">
        <f>IFERROR(VLOOKUP($B430,'开奖记录'!$A:$K,11,FALSE),"")</f>
        <v/>
      </c>
      <c r="J430" s="19">
        <f>IF($B430="","",IF(ISNUMBER($D430),"命中",IF(ISNUMBER($E430),"未命中","")))</f>
        <v/>
      </c>
      <c r="K430" s="19" t="inlineStr"/>
      <c r="L430" s="19">
        <f>IFERROR(TEXT(VLOOKUP($B430-1,开奖记录!$A:$L,3,FALSE),"00")&amp;"+5="&amp;VLOOKUP(MOD(VLOOKUP($B430-1,开奖记录!$A:$L,3,FALSE)+4,49)+1,规律参数!$A:$C,3,FALSE),"")</f>
        <v/>
      </c>
      <c r="M430" s="19">
        <f>IF(L430="","",IF(I430="","待开奖",IF(ISNUMBER(SEARCH(I430,L430)),"命中","未命中")))</f>
        <v/>
      </c>
      <c r="N430" s="19">
        <f>IFERROR(VLOOKUP(VLOOKUP($B430-1,开奖记录!$A:$L,11,FALSE),八肖参数!$A:$B,2,FALSE),"")</f>
        <v/>
      </c>
      <c r="O430" s="19">
        <f>IF(N430="","",IF(I430="","待开奖",IF(ISNUMBER(SEARCH(I430,N430)),"命中","未命中")))</f>
        <v/>
      </c>
    </row>
    <row r="431">
      <c r="A431" s="19" t="n">
        <v>430</v>
      </c>
      <c r="B431" s="19">
        <f>IF(COUNTA(C431:E431)=0,"",B430+1)</f>
        <v/>
      </c>
      <c r="C431" s="19" t="inlineStr"/>
      <c r="D431" s="19" t="n"/>
      <c r="E431" s="19" t="n"/>
      <c r="F431" s="19">
        <f>IF(COUNTA(D431:E431)=0,"",N(D431)-N(E431))</f>
        <v/>
      </c>
      <c r="G431" s="19">
        <f>IFERROR(VLOOKUP($B431,'开奖记录'!$A:$K,2,FALSE),"")</f>
        <v/>
      </c>
      <c r="H431" s="19">
        <f>IFERROR(VLOOKUP($B431,'开奖记录'!$A:$K,9,FALSE),"")</f>
        <v/>
      </c>
      <c r="I431" s="19">
        <f>IFERROR(VLOOKUP($B431,'开奖记录'!$A:$K,11,FALSE),"")</f>
        <v/>
      </c>
      <c r="J431" s="19">
        <f>IF($B431="","",IF(ISNUMBER($D431),"命中",IF(ISNUMBER($E431),"未命中","")))</f>
        <v/>
      </c>
      <c r="K431" s="19" t="inlineStr"/>
      <c r="L431" s="19">
        <f>IFERROR(TEXT(VLOOKUP($B431-1,开奖记录!$A:$L,3,FALSE),"00")&amp;"+5="&amp;VLOOKUP(MOD(VLOOKUP($B431-1,开奖记录!$A:$L,3,FALSE)+4,49)+1,规律参数!$A:$C,3,FALSE),"")</f>
        <v/>
      </c>
      <c r="M431" s="19">
        <f>IF(L431="","",IF(I431="","待开奖",IF(ISNUMBER(SEARCH(I431,L431)),"命中","未命中")))</f>
        <v/>
      </c>
      <c r="N431" s="19">
        <f>IFERROR(VLOOKUP(VLOOKUP($B431-1,开奖记录!$A:$L,11,FALSE),八肖参数!$A:$B,2,FALSE),"")</f>
        <v/>
      </c>
      <c r="O431" s="19">
        <f>IF(N431="","",IF(I431="","待开奖",IF(ISNUMBER(SEARCH(I431,N431)),"命中","未命中")))</f>
        <v/>
      </c>
    </row>
    <row r="432">
      <c r="A432" s="19" t="n">
        <v>431</v>
      </c>
      <c r="B432" s="19">
        <f>IF(COUNTA(C432:E432)=0,"",B431+1)</f>
        <v/>
      </c>
      <c r="C432" s="19" t="inlineStr"/>
      <c r="D432" s="19" t="n"/>
      <c r="E432" s="19" t="n"/>
      <c r="F432" s="19">
        <f>IF(COUNTA(D432:E432)=0,"",N(D432)-N(E432))</f>
        <v/>
      </c>
      <c r="G432" s="19">
        <f>IFERROR(VLOOKUP($B432,'开奖记录'!$A:$K,2,FALSE),"")</f>
        <v/>
      </c>
      <c r="H432" s="19">
        <f>IFERROR(VLOOKUP($B432,'开奖记录'!$A:$K,9,FALSE),"")</f>
        <v/>
      </c>
      <c r="I432" s="19">
        <f>IFERROR(VLOOKUP($B432,'开奖记录'!$A:$K,11,FALSE),"")</f>
        <v/>
      </c>
      <c r="J432" s="19">
        <f>IF($B432="","",IF(ISNUMBER($D432),"命中",IF(ISNUMBER($E432),"未命中","")))</f>
        <v/>
      </c>
      <c r="K432" s="19" t="inlineStr"/>
      <c r="L432" s="19">
        <f>IFERROR(TEXT(VLOOKUP($B432-1,开奖记录!$A:$L,3,FALSE),"00")&amp;"+5="&amp;VLOOKUP(MOD(VLOOKUP($B432-1,开奖记录!$A:$L,3,FALSE)+4,49)+1,规律参数!$A:$C,3,FALSE),"")</f>
        <v/>
      </c>
      <c r="M432" s="19">
        <f>IF(L432="","",IF(I432="","待开奖",IF(ISNUMBER(SEARCH(I432,L432)),"命中","未命中")))</f>
        <v/>
      </c>
      <c r="N432" s="19">
        <f>IFERROR(VLOOKUP(VLOOKUP($B432-1,开奖记录!$A:$L,11,FALSE),八肖参数!$A:$B,2,FALSE),"")</f>
        <v/>
      </c>
      <c r="O432" s="19">
        <f>IF(N432="","",IF(I432="","待开奖",IF(ISNUMBER(SEARCH(I432,N432)),"命中","未命中")))</f>
        <v/>
      </c>
    </row>
    <row r="433">
      <c r="A433" s="19" t="n">
        <v>432</v>
      </c>
      <c r="B433" s="19">
        <f>IF(COUNTA(C433:E433)=0,"",B432+1)</f>
        <v/>
      </c>
      <c r="C433" s="19" t="inlineStr"/>
      <c r="D433" s="19" t="n"/>
      <c r="E433" s="19" t="n"/>
      <c r="F433" s="19">
        <f>IF(COUNTA(D433:E433)=0,"",N(D433)-N(E433))</f>
        <v/>
      </c>
      <c r="G433" s="19">
        <f>IFERROR(VLOOKUP($B433,'开奖记录'!$A:$K,2,FALSE),"")</f>
        <v/>
      </c>
      <c r="H433" s="19">
        <f>IFERROR(VLOOKUP($B433,'开奖记录'!$A:$K,9,FALSE),"")</f>
        <v/>
      </c>
      <c r="I433" s="19">
        <f>IFERROR(VLOOKUP($B433,'开奖记录'!$A:$K,11,FALSE),"")</f>
        <v/>
      </c>
      <c r="J433" s="19">
        <f>IF($B433="","",IF(ISNUMBER($D433),"命中",IF(ISNUMBER($E433),"未命中","")))</f>
        <v/>
      </c>
      <c r="K433" s="19" t="inlineStr"/>
      <c r="L433" s="19">
        <f>IFERROR(TEXT(VLOOKUP($B433-1,开奖记录!$A:$L,3,FALSE),"00")&amp;"+5="&amp;VLOOKUP(MOD(VLOOKUP($B433-1,开奖记录!$A:$L,3,FALSE)+4,49)+1,规律参数!$A:$C,3,FALSE),"")</f>
        <v/>
      </c>
      <c r="M433" s="19">
        <f>IF(L433="","",IF(I433="","待开奖",IF(ISNUMBER(SEARCH(I433,L433)),"命中","未命中")))</f>
        <v/>
      </c>
      <c r="N433" s="19">
        <f>IFERROR(VLOOKUP(VLOOKUP($B433-1,开奖记录!$A:$L,11,FALSE),八肖参数!$A:$B,2,FALSE),"")</f>
        <v/>
      </c>
      <c r="O433" s="19">
        <f>IF(N433="","",IF(I433="","待开奖",IF(ISNUMBER(SEARCH(I433,N433)),"命中","未命中")))</f>
        <v/>
      </c>
    </row>
    <row r="434">
      <c r="A434" s="19" t="n">
        <v>433</v>
      </c>
      <c r="B434" s="19">
        <f>IF(COUNTA(C434:E434)=0,"",B433+1)</f>
        <v/>
      </c>
      <c r="C434" s="19" t="inlineStr"/>
      <c r="D434" s="19" t="n"/>
      <c r="E434" s="19" t="n"/>
      <c r="F434" s="19">
        <f>IF(COUNTA(D434:E434)=0,"",N(D434)-N(E434))</f>
        <v/>
      </c>
      <c r="G434" s="19">
        <f>IFERROR(VLOOKUP($B434,'开奖记录'!$A:$K,2,FALSE),"")</f>
        <v/>
      </c>
      <c r="H434" s="19">
        <f>IFERROR(VLOOKUP($B434,'开奖记录'!$A:$K,9,FALSE),"")</f>
        <v/>
      </c>
      <c r="I434" s="19">
        <f>IFERROR(VLOOKUP($B434,'开奖记录'!$A:$K,11,FALSE),"")</f>
        <v/>
      </c>
      <c r="J434" s="19">
        <f>IF($B434="","",IF(ISNUMBER($D434),"命中",IF(ISNUMBER($E434),"未命中","")))</f>
        <v/>
      </c>
      <c r="K434" s="19" t="inlineStr"/>
      <c r="L434" s="19">
        <f>IFERROR(TEXT(VLOOKUP($B434-1,开奖记录!$A:$L,3,FALSE),"00")&amp;"+5="&amp;VLOOKUP(MOD(VLOOKUP($B434-1,开奖记录!$A:$L,3,FALSE)+4,49)+1,规律参数!$A:$C,3,FALSE),"")</f>
        <v/>
      </c>
      <c r="M434" s="19">
        <f>IF(L434="","",IF(I434="","待开奖",IF(ISNUMBER(SEARCH(I434,L434)),"命中","未命中")))</f>
        <v/>
      </c>
      <c r="N434" s="19">
        <f>IFERROR(VLOOKUP(VLOOKUP($B434-1,开奖记录!$A:$L,11,FALSE),八肖参数!$A:$B,2,FALSE),"")</f>
        <v/>
      </c>
      <c r="O434" s="19">
        <f>IF(N434="","",IF(I434="","待开奖",IF(ISNUMBER(SEARCH(I434,N434)),"命中","未命中")))</f>
        <v/>
      </c>
    </row>
    <row r="435">
      <c r="A435" s="19" t="n">
        <v>434</v>
      </c>
      <c r="B435" s="19">
        <f>IF(COUNTA(C435:E435)=0,"",B434+1)</f>
        <v/>
      </c>
      <c r="C435" s="19" t="inlineStr"/>
      <c r="D435" s="19" t="n"/>
      <c r="E435" s="19" t="n"/>
      <c r="F435" s="19">
        <f>IF(COUNTA(D435:E435)=0,"",N(D435)-N(E435))</f>
        <v/>
      </c>
      <c r="G435" s="19">
        <f>IFERROR(VLOOKUP($B435,'开奖记录'!$A:$K,2,FALSE),"")</f>
        <v/>
      </c>
      <c r="H435" s="19">
        <f>IFERROR(VLOOKUP($B435,'开奖记录'!$A:$K,9,FALSE),"")</f>
        <v/>
      </c>
      <c r="I435" s="19">
        <f>IFERROR(VLOOKUP($B435,'开奖记录'!$A:$K,11,FALSE),"")</f>
        <v/>
      </c>
      <c r="J435" s="19">
        <f>IF($B435="","",IF(ISNUMBER($D435),"命中",IF(ISNUMBER($E435),"未命中","")))</f>
        <v/>
      </c>
      <c r="K435" s="19" t="inlineStr"/>
      <c r="L435" s="19">
        <f>IFERROR(TEXT(VLOOKUP($B435-1,开奖记录!$A:$L,3,FALSE),"00")&amp;"+5="&amp;VLOOKUP(MOD(VLOOKUP($B435-1,开奖记录!$A:$L,3,FALSE)+4,49)+1,规律参数!$A:$C,3,FALSE),"")</f>
        <v/>
      </c>
      <c r="M435" s="19">
        <f>IF(L435="","",IF(I435="","待开奖",IF(ISNUMBER(SEARCH(I435,L435)),"命中","未命中")))</f>
        <v/>
      </c>
      <c r="N435" s="19">
        <f>IFERROR(VLOOKUP(VLOOKUP($B435-1,开奖记录!$A:$L,11,FALSE),八肖参数!$A:$B,2,FALSE),"")</f>
        <v/>
      </c>
      <c r="O435" s="19">
        <f>IF(N435="","",IF(I435="","待开奖",IF(ISNUMBER(SEARCH(I435,N435)),"命中","未命中")))</f>
        <v/>
      </c>
    </row>
    <row r="436">
      <c r="A436" s="19" t="n">
        <v>435</v>
      </c>
      <c r="B436" s="19">
        <f>IF(COUNTA(C436:E436)=0,"",B435+1)</f>
        <v/>
      </c>
      <c r="C436" s="19" t="inlineStr"/>
      <c r="D436" s="19" t="n"/>
      <c r="E436" s="19" t="n"/>
      <c r="F436" s="19">
        <f>IF(COUNTA(D436:E436)=0,"",N(D436)-N(E436))</f>
        <v/>
      </c>
      <c r="G436" s="19">
        <f>IFERROR(VLOOKUP($B436,'开奖记录'!$A:$K,2,FALSE),"")</f>
        <v/>
      </c>
      <c r="H436" s="19">
        <f>IFERROR(VLOOKUP($B436,'开奖记录'!$A:$K,9,FALSE),"")</f>
        <v/>
      </c>
      <c r="I436" s="19">
        <f>IFERROR(VLOOKUP($B436,'开奖记录'!$A:$K,11,FALSE),"")</f>
        <v/>
      </c>
      <c r="J436" s="19">
        <f>IF($B436="","",IF(ISNUMBER($D436),"命中",IF(ISNUMBER($E436),"未命中","")))</f>
        <v/>
      </c>
      <c r="K436" s="19" t="inlineStr"/>
      <c r="L436" s="19">
        <f>IFERROR(TEXT(VLOOKUP($B436-1,开奖记录!$A:$L,3,FALSE),"00")&amp;"+5="&amp;VLOOKUP(MOD(VLOOKUP($B436-1,开奖记录!$A:$L,3,FALSE)+4,49)+1,规律参数!$A:$C,3,FALSE),"")</f>
        <v/>
      </c>
      <c r="M436" s="19">
        <f>IF(L436="","",IF(I436="","待开奖",IF(ISNUMBER(SEARCH(I436,L436)),"命中","未命中")))</f>
        <v/>
      </c>
      <c r="N436" s="19">
        <f>IFERROR(VLOOKUP(VLOOKUP($B436-1,开奖记录!$A:$L,11,FALSE),八肖参数!$A:$B,2,FALSE),"")</f>
        <v/>
      </c>
      <c r="O436" s="19">
        <f>IF(N436="","",IF(I436="","待开奖",IF(ISNUMBER(SEARCH(I436,N436)),"命中","未命中")))</f>
        <v/>
      </c>
    </row>
    <row r="437">
      <c r="A437" s="19" t="n">
        <v>436</v>
      </c>
      <c r="B437" s="19">
        <f>IF(COUNTA(C437:E437)=0,"",B436+1)</f>
        <v/>
      </c>
      <c r="C437" s="19" t="inlineStr"/>
      <c r="D437" s="19" t="n"/>
      <c r="E437" s="19" t="n"/>
      <c r="F437" s="19">
        <f>IF(COUNTA(D437:E437)=0,"",N(D437)-N(E437))</f>
        <v/>
      </c>
      <c r="G437" s="19">
        <f>IFERROR(VLOOKUP($B437,'开奖记录'!$A:$K,2,FALSE),"")</f>
        <v/>
      </c>
      <c r="H437" s="19">
        <f>IFERROR(VLOOKUP($B437,'开奖记录'!$A:$K,9,FALSE),"")</f>
        <v/>
      </c>
      <c r="I437" s="19">
        <f>IFERROR(VLOOKUP($B437,'开奖记录'!$A:$K,11,FALSE),"")</f>
        <v/>
      </c>
      <c r="J437" s="19">
        <f>IF($B437="","",IF(ISNUMBER($D437),"命中",IF(ISNUMBER($E437),"未命中","")))</f>
        <v/>
      </c>
      <c r="K437" s="19" t="inlineStr"/>
      <c r="L437" s="19">
        <f>IFERROR(TEXT(VLOOKUP($B437-1,开奖记录!$A:$L,3,FALSE),"00")&amp;"+5="&amp;VLOOKUP(MOD(VLOOKUP($B437-1,开奖记录!$A:$L,3,FALSE)+4,49)+1,规律参数!$A:$C,3,FALSE),"")</f>
        <v/>
      </c>
      <c r="M437" s="19">
        <f>IF(L437="","",IF(I437="","待开奖",IF(ISNUMBER(SEARCH(I437,L437)),"命中","未命中")))</f>
        <v/>
      </c>
      <c r="N437" s="19">
        <f>IFERROR(VLOOKUP(VLOOKUP($B437-1,开奖记录!$A:$L,11,FALSE),八肖参数!$A:$B,2,FALSE),"")</f>
        <v/>
      </c>
      <c r="O437" s="19">
        <f>IF(N437="","",IF(I437="","待开奖",IF(ISNUMBER(SEARCH(I437,N437)),"命中","未命中")))</f>
        <v/>
      </c>
    </row>
    <row r="438">
      <c r="A438" s="19" t="n">
        <v>437</v>
      </c>
      <c r="B438" s="19">
        <f>IF(COUNTA(C438:E438)=0,"",B437+1)</f>
        <v/>
      </c>
      <c r="C438" s="19" t="inlineStr"/>
      <c r="D438" s="19" t="n"/>
      <c r="E438" s="19" t="n"/>
      <c r="F438" s="19">
        <f>IF(COUNTA(D438:E438)=0,"",N(D438)-N(E438))</f>
        <v/>
      </c>
      <c r="G438" s="19">
        <f>IFERROR(VLOOKUP($B438,'开奖记录'!$A:$K,2,FALSE),"")</f>
        <v/>
      </c>
      <c r="H438" s="19">
        <f>IFERROR(VLOOKUP($B438,'开奖记录'!$A:$K,9,FALSE),"")</f>
        <v/>
      </c>
      <c r="I438" s="19">
        <f>IFERROR(VLOOKUP($B438,'开奖记录'!$A:$K,11,FALSE),"")</f>
        <v/>
      </c>
      <c r="J438" s="19">
        <f>IF($B438="","",IF(ISNUMBER($D438),"命中",IF(ISNUMBER($E438),"未命中","")))</f>
        <v/>
      </c>
      <c r="K438" s="19" t="inlineStr"/>
      <c r="L438" s="19">
        <f>IFERROR(TEXT(VLOOKUP($B438-1,开奖记录!$A:$L,3,FALSE),"00")&amp;"+5="&amp;VLOOKUP(MOD(VLOOKUP($B438-1,开奖记录!$A:$L,3,FALSE)+4,49)+1,规律参数!$A:$C,3,FALSE),"")</f>
        <v/>
      </c>
      <c r="M438" s="19">
        <f>IF(L438="","",IF(I438="","待开奖",IF(ISNUMBER(SEARCH(I438,L438)),"命中","未命中")))</f>
        <v/>
      </c>
      <c r="N438" s="19">
        <f>IFERROR(VLOOKUP(VLOOKUP($B438-1,开奖记录!$A:$L,11,FALSE),八肖参数!$A:$B,2,FALSE),"")</f>
        <v/>
      </c>
      <c r="O438" s="19">
        <f>IF(N438="","",IF(I438="","待开奖",IF(ISNUMBER(SEARCH(I438,N438)),"命中","未命中")))</f>
        <v/>
      </c>
    </row>
    <row r="439">
      <c r="A439" s="19" t="n">
        <v>438</v>
      </c>
      <c r="B439" s="19">
        <f>IF(COUNTA(C439:E439)=0,"",B438+1)</f>
        <v/>
      </c>
      <c r="C439" s="19" t="inlineStr"/>
      <c r="D439" s="19" t="n"/>
      <c r="E439" s="19" t="n"/>
      <c r="F439" s="19">
        <f>IF(COUNTA(D439:E439)=0,"",N(D439)-N(E439))</f>
        <v/>
      </c>
      <c r="G439" s="19">
        <f>IFERROR(VLOOKUP($B439,'开奖记录'!$A:$K,2,FALSE),"")</f>
        <v/>
      </c>
      <c r="H439" s="19">
        <f>IFERROR(VLOOKUP($B439,'开奖记录'!$A:$K,9,FALSE),"")</f>
        <v/>
      </c>
      <c r="I439" s="19">
        <f>IFERROR(VLOOKUP($B439,'开奖记录'!$A:$K,11,FALSE),"")</f>
        <v/>
      </c>
      <c r="J439" s="19">
        <f>IF($B439="","",IF(ISNUMBER($D439),"命中",IF(ISNUMBER($E439),"未命中","")))</f>
        <v/>
      </c>
      <c r="K439" s="19" t="inlineStr"/>
      <c r="L439" s="19">
        <f>IFERROR(TEXT(VLOOKUP($B439-1,开奖记录!$A:$L,3,FALSE),"00")&amp;"+5="&amp;VLOOKUP(MOD(VLOOKUP($B439-1,开奖记录!$A:$L,3,FALSE)+4,49)+1,规律参数!$A:$C,3,FALSE),"")</f>
        <v/>
      </c>
      <c r="M439" s="19">
        <f>IF(L439="","",IF(I439="","待开奖",IF(ISNUMBER(SEARCH(I439,L439)),"命中","未命中")))</f>
        <v/>
      </c>
      <c r="N439" s="19">
        <f>IFERROR(VLOOKUP(VLOOKUP($B439-1,开奖记录!$A:$L,11,FALSE),八肖参数!$A:$B,2,FALSE),"")</f>
        <v/>
      </c>
      <c r="O439" s="19">
        <f>IF(N439="","",IF(I439="","待开奖",IF(ISNUMBER(SEARCH(I439,N439)),"命中","未命中")))</f>
        <v/>
      </c>
    </row>
    <row r="440">
      <c r="A440" s="19" t="n">
        <v>439</v>
      </c>
      <c r="B440" s="19">
        <f>IF(COUNTA(C440:E440)=0,"",B439+1)</f>
        <v/>
      </c>
      <c r="C440" s="19" t="inlineStr"/>
      <c r="D440" s="19" t="n"/>
      <c r="E440" s="19" t="n"/>
      <c r="F440" s="19">
        <f>IF(COUNTA(D440:E440)=0,"",N(D440)-N(E440))</f>
        <v/>
      </c>
      <c r="G440" s="19">
        <f>IFERROR(VLOOKUP($B440,'开奖记录'!$A:$K,2,FALSE),"")</f>
        <v/>
      </c>
      <c r="H440" s="19">
        <f>IFERROR(VLOOKUP($B440,'开奖记录'!$A:$K,9,FALSE),"")</f>
        <v/>
      </c>
      <c r="I440" s="19">
        <f>IFERROR(VLOOKUP($B440,'开奖记录'!$A:$K,11,FALSE),"")</f>
        <v/>
      </c>
      <c r="J440" s="19">
        <f>IF($B440="","",IF(ISNUMBER($D440),"命中",IF(ISNUMBER($E440),"未命中","")))</f>
        <v/>
      </c>
      <c r="K440" s="19" t="inlineStr"/>
      <c r="L440" s="19">
        <f>IFERROR(TEXT(VLOOKUP($B440-1,开奖记录!$A:$L,3,FALSE),"00")&amp;"+5="&amp;VLOOKUP(MOD(VLOOKUP($B440-1,开奖记录!$A:$L,3,FALSE)+4,49)+1,规律参数!$A:$C,3,FALSE),"")</f>
        <v/>
      </c>
      <c r="M440" s="19">
        <f>IF(L440="","",IF(I440="","待开奖",IF(ISNUMBER(SEARCH(I440,L440)),"命中","未命中")))</f>
        <v/>
      </c>
      <c r="N440" s="19">
        <f>IFERROR(VLOOKUP(VLOOKUP($B440-1,开奖记录!$A:$L,11,FALSE),八肖参数!$A:$B,2,FALSE),"")</f>
        <v/>
      </c>
      <c r="O440" s="19">
        <f>IF(N440="","",IF(I440="","待开奖",IF(ISNUMBER(SEARCH(I440,N440)),"命中","未命中")))</f>
        <v/>
      </c>
    </row>
    <row r="441">
      <c r="A441" s="19" t="n">
        <v>440</v>
      </c>
      <c r="B441" s="19">
        <f>IF(COUNTA(C441:E441)=0,"",B440+1)</f>
        <v/>
      </c>
      <c r="C441" s="19" t="inlineStr"/>
      <c r="D441" s="19" t="n"/>
      <c r="E441" s="19" t="n"/>
      <c r="F441" s="19">
        <f>IF(COUNTA(D441:E441)=0,"",N(D441)-N(E441))</f>
        <v/>
      </c>
      <c r="G441" s="19">
        <f>IFERROR(VLOOKUP($B441,'开奖记录'!$A:$K,2,FALSE),"")</f>
        <v/>
      </c>
      <c r="H441" s="19">
        <f>IFERROR(VLOOKUP($B441,'开奖记录'!$A:$K,9,FALSE),"")</f>
        <v/>
      </c>
      <c r="I441" s="19">
        <f>IFERROR(VLOOKUP($B441,'开奖记录'!$A:$K,11,FALSE),"")</f>
        <v/>
      </c>
      <c r="J441" s="19">
        <f>IF($B441="","",IF(ISNUMBER($D441),"命中",IF(ISNUMBER($E441),"未命中","")))</f>
        <v/>
      </c>
      <c r="K441" s="19" t="inlineStr"/>
      <c r="L441" s="19">
        <f>IFERROR(TEXT(VLOOKUP($B441-1,开奖记录!$A:$L,3,FALSE),"00")&amp;"+5="&amp;VLOOKUP(MOD(VLOOKUP($B441-1,开奖记录!$A:$L,3,FALSE)+4,49)+1,规律参数!$A:$C,3,FALSE),"")</f>
        <v/>
      </c>
      <c r="M441" s="19">
        <f>IF(L441="","",IF(I441="","待开奖",IF(ISNUMBER(SEARCH(I441,L441)),"命中","未命中")))</f>
        <v/>
      </c>
      <c r="N441" s="19">
        <f>IFERROR(VLOOKUP(VLOOKUP($B441-1,开奖记录!$A:$L,11,FALSE),八肖参数!$A:$B,2,FALSE),"")</f>
        <v/>
      </c>
      <c r="O441" s="19">
        <f>IF(N441="","",IF(I441="","待开奖",IF(ISNUMBER(SEARCH(I441,N441)),"命中","未命中")))</f>
        <v/>
      </c>
    </row>
    <row r="442">
      <c r="A442" s="19" t="n">
        <v>441</v>
      </c>
      <c r="B442" s="19">
        <f>IF(COUNTA(C442:E442)=0,"",B441+1)</f>
        <v/>
      </c>
      <c r="C442" s="19" t="inlineStr"/>
      <c r="D442" s="19" t="n"/>
      <c r="E442" s="19" t="n"/>
      <c r="F442" s="19">
        <f>IF(COUNTA(D442:E442)=0,"",N(D442)-N(E442))</f>
        <v/>
      </c>
      <c r="G442" s="19">
        <f>IFERROR(VLOOKUP($B442,'开奖记录'!$A:$K,2,FALSE),"")</f>
        <v/>
      </c>
      <c r="H442" s="19">
        <f>IFERROR(VLOOKUP($B442,'开奖记录'!$A:$K,9,FALSE),"")</f>
        <v/>
      </c>
      <c r="I442" s="19">
        <f>IFERROR(VLOOKUP($B442,'开奖记录'!$A:$K,11,FALSE),"")</f>
        <v/>
      </c>
      <c r="J442" s="19">
        <f>IF($B442="","",IF(ISNUMBER($D442),"命中",IF(ISNUMBER($E442),"未命中","")))</f>
        <v/>
      </c>
      <c r="K442" s="19" t="inlineStr"/>
      <c r="L442" s="19">
        <f>IFERROR(TEXT(VLOOKUP($B442-1,开奖记录!$A:$L,3,FALSE),"00")&amp;"+5="&amp;VLOOKUP(MOD(VLOOKUP($B442-1,开奖记录!$A:$L,3,FALSE)+4,49)+1,规律参数!$A:$C,3,FALSE),"")</f>
        <v/>
      </c>
      <c r="M442" s="19">
        <f>IF(L442="","",IF(I442="","待开奖",IF(ISNUMBER(SEARCH(I442,L442)),"命中","未命中")))</f>
        <v/>
      </c>
      <c r="N442" s="19">
        <f>IFERROR(VLOOKUP(VLOOKUP($B442-1,开奖记录!$A:$L,11,FALSE),八肖参数!$A:$B,2,FALSE),"")</f>
        <v/>
      </c>
      <c r="O442" s="19">
        <f>IF(N442="","",IF(I442="","待开奖",IF(ISNUMBER(SEARCH(I442,N442)),"命中","未命中")))</f>
        <v/>
      </c>
    </row>
    <row r="443">
      <c r="A443" s="19" t="n">
        <v>442</v>
      </c>
      <c r="B443" s="19">
        <f>IF(COUNTA(C443:E443)=0,"",B442+1)</f>
        <v/>
      </c>
      <c r="C443" s="19" t="inlineStr"/>
      <c r="D443" s="19" t="n"/>
      <c r="E443" s="19" t="n"/>
      <c r="F443" s="19">
        <f>IF(COUNTA(D443:E443)=0,"",N(D443)-N(E443))</f>
        <v/>
      </c>
      <c r="G443" s="19">
        <f>IFERROR(VLOOKUP($B443,'开奖记录'!$A:$K,2,FALSE),"")</f>
        <v/>
      </c>
      <c r="H443" s="19">
        <f>IFERROR(VLOOKUP($B443,'开奖记录'!$A:$K,9,FALSE),"")</f>
        <v/>
      </c>
      <c r="I443" s="19">
        <f>IFERROR(VLOOKUP($B443,'开奖记录'!$A:$K,11,FALSE),"")</f>
        <v/>
      </c>
      <c r="J443" s="19">
        <f>IF($B443="","",IF(ISNUMBER($D443),"命中",IF(ISNUMBER($E443),"未命中","")))</f>
        <v/>
      </c>
      <c r="K443" s="19" t="inlineStr"/>
      <c r="L443" s="19">
        <f>IFERROR(TEXT(VLOOKUP($B443-1,开奖记录!$A:$L,3,FALSE),"00")&amp;"+5="&amp;VLOOKUP(MOD(VLOOKUP($B443-1,开奖记录!$A:$L,3,FALSE)+4,49)+1,规律参数!$A:$C,3,FALSE),"")</f>
        <v/>
      </c>
      <c r="M443" s="19">
        <f>IF(L443="","",IF(I443="","待开奖",IF(ISNUMBER(SEARCH(I443,L443)),"命中","未命中")))</f>
        <v/>
      </c>
      <c r="N443" s="19">
        <f>IFERROR(VLOOKUP(VLOOKUP($B443-1,开奖记录!$A:$L,11,FALSE),八肖参数!$A:$B,2,FALSE),"")</f>
        <v/>
      </c>
      <c r="O443" s="19">
        <f>IF(N443="","",IF(I443="","待开奖",IF(ISNUMBER(SEARCH(I443,N443)),"命中","未命中")))</f>
        <v/>
      </c>
    </row>
    <row r="444">
      <c r="A444" s="19" t="n">
        <v>443</v>
      </c>
      <c r="B444" s="19">
        <f>IF(COUNTA(C444:E444)=0,"",B443+1)</f>
        <v/>
      </c>
      <c r="C444" s="19" t="inlineStr"/>
      <c r="D444" s="19" t="n"/>
      <c r="E444" s="19" t="n"/>
      <c r="F444" s="19">
        <f>IF(COUNTA(D444:E444)=0,"",N(D444)-N(E444))</f>
        <v/>
      </c>
      <c r="G444" s="19">
        <f>IFERROR(VLOOKUP($B444,'开奖记录'!$A:$K,2,FALSE),"")</f>
        <v/>
      </c>
      <c r="H444" s="19">
        <f>IFERROR(VLOOKUP($B444,'开奖记录'!$A:$K,9,FALSE),"")</f>
        <v/>
      </c>
      <c r="I444" s="19">
        <f>IFERROR(VLOOKUP($B444,'开奖记录'!$A:$K,11,FALSE),"")</f>
        <v/>
      </c>
      <c r="J444" s="19">
        <f>IF($B444="","",IF(ISNUMBER($D444),"命中",IF(ISNUMBER($E444),"未命中","")))</f>
        <v/>
      </c>
      <c r="K444" s="19" t="inlineStr"/>
      <c r="L444" s="19">
        <f>IFERROR(TEXT(VLOOKUP($B444-1,开奖记录!$A:$L,3,FALSE),"00")&amp;"+5="&amp;VLOOKUP(MOD(VLOOKUP($B444-1,开奖记录!$A:$L,3,FALSE)+4,49)+1,规律参数!$A:$C,3,FALSE),"")</f>
        <v/>
      </c>
      <c r="M444" s="19">
        <f>IF(L444="","",IF(I444="","待开奖",IF(ISNUMBER(SEARCH(I444,L444)),"命中","未命中")))</f>
        <v/>
      </c>
      <c r="N444" s="19">
        <f>IFERROR(VLOOKUP(VLOOKUP($B444-1,开奖记录!$A:$L,11,FALSE),八肖参数!$A:$B,2,FALSE),"")</f>
        <v/>
      </c>
      <c r="O444" s="19">
        <f>IF(N444="","",IF(I444="","待开奖",IF(ISNUMBER(SEARCH(I444,N444)),"命中","未命中")))</f>
        <v/>
      </c>
    </row>
    <row r="445">
      <c r="A445" s="19" t="n">
        <v>444</v>
      </c>
      <c r="B445" s="19">
        <f>IF(COUNTA(C445:E445)=0,"",B444+1)</f>
        <v/>
      </c>
      <c r="C445" s="19" t="inlineStr"/>
      <c r="D445" s="19" t="n"/>
      <c r="E445" s="19" t="n"/>
      <c r="F445" s="19">
        <f>IF(COUNTA(D445:E445)=0,"",N(D445)-N(E445))</f>
        <v/>
      </c>
      <c r="G445" s="19">
        <f>IFERROR(VLOOKUP($B445,'开奖记录'!$A:$K,2,FALSE),"")</f>
        <v/>
      </c>
      <c r="H445" s="19">
        <f>IFERROR(VLOOKUP($B445,'开奖记录'!$A:$K,9,FALSE),"")</f>
        <v/>
      </c>
      <c r="I445" s="19">
        <f>IFERROR(VLOOKUP($B445,'开奖记录'!$A:$K,11,FALSE),"")</f>
        <v/>
      </c>
      <c r="J445" s="19">
        <f>IF($B445="","",IF(ISNUMBER($D445),"命中",IF(ISNUMBER($E445),"未命中","")))</f>
        <v/>
      </c>
      <c r="K445" s="19" t="inlineStr"/>
      <c r="L445" s="19">
        <f>IFERROR(TEXT(VLOOKUP($B445-1,开奖记录!$A:$L,3,FALSE),"00")&amp;"+5="&amp;VLOOKUP(MOD(VLOOKUP($B445-1,开奖记录!$A:$L,3,FALSE)+4,49)+1,规律参数!$A:$C,3,FALSE),"")</f>
        <v/>
      </c>
      <c r="M445" s="19">
        <f>IF(L445="","",IF(I445="","待开奖",IF(ISNUMBER(SEARCH(I445,L445)),"命中","未命中")))</f>
        <v/>
      </c>
      <c r="N445" s="19">
        <f>IFERROR(VLOOKUP(VLOOKUP($B445-1,开奖记录!$A:$L,11,FALSE),八肖参数!$A:$B,2,FALSE),"")</f>
        <v/>
      </c>
      <c r="O445" s="19">
        <f>IF(N445="","",IF(I445="","待开奖",IF(ISNUMBER(SEARCH(I445,N445)),"命中","未命中")))</f>
        <v/>
      </c>
    </row>
    <row r="446">
      <c r="A446" s="19" t="n">
        <v>445</v>
      </c>
      <c r="B446" s="19">
        <f>IF(COUNTA(C446:E446)=0,"",B445+1)</f>
        <v/>
      </c>
      <c r="C446" s="19" t="inlineStr"/>
      <c r="D446" s="19" t="n"/>
      <c r="E446" s="19" t="n"/>
      <c r="F446" s="19">
        <f>IF(COUNTA(D446:E446)=0,"",N(D446)-N(E446))</f>
        <v/>
      </c>
      <c r="G446" s="19">
        <f>IFERROR(VLOOKUP($B446,'开奖记录'!$A:$K,2,FALSE),"")</f>
        <v/>
      </c>
      <c r="H446" s="19">
        <f>IFERROR(VLOOKUP($B446,'开奖记录'!$A:$K,9,FALSE),"")</f>
        <v/>
      </c>
      <c r="I446" s="19">
        <f>IFERROR(VLOOKUP($B446,'开奖记录'!$A:$K,11,FALSE),"")</f>
        <v/>
      </c>
      <c r="J446" s="19">
        <f>IF($B446="","",IF(ISNUMBER($D446),"命中",IF(ISNUMBER($E446),"未命中","")))</f>
        <v/>
      </c>
      <c r="K446" s="19" t="inlineStr"/>
      <c r="L446" s="19">
        <f>IFERROR(TEXT(VLOOKUP($B446-1,开奖记录!$A:$L,3,FALSE),"00")&amp;"+5="&amp;VLOOKUP(MOD(VLOOKUP($B446-1,开奖记录!$A:$L,3,FALSE)+4,49)+1,规律参数!$A:$C,3,FALSE),"")</f>
        <v/>
      </c>
      <c r="M446" s="19">
        <f>IF(L446="","",IF(I446="","待开奖",IF(ISNUMBER(SEARCH(I446,L446)),"命中","未命中")))</f>
        <v/>
      </c>
      <c r="N446" s="19">
        <f>IFERROR(VLOOKUP(VLOOKUP($B446-1,开奖记录!$A:$L,11,FALSE),八肖参数!$A:$B,2,FALSE),"")</f>
        <v/>
      </c>
      <c r="O446" s="19">
        <f>IF(N446="","",IF(I446="","待开奖",IF(ISNUMBER(SEARCH(I446,N446)),"命中","未命中")))</f>
        <v/>
      </c>
    </row>
    <row r="447">
      <c r="A447" s="19" t="n">
        <v>446</v>
      </c>
      <c r="B447" s="19">
        <f>IF(COUNTA(C447:E447)=0,"",B446+1)</f>
        <v/>
      </c>
      <c r="C447" s="19" t="inlineStr"/>
      <c r="D447" s="19" t="n"/>
      <c r="E447" s="19" t="n"/>
      <c r="F447" s="19">
        <f>IF(COUNTA(D447:E447)=0,"",N(D447)-N(E447))</f>
        <v/>
      </c>
      <c r="G447" s="19">
        <f>IFERROR(VLOOKUP($B447,'开奖记录'!$A:$K,2,FALSE),"")</f>
        <v/>
      </c>
      <c r="H447" s="19">
        <f>IFERROR(VLOOKUP($B447,'开奖记录'!$A:$K,9,FALSE),"")</f>
        <v/>
      </c>
      <c r="I447" s="19">
        <f>IFERROR(VLOOKUP($B447,'开奖记录'!$A:$K,11,FALSE),"")</f>
        <v/>
      </c>
      <c r="J447" s="19">
        <f>IF($B447="","",IF(ISNUMBER($D447),"命中",IF(ISNUMBER($E447),"未命中","")))</f>
        <v/>
      </c>
      <c r="K447" s="19" t="inlineStr"/>
      <c r="L447" s="19">
        <f>IFERROR(TEXT(VLOOKUP($B447-1,开奖记录!$A:$L,3,FALSE),"00")&amp;"+5="&amp;VLOOKUP(MOD(VLOOKUP($B447-1,开奖记录!$A:$L,3,FALSE)+4,49)+1,规律参数!$A:$C,3,FALSE),"")</f>
        <v/>
      </c>
      <c r="M447" s="19">
        <f>IF(L447="","",IF(I447="","待开奖",IF(ISNUMBER(SEARCH(I447,L447)),"命中","未命中")))</f>
        <v/>
      </c>
      <c r="N447" s="19">
        <f>IFERROR(VLOOKUP(VLOOKUP($B447-1,开奖记录!$A:$L,11,FALSE),八肖参数!$A:$B,2,FALSE),"")</f>
        <v/>
      </c>
      <c r="O447" s="19">
        <f>IF(N447="","",IF(I447="","待开奖",IF(ISNUMBER(SEARCH(I447,N447)),"命中","未命中")))</f>
        <v/>
      </c>
    </row>
    <row r="448">
      <c r="A448" s="19" t="n">
        <v>447</v>
      </c>
      <c r="B448" s="19">
        <f>IF(COUNTA(C448:E448)=0,"",B447+1)</f>
        <v/>
      </c>
      <c r="C448" s="19" t="inlineStr"/>
      <c r="D448" s="19" t="n"/>
      <c r="E448" s="19" t="n"/>
      <c r="F448" s="19">
        <f>IF(COUNTA(D448:E448)=0,"",N(D448)-N(E448))</f>
        <v/>
      </c>
      <c r="G448" s="19">
        <f>IFERROR(VLOOKUP($B448,'开奖记录'!$A:$K,2,FALSE),"")</f>
        <v/>
      </c>
      <c r="H448" s="19">
        <f>IFERROR(VLOOKUP($B448,'开奖记录'!$A:$K,9,FALSE),"")</f>
        <v/>
      </c>
      <c r="I448" s="19">
        <f>IFERROR(VLOOKUP($B448,'开奖记录'!$A:$K,11,FALSE),"")</f>
        <v/>
      </c>
      <c r="J448" s="19">
        <f>IF($B448="","",IF(ISNUMBER($D448),"命中",IF(ISNUMBER($E448),"未命中","")))</f>
        <v/>
      </c>
      <c r="K448" s="19" t="inlineStr"/>
      <c r="L448" s="19">
        <f>IFERROR(TEXT(VLOOKUP($B448-1,开奖记录!$A:$L,3,FALSE),"00")&amp;"+5="&amp;VLOOKUP(MOD(VLOOKUP($B448-1,开奖记录!$A:$L,3,FALSE)+4,49)+1,规律参数!$A:$C,3,FALSE),"")</f>
        <v/>
      </c>
      <c r="M448" s="19">
        <f>IF(L448="","",IF(I448="","待开奖",IF(ISNUMBER(SEARCH(I448,L448)),"命中","未命中")))</f>
        <v/>
      </c>
      <c r="N448" s="19">
        <f>IFERROR(VLOOKUP(VLOOKUP($B448-1,开奖记录!$A:$L,11,FALSE),八肖参数!$A:$B,2,FALSE),"")</f>
        <v/>
      </c>
      <c r="O448" s="19">
        <f>IF(N448="","",IF(I448="","待开奖",IF(ISNUMBER(SEARCH(I448,N448)),"命中","未命中")))</f>
        <v/>
      </c>
    </row>
    <row r="449">
      <c r="A449" s="19" t="n">
        <v>448</v>
      </c>
      <c r="B449" s="19">
        <f>IF(COUNTA(C449:E449)=0,"",B448+1)</f>
        <v/>
      </c>
      <c r="C449" s="19" t="inlineStr"/>
      <c r="D449" s="19" t="n"/>
      <c r="E449" s="19" t="n"/>
      <c r="F449" s="19">
        <f>IF(COUNTA(D449:E449)=0,"",N(D449)-N(E449))</f>
        <v/>
      </c>
      <c r="G449" s="19">
        <f>IFERROR(VLOOKUP($B449,'开奖记录'!$A:$K,2,FALSE),"")</f>
        <v/>
      </c>
      <c r="H449" s="19">
        <f>IFERROR(VLOOKUP($B449,'开奖记录'!$A:$K,9,FALSE),"")</f>
        <v/>
      </c>
      <c r="I449" s="19">
        <f>IFERROR(VLOOKUP($B449,'开奖记录'!$A:$K,11,FALSE),"")</f>
        <v/>
      </c>
      <c r="J449" s="19">
        <f>IF($B449="","",IF(ISNUMBER($D449),"命中",IF(ISNUMBER($E449),"未命中","")))</f>
        <v/>
      </c>
      <c r="K449" s="19" t="inlineStr"/>
      <c r="L449" s="19">
        <f>IFERROR(TEXT(VLOOKUP($B449-1,开奖记录!$A:$L,3,FALSE),"00")&amp;"+5="&amp;VLOOKUP(MOD(VLOOKUP($B449-1,开奖记录!$A:$L,3,FALSE)+4,49)+1,规律参数!$A:$C,3,FALSE),"")</f>
        <v/>
      </c>
      <c r="M449" s="19">
        <f>IF(L449="","",IF(I449="","待开奖",IF(ISNUMBER(SEARCH(I449,L449)),"命中","未命中")))</f>
        <v/>
      </c>
      <c r="N449" s="19">
        <f>IFERROR(VLOOKUP(VLOOKUP($B449-1,开奖记录!$A:$L,11,FALSE),八肖参数!$A:$B,2,FALSE),"")</f>
        <v/>
      </c>
      <c r="O449" s="19">
        <f>IF(N449="","",IF(I449="","待开奖",IF(ISNUMBER(SEARCH(I449,N449)),"命中","未命中")))</f>
        <v/>
      </c>
    </row>
    <row r="450">
      <c r="A450" s="19" t="n">
        <v>449</v>
      </c>
      <c r="B450" s="19">
        <f>IF(COUNTA(C450:E450)=0,"",B449+1)</f>
        <v/>
      </c>
      <c r="C450" s="19" t="inlineStr"/>
      <c r="D450" s="19" t="n"/>
      <c r="E450" s="19" t="n"/>
      <c r="F450" s="19">
        <f>IF(COUNTA(D450:E450)=0,"",N(D450)-N(E450))</f>
        <v/>
      </c>
      <c r="G450" s="19">
        <f>IFERROR(VLOOKUP($B450,'开奖记录'!$A:$K,2,FALSE),"")</f>
        <v/>
      </c>
      <c r="H450" s="19">
        <f>IFERROR(VLOOKUP($B450,'开奖记录'!$A:$K,9,FALSE),"")</f>
        <v/>
      </c>
      <c r="I450" s="19">
        <f>IFERROR(VLOOKUP($B450,'开奖记录'!$A:$K,11,FALSE),"")</f>
        <v/>
      </c>
      <c r="J450" s="19">
        <f>IF($B450="","",IF(ISNUMBER($D450),"命中",IF(ISNUMBER($E450),"未命中","")))</f>
        <v/>
      </c>
      <c r="K450" s="19" t="inlineStr"/>
      <c r="L450" s="19">
        <f>IFERROR(TEXT(VLOOKUP($B450-1,开奖记录!$A:$L,3,FALSE),"00")&amp;"+5="&amp;VLOOKUP(MOD(VLOOKUP($B450-1,开奖记录!$A:$L,3,FALSE)+4,49)+1,规律参数!$A:$C,3,FALSE),"")</f>
        <v/>
      </c>
      <c r="M450" s="19">
        <f>IF(L450="","",IF(I450="","待开奖",IF(ISNUMBER(SEARCH(I450,L450)),"命中","未命中")))</f>
        <v/>
      </c>
      <c r="N450" s="19">
        <f>IFERROR(VLOOKUP(VLOOKUP($B450-1,开奖记录!$A:$L,11,FALSE),八肖参数!$A:$B,2,FALSE),"")</f>
        <v/>
      </c>
      <c r="O450" s="19">
        <f>IF(N450="","",IF(I450="","待开奖",IF(ISNUMBER(SEARCH(I450,N450)),"命中","未命中")))</f>
        <v/>
      </c>
    </row>
    <row r="451">
      <c r="A451" s="19" t="n">
        <v>450</v>
      </c>
      <c r="B451" s="19">
        <f>IF(COUNTA(C451:E451)=0,"",B450+1)</f>
        <v/>
      </c>
      <c r="C451" s="19" t="inlineStr"/>
      <c r="D451" s="19" t="n"/>
      <c r="E451" s="19" t="n"/>
      <c r="F451" s="19">
        <f>IF(COUNTA(D451:E451)=0,"",N(D451)-N(E451))</f>
        <v/>
      </c>
      <c r="G451" s="19">
        <f>IFERROR(VLOOKUP($B451,'开奖记录'!$A:$K,2,FALSE),"")</f>
        <v/>
      </c>
      <c r="H451" s="19">
        <f>IFERROR(VLOOKUP($B451,'开奖记录'!$A:$K,9,FALSE),"")</f>
        <v/>
      </c>
      <c r="I451" s="19">
        <f>IFERROR(VLOOKUP($B451,'开奖记录'!$A:$K,11,FALSE),"")</f>
        <v/>
      </c>
      <c r="J451" s="19">
        <f>IF($B451="","",IF(ISNUMBER($D451),"命中",IF(ISNUMBER($E451),"未命中","")))</f>
        <v/>
      </c>
      <c r="K451" s="19" t="inlineStr"/>
      <c r="L451" s="19">
        <f>IFERROR(TEXT(VLOOKUP($B451-1,开奖记录!$A:$L,3,FALSE),"00")&amp;"+5="&amp;VLOOKUP(MOD(VLOOKUP($B451-1,开奖记录!$A:$L,3,FALSE)+4,49)+1,规律参数!$A:$C,3,FALSE),"")</f>
        <v/>
      </c>
      <c r="M451" s="19">
        <f>IF(L451="","",IF(I451="","待开奖",IF(ISNUMBER(SEARCH(I451,L451)),"命中","未命中")))</f>
        <v/>
      </c>
      <c r="N451" s="19">
        <f>IFERROR(VLOOKUP(VLOOKUP($B451-1,开奖记录!$A:$L,11,FALSE),八肖参数!$A:$B,2,FALSE),"")</f>
        <v/>
      </c>
      <c r="O451" s="19">
        <f>IF(N451="","",IF(I451="","待开奖",IF(ISNUMBER(SEARCH(I451,N451)),"命中","未命中")))</f>
        <v/>
      </c>
    </row>
    <row r="452">
      <c r="A452" s="19" t="n">
        <v>451</v>
      </c>
      <c r="B452" s="19">
        <f>IF(COUNTA(C452:E452)=0,"",B451+1)</f>
        <v/>
      </c>
      <c r="C452" s="19" t="inlineStr"/>
      <c r="D452" s="19" t="n"/>
      <c r="E452" s="19" t="n"/>
      <c r="F452" s="19">
        <f>IF(COUNTA(D452:E452)=0,"",N(D452)-N(E452))</f>
        <v/>
      </c>
      <c r="G452" s="19">
        <f>IFERROR(VLOOKUP($B452,'开奖记录'!$A:$K,2,FALSE),"")</f>
        <v/>
      </c>
      <c r="H452" s="19">
        <f>IFERROR(VLOOKUP($B452,'开奖记录'!$A:$K,9,FALSE),"")</f>
        <v/>
      </c>
      <c r="I452" s="19">
        <f>IFERROR(VLOOKUP($B452,'开奖记录'!$A:$K,11,FALSE),"")</f>
        <v/>
      </c>
      <c r="J452" s="19">
        <f>IF($B452="","",IF(ISNUMBER($D452),"命中",IF(ISNUMBER($E452),"未命中","")))</f>
        <v/>
      </c>
      <c r="K452" s="19" t="inlineStr"/>
      <c r="L452" s="19">
        <f>IFERROR(TEXT(VLOOKUP($B452-1,开奖记录!$A:$L,3,FALSE),"00")&amp;"+5="&amp;VLOOKUP(MOD(VLOOKUP($B452-1,开奖记录!$A:$L,3,FALSE)+4,49)+1,规律参数!$A:$C,3,FALSE),"")</f>
        <v/>
      </c>
      <c r="M452" s="19">
        <f>IF(L452="","",IF(I452="","待开奖",IF(ISNUMBER(SEARCH(I452,L452)),"命中","未命中")))</f>
        <v/>
      </c>
      <c r="N452" s="19">
        <f>IFERROR(VLOOKUP(VLOOKUP($B452-1,开奖记录!$A:$L,11,FALSE),八肖参数!$A:$B,2,FALSE),"")</f>
        <v/>
      </c>
      <c r="O452" s="19">
        <f>IF(N452="","",IF(I452="","待开奖",IF(ISNUMBER(SEARCH(I452,N452)),"命中","未命中")))</f>
        <v/>
      </c>
    </row>
    <row r="453">
      <c r="A453" s="19" t="n">
        <v>452</v>
      </c>
      <c r="B453" s="19">
        <f>IF(COUNTA(C453:E453)=0,"",B452+1)</f>
        <v/>
      </c>
      <c r="C453" s="19" t="inlineStr"/>
      <c r="D453" s="19" t="n"/>
      <c r="E453" s="19" t="n"/>
      <c r="F453" s="19">
        <f>IF(COUNTA(D453:E453)=0,"",N(D453)-N(E453))</f>
        <v/>
      </c>
      <c r="G453" s="19">
        <f>IFERROR(VLOOKUP($B453,'开奖记录'!$A:$K,2,FALSE),"")</f>
        <v/>
      </c>
      <c r="H453" s="19">
        <f>IFERROR(VLOOKUP($B453,'开奖记录'!$A:$K,9,FALSE),"")</f>
        <v/>
      </c>
      <c r="I453" s="19">
        <f>IFERROR(VLOOKUP($B453,'开奖记录'!$A:$K,11,FALSE),"")</f>
        <v/>
      </c>
      <c r="J453" s="19">
        <f>IF($B453="","",IF(ISNUMBER($D453),"命中",IF(ISNUMBER($E453),"未命中","")))</f>
        <v/>
      </c>
      <c r="K453" s="19" t="inlineStr"/>
      <c r="L453" s="19">
        <f>IFERROR(TEXT(VLOOKUP($B453-1,开奖记录!$A:$L,3,FALSE),"00")&amp;"+5="&amp;VLOOKUP(MOD(VLOOKUP($B453-1,开奖记录!$A:$L,3,FALSE)+4,49)+1,规律参数!$A:$C,3,FALSE),"")</f>
        <v/>
      </c>
      <c r="M453" s="19">
        <f>IF(L453="","",IF(I453="","待开奖",IF(ISNUMBER(SEARCH(I453,L453)),"命中","未命中")))</f>
        <v/>
      </c>
      <c r="N453" s="19">
        <f>IFERROR(VLOOKUP(VLOOKUP($B453-1,开奖记录!$A:$L,11,FALSE),八肖参数!$A:$B,2,FALSE),"")</f>
        <v/>
      </c>
      <c r="O453" s="19">
        <f>IF(N453="","",IF(I453="","待开奖",IF(ISNUMBER(SEARCH(I453,N453)),"命中","未命中")))</f>
        <v/>
      </c>
    </row>
    <row r="454">
      <c r="A454" s="19" t="n">
        <v>453</v>
      </c>
      <c r="B454" s="19">
        <f>IF(COUNTA(C454:E454)=0,"",B453+1)</f>
        <v/>
      </c>
      <c r="C454" s="19" t="inlineStr"/>
      <c r="D454" s="19" t="n"/>
      <c r="E454" s="19" t="n"/>
      <c r="F454" s="19">
        <f>IF(COUNTA(D454:E454)=0,"",N(D454)-N(E454))</f>
        <v/>
      </c>
      <c r="G454" s="19">
        <f>IFERROR(VLOOKUP($B454,'开奖记录'!$A:$K,2,FALSE),"")</f>
        <v/>
      </c>
      <c r="H454" s="19">
        <f>IFERROR(VLOOKUP($B454,'开奖记录'!$A:$K,9,FALSE),"")</f>
        <v/>
      </c>
      <c r="I454" s="19">
        <f>IFERROR(VLOOKUP($B454,'开奖记录'!$A:$K,11,FALSE),"")</f>
        <v/>
      </c>
      <c r="J454" s="19">
        <f>IF($B454="","",IF(ISNUMBER($D454),"命中",IF(ISNUMBER($E454),"未命中","")))</f>
        <v/>
      </c>
      <c r="K454" s="19" t="inlineStr"/>
      <c r="L454" s="19">
        <f>IFERROR(TEXT(VLOOKUP($B454-1,开奖记录!$A:$L,3,FALSE),"00")&amp;"+5="&amp;VLOOKUP(MOD(VLOOKUP($B454-1,开奖记录!$A:$L,3,FALSE)+4,49)+1,规律参数!$A:$C,3,FALSE),"")</f>
        <v/>
      </c>
      <c r="M454" s="19">
        <f>IF(L454="","",IF(I454="","待开奖",IF(ISNUMBER(SEARCH(I454,L454)),"命中","未命中")))</f>
        <v/>
      </c>
      <c r="N454" s="19">
        <f>IFERROR(VLOOKUP(VLOOKUP($B454-1,开奖记录!$A:$L,11,FALSE),八肖参数!$A:$B,2,FALSE),"")</f>
        <v/>
      </c>
      <c r="O454" s="19">
        <f>IF(N454="","",IF(I454="","待开奖",IF(ISNUMBER(SEARCH(I454,N454)),"命中","未命中")))</f>
        <v/>
      </c>
    </row>
    <row r="455">
      <c r="A455" s="19" t="n">
        <v>454</v>
      </c>
      <c r="B455" s="19">
        <f>IF(COUNTA(C455:E455)=0,"",B454+1)</f>
        <v/>
      </c>
      <c r="C455" s="19" t="inlineStr"/>
      <c r="D455" s="19" t="n"/>
      <c r="E455" s="19" t="n"/>
      <c r="F455" s="19">
        <f>IF(COUNTA(D455:E455)=0,"",N(D455)-N(E455))</f>
        <v/>
      </c>
      <c r="G455" s="19">
        <f>IFERROR(VLOOKUP($B455,'开奖记录'!$A:$K,2,FALSE),"")</f>
        <v/>
      </c>
      <c r="H455" s="19">
        <f>IFERROR(VLOOKUP($B455,'开奖记录'!$A:$K,9,FALSE),"")</f>
        <v/>
      </c>
      <c r="I455" s="19">
        <f>IFERROR(VLOOKUP($B455,'开奖记录'!$A:$K,11,FALSE),"")</f>
        <v/>
      </c>
      <c r="J455" s="19">
        <f>IF($B455="","",IF(ISNUMBER($D455),"命中",IF(ISNUMBER($E455),"未命中","")))</f>
        <v/>
      </c>
      <c r="K455" s="19" t="inlineStr"/>
      <c r="L455" s="19">
        <f>IFERROR(TEXT(VLOOKUP($B455-1,开奖记录!$A:$L,3,FALSE),"00")&amp;"+5="&amp;VLOOKUP(MOD(VLOOKUP($B455-1,开奖记录!$A:$L,3,FALSE)+4,49)+1,规律参数!$A:$C,3,FALSE),"")</f>
        <v/>
      </c>
      <c r="M455" s="19">
        <f>IF(L455="","",IF(I455="","待开奖",IF(ISNUMBER(SEARCH(I455,L455)),"命中","未命中")))</f>
        <v/>
      </c>
      <c r="N455" s="19">
        <f>IFERROR(VLOOKUP(VLOOKUP($B455-1,开奖记录!$A:$L,11,FALSE),八肖参数!$A:$B,2,FALSE),"")</f>
        <v/>
      </c>
      <c r="O455" s="19">
        <f>IF(N455="","",IF(I455="","待开奖",IF(ISNUMBER(SEARCH(I455,N455)),"命中","未命中")))</f>
        <v/>
      </c>
    </row>
    <row r="456">
      <c r="A456" s="19" t="n">
        <v>455</v>
      </c>
      <c r="B456" s="19">
        <f>IF(COUNTA(C456:E456)=0,"",B455+1)</f>
        <v/>
      </c>
      <c r="C456" s="19" t="inlineStr"/>
      <c r="D456" s="19" t="n"/>
      <c r="E456" s="19" t="n"/>
      <c r="F456" s="19">
        <f>IF(COUNTA(D456:E456)=0,"",N(D456)-N(E456))</f>
        <v/>
      </c>
      <c r="G456" s="19">
        <f>IFERROR(VLOOKUP($B456,'开奖记录'!$A:$K,2,FALSE),"")</f>
        <v/>
      </c>
      <c r="H456" s="19">
        <f>IFERROR(VLOOKUP($B456,'开奖记录'!$A:$K,9,FALSE),"")</f>
        <v/>
      </c>
      <c r="I456" s="19">
        <f>IFERROR(VLOOKUP($B456,'开奖记录'!$A:$K,11,FALSE),"")</f>
        <v/>
      </c>
      <c r="J456" s="19">
        <f>IF($B456="","",IF(ISNUMBER($D456),"命中",IF(ISNUMBER($E456),"未命中","")))</f>
        <v/>
      </c>
      <c r="K456" s="19" t="inlineStr"/>
      <c r="L456" s="19">
        <f>IFERROR(TEXT(VLOOKUP($B456-1,开奖记录!$A:$L,3,FALSE),"00")&amp;"+5="&amp;VLOOKUP(MOD(VLOOKUP($B456-1,开奖记录!$A:$L,3,FALSE)+4,49)+1,规律参数!$A:$C,3,FALSE),"")</f>
        <v/>
      </c>
      <c r="M456" s="19">
        <f>IF(L456="","",IF(I456="","待开奖",IF(ISNUMBER(SEARCH(I456,L456)),"命中","未命中")))</f>
        <v/>
      </c>
      <c r="N456" s="19">
        <f>IFERROR(VLOOKUP(VLOOKUP($B456-1,开奖记录!$A:$L,11,FALSE),八肖参数!$A:$B,2,FALSE),"")</f>
        <v/>
      </c>
      <c r="O456" s="19">
        <f>IF(N456="","",IF(I456="","待开奖",IF(ISNUMBER(SEARCH(I456,N456)),"命中","未命中")))</f>
        <v/>
      </c>
    </row>
    <row r="457">
      <c r="A457" s="19" t="n">
        <v>456</v>
      </c>
      <c r="B457" s="19">
        <f>IF(COUNTA(C457:E457)=0,"",B456+1)</f>
        <v/>
      </c>
      <c r="C457" s="19" t="inlineStr"/>
      <c r="D457" s="19" t="n"/>
      <c r="E457" s="19" t="n"/>
      <c r="F457" s="19">
        <f>IF(COUNTA(D457:E457)=0,"",N(D457)-N(E457))</f>
        <v/>
      </c>
      <c r="G457" s="19">
        <f>IFERROR(VLOOKUP($B457,'开奖记录'!$A:$K,2,FALSE),"")</f>
        <v/>
      </c>
      <c r="H457" s="19">
        <f>IFERROR(VLOOKUP($B457,'开奖记录'!$A:$K,9,FALSE),"")</f>
        <v/>
      </c>
      <c r="I457" s="19">
        <f>IFERROR(VLOOKUP($B457,'开奖记录'!$A:$K,11,FALSE),"")</f>
        <v/>
      </c>
      <c r="J457" s="19">
        <f>IF($B457="","",IF(ISNUMBER($D457),"命中",IF(ISNUMBER($E457),"未命中","")))</f>
        <v/>
      </c>
      <c r="K457" s="19" t="inlineStr"/>
      <c r="L457" s="19">
        <f>IFERROR(TEXT(VLOOKUP($B457-1,开奖记录!$A:$L,3,FALSE),"00")&amp;"+5="&amp;VLOOKUP(MOD(VLOOKUP($B457-1,开奖记录!$A:$L,3,FALSE)+4,49)+1,规律参数!$A:$C,3,FALSE),"")</f>
        <v/>
      </c>
      <c r="M457" s="19">
        <f>IF(L457="","",IF(I457="","待开奖",IF(ISNUMBER(SEARCH(I457,L457)),"命中","未命中")))</f>
        <v/>
      </c>
      <c r="N457" s="19">
        <f>IFERROR(VLOOKUP(VLOOKUP($B457-1,开奖记录!$A:$L,11,FALSE),八肖参数!$A:$B,2,FALSE),"")</f>
        <v/>
      </c>
      <c r="O457" s="19">
        <f>IF(N457="","",IF(I457="","待开奖",IF(ISNUMBER(SEARCH(I457,N457)),"命中","未命中")))</f>
        <v/>
      </c>
    </row>
    <row r="458">
      <c r="A458" s="19" t="n">
        <v>457</v>
      </c>
      <c r="B458" s="19">
        <f>IF(COUNTA(C458:E458)=0,"",B457+1)</f>
        <v/>
      </c>
      <c r="C458" s="19" t="inlineStr"/>
      <c r="D458" s="19" t="n"/>
      <c r="E458" s="19" t="n"/>
      <c r="F458" s="19">
        <f>IF(COUNTA(D458:E458)=0,"",N(D458)-N(E458))</f>
        <v/>
      </c>
      <c r="G458" s="19">
        <f>IFERROR(VLOOKUP($B458,'开奖记录'!$A:$K,2,FALSE),"")</f>
        <v/>
      </c>
      <c r="H458" s="19">
        <f>IFERROR(VLOOKUP($B458,'开奖记录'!$A:$K,9,FALSE),"")</f>
        <v/>
      </c>
      <c r="I458" s="19">
        <f>IFERROR(VLOOKUP($B458,'开奖记录'!$A:$K,11,FALSE),"")</f>
        <v/>
      </c>
      <c r="J458" s="19">
        <f>IF($B458="","",IF(ISNUMBER($D458),"命中",IF(ISNUMBER($E458),"未命中","")))</f>
        <v/>
      </c>
      <c r="K458" s="19" t="inlineStr"/>
      <c r="L458" s="19">
        <f>IFERROR(TEXT(VLOOKUP($B458-1,开奖记录!$A:$L,3,FALSE),"00")&amp;"+5="&amp;VLOOKUP(MOD(VLOOKUP($B458-1,开奖记录!$A:$L,3,FALSE)+4,49)+1,规律参数!$A:$C,3,FALSE),"")</f>
        <v/>
      </c>
      <c r="M458" s="19">
        <f>IF(L458="","",IF(I458="","待开奖",IF(ISNUMBER(SEARCH(I458,L458)),"命中","未命中")))</f>
        <v/>
      </c>
      <c r="N458" s="19">
        <f>IFERROR(VLOOKUP(VLOOKUP($B458-1,开奖记录!$A:$L,11,FALSE),八肖参数!$A:$B,2,FALSE),"")</f>
        <v/>
      </c>
      <c r="O458" s="19">
        <f>IF(N458="","",IF(I458="","待开奖",IF(ISNUMBER(SEARCH(I458,N458)),"命中","未命中")))</f>
        <v/>
      </c>
    </row>
    <row r="459">
      <c r="A459" s="19" t="n">
        <v>458</v>
      </c>
      <c r="B459" s="19">
        <f>IF(COUNTA(C459:E459)=0,"",B458+1)</f>
        <v/>
      </c>
      <c r="C459" s="19" t="inlineStr"/>
      <c r="D459" s="19" t="n"/>
      <c r="E459" s="19" t="n"/>
      <c r="F459" s="19">
        <f>IF(COUNTA(D459:E459)=0,"",N(D459)-N(E459))</f>
        <v/>
      </c>
      <c r="G459" s="19">
        <f>IFERROR(VLOOKUP($B459,'开奖记录'!$A:$K,2,FALSE),"")</f>
        <v/>
      </c>
      <c r="H459" s="19">
        <f>IFERROR(VLOOKUP($B459,'开奖记录'!$A:$K,9,FALSE),"")</f>
        <v/>
      </c>
      <c r="I459" s="19">
        <f>IFERROR(VLOOKUP($B459,'开奖记录'!$A:$K,11,FALSE),"")</f>
        <v/>
      </c>
      <c r="J459" s="19">
        <f>IF($B459="","",IF(ISNUMBER($D459),"命中",IF(ISNUMBER($E459),"未命中","")))</f>
        <v/>
      </c>
      <c r="K459" s="19" t="inlineStr"/>
      <c r="L459" s="19">
        <f>IFERROR(TEXT(VLOOKUP($B459-1,开奖记录!$A:$L,3,FALSE),"00")&amp;"+5="&amp;VLOOKUP(MOD(VLOOKUP($B459-1,开奖记录!$A:$L,3,FALSE)+4,49)+1,规律参数!$A:$C,3,FALSE),"")</f>
        <v/>
      </c>
      <c r="M459" s="19">
        <f>IF(L459="","",IF(I459="","待开奖",IF(ISNUMBER(SEARCH(I459,L459)),"命中","未命中")))</f>
        <v/>
      </c>
      <c r="N459" s="19">
        <f>IFERROR(VLOOKUP(VLOOKUP($B459-1,开奖记录!$A:$L,11,FALSE),八肖参数!$A:$B,2,FALSE),"")</f>
        <v/>
      </c>
      <c r="O459" s="19">
        <f>IF(N459="","",IF(I459="","待开奖",IF(ISNUMBER(SEARCH(I459,N459)),"命中","未命中")))</f>
        <v/>
      </c>
    </row>
    <row r="460">
      <c r="A460" s="19" t="n">
        <v>459</v>
      </c>
      <c r="B460" s="19">
        <f>IF(COUNTA(C460:E460)=0,"",B459+1)</f>
        <v/>
      </c>
      <c r="C460" s="19" t="inlineStr"/>
      <c r="D460" s="19" t="n"/>
      <c r="E460" s="19" t="n"/>
      <c r="F460" s="19">
        <f>IF(COUNTA(D460:E460)=0,"",N(D460)-N(E460))</f>
        <v/>
      </c>
      <c r="G460" s="19">
        <f>IFERROR(VLOOKUP($B460,'开奖记录'!$A:$K,2,FALSE),"")</f>
        <v/>
      </c>
      <c r="H460" s="19">
        <f>IFERROR(VLOOKUP($B460,'开奖记录'!$A:$K,9,FALSE),"")</f>
        <v/>
      </c>
      <c r="I460" s="19">
        <f>IFERROR(VLOOKUP($B460,'开奖记录'!$A:$K,11,FALSE),"")</f>
        <v/>
      </c>
      <c r="J460" s="19">
        <f>IF($B460="","",IF(ISNUMBER($D460),"命中",IF(ISNUMBER($E460),"未命中","")))</f>
        <v/>
      </c>
      <c r="K460" s="19" t="inlineStr"/>
      <c r="L460" s="19">
        <f>IFERROR(TEXT(VLOOKUP($B460-1,开奖记录!$A:$L,3,FALSE),"00")&amp;"+5="&amp;VLOOKUP(MOD(VLOOKUP($B460-1,开奖记录!$A:$L,3,FALSE)+4,49)+1,规律参数!$A:$C,3,FALSE),"")</f>
        <v/>
      </c>
      <c r="M460" s="19">
        <f>IF(L460="","",IF(I460="","待开奖",IF(ISNUMBER(SEARCH(I460,L460)),"命中","未命中")))</f>
        <v/>
      </c>
      <c r="N460" s="19">
        <f>IFERROR(VLOOKUP(VLOOKUP($B460-1,开奖记录!$A:$L,11,FALSE),八肖参数!$A:$B,2,FALSE),"")</f>
        <v/>
      </c>
      <c r="O460" s="19">
        <f>IF(N460="","",IF(I460="","待开奖",IF(ISNUMBER(SEARCH(I460,N460)),"命中","未命中")))</f>
        <v/>
      </c>
    </row>
    <row r="461">
      <c r="A461" s="19" t="n">
        <v>460</v>
      </c>
      <c r="B461" s="19">
        <f>IF(COUNTA(C461:E461)=0,"",B460+1)</f>
        <v/>
      </c>
      <c r="C461" s="19" t="inlineStr"/>
      <c r="D461" s="19" t="n"/>
      <c r="E461" s="19" t="n"/>
      <c r="F461" s="19">
        <f>IF(COUNTA(D461:E461)=0,"",N(D461)-N(E461))</f>
        <v/>
      </c>
      <c r="G461" s="19">
        <f>IFERROR(VLOOKUP($B461,'开奖记录'!$A:$K,2,FALSE),"")</f>
        <v/>
      </c>
      <c r="H461" s="19">
        <f>IFERROR(VLOOKUP($B461,'开奖记录'!$A:$K,9,FALSE),"")</f>
        <v/>
      </c>
      <c r="I461" s="19">
        <f>IFERROR(VLOOKUP($B461,'开奖记录'!$A:$K,11,FALSE),"")</f>
        <v/>
      </c>
      <c r="J461" s="19">
        <f>IF($B461="","",IF(ISNUMBER($D461),"命中",IF(ISNUMBER($E461),"未命中","")))</f>
        <v/>
      </c>
      <c r="K461" s="19" t="inlineStr"/>
      <c r="L461" s="19">
        <f>IFERROR(TEXT(VLOOKUP($B461-1,开奖记录!$A:$L,3,FALSE),"00")&amp;"+5="&amp;VLOOKUP(MOD(VLOOKUP($B461-1,开奖记录!$A:$L,3,FALSE)+4,49)+1,规律参数!$A:$C,3,FALSE),"")</f>
        <v/>
      </c>
      <c r="M461" s="19">
        <f>IF(L461="","",IF(I461="","待开奖",IF(ISNUMBER(SEARCH(I461,L461)),"命中","未命中")))</f>
        <v/>
      </c>
      <c r="N461" s="19">
        <f>IFERROR(VLOOKUP(VLOOKUP($B461-1,开奖记录!$A:$L,11,FALSE),八肖参数!$A:$B,2,FALSE),"")</f>
        <v/>
      </c>
      <c r="O461" s="19">
        <f>IF(N461="","",IF(I461="","待开奖",IF(ISNUMBER(SEARCH(I461,N461)),"命中","未命中")))</f>
        <v/>
      </c>
    </row>
    <row r="462">
      <c r="A462" s="19" t="n">
        <v>461</v>
      </c>
      <c r="B462" s="19">
        <f>IF(COUNTA(C462:E462)=0,"",B461+1)</f>
        <v/>
      </c>
      <c r="C462" s="19" t="inlineStr"/>
      <c r="D462" s="19" t="n"/>
      <c r="E462" s="19" t="n"/>
      <c r="F462" s="19">
        <f>IF(COUNTA(D462:E462)=0,"",N(D462)-N(E462))</f>
        <v/>
      </c>
      <c r="G462" s="19">
        <f>IFERROR(VLOOKUP($B462,'开奖记录'!$A:$K,2,FALSE),"")</f>
        <v/>
      </c>
      <c r="H462" s="19">
        <f>IFERROR(VLOOKUP($B462,'开奖记录'!$A:$K,9,FALSE),"")</f>
        <v/>
      </c>
      <c r="I462" s="19">
        <f>IFERROR(VLOOKUP($B462,'开奖记录'!$A:$K,11,FALSE),"")</f>
        <v/>
      </c>
      <c r="J462" s="19">
        <f>IF($B462="","",IF(ISNUMBER($D462),"命中",IF(ISNUMBER($E462),"未命中","")))</f>
        <v/>
      </c>
      <c r="K462" s="19" t="inlineStr"/>
      <c r="L462" s="19">
        <f>IFERROR(TEXT(VLOOKUP($B462-1,开奖记录!$A:$L,3,FALSE),"00")&amp;"+5="&amp;VLOOKUP(MOD(VLOOKUP($B462-1,开奖记录!$A:$L,3,FALSE)+4,49)+1,规律参数!$A:$C,3,FALSE),"")</f>
        <v/>
      </c>
      <c r="M462" s="19">
        <f>IF(L462="","",IF(I462="","待开奖",IF(ISNUMBER(SEARCH(I462,L462)),"命中","未命中")))</f>
        <v/>
      </c>
      <c r="N462" s="19">
        <f>IFERROR(VLOOKUP(VLOOKUP($B462-1,开奖记录!$A:$L,11,FALSE),八肖参数!$A:$B,2,FALSE),"")</f>
        <v/>
      </c>
      <c r="O462" s="19">
        <f>IF(N462="","",IF(I462="","待开奖",IF(ISNUMBER(SEARCH(I462,N462)),"命中","未命中")))</f>
        <v/>
      </c>
    </row>
    <row r="463">
      <c r="A463" s="19" t="n">
        <v>462</v>
      </c>
      <c r="B463" s="19">
        <f>IF(COUNTA(C463:E463)=0,"",B462+1)</f>
        <v/>
      </c>
      <c r="C463" s="19" t="inlineStr"/>
      <c r="D463" s="19" t="n"/>
      <c r="E463" s="19" t="n"/>
      <c r="F463" s="19">
        <f>IF(COUNTA(D463:E463)=0,"",N(D463)-N(E463))</f>
        <v/>
      </c>
      <c r="G463" s="19">
        <f>IFERROR(VLOOKUP($B463,'开奖记录'!$A:$K,2,FALSE),"")</f>
        <v/>
      </c>
      <c r="H463" s="19">
        <f>IFERROR(VLOOKUP($B463,'开奖记录'!$A:$K,9,FALSE),"")</f>
        <v/>
      </c>
      <c r="I463" s="19">
        <f>IFERROR(VLOOKUP($B463,'开奖记录'!$A:$K,11,FALSE),"")</f>
        <v/>
      </c>
      <c r="J463" s="19">
        <f>IF($B463="","",IF(ISNUMBER($D463),"命中",IF(ISNUMBER($E463),"未命中","")))</f>
        <v/>
      </c>
      <c r="K463" s="19" t="inlineStr"/>
      <c r="L463" s="19">
        <f>IFERROR(TEXT(VLOOKUP($B463-1,开奖记录!$A:$L,3,FALSE),"00")&amp;"+5="&amp;VLOOKUP(MOD(VLOOKUP($B463-1,开奖记录!$A:$L,3,FALSE)+4,49)+1,规律参数!$A:$C,3,FALSE),"")</f>
        <v/>
      </c>
      <c r="M463" s="19">
        <f>IF(L463="","",IF(I463="","待开奖",IF(ISNUMBER(SEARCH(I463,L463)),"命中","未命中")))</f>
        <v/>
      </c>
      <c r="N463" s="19">
        <f>IFERROR(VLOOKUP(VLOOKUP($B463-1,开奖记录!$A:$L,11,FALSE),八肖参数!$A:$B,2,FALSE),"")</f>
        <v/>
      </c>
      <c r="O463" s="19">
        <f>IF(N463="","",IF(I463="","待开奖",IF(ISNUMBER(SEARCH(I463,N463)),"命中","未命中")))</f>
        <v/>
      </c>
    </row>
    <row r="464">
      <c r="A464" s="19" t="n">
        <v>463</v>
      </c>
      <c r="B464" s="19">
        <f>IF(COUNTA(C464:E464)=0,"",B463+1)</f>
        <v/>
      </c>
      <c r="C464" s="19" t="inlineStr"/>
      <c r="D464" s="19" t="n"/>
      <c r="E464" s="19" t="n"/>
      <c r="F464" s="19">
        <f>IF(COUNTA(D464:E464)=0,"",N(D464)-N(E464))</f>
        <v/>
      </c>
      <c r="G464" s="19">
        <f>IFERROR(VLOOKUP($B464,'开奖记录'!$A:$K,2,FALSE),"")</f>
        <v/>
      </c>
      <c r="H464" s="19">
        <f>IFERROR(VLOOKUP($B464,'开奖记录'!$A:$K,9,FALSE),"")</f>
        <v/>
      </c>
      <c r="I464" s="19">
        <f>IFERROR(VLOOKUP($B464,'开奖记录'!$A:$K,11,FALSE),"")</f>
        <v/>
      </c>
      <c r="J464" s="19">
        <f>IF($B464="","",IF(ISNUMBER($D464),"命中",IF(ISNUMBER($E464),"未命中","")))</f>
        <v/>
      </c>
      <c r="K464" s="19" t="inlineStr"/>
      <c r="L464" s="19">
        <f>IFERROR(TEXT(VLOOKUP($B464-1,开奖记录!$A:$L,3,FALSE),"00")&amp;"+5="&amp;VLOOKUP(MOD(VLOOKUP($B464-1,开奖记录!$A:$L,3,FALSE)+4,49)+1,规律参数!$A:$C,3,FALSE),"")</f>
        <v/>
      </c>
      <c r="M464" s="19">
        <f>IF(L464="","",IF(I464="","待开奖",IF(ISNUMBER(SEARCH(I464,L464)),"命中","未命中")))</f>
        <v/>
      </c>
      <c r="N464" s="19">
        <f>IFERROR(VLOOKUP(VLOOKUP($B464-1,开奖记录!$A:$L,11,FALSE),八肖参数!$A:$B,2,FALSE),"")</f>
        <v/>
      </c>
      <c r="O464" s="19">
        <f>IF(N464="","",IF(I464="","待开奖",IF(ISNUMBER(SEARCH(I464,N464)),"命中","未命中")))</f>
        <v/>
      </c>
    </row>
    <row r="465">
      <c r="A465" s="19" t="n">
        <v>464</v>
      </c>
      <c r="B465" s="19">
        <f>IF(COUNTA(C465:E465)=0,"",B464+1)</f>
        <v/>
      </c>
      <c r="C465" s="19" t="inlineStr"/>
      <c r="D465" s="19" t="n"/>
      <c r="E465" s="19" t="n"/>
      <c r="F465" s="19">
        <f>IF(COUNTA(D465:E465)=0,"",N(D465)-N(E465))</f>
        <v/>
      </c>
      <c r="G465" s="19">
        <f>IFERROR(VLOOKUP($B465,'开奖记录'!$A:$K,2,FALSE),"")</f>
        <v/>
      </c>
      <c r="H465" s="19">
        <f>IFERROR(VLOOKUP($B465,'开奖记录'!$A:$K,9,FALSE),"")</f>
        <v/>
      </c>
      <c r="I465" s="19">
        <f>IFERROR(VLOOKUP($B465,'开奖记录'!$A:$K,11,FALSE),"")</f>
        <v/>
      </c>
      <c r="J465" s="19">
        <f>IF($B465="","",IF(ISNUMBER($D465),"命中",IF(ISNUMBER($E465),"未命中","")))</f>
        <v/>
      </c>
      <c r="K465" s="19" t="inlineStr"/>
      <c r="L465" s="19">
        <f>IFERROR(TEXT(VLOOKUP($B465-1,开奖记录!$A:$L,3,FALSE),"00")&amp;"+5="&amp;VLOOKUP(MOD(VLOOKUP($B465-1,开奖记录!$A:$L,3,FALSE)+4,49)+1,规律参数!$A:$C,3,FALSE),"")</f>
        <v/>
      </c>
      <c r="M465" s="19">
        <f>IF(L465="","",IF(I465="","待开奖",IF(ISNUMBER(SEARCH(I465,L465)),"命中","未命中")))</f>
        <v/>
      </c>
      <c r="N465" s="19">
        <f>IFERROR(VLOOKUP(VLOOKUP($B465-1,开奖记录!$A:$L,11,FALSE),八肖参数!$A:$B,2,FALSE),"")</f>
        <v/>
      </c>
      <c r="O465" s="19">
        <f>IF(N465="","",IF(I465="","待开奖",IF(ISNUMBER(SEARCH(I465,N465)),"命中","未命中")))</f>
        <v/>
      </c>
    </row>
    <row r="466">
      <c r="A466" s="19" t="n">
        <v>465</v>
      </c>
      <c r="B466" s="19">
        <f>IF(COUNTA(C466:E466)=0,"",B465+1)</f>
        <v/>
      </c>
      <c r="C466" s="19" t="inlineStr"/>
      <c r="D466" s="19" t="n"/>
      <c r="E466" s="19" t="n"/>
      <c r="F466" s="19">
        <f>IF(COUNTA(D466:E466)=0,"",N(D466)-N(E466))</f>
        <v/>
      </c>
      <c r="G466" s="19">
        <f>IFERROR(VLOOKUP($B466,'开奖记录'!$A:$K,2,FALSE),"")</f>
        <v/>
      </c>
      <c r="H466" s="19">
        <f>IFERROR(VLOOKUP($B466,'开奖记录'!$A:$K,9,FALSE),"")</f>
        <v/>
      </c>
      <c r="I466" s="19">
        <f>IFERROR(VLOOKUP($B466,'开奖记录'!$A:$K,11,FALSE),"")</f>
        <v/>
      </c>
      <c r="J466" s="19">
        <f>IF($B466="","",IF(ISNUMBER($D466),"命中",IF(ISNUMBER($E466),"未命中","")))</f>
        <v/>
      </c>
      <c r="K466" s="19" t="inlineStr"/>
      <c r="L466" s="19">
        <f>IFERROR(TEXT(VLOOKUP($B466-1,开奖记录!$A:$L,3,FALSE),"00")&amp;"+5="&amp;VLOOKUP(MOD(VLOOKUP($B466-1,开奖记录!$A:$L,3,FALSE)+4,49)+1,规律参数!$A:$C,3,FALSE),"")</f>
        <v/>
      </c>
      <c r="M466" s="19">
        <f>IF(L466="","",IF(I466="","待开奖",IF(ISNUMBER(SEARCH(I466,L466)),"命中","未命中")))</f>
        <v/>
      </c>
      <c r="N466" s="19">
        <f>IFERROR(VLOOKUP(VLOOKUP($B466-1,开奖记录!$A:$L,11,FALSE),八肖参数!$A:$B,2,FALSE),"")</f>
        <v/>
      </c>
      <c r="O466" s="19">
        <f>IF(N466="","",IF(I466="","待开奖",IF(ISNUMBER(SEARCH(I466,N466)),"命中","未命中")))</f>
        <v/>
      </c>
    </row>
    <row r="467">
      <c r="A467" s="19" t="n">
        <v>466</v>
      </c>
      <c r="B467" s="19">
        <f>IF(COUNTA(C467:E467)=0,"",B466+1)</f>
        <v/>
      </c>
      <c r="C467" s="19" t="inlineStr"/>
      <c r="D467" s="19" t="n"/>
      <c r="E467" s="19" t="n"/>
      <c r="F467" s="19">
        <f>IF(COUNTA(D467:E467)=0,"",N(D467)-N(E467))</f>
        <v/>
      </c>
      <c r="G467" s="19">
        <f>IFERROR(VLOOKUP($B467,'开奖记录'!$A:$K,2,FALSE),"")</f>
        <v/>
      </c>
      <c r="H467" s="19">
        <f>IFERROR(VLOOKUP($B467,'开奖记录'!$A:$K,9,FALSE),"")</f>
        <v/>
      </c>
      <c r="I467" s="19">
        <f>IFERROR(VLOOKUP($B467,'开奖记录'!$A:$K,11,FALSE),"")</f>
        <v/>
      </c>
      <c r="J467" s="19">
        <f>IF($B467="","",IF(ISNUMBER($D467),"命中",IF(ISNUMBER($E467),"未命中","")))</f>
        <v/>
      </c>
      <c r="K467" s="19" t="inlineStr"/>
      <c r="L467" s="19">
        <f>IFERROR(TEXT(VLOOKUP($B467-1,开奖记录!$A:$L,3,FALSE),"00")&amp;"+5="&amp;VLOOKUP(MOD(VLOOKUP($B467-1,开奖记录!$A:$L,3,FALSE)+4,49)+1,规律参数!$A:$C,3,FALSE),"")</f>
        <v/>
      </c>
      <c r="M467" s="19">
        <f>IF(L467="","",IF(I467="","待开奖",IF(ISNUMBER(SEARCH(I467,L467)),"命中","未命中")))</f>
        <v/>
      </c>
      <c r="N467" s="19">
        <f>IFERROR(VLOOKUP(VLOOKUP($B467-1,开奖记录!$A:$L,11,FALSE),八肖参数!$A:$B,2,FALSE),"")</f>
        <v/>
      </c>
      <c r="O467" s="19">
        <f>IF(N467="","",IF(I467="","待开奖",IF(ISNUMBER(SEARCH(I467,N467)),"命中","未命中")))</f>
        <v/>
      </c>
    </row>
    <row r="468">
      <c r="A468" s="19" t="n">
        <v>467</v>
      </c>
      <c r="B468" s="19">
        <f>IF(COUNTA(C468:E468)=0,"",B467+1)</f>
        <v/>
      </c>
      <c r="C468" s="19" t="inlineStr"/>
      <c r="D468" s="19" t="n"/>
      <c r="E468" s="19" t="n"/>
      <c r="F468" s="19">
        <f>IF(COUNTA(D468:E468)=0,"",N(D468)-N(E468))</f>
        <v/>
      </c>
      <c r="G468" s="19">
        <f>IFERROR(VLOOKUP($B468,'开奖记录'!$A:$K,2,FALSE),"")</f>
        <v/>
      </c>
      <c r="H468" s="19">
        <f>IFERROR(VLOOKUP($B468,'开奖记录'!$A:$K,9,FALSE),"")</f>
        <v/>
      </c>
      <c r="I468" s="19">
        <f>IFERROR(VLOOKUP($B468,'开奖记录'!$A:$K,11,FALSE),"")</f>
        <v/>
      </c>
      <c r="J468" s="19">
        <f>IF($B468="","",IF(ISNUMBER($D468),"命中",IF(ISNUMBER($E468),"未命中","")))</f>
        <v/>
      </c>
      <c r="K468" s="19" t="inlineStr"/>
      <c r="L468" s="19">
        <f>IFERROR(TEXT(VLOOKUP($B468-1,开奖记录!$A:$L,3,FALSE),"00")&amp;"+5="&amp;VLOOKUP(MOD(VLOOKUP($B468-1,开奖记录!$A:$L,3,FALSE)+4,49)+1,规律参数!$A:$C,3,FALSE),"")</f>
        <v/>
      </c>
      <c r="M468" s="19">
        <f>IF(L468="","",IF(I468="","待开奖",IF(ISNUMBER(SEARCH(I468,L468)),"命中","未命中")))</f>
        <v/>
      </c>
      <c r="N468" s="19">
        <f>IFERROR(VLOOKUP(VLOOKUP($B468-1,开奖记录!$A:$L,11,FALSE),八肖参数!$A:$B,2,FALSE),"")</f>
        <v/>
      </c>
      <c r="O468" s="19">
        <f>IF(N468="","",IF(I468="","待开奖",IF(ISNUMBER(SEARCH(I468,N468)),"命中","未命中")))</f>
        <v/>
      </c>
    </row>
    <row r="469">
      <c r="A469" s="19" t="n">
        <v>468</v>
      </c>
      <c r="B469" s="19">
        <f>IF(COUNTA(C469:E469)=0,"",B468+1)</f>
        <v/>
      </c>
      <c r="C469" s="19" t="inlineStr"/>
      <c r="D469" s="19" t="n"/>
      <c r="E469" s="19" t="n"/>
      <c r="F469" s="19">
        <f>IF(COUNTA(D469:E469)=0,"",N(D469)-N(E469))</f>
        <v/>
      </c>
      <c r="G469" s="19">
        <f>IFERROR(VLOOKUP($B469,'开奖记录'!$A:$K,2,FALSE),"")</f>
        <v/>
      </c>
      <c r="H469" s="19">
        <f>IFERROR(VLOOKUP($B469,'开奖记录'!$A:$K,9,FALSE),"")</f>
        <v/>
      </c>
      <c r="I469" s="19">
        <f>IFERROR(VLOOKUP($B469,'开奖记录'!$A:$K,11,FALSE),"")</f>
        <v/>
      </c>
      <c r="J469" s="19">
        <f>IF($B469="","",IF(ISNUMBER($D469),"命中",IF(ISNUMBER($E469),"未命中","")))</f>
        <v/>
      </c>
      <c r="K469" s="19" t="inlineStr"/>
      <c r="L469" s="19">
        <f>IFERROR(TEXT(VLOOKUP($B469-1,开奖记录!$A:$L,3,FALSE),"00")&amp;"+5="&amp;VLOOKUP(MOD(VLOOKUP($B469-1,开奖记录!$A:$L,3,FALSE)+4,49)+1,规律参数!$A:$C,3,FALSE),"")</f>
        <v/>
      </c>
      <c r="M469" s="19">
        <f>IF(L469="","",IF(I469="","待开奖",IF(ISNUMBER(SEARCH(I469,L469)),"命中","未命中")))</f>
        <v/>
      </c>
      <c r="N469" s="19">
        <f>IFERROR(VLOOKUP(VLOOKUP($B469-1,开奖记录!$A:$L,11,FALSE),八肖参数!$A:$B,2,FALSE),"")</f>
        <v/>
      </c>
      <c r="O469" s="19">
        <f>IF(N469="","",IF(I469="","待开奖",IF(ISNUMBER(SEARCH(I469,N469)),"命中","未命中")))</f>
        <v/>
      </c>
    </row>
    <row r="470">
      <c r="A470" s="19" t="n">
        <v>469</v>
      </c>
      <c r="B470" s="19">
        <f>IF(COUNTA(C470:E470)=0,"",B469+1)</f>
        <v/>
      </c>
      <c r="C470" s="19" t="inlineStr"/>
      <c r="D470" s="19" t="n"/>
      <c r="E470" s="19" t="n"/>
      <c r="F470" s="19">
        <f>IF(COUNTA(D470:E470)=0,"",N(D470)-N(E470))</f>
        <v/>
      </c>
      <c r="G470" s="19">
        <f>IFERROR(VLOOKUP($B470,'开奖记录'!$A:$K,2,FALSE),"")</f>
        <v/>
      </c>
      <c r="H470" s="19">
        <f>IFERROR(VLOOKUP($B470,'开奖记录'!$A:$K,9,FALSE),"")</f>
        <v/>
      </c>
      <c r="I470" s="19">
        <f>IFERROR(VLOOKUP($B470,'开奖记录'!$A:$K,11,FALSE),"")</f>
        <v/>
      </c>
      <c r="J470" s="19">
        <f>IF($B470="","",IF(ISNUMBER($D470),"命中",IF(ISNUMBER($E470),"未命中","")))</f>
        <v/>
      </c>
      <c r="K470" s="19" t="inlineStr"/>
      <c r="L470" s="19">
        <f>IFERROR(TEXT(VLOOKUP($B470-1,开奖记录!$A:$L,3,FALSE),"00")&amp;"+5="&amp;VLOOKUP(MOD(VLOOKUP($B470-1,开奖记录!$A:$L,3,FALSE)+4,49)+1,规律参数!$A:$C,3,FALSE),"")</f>
        <v/>
      </c>
      <c r="M470" s="19">
        <f>IF(L470="","",IF(I470="","待开奖",IF(ISNUMBER(SEARCH(I470,L470)),"命中","未命中")))</f>
        <v/>
      </c>
      <c r="N470" s="19">
        <f>IFERROR(VLOOKUP(VLOOKUP($B470-1,开奖记录!$A:$L,11,FALSE),八肖参数!$A:$B,2,FALSE),"")</f>
        <v/>
      </c>
      <c r="O470" s="19">
        <f>IF(N470="","",IF(I470="","待开奖",IF(ISNUMBER(SEARCH(I470,N470)),"命中","未命中")))</f>
        <v/>
      </c>
    </row>
    <row r="471">
      <c r="A471" s="19" t="n">
        <v>470</v>
      </c>
      <c r="B471" s="19">
        <f>IF(COUNTA(C471:E471)=0,"",B470+1)</f>
        <v/>
      </c>
      <c r="C471" s="19" t="inlineStr"/>
      <c r="D471" s="19" t="n"/>
      <c r="E471" s="19" t="n"/>
      <c r="F471" s="19">
        <f>IF(COUNTA(D471:E471)=0,"",N(D471)-N(E471))</f>
        <v/>
      </c>
      <c r="G471" s="19">
        <f>IFERROR(VLOOKUP($B471,'开奖记录'!$A:$K,2,FALSE),"")</f>
        <v/>
      </c>
      <c r="H471" s="19">
        <f>IFERROR(VLOOKUP($B471,'开奖记录'!$A:$K,9,FALSE),"")</f>
        <v/>
      </c>
      <c r="I471" s="19">
        <f>IFERROR(VLOOKUP($B471,'开奖记录'!$A:$K,11,FALSE),"")</f>
        <v/>
      </c>
      <c r="J471" s="19">
        <f>IF($B471="","",IF(ISNUMBER($D471),"命中",IF(ISNUMBER($E471),"未命中","")))</f>
        <v/>
      </c>
      <c r="K471" s="19" t="inlineStr"/>
      <c r="L471" s="19">
        <f>IFERROR(TEXT(VLOOKUP($B471-1,开奖记录!$A:$L,3,FALSE),"00")&amp;"+5="&amp;VLOOKUP(MOD(VLOOKUP($B471-1,开奖记录!$A:$L,3,FALSE)+4,49)+1,规律参数!$A:$C,3,FALSE),"")</f>
        <v/>
      </c>
      <c r="M471" s="19">
        <f>IF(L471="","",IF(I471="","待开奖",IF(ISNUMBER(SEARCH(I471,L471)),"命中","未命中")))</f>
        <v/>
      </c>
      <c r="N471" s="19">
        <f>IFERROR(VLOOKUP(VLOOKUP($B471-1,开奖记录!$A:$L,11,FALSE),八肖参数!$A:$B,2,FALSE),"")</f>
        <v/>
      </c>
      <c r="O471" s="19">
        <f>IF(N471="","",IF(I471="","待开奖",IF(ISNUMBER(SEARCH(I471,N471)),"命中","未命中")))</f>
        <v/>
      </c>
    </row>
    <row r="472">
      <c r="A472" s="19" t="n">
        <v>471</v>
      </c>
      <c r="B472" s="19">
        <f>IF(COUNTA(C472:E472)=0,"",B471+1)</f>
        <v/>
      </c>
      <c r="C472" s="19" t="inlineStr"/>
      <c r="D472" s="19" t="n"/>
      <c r="E472" s="19" t="n"/>
      <c r="F472" s="19">
        <f>IF(COUNTA(D472:E472)=0,"",N(D472)-N(E472))</f>
        <v/>
      </c>
      <c r="G472" s="19">
        <f>IFERROR(VLOOKUP($B472,'开奖记录'!$A:$K,2,FALSE),"")</f>
        <v/>
      </c>
      <c r="H472" s="19">
        <f>IFERROR(VLOOKUP($B472,'开奖记录'!$A:$K,9,FALSE),"")</f>
        <v/>
      </c>
      <c r="I472" s="19">
        <f>IFERROR(VLOOKUP($B472,'开奖记录'!$A:$K,11,FALSE),"")</f>
        <v/>
      </c>
      <c r="J472" s="19">
        <f>IF($B472="","",IF(ISNUMBER($D472),"命中",IF(ISNUMBER($E472),"未命中","")))</f>
        <v/>
      </c>
      <c r="K472" s="19" t="inlineStr"/>
      <c r="L472" s="19">
        <f>IFERROR(TEXT(VLOOKUP($B472-1,开奖记录!$A:$L,3,FALSE),"00")&amp;"+5="&amp;VLOOKUP(MOD(VLOOKUP($B472-1,开奖记录!$A:$L,3,FALSE)+4,49)+1,规律参数!$A:$C,3,FALSE),"")</f>
        <v/>
      </c>
      <c r="M472" s="19">
        <f>IF(L472="","",IF(I472="","待开奖",IF(ISNUMBER(SEARCH(I472,L472)),"命中","未命中")))</f>
        <v/>
      </c>
      <c r="N472" s="19">
        <f>IFERROR(VLOOKUP(VLOOKUP($B472-1,开奖记录!$A:$L,11,FALSE),八肖参数!$A:$B,2,FALSE),"")</f>
        <v/>
      </c>
      <c r="O472" s="19">
        <f>IF(N472="","",IF(I472="","待开奖",IF(ISNUMBER(SEARCH(I472,N472)),"命中","未命中")))</f>
        <v/>
      </c>
    </row>
    <row r="473">
      <c r="A473" s="19" t="n">
        <v>472</v>
      </c>
      <c r="B473" s="19">
        <f>IF(COUNTA(C473:E473)=0,"",B472+1)</f>
        <v/>
      </c>
      <c r="C473" s="19" t="inlineStr"/>
      <c r="D473" s="19" t="n"/>
      <c r="E473" s="19" t="n"/>
      <c r="F473" s="19">
        <f>IF(COUNTA(D473:E473)=0,"",N(D473)-N(E473))</f>
        <v/>
      </c>
      <c r="G473" s="19">
        <f>IFERROR(VLOOKUP($B473,'开奖记录'!$A:$K,2,FALSE),"")</f>
        <v/>
      </c>
      <c r="H473" s="19">
        <f>IFERROR(VLOOKUP($B473,'开奖记录'!$A:$K,9,FALSE),"")</f>
        <v/>
      </c>
      <c r="I473" s="19">
        <f>IFERROR(VLOOKUP($B473,'开奖记录'!$A:$K,11,FALSE),"")</f>
        <v/>
      </c>
      <c r="J473" s="19">
        <f>IF($B473="","",IF(ISNUMBER($D473),"命中",IF(ISNUMBER($E473),"未命中","")))</f>
        <v/>
      </c>
      <c r="K473" s="19" t="inlineStr"/>
      <c r="L473" s="19">
        <f>IFERROR(TEXT(VLOOKUP($B473-1,开奖记录!$A:$L,3,FALSE),"00")&amp;"+5="&amp;VLOOKUP(MOD(VLOOKUP($B473-1,开奖记录!$A:$L,3,FALSE)+4,49)+1,规律参数!$A:$C,3,FALSE),"")</f>
        <v/>
      </c>
      <c r="M473" s="19">
        <f>IF(L473="","",IF(I473="","待开奖",IF(ISNUMBER(SEARCH(I473,L473)),"命中","未命中")))</f>
        <v/>
      </c>
      <c r="N473" s="19">
        <f>IFERROR(VLOOKUP(VLOOKUP($B473-1,开奖记录!$A:$L,11,FALSE),八肖参数!$A:$B,2,FALSE),"")</f>
        <v/>
      </c>
      <c r="O473" s="19">
        <f>IF(N473="","",IF(I473="","待开奖",IF(ISNUMBER(SEARCH(I473,N473)),"命中","未命中")))</f>
        <v/>
      </c>
    </row>
    <row r="474">
      <c r="A474" s="19" t="n">
        <v>473</v>
      </c>
      <c r="B474" s="19">
        <f>IF(COUNTA(C474:E474)=0,"",B473+1)</f>
        <v/>
      </c>
      <c r="C474" s="19" t="inlineStr"/>
      <c r="D474" s="19" t="n"/>
      <c r="E474" s="19" t="n"/>
      <c r="F474" s="19">
        <f>IF(COUNTA(D474:E474)=0,"",N(D474)-N(E474))</f>
        <v/>
      </c>
      <c r="G474" s="19">
        <f>IFERROR(VLOOKUP($B474,'开奖记录'!$A:$K,2,FALSE),"")</f>
        <v/>
      </c>
      <c r="H474" s="19">
        <f>IFERROR(VLOOKUP($B474,'开奖记录'!$A:$K,9,FALSE),"")</f>
        <v/>
      </c>
      <c r="I474" s="19">
        <f>IFERROR(VLOOKUP($B474,'开奖记录'!$A:$K,11,FALSE),"")</f>
        <v/>
      </c>
      <c r="J474" s="19">
        <f>IF($B474="","",IF(ISNUMBER($D474),"命中",IF(ISNUMBER($E474),"未命中","")))</f>
        <v/>
      </c>
      <c r="K474" s="19" t="inlineStr"/>
      <c r="L474" s="19">
        <f>IFERROR(TEXT(VLOOKUP($B474-1,开奖记录!$A:$L,3,FALSE),"00")&amp;"+5="&amp;VLOOKUP(MOD(VLOOKUP($B474-1,开奖记录!$A:$L,3,FALSE)+4,49)+1,规律参数!$A:$C,3,FALSE),"")</f>
        <v/>
      </c>
      <c r="M474" s="19">
        <f>IF(L474="","",IF(I474="","待开奖",IF(ISNUMBER(SEARCH(I474,L474)),"命中","未命中")))</f>
        <v/>
      </c>
      <c r="N474" s="19">
        <f>IFERROR(VLOOKUP(VLOOKUP($B474-1,开奖记录!$A:$L,11,FALSE),八肖参数!$A:$B,2,FALSE),"")</f>
        <v/>
      </c>
      <c r="O474" s="19">
        <f>IF(N474="","",IF(I474="","待开奖",IF(ISNUMBER(SEARCH(I474,N474)),"命中","未命中")))</f>
        <v/>
      </c>
    </row>
    <row r="475">
      <c r="A475" s="19" t="n">
        <v>474</v>
      </c>
      <c r="B475" s="19">
        <f>IF(COUNTA(C475:E475)=0,"",B474+1)</f>
        <v/>
      </c>
      <c r="C475" s="19" t="inlineStr"/>
      <c r="D475" s="19" t="n"/>
      <c r="E475" s="19" t="n"/>
      <c r="F475" s="19">
        <f>IF(COUNTA(D475:E475)=0,"",N(D475)-N(E475))</f>
        <v/>
      </c>
      <c r="G475" s="19">
        <f>IFERROR(VLOOKUP($B475,'开奖记录'!$A:$K,2,FALSE),"")</f>
        <v/>
      </c>
      <c r="H475" s="19">
        <f>IFERROR(VLOOKUP($B475,'开奖记录'!$A:$K,9,FALSE),"")</f>
        <v/>
      </c>
      <c r="I475" s="19">
        <f>IFERROR(VLOOKUP($B475,'开奖记录'!$A:$K,11,FALSE),"")</f>
        <v/>
      </c>
      <c r="J475" s="19">
        <f>IF($B475="","",IF(ISNUMBER($D475),"命中",IF(ISNUMBER($E475),"未命中","")))</f>
        <v/>
      </c>
      <c r="K475" s="19" t="inlineStr"/>
      <c r="L475" s="19">
        <f>IFERROR(TEXT(VLOOKUP($B475-1,开奖记录!$A:$L,3,FALSE),"00")&amp;"+5="&amp;VLOOKUP(MOD(VLOOKUP($B475-1,开奖记录!$A:$L,3,FALSE)+4,49)+1,规律参数!$A:$C,3,FALSE),"")</f>
        <v/>
      </c>
      <c r="M475" s="19">
        <f>IF(L475="","",IF(I475="","待开奖",IF(ISNUMBER(SEARCH(I475,L475)),"命中","未命中")))</f>
        <v/>
      </c>
      <c r="N475" s="19">
        <f>IFERROR(VLOOKUP(VLOOKUP($B475-1,开奖记录!$A:$L,11,FALSE),八肖参数!$A:$B,2,FALSE),"")</f>
        <v/>
      </c>
      <c r="O475" s="19">
        <f>IF(N475="","",IF(I475="","待开奖",IF(ISNUMBER(SEARCH(I475,N475)),"命中","未命中")))</f>
        <v/>
      </c>
    </row>
    <row r="476">
      <c r="A476" s="19" t="n">
        <v>475</v>
      </c>
      <c r="B476" s="19">
        <f>IF(COUNTA(C476:E476)=0,"",B475+1)</f>
        <v/>
      </c>
      <c r="C476" s="19" t="inlineStr"/>
      <c r="D476" s="19" t="n"/>
      <c r="E476" s="19" t="n"/>
      <c r="F476" s="19">
        <f>IF(COUNTA(D476:E476)=0,"",N(D476)-N(E476))</f>
        <v/>
      </c>
      <c r="G476" s="19">
        <f>IFERROR(VLOOKUP($B476,'开奖记录'!$A:$K,2,FALSE),"")</f>
        <v/>
      </c>
      <c r="H476" s="19">
        <f>IFERROR(VLOOKUP($B476,'开奖记录'!$A:$K,9,FALSE),"")</f>
        <v/>
      </c>
      <c r="I476" s="19">
        <f>IFERROR(VLOOKUP($B476,'开奖记录'!$A:$K,11,FALSE),"")</f>
        <v/>
      </c>
      <c r="J476" s="19">
        <f>IF($B476="","",IF(ISNUMBER($D476),"命中",IF(ISNUMBER($E476),"未命中","")))</f>
        <v/>
      </c>
      <c r="K476" s="19" t="inlineStr"/>
      <c r="L476" s="19">
        <f>IFERROR(TEXT(VLOOKUP($B476-1,开奖记录!$A:$L,3,FALSE),"00")&amp;"+5="&amp;VLOOKUP(MOD(VLOOKUP($B476-1,开奖记录!$A:$L,3,FALSE)+4,49)+1,规律参数!$A:$C,3,FALSE),"")</f>
        <v/>
      </c>
      <c r="M476" s="19">
        <f>IF(L476="","",IF(I476="","待开奖",IF(ISNUMBER(SEARCH(I476,L476)),"命中","未命中")))</f>
        <v/>
      </c>
      <c r="N476" s="19">
        <f>IFERROR(VLOOKUP(VLOOKUP($B476-1,开奖记录!$A:$L,11,FALSE),八肖参数!$A:$B,2,FALSE),"")</f>
        <v/>
      </c>
      <c r="O476" s="19">
        <f>IF(N476="","",IF(I476="","待开奖",IF(ISNUMBER(SEARCH(I476,N476)),"命中","未命中")))</f>
        <v/>
      </c>
    </row>
    <row r="477">
      <c r="A477" s="19" t="n">
        <v>476</v>
      </c>
      <c r="B477" s="19">
        <f>IF(COUNTA(C477:E477)=0,"",B476+1)</f>
        <v/>
      </c>
      <c r="C477" s="19" t="inlineStr"/>
      <c r="D477" s="19" t="n"/>
      <c r="E477" s="19" t="n"/>
      <c r="F477" s="19">
        <f>IF(COUNTA(D477:E477)=0,"",N(D477)-N(E477))</f>
        <v/>
      </c>
      <c r="G477" s="19">
        <f>IFERROR(VLOOKUP($B477,'开奖记录'!$A:$K,2,FALSE),"")</f>
        <v/>
      </c>
      <c r="H477" s="19">
        <f>IFERROR(VLOOKUP($B477,'开奖记录'!$A:$K,9,FALSE),"")</f>
        <v/>
      </c>
      <c r="I477" s="19">
        <f>IFERROR(VLOOKUP($B477,'开奖记录'!$A:$K,11,FALSE),"")</f>
        <v/>
      </c>
      <c r="J477" s="19">
        <f>IF($B477="","",IF(ISNUMBER($D477),"命中",IF(ISNUMBER($E477),"未命中","")))</f>
        <v/>
      </c>
      <c r="K477" s="19" t="inlineStr"/>
      <c r="L477" s="19">
        <f>IFERROR(TEXT(VLOOKUP($B477-1,开奖记录!$A:$L,3,FALSE),"00")&amp;"+5="&amp;VLOOKUP(MOD(VLOOKUP($B477-1,开奖记录!$A:$L,3,FALSE)+4,49)+1,规律参数!$A:$C,3,FALSE),"")</f>
        <v/>
      </c>
      <c r="M477" s="19">
        <f>IF(L477="","",IF(I477="","待开奖",IF(ISNUMBER(SEARCH(I477,L477)),"命中","未命中")))</f>
        <v/>
      </c>
      <c r="N477" s="19">
        <f>IFERROR(VLOOKUP(VLOOKUP($B477-1,开奖记录!$A:$L,11,FALSE),八肖参数!$A:$B,2,FALSE),"")</f>
        <v/>
      </c>
      <c r="O477" s="19">
        <f>IF(N477="","",IF(I477="","待开奖",IF(ISNUMBER(SEARCH(I477,N477)),"命中","未命中")))</f>
        <v/>
      </c>
    </row>
    <row r="478">
      <c r="A478" s="19" t="n">
        <v>477</v>
      </c>
      <c r="B478" s="19">
        <f>IF(COUNTA(C478:E478)=0,"",B477+1)</f>
        <v/>
      </c>
      <c r="C478" s="19" t="inlineStr"/>
      <c r="D478" s="19" t="n"/>
      <c r="E478" s="19" t="n"/>
      <c r="F478" s="19">
        <f>IF(COUNTA(D478:E478)=0,"",N(D478)-N(E478))</f>
        <v/>
      </c>
      <c r="G478" s="19">
        <f>IFERROR(VLOOKUP($B478,'开奖记录'!$A:$K,2,FALSE),"")</f>
        <v/>
      </c>
      <c r="H478" s="19">
        <f>IFERROR(VLOOKUP($B478,'开奖记录'!$A:$K,9,FALSE),"")</f>
        <v/>
      </c>
      <c r="I478" s="19">
        <f>IFERROR(VLOOKUP($B478,'开奖记录'!$A:$K,11,FALSE),"")</f>
        <v/>
      </c>
      <c r="J478" s="19">
        <f>IF($B478="","",IF(ISNUMBER($D478),"命中",IF(ISNUMBER($E478),"未命中","")))</f>
        <v/>
      </c>
      <c r="K478" s="19" t="inlineStr"/>
      <c r="L478" s="19">
        <f>IFERROR(TEXT(VLOOKUP($B478-1,开奖记录!$A:$L,3,FALSE),"00")&amp;"+5="&amp;VLOOKUP(MOD(VLOOKUP($B478-1,开奖记录!$A:$L,3,FALSE)+4,49)+1,规律参数!$A:$C,3,FALSE),"")</f>
        <v/>
      </c>
      <c r="M478" s="19">
        <f>IF(L478="","",IF(I478="","待开奖",IF(ISNUMBER(SEARCH(I478,L478)),"命中","未命中")))</f>
        <v/>
      </c>
      <c r="N478" s="19">
        <f>IFERROR(VLOOKUP(VLOOKUP($B478-1,开奖记录!$A:$L,11,FALSE),八肖参数!$A:$B,2,FALSE),"")</f>
        <v/>
      </c>
      <c r="O478" s="19">
        <f>IF(N478="","",IF(I478="","待开奖",IF(ISNUMBER(SEARCH(I478,N478)),"命中","未命中")))</f>
        <v/>
      </c>
    </row>
    <row r="479">
      <c r="A479" s="19" t="n">
        <v>478</v>
      </c>
      <c r="B479" s="19">
        <f>IF(COUNTA(C479:E479)=0,"",B478+1)</f>
        <v/>
      </c>
      <c r="C479" s="19" t="inlineStr"/>
      <c r="D479" s="19" t="n"/>
      <c r="E479" s="19" t="n"/>
      <c r="F479" s="19">
        <f>IF(COUNTA(D479:E479)=0,"",N(D479)-N(E479))</f>
        <v/>
      </c>
      <c r="G479" s="19">
        <f>IFERROR(VLOOKUP($B479,'开奖记录'!$A:$K,2,FALSE),"")</f>
        <v/>
      </c>
      <c r="H479" s="19">
        <f>IFERROR(VLOOKUP($B479,'开奖记录'!$A:$K,9,FALSE),"")</f>
        <v/>
      </c>
      <c r="I479" s="19">
        <f>IFERROR(VLOOKUP($B479,'开奖记录'!$A:$K,11,FALSE),"")</f>
        <v/>
      </c>
      <c r="J479" s="19">
        <f>IF($B479="","",IF(ISNUMBER($D479),"命中",IF(ISNUMBER($E479),"未命中","")))</f>
        <v/>
      </c>
      <c r="K479" s="19" t="inlineStr"/>
      <c r="L479" s="19">
        <f>IFERROR(TEXT(VLOOKUP($B479-1,开奖记录!$A:$L,3,FALSE),"00")&amp;"+5="&amp;VLOOKUP(MOD(VLOOKUP($B479-1,开奖记录!$A:$L,3,FALSE)+4,49)+1,规律参数!$A:$C,3,FALSE),"")</f>
        <v/>
      </c>
      <c r="M479" s="19">
        <f>IF(L479="","",IF(I479="","待开奖",IF(ISNUMBER(SEARCH(I479,L479)),"命中","未命中")))</f>
        <v/>
      </c>
      <c r="N479" s="19">
        <f>IFERROR(VLOOKUP(VLOOKUP($B479-1,开奖记录!$A:$L,11,FALSE),八肖参数!$A:$B,2,FALSE),"")</f>
        <v/>
      </c>
      <c r="O479" s="19">
        <f>IF(N479="","",IF(I479="","待开奖",IF(ISNUMBER(SEARCH(I479,N479)),"命中","未命中")))</f>
        <v/>
      </c>
    </row>
    <row r="480">
      <c r="A480" s="19" t="n">
        <v>479</v>
      </c>
      <c r="B480" s="19">
        <f>IF(COUNTA(C480:E480)=0,"",B479+1)</f>
        <v/>
      </c>
      <c r="C480" s="19" t="inlineStr"/>
      <c r="D480" s="19" t="n"/>
      <c r="E480" s="19" t="n"/>
      <c r="F480" s="19">
        <f>IF(COUNTA(D480:E480)=0,"",N(D480)-N(E480))</f>
        <v/>
      </c>
      <c r="G480" s="19">
        <f>IFERROR(VLOOKUP($B480,'开奖记录'!$A:$K,2,FALSE),"")</f>
        <v/>
      </c>
      <c r="H480" s="19">
        <f>IFERROR(VLOOKUP($B480,'开奖记录'!$A:$K,9,FALSE),"")</f>
        <v/>
      </c>
      <c r="I480" s="19">
        <f>IFERROR(VLOOKUP($B480,'开奖记录'!$A:$K,11,FALSE),"")</f>
        <v/>
      </c>
      <c r="J480" s="19">
        <f>IF($B480="","",IF(ISNUMBER($D480),"命中",IF(ISNUMBER($E480),"未命中","")))</f>
        <v/>
      </c>
      <c r="K480" s="19" t="inlineStr"/>
      <c r="L480" s="19">
        <f>IFERROR(TEXT(VLOOKUP($B480-1,开奖记录!$A:$L,3,FALSE),"00")&amp;"+5="&amp;VLOOKUP(MOD(VLOOKUP($B480-1,开奖记录!$A:$L,3,FALSE)+4,49)+1,规律参数!$A:$C,3,FALSE),"")</f>
        <v/>
      </c>
      <c r="M480" s="19">
        <f>IF(L480="","",IF(I480="","待开奖",IF(ISNUMBER(SEARCH(I480,L480)),"命中","未命中")))</f>
        <v/>
      </c>
      <c r="N480" s="19">
        <f>IFERROR(VLOOKUP(VLOOKUP($B480-1,开奖记录!$A:$L,11,FALSE),八肖参数!$A:$B,2,FALSE),"")</f>
        <v/>
      </c>
      <c r="O480" s="19">
        <f>IF(N480="","",IF(I480="","待开奖",IF(ISNUMBER(SEARCH(I480,N480)),"命中","未命中")))</f>
        <v/>
      </c>
    </row>
    <row r="481">
      <c r="A481" s="19" t="n">
        <v>480</v>
      </c>
      <c r="B481" s="19">
        <f>IF(COUNTA(C481:E481)=0,"",B480+1)</f>
        <v/>
      </c>
      <c r="C481" s="19" t="inlineStr"/>
      <c r="D481" s="19" t="n"/>
      <c r="E481" s="19" t="n"/>
      <c r="F481" s="19">
        <f>IF(COUNTA(D481:E481)=0,"",N(D481)-N(E481))</f>
        <v/>
      </c>
      <c r="G481" s="19">
        <f>IFERROR(VLOOKUP($B481,'开奖记录'!$A:$K,2,FALSE),"")</f>
        <v/>
      </c>
      <c r="H481" s="19">
        <f>IFERROR(VLOOKUP($B481,'开奖记录'!$A:$K,9,FALSE),"")</f>
        <v/>
      </c>
      <c r="I481" s="19">
        <f>IFERROR(VLOOKUP($B481,'开奖记录'!$A:$K,11,FALSE),"")</f>
        <v/>
      </c>
      <c r="J481" s="19">
        <f>IF($B481="","",IF(ISNUMBER($D481),"命中",IF(ISNUMBER($E481),"未命中","")))</f>
        <v/>
      </c>
      <c r="K481" s="19" t="inlineStr"/>
      <c r="L481" s="19">
        <f>IFERROR(TEXT(VLOOKUP($B481-1,开奖记录!$A:$L,3,FALSE),"00")&amp;"+5="&amp;VLOOKUP(MOD(VLOOKUP($B481-1,开奖记录!$A:$L,3,FALSE)+4,49)+1,规律参数!$A:$C,3,FALSE),"")</f>
        <v/>
      </c>
      <c r="M481" s="19">
        <f>IF(L481="","",IF(I481="","待开奖",IF(ISNUMBER(SEARCH(I481,L481)),"命中","未命中")))</f>
        <v/>
      </c>
      <c r="N481" s="19">
        <f>IFERROR(VLOOKUP(VLOOKUP($B481-1,开奖记录!$A:$L,11,FALSE),八肖参数!$A:$B,2,FALSE),"")</f>
        <v/>
      </c>
      <c r="O481" s="19">
        <f>IF(N481="","",IF(I481="","待开奖",IF(ISNUMBER(SEARCH(I481,N481)),"命中","未命中")))</f>
        <v/>
      </c>
    </row>
    <row r="482">
      <c r="A482" s="19" t="n">
        <v>481</v>
      </c>
      <c r="B482" s="19">
        <f>IF(COUNTA(C482:E482)=0,"",B481+1)</f>
        <v/>
      </c>
      <c r="C482" s="19" t="inlineStr"/>
      <c r="D482" s="19" t="n"/>
      <c r="E482" s="19" t="n"/>
      <c r="F482" s="19">
        <f>IF(COUNTA(D482:E482)=0,"",N(D482)-N(E482))</f>
        <v/>
      </c>
      <c r="G482" s="19">
        <f>IFERROR(VLOOKUP($B482,'开奖记录'!$A:$K,2,FALSE),"")</f>
        <v/>
      </c>
      <c r="H482" s="19">
        <f>IFERROR(VLOOKUP($B482,'开奖记录'!$A:$K,9,FALSE),"")</f>
        <v/>
      </c>
      <c r="I482" s="19">
        <f>IFERROR(VLOOKUP($B482,'开奖记录'!$A:$K,11,FALSE),"")</f>
        <v/>
      </c>
      <c r="J482" s="19">
        <f>IF($B482="","",IF(ISNUMBER($D482),"命中",IF(ISNUMBER($E482),"未命中","")))</f>
        <v/>
      </c>
      <c r="K482" s="19" t="inlineStr"/>
      <c r="L482" s="19">
        <f>IFERROR(TEXT(VLOOKUP($B482-1,开奖记录!$A:$L,3,FALSE),"00")&amp;"+5="&amp;VLOOKUP(MOD(VLOOKUP($B482-1,开奖记录!$A:$L,3,FALSE)+4,49)+1,规律参数!$A:$C,3,FALSE),"")</f>
        <v/>
      </c>
      <c r="M482" s="19">
        <f>IF(L482="","",IF(I482="","待开奖",IF(ISNUMBER(SEARCH(I482,L482)),"命中","未命中")))</f>
        <v/>
      </c>
      <c r="N482" s="19">
        <f>IFERROR(VLOOKUP(VLOOKUP($B482-1,开奖记录!$A:$L,11,FALSE),八肖参数!$A:$B,2,FALSE),"")</f>
        <v/>
      </c>
      <c r="O482" s="19">
        <f>IF(N482="","",IF(I482="","待开奖",IF(ISNUMBER(SEARCH(I482,N482)),"命中","未命中")))</f>
        <v/>
      </c>
    </row>
    <row r="483">
      <c r="A483" s="19" t="n">
        <v>482</v>
      </c>
      <c r="B483" s="19">
        <f>IF(COUNTA(C483:E483)=0,"",B482+1)</f>
        <v/>
      </c>
      <c r="C483" s="19" t="inlineStr"/>
      <c r="D483" s="19" t="n"/>
      <c r="E483" s="19" t="n"/>
      <c r="F483" s="19">
        <f>IF(COUNTA(D483:E483)=0,"",N(D483)-N(E483))</f>
        <v/>
      </c>
      <c r="G483" s="19">
        <f>IFERROR(VLOOKUP($B483,'开奖记录'!$A:$K,2,FALSE),"")</f>
        <v/>
      </c>
      <c r="H483" s="19">
        <f>IFERROR(VLOOKUP($B483,'开奖记录'!$A:$K,9,FALSE),"")</f>
        <v/>
      </c>
      <c r="I483" s="19">
        <f>IFERROR(VLOOKUP($B483,'开奖记录'!$A:$K,11,FALSE),"")</f>
        <v/>
      </c>
      <c r="J483" s="19">
        <f>IF($B483="","",IF(ISNUMBER($D483),"命中",IF(ISNUMBER($E483),"未命中","")))</f>
        <v/>
      </c>
      <c r="K483" s="19" t="inlineStr"/>
      <c r="L483" s="19">
        <f>IFERROR(TEXT(VLOOKUP($B483-1,开奖记录!$A:$L,3,FALSE),"00")&amp;"+5="&amp;VLOOKUP(MOD(VLOOKUP($B483-1,开奖记录!$A:$L,3,FALSE)+4,49)+1,规律参数!$A:$C,3,FALSE),"")</f>
        <v/>
      </c>
      <c r="M483" s="19">
        <f>IF(L483="","",IF(I483="","待开奖",IF(ISNUMBER(SEARCH(I483,L483)),"命中","未命中")))</f>
        <v/>
      </c>
      <c r="N483" s="19">
        <f>IFERROR(VLOOKUP(VLOOKUP($B483-1,开奖记录!$A:$L,11,FALSE),八肖参数!$A:$B,2,FALSE),"")</f>
        <v/>
      </c>
      <c r="O483" s="19">
        <f>IF(N483="","",IF(I483="","待开奖",IF(ISNUMBER(SEARCH(I483,N483)),"命中","未命中")))</f>
        <v/>
      </c>
    </row>
    <row r="484">
      <c r="A484" s="19" t="n">
        <v>483</v>
      </c>
      <c r="B484" s="19">
        <f>IF(COUNTA(C484:E484)=0,"",B483+1)</f>
        <v/>
      </c>
      <c r="C484" s="19" t="inlineStr"/>
      <c r="D484" s="19" t="n"/>
      <c r="E484" s="19" t="n"/>
      <c r="F484" s="19">
        <f>IF(COUNTA(D484:E484)=0,"",N(D484)-N(E484))</f>
        <v/>
      </c>
      <c r="G484" s="19">
        <f>IFERROR(VLOOKUP($B484,'开奖记录'!$A:$K,2,FALSE),"")</f>
        <v/>
      </c>
      <c r="H484" s="19">
        <f>IFERROR(VLOOKUP($B484,'开奖记录'!$A:$K,9,FALSE),"")</f>
        <v/>
      </c>
      <c r="I484" s="19">
        <f>IFERROR(VLOOKUP($B484,'开奖记录'!$A:$K,11,FALSE),"")</f>
        <v/>
      </c>
      <c r="J484" s="19">
        <f>IF($B484="","",IF(ISNUMBER($D484),"命中",IF(ISNUMBER($E484),"未命中","")))</f>
        <v/>
      </c>
      <c r="K484" s="19" t="inlineStr"/>
      <c r="L484" s="19">
        <f>IFERROR(TEXT(VLOOKUP($B484-1,开奖记录!$A:$L,3,FALSE),"00")&amp;"+5="&amp;VLOOKUP(MOD(VLOOKUP($B484-1,开奖记录!$A:$L,3,FALSE)+4,49)+1,规律参数!$A:$C,3,FALSE),"")</f>
        <v/>
      </c>
      <c r="M484" s="19">
        <f>IF(L484="","",IF(I484="","待开奖",IF(ISNUMBER(SEARCH(I484,L484)),"命中","未命中")))</f>
        <v/>
      </c>
      <c r="N484" s="19">
        <f>IFERROR(VLOOKUP(VLOOKUP($B484-1,开奖记录!$A:$L,11,FALSE),八肖参数!$A:$B,2,FALSE),"")</f>
        <v/>
      </c>
      <c r="O484" s="19">
        <f>IF(N484="","",IF(I484="","待开奖",IF(ISNUMBER(SEARCH(I484,N484)),"命中","未命中")))</f>
        <v/>
      </c>
    </row>
    <row r="485">
      <c r="A485" s="19" t="n">
        <v>484</v>
      </c>
      <c r="B485" s="19">
        <f>IF(COUNTA(C485:E485)=0,"",B484+1)</f>
        <v/>
      </c>
      <c r="C485" s="19" t="inlineStr"/>
      <c r="D485" s="19" t="n"/>
      <c r="E485" s="19" t="n"/>
      <c r="F485" s="19">
        <f>IF(COUNTA(D485:E485)=0,"",N(D485)-N(E485))</f>
        <v/>
      </c>
      <c r="G485" s="19">
        <f>IFERROR(VLOOKUP($B485,'开奖记录'!$A:$K,2,FALSE),"")</f>
        <v/>
      </c>
      <c r="H485" s="19">
        <f>IFERROR(VLOOKUP($B485,'开奖记录'!$A:$K,9,FALSE),"")</f>
        <v/>
      </c>
      <c r="I485" s="19">
        <f>IFERROR(VLOOKUP($B485,'开奖记录'!$A:$K,11,FALSE),"")</f>
        <v/>
      </c>
      <c r="J485" s="19">
        <f>IF($B485="","",IF(ISNUMBER($D485),"命中",IF(ISNUMBER($E485),"未命中","")))</f>
        <v/>
      </c>
      <c r="K485" s="19" t="inlineStr"/>
      <c r="L485" s="19">
        <f>IFERROR(TEXT(VLOOKUP($B485-1,开奖记录!$A:$L,3,FALSE),"00")&amp;"+5="&amp;VLOOKUP(MOD(VLOOKUP($B485-1,开奖记录!$A:$L,3,FALSE)+4,49)+1,规律参数!$A:$C,3,FALSE),"")</f>
        <v/>
      </c>
      <c r="M485" s="19">
        <f>IF(L485="","",IF(I485="","待开奖",IF(ISNUMBER(SEARCH(I485,L485)),"命中","未命中")))</f>
        <v/>
      </c>
      <c r="N485" s="19">
        <f>IFERROR(VLOOKUP(VLOOKUP($B485-1,开奖记录!$A:$L,11,FALSE),八肖参数!$A:$B,2,FALSE),"")</f>
        <v/>
      </c>
      <c r="O485" s="19">
        <f>IF(N485="","",IF(I485="","待开奖",IF(ISNUMBER(SEARCH(I485,N485)),"命中","未命中")))</f>
        <v/>
      </c>
    </row>
    <row r="486">
      <c r="A486" s="19" t="n">
        <v>485</v>
      </c>
      <c r="B486" s="19">
        <f>IF(COUNTA(C486:E486)=0,"",B485+1)</f>
        <v/>
      </c>
      <c r="C486" s="19" t="inlineStr"/>
      <c r="D486" s="19" t="n"/>
      <c r="E486" s="19" t="n"/>
      <c r="F486" s="19">
        <f>IF(COUNTA(D486:E486)=0,"",N(D486)-N(E486))</f>
        <v/>
      </c>
      <c r="G486" s="19">
        <f>IFERROR(VLOOKUP($B486,'开奖记录'!$A:$K,2,FALSE),"")</f>
        <v/>
      </c>
      <c r="H486" s="19">
        <f>IFERROR(VLOOKUP($B486,'开奖记录'!$A:$K,9,FALSE),"")</f>
        <v/>
      </c>
      <c r="I486" s="19">
        <f>IFERROR(VLOOKUP($B486,'开奖记录'!$A:$K,11,FALSE),"")</f>
        <v/>
      </c>
      <c r="J486" s="19">
        <f>IF($B486="","",IF(ISNUMBER($D486),"命中",IF(ISNUMBER($E486),"未命中","")))</f>
        <v/>
      </c>
      <c r="K486" s="19" t="inlineStr"/>
      <c r="L486" s="19">
        <f>IFERROR(TEXT(VLOOKUP($B486-1,开奖记录!$A:$L,3,FALSE),"00")&amp;"+5="&amp;VLOOKUP(MOD(VLOOKUP($B486-1,开奖记录!$A:$L,3,FALSE)+4,49)+1,规律参数!$A:$C,3,FALSE),"")</f>
        <v/>
      </c>
      <c r="M486" s="19">
        <f>IF(L486="","",IF(I486="","待开奖",IF(ISNUMBER(SEARCH(I486,L486)),"命中","未命中")))</f>
        <v/>
      </c>
      <c r="N486" s="19">
        <f>IFERROR(VLOOKUP(VLOOKUP($B486-1,开奖记录!$A:$L,11,FALSE),八肖参数!$A:$B,2,FALSE),"")</f>
        <v/>
      </c>
      <c r="O486" s="19">
        <f>IF(N486="","",IF(I486="","待开奖",IF(ISNUMBER(SEARCH(I486,N486)),"命中","未命中")))</f>
        <v/>
      </c>
    </row>
    <row r="487">
      <c r="A487" s="19" t="n">
        <v>486</v>
      </c>
      <c r="B487" s="19">
        <f>IF(COUNTA(C487:E487)=0,"",B486+1)</f>
        <v/>
      </c>
      <c r="C487" s="19" t="inlineStr"/>
      <c r="D487" s="19" t="n"/>
      <c r="E487" s="19" t="n"/>
      <c r="F487" s="19">
        <f>IF(COUNTA(D487:E487)=0,"",N(D487)-N(E487))</f>
        <v/>
      </c>
      <c r="G487" s="19">
        <f>IFERROR(VLOOKUP($B487,'开奖记录'!$A:$K,2,FALSE),"")</f>
        <v/>
      </c>
      <c r="H487" s="19">
        <f>IFERROR(VLOOKUP($B487,'开奖记录'!$A:$K,9,FALSE),"")</f>
        <v/>
      </c>
      <c r="I487" s="19">
        <f>IFERROR(VLOOKUP($B487,'开奖记录'!$A:$K,11,FALSE),"")</f>
        <v/>
      </c>
      <c r="J487" s="19">
        <f>IF($B487="","",IF(ISNUMBER($D487),"命中",IF(ISNUMBER($E487),"未命中","")))</f>
        <v/>
      </c>
      <c r="K487" s="19" t="inlineStr"/>
      <c r="L487" s="19">
        <f>IFERROR(TEXT(VLOOKUP($B487-1,开奖记录!$A:$L,3,FALSE),"00")&amp;"+5="&amp;VLOOKUP(MOD(VLOOKUP($B487-1,开奖记录!$A:$L,3,FALSE)+4,49)+1,规律参数!$A:$C,3,FALSE),"")</f>
        <v/>
      </c>
      <c r="M487" s="19">
        <f>IF(L487="","",IF(I487="","待开奖",IF(ISNUMBER(SEARCH(I487,L487)),"命中","未命中")))</f>
        <v/>
      </c>
      <c r="N487" s="19">
        <f>IFERROR(VLOOKUP(VLOOKUP($B487-1,开奖记录!$A:$L,11,FALSE),八肖参数!$A:$B,2,FALSE),"")</f>
        <v/>
      </c>
      <c r="O487" s="19">
        <f>IF(N487="","",IF(I487="","待开奖",IF(ISNUMBER(SEARCH(I487,N487)),"命中","未命中")))</f>
        <v/>
      </c>
    </row>
    <row r="488">
      <c r="A488" s="19" t="n">
        <v>487</v>
      </c>
      <c r="B488" s="19">
        <f>IF(COUNTA(C488:E488)=0,"",B487+1)</f>
        <v/>
      </c>
      <c r="C488" s="19" t="inlineStr"/>
      <c r="D488" s="19" t="n"/>
      <c r="E488" s="19" t="n"/>
      <c r="F488" s="19">
        <f>IF(COUNTA(D488:E488)=0,"",N(D488)-N(E488))</f>
        <v/>
      </c>
      <c r="G488" s="19">
        <f>IFERROR(VLOOKUP($B488,'开奖记录'!$A:$K,2,FALSE),"")</f>
        <v/>
      </c>
      <c r="H488" s="19">
        <f>IFERROR(VLOOKUP($B488,'开奖记录'!$A:$K,9,FALSE),"")</f>
        <v/>
      </c>
      <c r="I488" s="19">
        <f>IFERROR(VLOOKUP($B488,'开奖记录'!$A:$K,11,FALSE),"")</f>
        <v/>
      </c>
      <c r="J488" s="19">
        <f>IF($B488="","",IF(ISNUMBER($D488),"命中",IF(ISNUMBER($E488),"未命中","")))</f>
        <v/>
      </c>
      <c r="K488" s="19" t="inlineStr"/>
      <c r="L488" s="19">
        <f>IFERROR(TEXT(VLOOKUP($B488-1,开奖记录!$A:$L,3,FALSE),"00")&amp;"+5="&amp;VLOOKUP(MOD(VLOOKUP($B488-1,开奖记录!$A:$L,3,FALSE)+4,49)+1,规律参数!$A:$C,3,FALSE),"")</f>
        <v/>
      </c>
      <c r="M488" s="19">
        <f>IF(L488="","",IF(I488="","待开奖",IF(ISNUMBER(SEARCH(I488,L488)),"命中","未命中")))</f>
        <v/>
      </c>
      <c r="N488" s="19">
        <f>IFERROR(VLOOKUP(VLOOKUP($B488-1,开奖记录!$A:$L,11,FALSE),八肖参数!$A:$B,2,FALSE),"")</f>
        <v/>
      </c>
      <c r="O488" s="19">
        <f>IF(N488="","",IF(I488="","待开奖",IF(ISNUMBER(SEARCH(I488,N488)),"命中","未命中")))</f>
        <v/>
      </c>
    </row>
    <row r="489">
      <c r="A489" s="19" t="n">
        <v>488</v>
      </c>
      <c r="B489" s="19">
        <f>IF(COUNTA(C489:E489)=0,"",B488+1)</f>
        <v/>
      </c>
      <c r="C489" s="19" t="inlineStr"/>
      <c r="D489" s="19" t="n"/>
      <c r="E489" s="19" t="n"/>
      <c r="F489" s="19">
        <f>IF(COUNTA(D489:E489)=0,"",N(D489)-N(E489))</f>
        <v/>
      </c>
      <c r="G489" s="19">
        <f>IFERROR(VLOOKUP($B489,'开奖记录'!$A:$K,2,FALSE),"")</f>
        <v/>
      </c>
      <c r="H489" s="19">
        <f>IFERROR(VLOOKUP($B489,'开奖记录'!$A:$K,9,FALSE),"")</f>
        <v/>
      </c>
      <c r="I489" s="19">
        <f>IFERROR(VLOOKUP($B489,'开奖记录'!$A:$K,11,FALSE),"")</f>
        <v/>
      </c>
      <c r="J489" s="19">
        <f>IF($B489="","",IF(ISNUMBER($D489),"命中",IF(ISNUMBER($E489),"未命中","")))</f>
        <v/>
      </c>
      <c r="K489" s="19" t="inlineStr"/>
      <c r="L489" s="19">
        <f>IFERROR(TEXT(VLOOKUP($B489-1,开奖记录!$A:$L,3,FALSE),"00")&amp;"+5="&amp;VLOOKUP(MOD(VLOOKUP($B489-1,开奖记录!$A:$L,3,FALSE)+4,49)+1,规律参数!$A:$C,3,FALSE),"")</f>
        <v/>
      </c>
      <c r="M489" s="19">
        <f>IF(L489="","",IF(I489="","待开奖",IF(ISNUMBER(SEARCH(I489,L489)),"命中","未命中")))</f>
        <v/>
      </c>
      <c r="N489" s="19">
        <f>IFERROR(VLOOKUP(VLOOKUP($B489-1,开奖记录!$A:$L,11,FALSE),八肖参数!$A:$B,2,FALSE),"")</f>
        <v/>
      </c>
      <c r="O489" s="19">
        <f>IF(N489="","",IF(I489="","待开奖",IF(ISNUMBER(SEARCH(I489,N489)),"命中","未命中")))</f>
        <v/>
      </c>
    </row>
    <row r="490">
      <c r="A490" s="19" t="n">
        <v>489</v>
      </c>
      <c r="B490" s="19">
        <f>IF(COUNTA(C490:E490)=0,"",B489+1)</f>
        <v/>
      </c>
      <c r="C490" s="19" t="inlineStr"/>
      <c r="D490" s="19" t="n"/>
      <c r="E490" s="19" t="n"/>
      <c r="F490" s="19">
        <f>IF(COUNTA(D490:E490)=0,"",N(D490)-N(E490))</f>
        <v/>
      </c>
      <c r="G490" s="19">
        <f>IFERROR(VLOOKUP($B490,'开奖记录'!$A:$K,2,FALSE),"")</f>
        <v/>
      </c>
      <c r="H490" s="19">
        <f>IFERROR(VLOOKUP($B490,'开奖记录'!$A:$K,9,FALSE),"")</f>
        <v/>
      </c>
      <c r="I490" s="19">
        <f>IFERROR(VLOOKUP($B490,'开奖记录'!$A:$K,11,FALSE),"")</f>
        <v/>
      </c>
      <c r="J490" s="19">
        <f>IF($B490="","",IF(ISNUMBER($D490),"命中",IF(ISNUMBER($E490),"未命中","")))</f>
        <v/>
      </c>
      <c r="K490" s="19" t="inlineStr"/>
      <c r="L490" s="19">
        <f>IFERROR(TEXT(VLOOKUP($B490-1,开奖记录!$A:$L,3,FALSE),"00")&amp;"+5="&amp;VLOOKUP(MOD(VLOOKUP($B490-1,开奖记录!$A:$L,3,FALSE)+4,49)+1,规律参数!$A:$C,3,FALSE),"")</f>
        <v/>
      </c>
      <c r="M490" s="19">
        <f>IF(L490="","",IF(I490="","待开奖",IF(ISNUMBER(SEARCH(I490,L490)),"命中","未命中")))</f>
        <v/>
      </c>
      <c r="N490" s="19">
        <f>IFERROR(VLOOKUP(VLOOKUP($B490-1,开奖记录!$A:$L,11,FALSE),八肖参数!$A:$B,2,FALSE),"")</f>
        <v/>
      </c>
      <c r="O490" s="19">
        <f>IF(N490="","",IF(I490="","待开奖",IF(ISNUMBER(SEARCH(I490,N490)),"命中","未命中")))</f>
        <v/>
      </c>
    </row>
    <row r="491">
      <c r="A491" s="19" t="n">
        <v>490</v>
      </c>
      <c r="B491" s="19">
        <f>IF(COUNTA(C491:E491)=0,"",B490+1)</f>
        <v/>
      </c>
      <c r="C491" s="19" t="inlineStr"/>
      <c r="D491" s="19" t="n"/>
      <c r="E491" s="19" t="n"/>
      <c r="F491" s="19">
        <f>IF(COUNTA(D491:E491)=0,"",N(D491)-N(E491))</f>
        <v/>
      </c>
      <c r="G491" s="19">
        <f>IFERROR(VLOOKUP($B491,'开奖记录'!$A:$K,2,FALSE),"")</f>
        <v/>
      </c>
      <c r="H491" s="19">
        <f>IFERROR(VLOOKUP($B491,'开奖记录'!$A:$K,9,FALSE),"")</f>
        <v/>
      </c>
      <c r="I491" s="19">
        <f>IFERROR(VLOOKUP($B491,'开奖记录'!$A:$K,11,FALSE),"")</f>
        <v/>
      </c>
      <c r="J491" s="19">
        <f>IF($B491="","",IF(ISNUMBER($D491),"命中",IF(ISNUMBER($E491),"未命中","")))</f>
        <v/>
      </c>
      <c r="K491" s="19" t="inlineStr"/>
      <c r="L491" s="19">
        <f>IFERROR(TEXT(VLOOKUP($B491-1,开奖记录!$A:$L,3,FALSE),"00")&amp;"+5="&amp;VLOOKUP(MOD(VLOOKUP($B491-1,开奖记录!$A:$L,3,FALSE)+4,49)+1,规律参数!$A:$C,3,FALSE),"")</f>
        <v/>
      </c>
      <c r="M491" s="19">
        <f>IF(L491="","",IF(I491="","待开奖",IF(ISNUMBER(SEARCH(I491,L491)),"命中","未命中")))</f>
        <v/>
      </c>
      <c r="N491" s="19">
        <f>IFERROR(VLOOKUP(VLOOKUP($B491-1,开奖记录!$A:$L,11,FALSE),八肖参数!$A:$B,2,FALSE),"")</f>
        <v/>
      </c>
      <c r="O491" s="19">
        <f>IF(N491="","",IF(I491="","待开奖",IF(ISNUMBER(SEARCH(I491,N491)),"命中","未命中")))</f>
        <v/>
      </c>
    </row>
    <row r="492">
      <c r="A492" s="19" t="n">
        <v>491</v>
      </c>
      <c r="B492" s="19">
        <f>IF(COUNTA(C492:E492)=0,"",B491+1)</f>
        <v/>
      </c>
      <c r="C492" s="19" t="inlineStr"/>
      <c r="D492" s="19" t="n"/>
      <c r="E492" s="19" t="n"/>
      <c r="F492" s="19">
        <f>IF(COUNTA(D492:E492)=0,"",N(D492)-N(E492))</f>
        <v/>
      </c>
      <c r="G492" s="19">
        <f>IFERROR(VLOOKUP($B492,'开奖记录'!$A:$K,2,FALSE),"")</f>
        <v/>
      </c>
      <c r="H492" s="19">
        <f>IFERROR(VLOOKUP($B492,'开奖记录'!$A:$K,9,FALSE),"")</f>
        <v/>
      </c>
      <c r="I492" s="19">
        <f>IFERROR(VLOOKUP($B492,'开奖记录'!$A:$K,11,FALSE),"")</f>
        <v/>
      </c>
      <c r="J492" s="19">
        <f>IF($B492="","",IF(ISNUMBER($D492),"命中",IF(ISNUMBER($E492),"未命中","")))</f>
        <v/>
      </c>
      <c r="K492" s="19" t="inlineStr"/>
      <c r="L492" s="19">
        <f>IFERROR(TEXT(VLOOKUP($B492-1,开奖记录!$A:$L,3,FALSE),"00")&amp;"+5="&amp;VLOOKUP(MOD(VLOOKUP($B492-1,开奖记录!$A:$L,3,FALSE)+4,49)+1,规律参数!$A:$C,3,FALSE),"")</f>
        <v/>
      </c>
      <c r="M492" s="19">
        <f>IF(L492="","",IF(I492="","待开奖",IF(ISNUMBER(SEARCH(I492,L492)),"命中","未命中")))</f>
        <v/>
      </c>
      <c r="N492" s="19">
        <f>IFERROR(VLOOKUP(VLOOKUP($B492-1,开奖记录!$A:$L,11,FALSE),八肖参数!$A:$B,2,FALSE),"")</f>
        <v/>
      </c>
      <c r="O492" s="19">
        <f>IF(N492="","",IF(I492="","待开奖",IF(ISNUMBER(SEARCH(I492,N492)),"命中","未命中")))</f>
        <v/>
      </c>
    </row>
    <row r="493">
      <c r="A493" s="19" t="n">
        <v>492</v>
      </c>
      <c r="B493" s="19">
        <f>IF(COUNTA(C493:E493)=0,"",B492+1)</f>
        <v/>
      </c>
      <c r="C493" s="19" t="inlineStr"/>
      <c r="D493" s="19" t="n"/>
      <c r="E493" s="19" t="n"/>
      <c r="F493" s="19">
        <f>IF(COUNTA(D493:E493)=0,"",N(D493)-N(E493))</f>
        <v/>
      </c>
      <c r="G493" s="19">
        <f>IFERROR(VLOOKUP($B493,'开奖记录'!$A:$K,2,FALSE),"")</f>
        <v/>
      </c>
      <c r="H493" s="19">
        <f>IFERROR(VLOOKUP($B493,'开奖记录'!$A:$K,9,FALSE),"")</f>
        <v/>
      </c>
      <c r="I493" s="19">
        <f>IFERROR(VLOOKUP($B493,'开奖记录'!$A:$K,11,FALSE),"")</f>
        <v/>
      </c>
      <c r="J493" s="19">
        <f>IF($B493="","",IF(ISNUMBER($D493),"命中",IF(ISNUMBER($E493),"未命中","")))</f>
        <v/>
      </c>
      <c r="K493" s="19" t="inlineStr"/>
      <c r="L493" s="19">
        <f>IFERROR(TEXT(VLOOKUP($B493-1,开奖记录!$A:$L,3,FALSE),"00")&amp;"+5="&amp;VLOOKUP(MOD(VLOOKUP($B493-1,开奖记录!$A:$L,3,FALSE)+4,49)+1,规律参数!$A:$C,3,FALSE),"")</f>
        <v/>
      </c>
      <c r="M493" s="19">
        <f>IF(L493="","",IF(I493="","待开奖",IF(ISNUMBER(SEARCH(I493,L493)),"命中","未命中")))</f>
        <v/>
      </c>
      <c r="N493" s="19">
        <f>IFERROR(VLOOKUP(VLOOKUP($B493-1,开奖记录!$A:$L,11,FALSE),八肖参数!$A:$B,2,FALSE),"")</f>
        <v/>
      </c>
      <c r="O493" s="19">
        <f>IF(N493="","",IF(I493="","待开奖",IF(ISNUMBER(SEARCH(I493,N493)),"命中","未命中")))</f>
        <v/>
      </c>
    </row>
    <row r="494">
      <c r="A494" s="19" t="n">
        <v>493</v>
      </c>
      <c r="B494" s="19">
        <f>IF(COUNTA(C494:E494)=0,"",B493+1)</f>
        <v/>
      </c>
      <c r="C494" s="19" t="inlineStr"/>
      <c r="D494" s="19" t="n"/>
      <c r="E494" s="19" t="n"/>
      <c r="F494" s="19">
        <f>IF(COUNTA(D494:E494)=0,"",N(D494)-N(E494))</f>
        <v/>
      </c>
      <c r="G494" s="19">
        <f>IFERROR(VLOOKUP($B494,'开奖记录'!$A:$K,2,FALSE),"")</f>
        <v/>
      </c>
      <c r="H494" s="19">
        <f>IFERROR(VLOOKUP($B494,'开奖记录'!$A:$K,9,FALSE),"")</f>
        <v/>
      </c>
      <c r="I494" s="19">
        <f>IFERROR(VLOOKUP($B494,'开奖记录'!$A:$K,11,FALSE),"")</f>
        <v/>
      </c>
      <c r="J494" s="19">
        <f>IF($B494="","",IF(ISNUMBER($D494),"命中",IF(ISNUMBER($E494),"未命中","")))</f>
        <v/>
      </c>
      <c r="K494" s="19" t="inlineStr"/>
      <c r="L494" s="19">
        <f>IFERROR(TEXT(VLOOKUP($B494-1,开奖记录!$A:$L,3,FALSE),"00")&amp;"+5="&amp;VLOOKUP(MOD(VLOOKUP($B494-1,开奖记录!$A:$L,3,FALSE)+4,49)+1,规律参数!$A:$C,3,FALSE),"")</f>
        <v/>
      </c>
      <c r="M494" s="19">
        <f>IF(L494="","",IF(I494="","待开奖",IF(ISNUMBER(SEARCH(I494,L494)),"命中","未命中")))</f>
        <v/>
      </c>
      <c r="N494" s="19">
        <f>IFERROR(VLOOKUP(VLOOKUP($B494-1,开奖记录!$A:$L,11,FALSE),八肖参数!$A:$B,2,FALSE),"")</f>
        <v/>
      </c>
      <c r="O494" s="19">
        <f>IF(N494="","",IF(I494="","待开奖",IF(ISNUMBER(SEARCH(I494,N494)),"命中","未命中")))</f>
        <v/>
      </c>
    </row>
    <row r="495">
      <c r="A495" s="19" t="n">
        <v>494</v>
      </c>
      <c r="B495" s="19">
        <f>IF(COUNTA(C495:E495)=0,"",B494+1)</f>
        <v/>
      </c>
      <c r="C495" s="19" t="inlineStr"/>
      <c r="D495" s="19" t="n"/>
      <c r="E495" s="19" t="n"/>
      <c r="F495" s="19">
        <f>IF(COUNTA(D495:E495)=0,"",N(D495)-N(E495))</f>
        <v/>
      </c>
      <c r="G495" s="19">
        <f>IFERROR(VLOOKUP($B495,'开奖记录'!$A:$K,2,FALSE),"")</f>
        <v/>
      </c>
      <c r="H495" s="19">
        <f>IFERROR(VLOOKUP($B495,'开奖记录'!$A:$K,9,FALSE),"")</f>
        <v/>
      </c>
      <c r="I495" s="19">
        <f>IFERROR(VLOOKUP($B495,'开奖记录'!$A:$K,11,FALSE),"")</f>
        <v/>
      </c>
      <c r="J495" s="19">
        <f>IF($B495="","",IF(ISNUMBER($D495),"命中",IF(ISNUMBER($E495),"未命中","")))</f>
        <v/>
      </c>
      <c r="K495" s="19" t="inlineStr"/>
      <c r="L495" s="19">
        <f>IFERROR(TEXT(VLOOKUP($B495-1,开奖记录!$A:$L,3,FALSE),"00")&amp;"+5="&amp;VLOOKUP(MOD(VLOOKUP($B495-1,开奖记录!$A:$L,3,FALSE)+4,49)+1,规律参数!$A:$C,3,FALSE),"")</f>
        <v/>
      </c>
      <c r="M495" s="19">
        <f>IF(L495="","",IF(I495="","待开奖",IF(ISNUMBER(SEARCH(I495,L495)),"命中","未命中")))</f>
        <v/>
      </c>
      <c r="N495" s="19">
        <f>IFERROR(VLOOKUP(VLOOKUP($B495-1,开奖记录!$A:$L,11,FALSE),八肖参数!$A:$B,2,FALSE),"")</f>
        <v/>
      </c>
      <c r="O495" s="19">
        <f>IF(N495="","",IF(I495="","待开奖",IF(ISNUMBER(SEARCH(I495,N495)),"命中","未命中")))</f>
        <v/>
      </c>
    </row>
    <row r="496">
      <c r="A496" s="19" t="n">
        <v>495</v>
      </c>
      <c r="B496" s="19">
        <f>IF(COUNTA(C496:E496)=0,"",B495+1)</f>
        <v/>
      </c>
      <c r="C496" s="19" t="inlineStr"/>
      <c r="D496" s="19" t="n"/>
      <c r="E496" s="19" t="n"/>
      <c r="F496" s="19">
        <f>IF(COUNTA(D496:E496)=0,"",N(D496)-N(E496))</f>
        <v/>
      </c>
      <c r="G496" s="19">
        <f>IFERROR(VLOOKUP($B496,'开奖记录'!$A:$K,2,FALSE),"")</f>
        <v/>
      </c>
      <c r="H496" s="19">
        <f>IFERROR(VLOOKUP($B496,'开奖记录'!$A:$K,9,FALSE),"")</f>
        <v/>
      </c>
      <c r="I496" s="19">
        <f>IFERROR(VLOOKUP($B496,'开奖记录'!$A:$K,11,FALSE),"")</f>
        <v/>
      </c>
      <c r="J496" s="19">
        <f>IF($B496="","",IF(ISNUMBER($D496),"命中",IF(ISNUMBER($E496),"未命中","")))</f>
        <v/>
      </c>
      <c r="K496" s="19" t="inlineStr"/>
      <c r="L496" s="19">
        <f>IFERROR(TEXT(VLOOKUP($B496-1,开奖记录!$A:$L,3,FALSE),"00")&amp;"+5="&amp;VLOOKUP(MOD(VLOOKUP($B496-1,开奖记录!$A:$L,3,FALSE)+4,49)+1,规律参数!$A:$C,3,FALSE),"")</f>
        <v/>
      </c>
      <c r="M496" s="19">
        <f>IF(L496="","",IF(I496="","待开奖",IF(ISNUMBER(SEARCH(I496,L496)),"命中","未命中")))</f>
        <v/>
      </c>
      <c r="N496" s="19">
        <f>IFERROR(VLOOKUP(VLOOKUP($B496-1,开奖记录!$A:$L,11,FALSE),八肖参数!$A:$B,2,FALSE),"")</f>
        <v/>
      </c>
      <c r="O496" s="19">
        <f>IF(N496="","",IF(I496="","待开奖",IF(ISNUMBER(SEARCH(I496,N496)),"命中","未命中")))</f>
        <v/>
      </c>
    </row>
    <row r="497">
      <c r="A497" s="19" t="n">
        <v>496</v>
      </c>
      <c r="B497" s="19">
        <f>IF(COUNTA(C497:E497)=0,"",B496+1)</f>
        <v/>
      </c>
      <c r="C497" s="19" t="inlineStr"/>
      <c r="D497" s="19" t="n"/>
      <c r="E497" s="19" t="n"/>
      <c r="F497" s="19">
        <f>IF(COUNTA(D497:E497)=0,"",N(D497)-N(E497))</f>
        <v/>
      </c>
      <c r="G497" s="19">
        <f>IFERROR(VLOOKUP($B497,'开奖记录'!$A:$K,2,FALSE),"")</f>
        <v/>
      </c>
      <c r="H497" s="19">
        <f>IFERROR(VLOOKUP($B497,'开奖记录'!$A:$K,9,FALSE),"")</f>
        <v/>
      </c>
      <c r="I497" s="19">
        <f>IFERROR(VLOOKUP($B497,'开奖记录'!$A:$K,11,FALSE),"")</f>
        <v/>
      </c>
      <c r="J497" s="19">
        <f>IF($B497="","",IF(ISNUMBER($D497),"命中",IF(ISNUMBER($E497),"未命中","")))</f>
        <v/>
      </c>
      <c r="K497" s="19" t="inlineStr"/>
      <c r="L497" s="19">
        <f>IFERROR(TEXT(VLOOKUP($B497-1,开奖记录!$A:$L,3,FALSE),"00")&amp;"+5="&amp;VLOOKUP(MOD(VLOOKUP($B497-1,开奖记录!$A:$L,3,FALSE)+4,49)+1,规律参数!$A:$C,3,FALSE),"")</f>
        <v/>
      </c>
      <c r="M497" s="19">
        <f>IF(L497="","",IF(I497="","待开奖",IF(ISNUMBER(SEARCH(I497,L497)),"命中","未命中")))</f>
        <v/>
      </c>
      <c r="N497" s="19">
        <f>IFERROR(VLOOKUP(VLOOKUP($B497-1,开奖记录!$A:$L,11,FALSE),八肖参数!$A:$B,2,FALSE),"")</f>
        <v/>
      </c>
      <c r="O497" s="19">
        <f>IF(N497="","",IF(I497="","待开奖",IF(ISNUMBER(SEARCH(I497,N497)),"命中","未命中")))</f>
        <v/>
      </c>
    </row>
    <row r="498">
      <c r="A498" s="19" t="n">
        <v>497</v>
      </c>
      <c r="B498" s="19">
        <f>IF(COUNTA(C498:E498)=0,"",B497+1)</f>
        <v/>
      </c>
      <c r="C498" s="19" t="inlineStr"/>
      <c r="D498" s="19" t="n"/>
      <c r="E498" s="19" t="n"/>
      <c r="F498" s="19">
        <f>IF(COUNTA(D498:E498)=0,"",N(D498)-N(E498))</f>
        <v/>
      </c>
      <c r="G498" s="19">
        <f>IFERROR(VLOOKUP($B498,'开奖记录'!$A:$K,2,FALSE),"")</f>
        <v/>
      </c>
      <c r="H498" s="19">
        <f>IFERROR(VLOOKUP($B498,'开奖记录'!$A:$K,9,FALSE),"")</f>
        <v/>
      </c>
      <c r="I498" s="19">
        <f>IFERROR(VLOOKUP($B498,'开奖记录'!$A:$K,11,FALSE),"")</f>
        <v/>
      </c>
      <c r="J498" s="19">
        <f>IF($B498="","",IF(ISNUMBER($D498),"命中",IF(ISNUMBER($E498),"未命中","")))</f>
        <v/>
      </c>
      <c r="K498" s="19" t="inlineStr"/>
      <c r="L498" s="19">
        <f>IFERROR(TEXT(VLOOKUP($B498-1,开奖记录!$A:$L,3,FALSE),"00")&amp;"+5="&amp;VLOOKUP(MOD(VLOOKUP($B498-1,开奖记录!$A:$L,3,FALSE)+4,49)+1,规律参数!$A:$C,3,FALSE),"")</f>
        <v/>
      </c>
      <c r="M498" s="19">
        <f>IF(L498="","",IF(I498="","待开奖",IF(ISNUMBER(SEARCH(I498,L498)),"命中","未命中")))</f>
        <v/>
      </c>
      <c r="N498" s="19">
        <f>IFERROR(VLOOKUP(VLOOKUP($B498-1,开奖记录!$A:$L,11,FALSE),八肖参数!$A:$B,2,FALSE),"")</f>
        <v/>
      </c>
      <c r="O498" s="19">
        <f>IF(N498="","",IF(I498="","待开奖",IF(ISNUMBER(SEARCH(I498,N498)),"命中","未命中")))</f>
        <v/>
      </c>
    </row>
    <row r="499">
      <c r="A499" s="19" t="n">
        <v>498</v>
      </c>
      <c r="B499" s="19">
        <f>IF(COUNTA(C499:E499)=0,"",B498+1)</f>
        <v/>
      </c>
      <c r="C499" s="19" t="inlineStr"/>
      <c r="D499" s="19" t="n"/>
      <c r="E499" s="19" t="n"/>
      <c r="F499" s="19">
        <f>IF(COUNTA(D499:E499)=0,"",N(D499)-N(E499))</f>
        <v/>
      </c>
      <c r="G499" s="19">
        <f>IFERROR(VLOOKUP($B499,'开奖记录'!$A:$K,2,FALSE),"")</f>
        <v/>
      </c>
      <c r="H499" s="19">
        <f>IFERROR(VLOOKUP($B499,'开奖记录'!$A:$K,9,FALSE),"")</f>
        <v/>
      </c>
      <c r="I499" s="19">
        <f>IFERROR(VLOOKUP($B499,'开奖记录'!$A:$K,11,FALSE),"")</f>
        <v/>
      </c>
      <c r="J499" s="19">
        <f>IF($B499="","",IF(ISNUMBER($D499),"命中",IF(ISNUMBER($E499),"未命中","")))</f>
        <v/>
      </c>
      <c r="K499" s="19" t="inlineStr"/>
      <c r="L499" s="19">
        <f>IFERROR(TEXT(VLOOKUP($B499-1,开奖记录!$A:$L,3,FALSE),"00")&amp;"+5="&amp;VLOOKUP(MOD(VLOOKUP($B499-1,开奖记录!$A:$L,3,FALSE)+4,49)+1,规律参数!$A:$C,3,FALSE),"")</f>
        <v/>
      </c>
      <c r="M499" s="19">
        <f>IF(L499="","",IF(I499="","待开奖",IF(ISNUMBER(SEARCH(I499,L499)),"命中","未命中")))</f>
        <v/>
      </c>
      <c r="N499" s="19">
        <f>IFERROR(VLOOKUP(VLOOKUP($B499-1,开奖记录!$A:$L,11,FALSE),八肖参数!$A:$B,2,FALSE),"")</f>
        <v/>
      </c>
      <c r="O499" s="19">
        <f>IF(N499="","",IF(I499="","待开奖",IF(ISNUMBER(SEARCH(I499,N499)),"命中","未命中")))</f>
        <v/>
      </c>
    </row>
    <row r="500">
      <c r="A500" s="19" t="n">
        <v>499</v>
      </c>
      <c r="B500" s="19">
        <f>IF(COUNTA(C500:E500)=0,"",B499+1)</f>
        <v/>
      </c>
      <c r="C500" s="19" t="inlineStr"/>
      <c r="D500" s="19" t="n"/>
      <c r="E500" s="19" t="n"/>
      <c r="F500" s="19">
        <f>IF(COUNTA(D500:E500)=0,"",N(D500)-N(E500))</f>
        <v/>
      </c>
      <c r="G500" s="19">
        <f>IFERROR(VLOOKUP($B500,'开奖记录'!$A:$K,2,FALSE),"")</f>
        <v/>
      </c>
      <c r="H500" s="19">
        <f>IFERROR(VLOOKUP($B500,'开奖记录'!$A:$K,9,FALSE),"")</f>
        <v/>
      </c>
      <c r="I500" s="19">
        <f>IFERROR(VLOOKUP($B500,'开奖记录'!$A:$K,11,FALSE),"")</f>
        <v/>
      </c>
      <c r="J500" s="19">
        <f>IF($B500="","",IF(ISNUMBER($D500),"命中",IF(ISNUMBER($E500),"未命中","")))</f>
        <v/>
      </c>
      <c r="K500" s="19" t="inlineStr"/>
      <c r="L500" s="19">
        <f>IFERROR(TEXT(VLOOKUP($B500-1,开奖记录!$A:$L,3,FALSE),"00")&amp;"+5="&amp;VLOOKUP(MOD(VLOOKUP($B500-1,开奖记录!$A:$L,3,FALSE)+4,49)+1,规律参数!$A:$C,3,FALSE),"")</f>
        <v/>
      </c>
      <c r="M500" s="19">
        <f>IF(L500="","",IF(I500="","待开奖",IF(ISNUMBER(SEARCH(I500,L500)),"命中","未命中")))</f>
        <v/>
      </c>
      <c r="N500" s="19">
        <f>IFERROR(VLOOKUP(VLOOKUP($B500-1,开奖记录!$A:$L,11,FALSE),八肖参数!$A:$B,2,FALSE),"")</f>
        <v/>
      </c>
      <c r="O500" s="19">
        <f>IF(N500="","",IF(I500="","待开奖",IF(ISNUMBER(SEARCH(I500,N500)),"命中","未命中")))</f>
        <v/>
      </c>
    </row>
    <row r="501">
      <c r="A501" s="19" t="n">
        <v>500</v>
      </c>
      <c r="B501" s="19">
        <f>IF(COUNTA(C501:E501)=0,"",B500+1)</f>
        <v/>
      </c>
      <c r="C501" s="19" t="inlineStr"/>
      <c r="D501" s="19" t="n"/>
      <c r="E501" s="19" t="n"/>
      <c r="F501" s="19">
        <f>IF(COUNTA(D501:E501)=0,"",N(D501)-N(E501))</f>
        <v/>
      </c>
      <c r="G501" s="19">
        <f>IFERROR(VLOOKUP($B501,'开奖记录'!$A:$K,2,FALSE),"")</f>
        <v/>
      </c>
      <c r="H501" s="19">
        <f>IFERROR(VLOOKUP($B501,'开奖记录'!$A:$K,9,FALSE),"")</f>
        <v/>
      </c>
      <c r="I501" s="19">
        <f>IFERROR(VLOOKUP($B501,'开奖记录'!$A:$K,11,FALSE),"")</f>
        <v/>
      </c>
      <c r="J501" s="19">
        <f>IF($B501="","",IF(ISNUMBER($D501),"命中",IF(ISNUMBER($E501),"未命中","")))</f>
        <v/>
      </c>
      <c r="K501" s="19" t="inlineStr"/>
      <c r="L501" s="19">
        <f>IFERROR(TEXT(VLOOKUP($B501-1,开奖记录!$A:$L,3,FALSE),"00")&amp;"+5="&amp;VLOOKUP(MOD(VLOOKUP($B501-1,开奖记录!$A:$L,3,FALSE)+4,49)+1,规律参数!$A:$C,3,FALSE),"")</f>
        <v/>
      </c>
      <c r="M501" s="19">
        <f>IF(L501="","",IF(I501="","待开奖",IF(ISNUMBER(SEARCH(I501,L501)),"命中","未命中")))</f>
        <v/>
      </c>
      <c r="N501" s="19">
        <f>IFERROR(VLOOKUP(VLOOKUP($B501-1,开奖记录!$A:$L,11,FALSE),八肖参数!$A:$B,2,FALSE),"")</f>
        <v/>
      </c>
      <c r="O501" s="19">
        <f>IF(N501="","",IF(I501="","待开奖",IF(ISNUMBER(SEARCH(I501,N501)),"命中","未命中")))</f>
        <v/>
      </c>
    </row>
    <row r="502">
      <c r="A502" s="19" t="n">
        <v>501</v>
      </c>
      <c r="B502" s="19">
        <f>IF(COUNTA(C502:E502)=0,"",B501+1)</f>
        <v/>
      </c>
      <c r="C502" s="19" t="inlineStr"/>
      <c r="D502" s="19" t="n"/>
      <c r="E502" s="19" t="n"/>
      <c r="F502" s="19">
        <f>IF(COUNTA(D502:E502)=0,"",N(D502)-N(E502))</f>
        <v/>
      </c>
      <c r="G502" s="19">
        <f>IFERROR(VLOOKUP($B502,'开奖记录'!$A:$K,2,FALSE),"")</f>
        <v/>
      </c>
      <c r="H502" s="19">
        <f>IFERROR(VLOOKUP($B502,'开奖记录'!$A:$K,9,FALSE),"")</f>
        <v/>
      </c>
      <c r="I502" s="19">
        <f>IFERROR(VLOOKUP($B502,'开奖记录'!$A:$K,11,FALSE),"")</f>
        <v/>
      </c>
      <c r="J502" s="19">
        <f>IF($B502="","",IF(ISNUMBER($D502),"命中",IF(ISNUMBER($E502),"未命中","")))</f>
        <v/>
      </c>
      <c r="K502" s="19" t="inlineStr"/>
      <c r="L502" s="19">
        <f>IFERROR(TEXT(VLOOKUP($B502-1,开奖记录!$A:$L,3,FALSE),"00")&amp;"+5="&amp;VLOOKUP(MOD(VLOOKUP($B502-1,开奖记录!$A:$L,3,FALSE)+4,49)+1,规律参数!$A:$C,3,FALSE),"")</f>
        <v/>
      </c>
      <c r="M502" s="19">
        <f>IF(L502="","",IF(I502="","待开奖",IF(ISNUMBER(SEARCH(I502,L502)),"命中","未命中")))</f>
        <v/>
      </c>
      <c r="N502" s="19">
        <f>IFERROR(VLOOKUP(VLOOKUP($B502-1,开奖记录!$A:$L,11,FALSE),八肖参数!$A:$B,2,FALSE),"")</f>
        <v/>
      </c>
      <c r="O502" s="19">
        <f>IF(N502="","",IF(I502="","待开奖",IF(ISNUMBER(SEARCH(I502,N502)),"命中","未命中")))</f>
        <v/>
      </c>
    </row>
    <row r="503">
      <c r="A503" s="19" t="n">
        <v>502</v>
      </c>
      <c r="B503" s="19">
        <f>IF(COUNTA(C503:E503)=0,"",B502+1)</f>
        <v/>
      </c>
      <c r="C503" s="19" t="inlineStr"/>
      <c r="D503" s="19" t="n"/>
      <c r="E503" s="19" t="n"/>
      <c r="F503" s="19">
        <f>IF(COUNTA(D503:E503)=0,"",N(D503)-N(E503))</f>
        <v/>
      </c>
      <c r="G503" s="19">
        <f>IFERROR(VLOOKUP($B503,'开奖记录'!$A:$K,2,FALSE),"")</f>
        <v/>
      </c>
      <c r="H503" s="19">
        <f>IFERROR(VLOOKUP($B503,'开奖记录'!$A:$K,9,FALSE),"")</f>
        <v/>
      </c>
      <c r="I503" s="19">
        <f>IFERROR(VLOOKUP($B503,'开奖记录'!$A:$K,11,FALSE),"")</f>
        <v/>
      </c>
      <c r="J503" s="19">
        <f>IF($B503="","",IF(ISNUMBER($D503),"命中",IF(ISNUMBER($E503),"未命中","")))</f>
        <v/>
      </c>
      <c r="K503" s="19" t="inlineStr"/>
      <c r="L503" s="19">
        <f>IFERROR(TEXT(VLOOKUP($B503-1,开奖记录!$A:$L,3,FALSE),"00")&amp;"+5="&amp;VLOOKUP(MOD(VLOOKUP($B503-1,开奖记录!$A:$L,3,FALSE)+4,49)+1,规律参数!$A:$C,3,FALSE),"")</f>
        <v/>
      </c>
      <c r="M503" s="19">
        <f>IF(L503="","",IF(I503="","待开奖",IF(ISNUMBER(SEARCH(I503,L503)),"命中","未命中")))</f>
        <v/>
      </c>
      <c r="N503" s="19">
        <f>IFERROR(VLOOKUP(VLOOKUP($B503-1,开奖记录!$A:$L,11,FALSE),八肖参数!$A:$B,2,FALSE),"")</f>
        <v/>
      </c>
      <c r="O503" s="19">
        <f>IF(N503="","",IF(I503="","待开奖",IF(ISNUMBER(SEARCH(I503,N503)),"命中","未命中")))</f>
        <v/>
      </c>
    </row>
    <row r="504">
      <c r="A504" s="19" t="n">
        <v>503</v>
      </c>
      <c r="B504" s="19">
        <f>IF(COUNTA(C504:E504)=0,"",B503+1)</f>
        <v/>
      </c>
      <c r="C504" s="19" t="inlineStr"/>
      <c r="D504" s="19" t="n"/>
      <c r="E504" s="19" t="n"/>
      <c r="F504" s="19">
        <f>IF(COUNTA(D504:E504)=0,"",N(D504)-N(E504))</f>
        <v/>
      </c>
      <c r="G504" s="19">
        <f>IFERROR(VLOOKUP($B504,'开奖记录'!$A:$K,2,FALSE),"")</f>
        <v/>
      </c>
      <c r="H504" s="19">
        <f>IFERROR(VLOOKUP($B504,'开奖记录'!$A:$K,9,FALSE),"")</f>
        <v/>
      </c>
      <c r="I504" s="19">
        <f>IFERROR(VLOOKUP($B504,'开奖记录'!$A:$K,11,FALSE),"")</f>
        <v/>
      </c>
      <c r="J504" s="19">
        <f>IF($B504="","",IF(ISNUMBER($D504),"命中",IF(ISNUMBER($E504),"未命中","")))</f>
        <v/>
      </c>
      <c r="K504" s="19" t="inlineStr"/>
      <c r="L504" s="19">
        <f>IFERROR(TEXT(VLOOKUP($B504-1,开奖记录!$A:$L,3,FALSE),"00")&amp;"+5="&amp;VLOOKUP(MOD(VLOOKUP($B504-1,开奖记录!$A:$L,3,FALSE)+4,49)+1,规律参数!$A:$C,3,FALSE),"")</f>
        <v/>
      </c>
      <c r="M504" s="19">
        <f>IF(L504="","",IF(I504="","待开奖",IF(ISNUMBER(SEARCH(I504,L504)),"命中","未命中")))</f>
        <v/>
      </c>
      <c r="N504" s="19">
        <f>IFERROR(VLOOKUP(VLOOKUP($B504-1,开奖记录!$A:$L,11,FALSE),八肖参数!$A:$B,2,FALSE),"")</f>
        <v/>
      </c>
      <c r="O504" s="19">
        <f>IF(N504="","",IF(I504="","待开奖",IF(ISNUMBER(SEARCH(I504,N504)),"命中","未命中")))</f>
        <v/>
      </c>
    </row>
    <row r="505">
      <c r="A505" s="19" t="n">
        <v>504</v>
      </c>
      <c r="B505" s="19">
        <f>IF(COUNTA(C505:E505)=0,"",B504+1)</f>
        <v/>
      </c>
      <c r="C505" s="19" t="inlineStr"/>
      <c r="D505" s="19" t="n"/>
      <c r="E505" s="19" t="n"/>
      <c r="F505" s="19">
        <f>IF(COUNTA(D505:E505)=0,"",N(D505)-N(E505))</f>
        <v/>
      </c>
      <c r="G505" s="19">
        <f>IFERROR(VLOOKUP($B505,'开奖记录'!$A:$K,2,FALSE),"")</f>
        <v/>
      </c>
      <c r="H505" s="19">
        <f>IFERROR(VLOOKUP($B505,'开奖记录'!$A:$K,9,FALSE),"")</f>
        <v/>
      </c>
      <c r="I505" s="19">
        <f>IFERROR(VLOOKUP($B505,'开奖记录'!$A:$K,11,FALSE),"")</f>
        <v/>
      </c>
      <c r="J505" s="19">
        <f>IF($B505="","",IF(ISNUMBER($D505),"命中",IF(ISNUMBER($E505),"未命中","")))</f>
        <v/>
      </c>
      <c r="K505" s="19" t="inlineStr"/>
      <c r="L505" s="19">
        <f>IFERROR(TEXT(VLOOKUP($B505-1,开奖记录!$A:$L,3,FALSE),"00")&amp;"+5="&amp;VLOOKUP(MOD(VLOOKUP($B505-1,开奖记录!$A:$L,3,FALSE)+4,49)+1,规律参数!$A:$C,3,FALSE),"")</f>
        <v/>
      </c>
      <c r="M505" s="19">
        <f>IF(L505="","",IF(I505="","待开奖",IF(ISNUMBER(SEARCH(I505,L505)),"命中","未命中")))</f>
        <v/>
      </c>
      <c r="N505" s="19">
        <f>IFERROR(VLOOKUP(VLOOKUP($B505-1,开奖记录!$A:$L,11,FALSE),八肖参数!$A:$B,2,FALSE),"")</f>
        <v/>
      </c>
      <c r="O505" s="19">
        <f>IF(N505="","",IF(I505="","待开奖",IF(ISNUMBER(SEARCH(I505,N505)),"命中","未命中")))</f>
        <v/>
      </c>
    </row>
    <row r="506">
      <c r="A506" s="19" t="n">
        <v>505</v>
      </c>
      <c r="B506" s="19">
        <f>IF(COUNTA(C506:E506)=0,"",B505+1)</f>
        <v/>
      </c>
      <c r="C506" s="19" t="inlineStr"/>
      <c r="D506" s="19" t="n"/>
      <c r="E506" s="19" t="n"/>
      <c r="F506" s="19">
        <f>IF(COUNTA(D506:E506)=0,"",N(D506)-N(E506))</f>
        <v/>
      </c>
      <c r="G506" s="19">
        <f>IFERROR(VLOOKUP($B506,'开奖记录'!$A:$K,2,FALSE),"")</f>
        <v/>
      </c>
      <c r="H506" s="19">
        <f>IFERROR(VLOOKUP($B506,'开奖记录'!$A:$K,9,FALSE),"")</f>
        <v/>
      </c>
      <c r="I506" s="19">
        <f>IFERROR(VLOOKUP($B506,'开奖记录'!$A:$K,11,FALSE),"")</f>
        <v/>
      </c>
      <c r="J506" s="19">
        <f>IF($B506="","",IF(ISNUMBER($D506),"命中",IF(ISNUMBER($E506),"未命中","")))</f>
        <v/>
      </c>
      <c r="K506" s="19" t="inlineStr"/>
      <c r="L506" s="19">
        <f>IFERROR(TEXT(VLOOKUP($B506-1,开奖记录!$A:$L,3,FALSE),"00")&amp;"+5="&amp;VLOOKUP(MOD(VLOOKUP($B506-1,开奖记录!$A:$L,3,FALSE)+4,49)+1,规律参数!$A:$C,3,FALSE),"")</f>
        <v/>
      </c>
      <c r="M506" s="19">
        <f>IF(L506="","",IF(I506="","待开奖",IF(ISNUMBER(SEARCH(I506,L506)),"命中","未命中")))</f>
        <v/>
      </c>
      <c r="N506" s="19">
        <f>IFERROR(VLOOKUP(VLOOKUP($B506-1,开奖记录!$A:$L,11,FALSE),八肖参数!$A:$B,2,FALSE),"")</f>
        <v/>
      </c>
      <c r="O506" s="19">
        <f>IF(N506="","",IF(I506="","待开奖",IF(ISNUMBER(SEARCH(I506,N506)),"命中","未命中")))</f>
        <v/>
      </c>
    </row>
    <row r="507">
      <c r="A507" s="19" t="n">
        <v>506</v>
      </c>
      <c r="B507" s="19">
        <f>IF(COUNTA(C507:E507)=0,"",B506+1)</f>
        <v/>
      </c>
      <c r="C507" s="19" t="inlineStr"/>
      <c r="D507" s="19" t="n"/>
      <c r="E507" s="19" t="n"/>
      <c r="F507" s="19">
        <f>IF(COUNTA(D507:E507)=0,"",N(D507)-N(E507))</f>
        <v/>
      </c>
      <c r="G507" s="19">
        <f>IFERROR(VLOOKUP($B507,'开奖记录'!$A:$K,2,FALSE),"")</f>
        <v/>
      </c>
      <c r="H507" s="19">
        <f>IFERROR(VLOOKUP($B507,'开奖记录'!$A:$K,9,FALSE),"")</f>
        <v/>
      </c>
      <c r="I507" s="19">
        <f>IFERROR(VLOOKUP($B507,'开奖记录'!$A:$K,11,FALSE),"")</f>
        <v/>
      </c>
      <c r="J507" s="19">
        <f>IF($B507="","",IF(ISNUMBER($D507),"命中",IF(ISNUMBER($E507),"未命中","")))</f>
        <v/>
      </c>
      <c r="K507" s="19" t="inlineStr"/>
      <c r="L507" s="19">
        <f>IFERROR(TEXT(VLOOKUP($B507-1,开奖记录!$A:$L,3,FALSE),"00")&amp;"+5="&amp;VLOOKUP(MOD(VLOOKUP($B507-1,开奖记录!$A:$L,3,FALSE)+4,49)+1,规律参数!$A:$C,3,FALSE),"")</f>
        <v/>
      </c>
      <c r="M507" s="19">
        <f>IF(L507="","",IF(I507="","待开奖",IF(ISNUMBER(SEARCH(I507,L507)),"命中","未命中")))</f>
        <v/>
      </c>
      <c r="N507" s="19">
        <f>IFERROR(VLOOKUP(VLOOKUP($B507-1,开奖记录!$A:$L,11,FALSE),八肖参数!$A:$B,2,FALSE),"")</f>
        <v/>
      </c>
      <c r="O507" s="19">
        <f>IF(N507="","",IF(I507="","待开奖",IF(ISNUMBER(SEARCH(I507,N507)),"命中","未命中")))</f>
        <v/>
      </c>
    </row>
    <row r="508">
      <c r="A508" s="19" t="n">
        <v>507</v>
      </c>
      <c r="B508" s="19">
        <f>IF(COUNTA(C508:E508)=0,"",B507+1)</f>
        <v/>
      </c>
      <c r="C508" s="19" t="inlineStr"/>
      <c r="D508" s="19" t="n"/>
      <c r="E508" s="19" t="n"/>
      <c r="F508" s="19">
        <f>IF(COUNTA(D508:E508)=0,"",N(D508)-N(E508))</f>
        <v/>
      </c>
      <c r="G508" s="19">
        <f>IFERROR(VLOOKUP($B508,'开奖记录'!$A:$K,2,FALSE),"")</f>
        <v/>
      </c>
      <c r="H508" s="19">
        <f>IFERROR(VLOOKUP($B508,'开奖记录'!$A:$K,9,FALSE),"")</f>
        <v/>
      </c>
      <c r="I508" s="19">
        <f>IFERROR(VLOOKUP($B508,'开奖记录'!$A:$K,11,FALSE),"")</f>
        <v/>
      </c>
      <c r="J508" s="19">
        <f>IF($B508="","",IF(ISNUMBER($D508),"命中",IF(ISNUMBER($E508),"未命中","")))</f>
        <v/>
      </c>
      <c r="K508" s="19" t="inlineStr"/>
      <c r="L508" s="19">
        <f>IFERROR(TEXT(VLOOKUP($B508-1,开奖记录!$A:$L,3,FALSE),"00")&amp;"+5="&amp;VLOOKUP(MOD(VLOOKUP($B508-1,开奖记录!$A:$L,3,FALSE)+4,49)+1,规律参数!$A:$C,3,FALSE),"")</f>
        <v/>
      </c>
      <c r="M508" s="19">
        <f>IF(L508="","",IF(I508="","待开奖",IF(ISNUMBER(SEARCH(I508,L508)),"命中","未命中")))</f>
        <v/>
      </c>
      <c r="N508" s="19">
        <f>IFERROR(VLOOKUP(VLOOKUP($B508-1,开奖记录!$A:$L,11,FALSE),八肖参数!$A:$B,2,FALSE),"")</f>
        <v/>
      </c>
      <c r="O508" s="19">
        <f>IF(N508="","",IF(I508="","待开奖",IF(ISNUMBER(SEARCH(I508,N508)),"命中","未命中")))</f>
        <v/>
      </c>
    </row>
    <row r="509">
      <c r="A509" s="19" t="n">
        <v>508</v>
      </c>
      <c r="B509" s="19">
        <f>IF(COUNTA(C509:E509)=0,"",B508+1)</f>
        <v/>
      </c>
      <c r="C509" s="19" t="inlineStr"/>
      <c r="D509" s="19" t="n"/>
      <c r="E509" s="19" t="n"/>
      <c r="F509" s="19">
        <f>IF(COUNTA(D509:E509)=0,"",N(D509)-N(E509))</f>
        <v/>
      </c>
      <c r="G509" s="19">
        <f>IFERROR(VLOOKUP($B509,'开奖记录'!$A:$K,2,FALSE),"")</f>
        <v/>
      </c>
      <c r="H509" s="19">
        <f>IFERROR(VLOOKUP($B509,'开奖记录'!$A:$K,9,FALSE),"")</f>
        <v/>
      </c>
      <c r="I509" s="19">
        <f>IFERROR(VLOOKUP($B509,'开奖记录'!$A:$K,11,FALSE),"")</f>
        <v/>
      </c>
      <c r="J509" s="19">
        <f>IF($B509="","",IF(ISNUMBER($D509),"命中",IF(ISNUMBER($E509),"未命中","")))</f>
        <v/>
      </c>
      <c r="K509" s="19" t="inlineStr"/>
      <c r="L509" s="19">
        <f>IFERROR(TEXT(VLOOKUP($B509-1,开奖记录!$A:$L,3,FALSE),"00")&amp;"+5="&amp;VLOOKUP(MOD(VLOOKUP($B509-1,开奖记录!$A:$L,3,FALSE)+4,49)+1,规律参数!$A:$C,3,FALSE),"")</f>
        <v/>
      </c>
      <c r="M509" s="19">
        <f>IF(L509="","",IF(I509="","待开奖",IF(ISNUMBER(SEARCH(I509,L509)),"命中","未命中")))</f>
        <v/>
      </c>
      <c r="N509" s="19">
        <f>IFERROR(VLOOKUP(VLOOKUP($B509-1,开奖记录!$A:$L,11,FALSE),八肖参数!$A:$B,2,FALSE),"")</f>
        <v/>
      </c>
      <c r="O509" s="19">
        <f>IF(N509="","",IF(I509="","待开奖",IF(ISNUMBER(SEARCH(I509,N509)),"命中","未命中")))</f>
        <v/>
      </c>
    </row>
    <row r="510">
      <c r="A510" s="19" t="n">
        <v>509</v>
      </c>
      <c r="B510" s="19">
        <f>IF(COUNTA(C510:E510)=0,"",B509+1)</f>
        <v/>
      </c>
      <c r="C510" s="19" t="inlineStr"/>
      <c r="D510" s="19" t="n"/>
      <c r="E510" s="19" t="n"/>
      <c r="F510" s="19">
        <f>IF(COUNTA(D510:E510)=0,"",N(D510)-N(E510))</f>
        <v/>
      </c>
      <c r="G510" s="19">
        <f>IFERROR(VLOOKUP($B510,'开奖记录'!$A:$K,2,FALSE),"")</f>
        <v/>
      </c>
      <c r="H510" s="19">
        <f>IFERROR(VLOOKUP($B510,'开奖记录'!$A:$K,9,FALSE),"")</f>
        <v/>
      </c>
      <c r="I510" s="19">
        <f>IFERROR(VLOOKUP($B510,'开奖记录'!$A:$K,11,FALSE),"")</f>
        <v/>
      </c>
      <c r="J510" s="19">
        <f>IF($B510="","",IF(ISNUMBER($D510),"命中",IF(ISNUMBER($E510),"未命中","")))</f>
        <v/>
      </c>
      <c r="K510" s="19" t="inlineStr"/>
      <c r="L510" s="19">
        <f>IFERROR(TEXT(VLOOKUP($B510-1,开奖记录!$A:$L,3,FALSE),"00")&amp;"+5="&amp;VLOOKUP(MOD(VLOOKUP($B510-1,开奖记录!$A:$L,3,FALSE)+4,49)+1,规律参数!$A:$C,3,FALSE),"")</f>
        <v/>
      </c>
      <c r="M510" s="19">
        <f>IF(L510="","",IF(I510="","待开奖",IF(ISNUMBER(SEARCH(I510,L510)),"命中","未命中")))</f>
        <v/>
      </c>
      <c r="N510" s="19">
        <f>IFERROR(VLOOKUP(VLOOKUP($B510-1,开奖记录!$A:$L,11,FALSE),八肖参数!$A:$B,2,FALSE),"")</f>
        <v/>
      </c>
      <c r="O510" s="19">
        <f>IF(N510="","",IF(I510="","待开奖",IF(ISNUMBER(SEARCH(I510,N510)),"命中","未命中")))</f>
        <v/>
      </c>
    </row>
    <row r="511">
      <c r="A511" s="19" t="n">
        <v>510</v>
      </c>
      <c r="B511" s="19">
        <f>IF(COUNTA(C511:E511)=0,"",B510+1)</f>
        <v/>
      </c>
      <c r="C511" s="19" t="inlineStr"/>
      <c r="D511" s="19" t="n"/>
      <c r="E511" s="19" t="n"/>
      <c r="F511" s="19">
        <f>IF(COUNTA(D511:E511)=0,"",N(D511)-N(E511))</f>
        <v/>
      </c>
      <c r="G511" s="19">
        <f>IFERROR(VLOOKUP($B511,'开奖记录'!$A:$K,2,FALSE),"")</f>
        <v/>
      </c>
      <c r="H511" s="19">
        <f>IFERROR(VLOOKUP($B511,'开奖记录'!$A:$K,9,FALSE),"")</f>
        <v/>
      </c>
      <c r="I511" s="19">
        <f>IFERROR(VLOOKUP($B511,'开奖记录'!$A:$K,11,FALSE),"")</f>
        <v/>
      </c>
      <c r="J511" s="19">
        <f>IF($B511="","",IF(ISNUMBER($D511),"命中",IF(ISNUMBER($E511),"未命中","")))</f>
        <v/>
      </c>
      <c r="K511" s="19" t="inlineStr"/>
      <c r="L511" s="19">
        <f>IFERROR(TEXT(VLOOKUP($B511-1,开奖记录!$A:$L,3,FALSE),"00")&amp;"+5="&amp;VLOOKUP(MOD(VLOOKUP($B511-1,开奖记录!$A:$L,3,FALSE)+4,49)+1,规律参数!$A:$C,3,FALSE),"")</f>
        <v/>
      </c>
      <c r="M511" s="19">
        <f>IF(L511="","",IF(I511="","待开奖",IF(ISNUMBER(SEARCH(I511,L511)),"命中","未命中")))</f>
        <v/>
      </c>
      <c r="N511" s="19">
        <f>IFERROR(VLOOKUP(VLOOKUP($B511-1,开奖记录!$A:$L,11,FALSE),八肖参数!$A:$B,2,FALSE),"")</f>
        <v/>
      </c>
      <c r="O511" s="19">
        <f>IF(N511="","",IF(I511="","待开奖",IF(ISNUMBER(SEARCH(I511,N511)),"命中","未命中")))</f>
        <v/>
      </c>
    </row>
    <row r="512">
      <c r="A512" s="19" t="n">
        <v>511</v>
      </c>
      <c r="B512" s="19">
        <f>IF(COUNTA(C512:E512)=0,"",B511+1)</f>
        <v/>
      </c>
      <c r="C512" s="19" t="inlineStr"/>
      <c r="D512" s="19" t="n"/>
      <c r="E512" s="19" t="n"/>
      <c r="F512" s="19">
        <f>IF(COUNTA(D512:E512)=0,"",N(D512)-N(E512))</f>
        <v/>
      </c>
      <c r="G512" s="19">
        <f>IFERROR(VLOOKUP($B512,'开奖记录'!$A:$K,2,FALSE),"")</f>
        <v/>
      </c>
      <c r="H512" s="19">
        <f>IFERROR(VLOOKUP($B512,'开奖记录'!$A:$K,9,FALSE),"")</f>
        <v/>
      </c>
      <c r="I512" s="19">
        <f>IFERROR(VLOOKUP($B512,'开奖记录'!$A:$K,11,FALSE),"")</f>
        <v/>
      </c>
      <c r="J512" s="19">
        <f>IF($B512="","",IF(ISNUMBER($D512),"命中",IF(ISNUMBER($E512),"未命中","")))</f>
        <v/>
      </c>
      <c r="K512" s="19" t="inlineStr"/>
      <c r="L512" s="19">
        <f>IFERROR(TEXT(VLOOKUP($B512-1,开奖记录!$A:$L,3,FALSE),"00")&amp;"+5="&amp;VLOOKUP(MOD(VLOOKUP($B512-1,开奖记录!$A:$L,3,FALSE)+4,49)+1,规律参数!$A:$C,3,FALSE),"")</f>
        <v/>
      </c>
      <c r="M512" s="19">
        <f>IF(L512="","",IF(I512="","待开奖",IF(ISNUMBER(SEARCH(I512,L512)),"命中","未命中")))</f>
        <v/>
      </c>
      <c r="N512" s="19">
        <f>IFERROR(VLOOKUP(VLOOKUP($B512-1,开奖记录!$A:$L,11,FALSE),八肖参数!$A:$B,2,FALSE),"")</f>
        <v/>
      </c>
      <c r="O512" s="19">
        <f>IF(N512="","",IF(I512="","待开奖",IF(ISNUMBER(SEARCH(I512,N512)),"命中","未命中")))</f>
        <v/>
      </c>
    </row>
    <row r="513">
      <c r="A513" s="19" t="n">
        <v>512</v>
      </c>
      <c r="B513" s="19">
        <f>IF(COUNTA(C513:E513)=0,"",B512+1)</f>
        <v/>
      </c>
      <c r="C513" s="19" t="inlineStr"/>
      <c r="D513" s="19" t="n"/>
      <c r="E513" s="19" t="n"/>
      <c r="F513" s="19">
        <f>IF(COUNTA(D513:E513)=0,"",N(D513)-N(E513))</f>
        <v/>
      </c>
      <c r="G513" s="19">
        <f>IFERROR(VLOOKUP($B513,'开奖记录'!$A:$K,2,FALSE),"")</f>
        <v/>
      </c>
      <c r="H513" s="19">
        <f>IFERROR(VLOOKUP($B513,'开奖记录'!$A:$K,9,FALSE),"")</f>
        <v/>
      </c>
      <c r="I513" s="19">
        <f>IFERROR(VLOOKUP($B513,'开奖记录'!$A:$K,11,FALSE),"")</f>
        <v/>
      </c>
      <c r="J513" s="19">
        <f>IF($B513="","",IF(ISNUMBER($D513),"命中",IF(ISNUMBER($E513),"未命中","")))</f>
        <v/>
      </c>
      <c r="K513" s="19" t="inlineStr"/>
      <c r="L513" s="19">
        <f>IFERROR(TEXT(VLOOKUP($B513-1,开奖记录!$A:$L,3,FALSE),"00")&amp;"+5="&amp;VLOOKUP(MOD(VLOOKUP($B513-1,开奖记录!$A:$L,3,FALSE)+4,49)+1,规律参数!$A:$C,3,FALSE),"")</f>
        <v/>
      </c>
      <c r="M513" s="19">
        <f>IF(L513="","",IF(I513="","待开奖",IF(ISNUMBER(SEARCH(I513,L513)),"命中","未命中")))</f>
        <v/>
      </c>
      <c r="N513" s="19">
        <f>IFERROR(VLOOKUP(VLOOKUP($B513-1,开奖记录!$A:$L,11,FALSE),八肖参数!$A:$B,2,FALSE),"")</f>
        <v/>
      </c>
      <c r="O513" s="19">
        <f>IF(N513="","",IF(I513="","待开奖",IF(ISNUMBER(SEARCH(I513,N513)),"命中","未命中")))</f>
        <v/>
      </c>
    </row>
    <row r="514">
      <c r="A514" s="19" t="n">
        <v>513</v>
      </c>
      <c r="B514" s="19">
        <f>IF(COUNTA(C514:E514)=0,"",B513+1)</f>
        <v/>
      </c>
      <c r="C514" s="19" t="inlineStr"/>
      <c r="D514" s="19" t="n"/>
      <c r="E514" s="19" t="n"/>
      <c r="F514" s="19">
        <f>IF(COUNTA(D514:E514)=0,"",N(D514)-N(E514))</f>
        <v/>
      </c>
      <c r="G514" s="19">
        <f>IFERROR(VLOOKUP($B514,'开奖记录'!$A:$K,2,FALSE),"")</f>
        <v/>
      </c>
      <c r="H514" s="19">
        <f>IFERROR(VLOOKUP($B514,'开奖记录'!$A:$K,9,FALSE),"")</f>
        <v/>
      </c>
      <c r="I514" s="19">
        <f>IFERROR(VLOOKUP($B514,'开奖记录'!$A:$K,11,FALSE),"")</f>
        <v/>
      </c>
      <c r="J514" s="19">
        <f>IF($B514="","",IF(ISNUMBER($D514),"命中",IF(ISNUMBER($E514),"未命中","")))</f>
        <v/>
      </c>
      <c r="K514" s="19" t="inlineStr"/>
      <c r="L514" s="19">
        <f>IFERROR(TEXT(VLOOKUP($B514-1,开奖记录!$A:$L,3,FALSE),"00")&amp;"+5="&amp;VLOOKUP(MOD(VLOOKUP($B514-1,开奖记录!$A:$L,3,FALSE)+4,49)+1,规律参数!$A:$C,3,FALSE),"")</f>
        <v/>
      </c>
      <c r="M514" s="19">
        <f>IF(L514="","",IF(I514="","待开奖",IF(ISNUMBER(SEARCH(I514,L514)),"命中","未命中")))</f>
        <v/>
      </c>
      <c r="N514" s="19">
        <f>IFERROR(VLOOKUP(VLOOKUP($B514-1,开奖记录!$A:$L,11,FALSE),八肖参数!$A:$B,2,FALSE),"")</f>
        <v/>
      </c>
      <c r="O514" s="19">
        <f>IF(N514="","",IF(I514="","待开奖",IF(ISNUMBER(SEARCH(I514,N514)),"命中","未命中")))</f>
        <v/>
      </c>
    </row>
    <row r="515">
      <c r="A515" s="19" t="n">
        <v>514</v>
      </c>
      <c r="B515" s="19">
        <f>IF(COUNTA(C515:E515)=0,"",B514+1)</f>
        <v/>
      </c>
      <c r="C515" s="19" t="inlineStr"/>
      <c r="D515" s="19" t="n"/>
      <c r="E515" s="19" t="n"/>
      <c r="F515" s="19">
        <f>IF(COUNTA(D515:E515)=0,"",N(D515)-N(E515))</f>
        <v/>
      </c>
      <c r="G515" s="19">
        <f>IFERROR(VLOOKUP($B515,'开奖记录'!$A:$K,2,FALSE),"")</f>
        <v/>
      </c>
      <c r="H515" s="19">
        <f>IFERROR(VLOOKUP($B515,'开奖记录'!$A:$K,9,FALSE),"")</f>
        <v/>
      </c>
      <c r="I515" s="19">
        <f>IFERROR(VLOOKUP($B515,'开奖记录'!$A:$K,11,FALSE),"")</f>
        <v/>
      </c>
      <c r="J515" s="19">
        <f>IF($B515="","",IF(ISNUMBER($D515),"命中",IF(ISNUMBER($E515),"未命中","")))</f>
        <v/>
      </c>
      <c r="K515" s="19" t="inlineStr"/>
      <c r="L515" s="19">
        <f>IFERROR(TEXT(VLOOKUP($B515-1,开奖记录!$A:$L,3,FALSE),"00")&amp;"+5="&amp;VLOOKUP(MOD(VLOOKUP($B515-1,开奖记录!$A:$L,3,FALSE)+4,49)+1,规律参数!$A:$C,3,FALSE),"")</f>
        <v/>
      </c>
      <c r="M515" s="19">
        <f>IF(L515="","",IF(I515="","待开奖",IF(ISNUMBER(SEARCH(I515,L515)),"命中","未命中")))</f>
        <v/>
      </c>
      <c r="N515" s="19">
        <f>IFERROR(VLOOKUP(VLOOKUP($B515-1,开奖记录!$A:$L,11,FALSE),八肖参数!$A:$B,2,FALSE),"")</f>
        <v/>
      </c>
      <c r="O515" s="19">
        <f>IF(N515="","",IF(I515="","待开奖",IF(ISNUMBER(SEARCH(I515,N515)),"命中","未命中")))</f>
        <v/>
      </c>
    </row>
    <row r="516">
      <c r="A516" s="19" t="n">
        <v>515</v>
      </c>
      <c r="B516" s="19">
        <f>IF(COUNTA(C516:E516)=0,"",B515+1)</f>
        <v/>
      </c>
      <c r="C516" s="19" t="inlineStr"/>
      <c r="D516" s="19" t="n"/>
      <c r="E516" s="19" t="n"/>
      <c r="F516" s="19">
        <f>IF(COUNTA(D516:E516)=0,"",N(D516)-N(E516))</f>
        <v/>
      </c>
      <c r="G516" s="19">
        <f>IFERROR(VLOOKUP($B516,'开奖记录'!$A:$K,2,FALSE),"")</f>
        <v/>
      </c>
      <c r="H516" s="19">
        <f>IFERROR(VLOOKUP($B516,'开奖记录'!$A:$K,9,FALSE),"")</f>
        <v/>
      </c>
      <c r="I516" s="19">
        <f>IFERROR(VLOOKUP($B516,'开奖记录'!$A:$K,11,FALSE),"")</f>
        <v/>
      </c>
      <c r="J516" s="19">
        <f>IF($B516="","",IF(ISNUMBER($D516),"命中",IF(ISNUMBER($E516),"未命中","")))</f>
        <v/>
      </c>
      <c r="K516" s="19" t="inlineStr"/>
      <c r="L516" s="19">
        <f>IFERROR(TEXT(VLOOKUP($B516-1,开奖记录!$A:$L,3,FALSE),"00")&amp;"+5="&amp;VLOOKUP(MOD(VLOOKUP($B516-1,开奖记录!$A:$L,3,FALSE)+4,49)+1,规律参数!$A:$C,3,FALSE),"")</f>
        <v/>
      </c>
      <c r="M516" s="19">
        <f>IF(L516="","",IF(I516="","待开奖",IF(ISNUMBER(SEARCH(I516,L516)),"命中","未命中")))</f>
        <v/>
      </c>
      <c r="N516" s="19">
        <f>IFERROR(VLOOKUP(VLOOKUP($B516-1,开奖记录!$A:$L,11,FALSE),八肖参数!$A:$B,2,FALSE),"")</f>
        <v/>
      </c>
      <c r="O516" s="19">
        <f>IF(N516="","",IF(I516="","待开奖",IF(ISNUMBER(SEARCH(I516,N516)),"命中","未命中")))</f>
        <v/>
      </c>
    </row>
    <row r="517">
      <c r="A517" s="19" t="n">
        <v>516</v>
      </c>
      <c r="B517" s="19">
        <f>IF(COUNTA(C517:E517)=0,"",B516+1)</f>
        <v/>
      </c>
      <c r="C517" s="19" t="inlineStr"/>
      <c r="D517" s="19" t="n"/>
      <c r="E517" s="19" t="n"/>
      <c r="F517" s="19">
        <f>IF(COUNTA(D517:E517)=0,"",N(D517)-N(E517))</f>
        <v/>
      </c>
      <c r="G517" s="19">
        <f>IFERROR(VLOOKUP($B517,'开奖记录'!$A:$K,2,FALSE),"")</f>
        <v/>
      </c>
      <c r="H517" s="19">
        <f>IFERROR(VLOOKUP($B517,'开奖记录'!$A:$K,9,FALSE),"")</f>
        <v/>
      </c>
      <c r="I517" s="19">
        <f>IFERROR(VLOOKUP($B517,'开奖记录'!$A:$K,11,FALSE),"")</f>
        <v/>
      </c>
      <c r="J517" s="19">
        <f>IF($B517="","",IF(ISNUMBER($D517),"命中",IF(ISNUMBER($E517),"未命中","")))</f>
        <v/>
      </c>
      <c r="K517" s="19" t="inlineStr"/>
      <c r="L517" s="19">
        <f>IFERROR(TEXT(VLOOKUP($B517-1,开奖记录!$A:$L,3,FALSE),"00")&amp;"+5="&amp;VLOOKUP(MOD(VLOOKUP($B517-1,开奖记录!$A:$L,3,FALSE)+4,49)+1,规律参数!$A:$C,3,FALSE),"")</f>
        <v/>
      </c>
      <c r="M517" s="19">
        <f>IF(L517="","",IF(I517="","待开奖",IF(ISNUMBER(SEARCH(I517,L517)),"命中","未命中")))</f>
        <v/>
      </c>
      <c r="N517" s="19">
        <f>IFERROR(VLOOKUP(VLOOKUP($B517-1,开奖记录!$A:$L,11,FALSE),八肖参数!$A:$B,2,FALSE),"")</f>
        <v/>
      </c>
      <c r="O517" s="19">
        <f>IF(N517="","",IF(I517="","待开奖",IF(ISNUMBER(SEARCH(I517,N517)),"命中","未命中")))</f>
        <v/>
      </c>
    </row>
    <row r="518">
      <c r="A518" s="19" t="n">
        <v>517</v>
      </c>
      <c r="B518" s="19">
        <f>IF(COUNTA(C518:E518)=0,"",B517+1)</f>
        <v/>
      </c>
      <c r="C518" s="19" t="inlineStr"/>
      <c r="D518" s="19" t="n"/>
      <c r="E518" s="19" t="n"/>
      <c r="F518" s="19">
        <f>IF(COUNTA(D518:E518)=0,"",N(D518)-N(E518))</f>
        <v/>
      </c>
      <c r="G518" s="19">
        <f>IFERROR(VLOOKUP($B518,'开奖记录'!$A:$K,2,FALSE),"")</f>
        <v/>
      </c>
      <c r="H518" s="19">
        <f>IFERROR(VLOOKUP($B518,'开奖记录'!$A:$K,9,FALSE),"")</f>
        <v/>
      </c>
      <c r="I518" s="19">
        <f>IFERROR(VLOOKUP($B518,'开奖记录'!$A:$K,11,FALSE),"")</f>
        <v/>
      </c>
      <c r="J518" s="19">
        <f>IF($B518="","",IF(ISNUMBER($D518),"命中",IF(ISNUMBER($E518),"未命中","")))</f>
        <v/>
      </c>
      <c r="K518" s="19" t="inlineStr"/>
      <c r="L518" s="19">
        <f>IFERROR(TEXT(VLOOKUP($B518-1,开奖记录!$A:$L,3,FALSE),"00")&amp;"+5="&amp;VLOOKUP(MOD(VLOOKUP($B518-1,开奖记录!$A:$L,3,FALSE)+4,49)+1,规律参数!$A:$C,3,FALSE),"")</f>
        <v/>
      </c>
      <c r="M518" s="19">
        <f>IF(L518="","",IF(I518="","待开奖",IF(ISNUMBER(SEARCH(I518,L518)),"命中","未命中")))</f>
        <v/>
      </c>
      <c r="N518" s="19">
        <f>IFERROR(VLOOKUP(VLOOKUP($B518-1,开奖记录!$A:$L,11,FALSE),八肖参数!$A:$B,2,FALSE),"")</f>
        <v/>
      </c>
      <c r="O518" s="19">
        <f>IF(N518="","",IF(I518="","待开奖",IF(ISNUMBER(SEARCH(I518,N518)),"命中","未命中")))</f>
        <v/>
      </c>
    </row>
    <row r="519">
      <c r="A519" s="19" t="n">
        <v>518</v>
      </c>
      <c r="B519" s="19">
        <f>IF(COUNTA(C519:E519)=0,"",B518+1)</f>
        <v/>
      </c>
      <c r="C519" s="19" t="inlineStr"/>
      <c r="D519" s="19" t="n"/>
      <c r="E519" s="19" t="n"/>
      <c r="F519" s="19">
        <f>IF(COUNTA(D519:E519)=0,"",N(D519)-N(E519))</f>
        <v/>
      </c>
      <c r="G519" s="19">
        <f>IFERROR(VLOOKUP($B519,'开奖记录'!$A:$K,2,FALSE),"")</f>
        <v/>
      </c>
      <c r="H519" s="19">
        <f>IFERROR(VLOOKUP($B519,'开奖记录'!$A:$K,9,FALSE),"")</f>
        <v/>
      </c>
      <c r="I519" s="19">
        <f>IFERROR(VLOOKUP($B519,'开奖记录'!$A:$K,11,FALSE),"")</f>
        <v/>
      </c>
      <c r="J519" s="19">
        <f>IF($B519="","",IF(ISNUMBER($D519),"命中",IF(ISNUMBER($E519),"未命中","")))</f>
        <v/>
      </c>
      <c r="K519" s="19" t="inlineStr"/>
      <c r="L519" s="19">
        <f>IFERROR(TEXT(VLOOKUP($B519-1,开奖记录!$A:$L,3,FALSE),"00")&amp;"+5="&amp;VLOOKUP(MOD(VLOOKUP($B519-1,开奖记录!$A:$L,3,FALSE)+4,49)+1,规律参数!$A:$C,3,FALSE),"")</f>
        <v/>
      </c>
      <c r="M519" s="19">
        <f>IF(L519="","",IF(I519="","待开奖",IF(ISNUMBER(SEARCH(I519,L519)),"命中","未命中")))</f>
        <v/>
      </c>
      <c r="N519" s="19">
        <f>IFERROR(VLOOKUP(VLOOKUP($B519-1,开奖记录!$A:$L,11,FALSE),八肖参数!$A:$B,2,FALSE),"")</f>
        <v/>
      </c>
      <c r="O519" s="19">
        <f>IF(N519="","",IF(I519="","待开奖",IF(ISNUMBER(SEARCH(I519,N519)),"命中","未命中")))</f>
        <v/>
      </c>
    </row>
    <row r="520">
      <c r="A520" s="19" t="n">
        <v>519</v>
      </c>
      <c r="B520" s="19">
        <f>IF(COUNTA(C520:E520)=0,"",B519+1)</f>
        <v/>
      </c>
      <c r="C520" s="19" t="inlineStr"/>
      <c r="D520" s="19" t="n"/>
      <c r="E520" s="19" t="n"/>
      <c r="F520" s="19">
        <f>IF(COUNTA(D520:E520)=0,"",N(D520)-N(E520))</f>
        <v/>
      </c>
      <c r="G520" s="19">
        <f>IFERROR(VLOOKUP($B520,'开奖记录'!$A:$K,2,FALSE),"")</f>
        <v/>
      </c>
      <c r="H520" s="19">
        <f>IFERROR(VLOOKUP($B520,'开奖记录'!$A:$K,9,FALSE),"")</f>
        <v/>
      </c>
      <c r="I520" s="19">
        <f>IFERROR(VLOOKUP($B520,'开奖记录'!$A:$K,11,FALSE),"")</f>
        <v/>
      </c>
      <c r="J520" s="19">
        <f>IF($B520="","",IF(ISNUMBER($D520),"命中",IF(ISNUMBER($E520),"未命中","")))</f>
        <v/>
      </c>
      <c r="K520" s="19" t="inlineStr"/>
      <c r="L520" s="19">
        <f>IFERROR(TEXT(VLOOKUP($B520-1,开奖记录!$A:$L,3,FALSE),"00")&amp;"+5="&amp;VLOOKUP(MOD(VLOOKUP($B520-1,开奖记录!$A:$L,3,FALSE)+4,49)+1,规律参数!$A:$C,3,FALSE),"")</f>
        <v/>
      </c>
      <c r="M520" s="19">
        <f>IF(L520="","",IF(I520="","待开奖",IF(ISNUMBER(SEARCH(I520,L520)),"命中","未命中")))</f>
        <v/>
      </c>
      <c r="N520" s="19">
        <f>IFERROR(VLOOKUP(VLOOKUP($B520-1,开奖记录!$A:$L,11,FALSE),八肖参数!$A:$B,2,FALSE),"")</f>
        <v/>
      </c>
      <c r="O520" s="19">
        <f>IF(N520="","",IF(I520="","待开奖",IF(ISNUMBER(SEARCH(I520,N520)),"命中","未命中")))</f>
        <v/>
      </c>
    </row>
    <row r="521">
      <c r="A521" s="19" t="n">
        <v>520</v>
      </c>
      <c r="B521" s="19">
        <f>IF(COUNTA(C521:E521)=0,"",B520+1)</f>
        <v/>
      </c>
      <c r="C521" s="19" t="inlineStr"/>
      <c r="D521" s="19" t="n"/>
      <c r="E521" s="19" t="n"/>
      <c r="F521" s="19">
        <f>IF(COUNTA(D521:E521)=0,"",N(D521)-N(E521))</f>
        <v/>
      </c>
      <c r="G521" s="19">
        <f>IFERROR(VLOOKUP($B521,'开奖记录'!$A:$K,2,FALSE),"")</f>
        <v/>
      </c>
      <c r="H521" s="19">
        <f>IFERROR(VLOOKUP($B521,'开奖记录'!$A:$K,9,FALSE),"")</f>
        <v/>
      </c>
      <c r="I521" s="19">
        <f>IFERROR(VLOOKUP($B521,'开奖记录'!$A:$K,11,FALSE),"")</f>
        <v/>
      </c>
      <c r="J521" s="19">
        <f>IF($B521="","",IF(ISNUMBER($D521),"命中",IF(ISNUMBER($E521),"未命中","")))</f>
        <v/>
      </c>
      <c r="K521" s="19" t="inlineStr"/>
      <c r="L521" s="19">
        <f>IFERROR(TEXT(VLOOKUP($B521-1,开奖记录!$A:$L,3,FALSE),"00")&amp;"+5="&amp;VLOOKUP(MOD(VLOOKUP($B521-1,开奖记录!$A:$L,3,FALSE)+4,49)+1,规律参数!$A:$C,3,FALSE),"")</f>
        <v/>
      </c>
      <c r="M521" s="19">
        <f>IF(L521="","",IF(I521="","待开奖",IF(ISNUMBER(SEARCH(I521,L521)),"命中","未命中")))</f>
        <v/>
      </c>
      <c r="N521" s="19">
        <f>IFERROR(VLOOKUP(VLOOKUP($B521-1,开奖记录!$A:$L,11,FALSE),八肖参数!$A:$B,2,FALSE),"")</f>
        <v/>
      </c>
      <c r="O521" s="19">
        <f>IF(N521="","",IF(I521="","待开奖",IF(ISNUMBER(SEARCH(I521,N521)),"命中","未命中")))</f>
        <v/>
      </c>
    </row>
    <row r="522">
      <c r="A522" s="19" t="n">
        <v>521</v>
      </c>
      <c r="B522" s="19">
        <f>IF(COUNTA(C522:E522)=0,"",B521+1)</f>
        <v/>
      </c>
      <c r="C522" s="19" t="inlineStr"/>
      <c r="D522" s="19" t="n"/>
      <c r="E522" s="19" t="n"/>
      <c r="F522" s="19">
        <f>IF(COUNTA(D522:E522)=0,"",N(D522)-N(E522))</f>
        <v/>
      </c>
      <c r="G522" s="19">
        <f>IFERROR(VLOOKUP($B522,'开奖记录'!$A:$K,2,FALSE),"")</f>
        <v/>
      </c>
      <c r="H522" s="19">
        <f>IFERROR(VLOOKUP($B522,'开奖记录'!$A:$K,9,FALSE),"")</f>
        <v/>
      </c>
      <c r="I522" s="19">
        <f>IFERROR(VLOOKUP($B522,'开奖记录'!$A:$K,11,FALSE),"")</f>
        <v/>
      </c>
      <c r="J522" s="19">
        <f>IF($B522="","",IF(ISNUMBER($D522),"命中",IF(ISNUMBER($E522),"未命中","")))</f>
        <v/>
      </c>
      <c r="K522" s="19" t="inlineStr"/>
      <c r="L522" s="19">
        <f>IFERROR(TEXT(VLOOKUP($B522-1,开奖记录!$A:$L,3,FALSE),"00")&amp;"+5="&amp;VLOOKUP(MOD(VLOOKUP($B522-1,开奖记录!$A:$L,3,FALSE)+4,49)+1,规律参数!$A:$C,3,FALSE),"")</f>
        <v/>
      </c>
      <c r="M522" s="19">
        <f>IF(L522="","",IF(I522="","待开奖",IF(ISNUMBER(SEARCH(I522,L522)),"命中","未命中")))</f>
        <v/>
      </c>
      <c r="N522" s="19">
        <f>IFERROR(VLOOKUP(VLOOKUP($B522-1,开奖记录!$A:$L,11,FALSE),八肖参数!$A:$B,2,FALSE),"")</f>
        <v/>
      </c>
      <c r="O522" s="19">
        <f>IF(N522="","",IF(I522="","待开奖",IF(ISNUMBER(SEARCH(I522,N522)),"命中","未命中")))</f>
        <v/>
      </c>
    </row>
    <row r="523">
      <c r="A523" s="19" t="n">
        <v>522</v>
      </c>
      <c r="B523" s="19">
        <f>IF(COUNTA(C523:E523)=0,"",B522+1)</f>
        <v/>
      </c>
      <c r="C523" s="19" t="inlineStr"/>
      <c r="D523" s="19" t="n"/>
      <c r="E523" s="19" t="n"/>
      <c r="F523" s="19">
        <f>IF(COUNTA(D523:E523)=0,"",N(D523)-N(E523))</f>
        <v/>
      </c>
      <c r="G523" s="19">
        <f>IFERROR(VLOOKUP($B523,'开奖记录'!$A:$K,2,FALSE),"")</f>
        <v/>
      </c>
      <c r="H523" s="19">
        <f>IFERROR(VLOOKUP($B523,'开奖记录'!$A:$K,9,FALSE),"")</f>
        <v/>
      </c>
      <c r="I523" s="19">
        <f>IFERROR(VLOOKUP($B523,'开奖记录'!$A:$K,11,FALSE),"")</f>
        <v/>
      </c>
      <c r="J523" s="19">
        <f>IF($B523="","",IF(ISNUMBER($D523),"命中",IF(ISNUMBER($E523),"未命中","")))</f>
        <v/>
      </c>
      <c r="K523" s="19" t="inlineStr"/>
      <c r="L523" s="19">
        <f>IFERROR(TEXT(VLOOKUP($B523-1,开奖记录!$A:$L,3,FALSE),"00")&amp;"+5="&amp;VLOOKUP(MOD(VLOOKUP($B523-1,开奖记录!$A:$L,3,FALSE)+4,49)+1,规律参数!$A:$C,3,FALSE),"")</f>
        <v/>
      </c>
      <c r="M523" s="19">
        <f>IF(L523="","",IF(I523="","待开奖",IF(ISNUMBER(SEARCH(I523,L523)),"命中","未命中")))</f>
        <v/>
      </c>
      <c r="N523" s="19">
        <f>IFERROR(VLOOKUP(VLOOKUP($B523-1,开奖记录!$A:$L,11,FALSE),八肖参数!$A:$B,2,FALSE),"")</f>
        <v/>
      </c>
      <c r="O523" s="19">
        <f>IF(N523="","",IF(I523="","待开奖",IF(ISNUMBER(SEARCH(I523,N523)),"命中","未命中")))</f>
        <v/>
      </c>
    </row>
    <row r="524">
      <c r="A524" s="19" t="n">
        <v>523</v>
      </c>
      <c r="B524" s="19">
        <f>IF(COUNTA(C524:E524)=0,"",B523+1)</f>
        <v/>
      </c>
      <c r="C524" s="19" t="inlineStr"/>
      <c r="D524" s="19" t="n"/>
      <c r="E524" s="19" t="n"/>
      <c r="F524" s="19">
        <f>IF(COUNTA(D524:E524)=0,"",N(D524)-N(E524))</f>
        <v/>
      </c>
      <c r="G524" s="19">
        <f>IFERROR(VLOOKUP($B524,'开奖记录'!$A:$K,2,FALSE),"")</f>
        <v/>
      </c>
      <c r="H524" s="19">
        <f>IFERROR(VLOOKUP($B524,'开奖记录'!$A:$K,9,FALSE),"")</f>
        <v/>
      </c>
      <c r="I524" s="19">
        <f>IFERROR(VLOOKUP($B524,'开奖记录'!$A:$K,11,FALSE),"")</f>
        <v/>
      </c>
      <c r="J524" s="19">
        <f>IF($B524="","",IF(ISNUMBER($D524),"命中",IF(ISNUMBER($E524),"未命中","")))</f>
        <v/>
      </c>
      <c r="K524" s="19" t="inlineStr"/>
      <c r="L524" s="19">
        <f>IFERROR(TEXT(VLOOKUP($B524-1,开奖记录!$A:$L,3,FALSE),"00")&amp;"+5="&amp;VLOOKUP(MOD(VLOOKUP($B524-1,开奖记录!$A:$L,3,FALSE)+4,49)+1,规律参数!$A:$C,3,FALSE),"")</f>
        <v/>
      </c>
      <c r="M524" s="19">
        <f>IF(L524="","",IF(I524="","待开奖",IF(ISNUMBER(SEARCH(I524,L524)),"命中","未命中")))</f>
        <v/>
      </c>
      <c r="N524" s="19">
        <f>IFERROR(VLOOKUP(VLOOKUP($B524-1,开奖记录!$A:$L,11,FALSE),八肖参数!$A:$B,2,FALSE),"")</f>
        <v/>
      </c>
      <c r="O524" s="19">
        <f>IF(N524="","",IF(I524="","待开奖",IF(ISNUMBER(SEARCH(I524,N524)),"命中","未命中")))</f>
        <v/>
      </c>
    </row>
    <row r="525">
      <c r="A525" s="19" t="n">
        <v>524</v>
      </c>
      <c r="B525" s="19">
        <f>IF(COUNTA(C525:E525)=0,"",B524+1)</f>
        <v/>
      </c>
      <c r="C525" s="19" t="inlineStr"/>
      <c r="D525" s="19" t="n"/>
      <c r="E525" s="19" t="n"/>
      <c r="F525" s="19">
        <f>IF(COUNTA(D525:E525)=0,"",N(D525)-N(E525))</f>
        <v/>
      </c>
      <c r="G525" s="19">
        <f>IFERROR(VLOOKUP($B525,'开奖记录'!$A:$K,2,FALSE),"")</f>
        <v/>
      </c>
      <c r="H525" s="19">
        <f>IFERROR(VLOOKUP($B525,'开奖记录'!$A:$K,9,FALSE),"")</f>
        <v/>
      </c>
      <c r="I525" s="19">
        <f>IFERROR(VLOOKUP($B525,'开奖记录'!$A:$K,11,FALSE),"")</f>
        <v/>
      </c>
      <c r="J525" s="19">
        <f>IF($B525="","",IF(ISNUMBER($D525),"命中",IF(ISNUMBER($E525),"未命中","")))</f>
        <v/>
      </c>
      <c r="K525" s="19" t="inlineStr"/>
      <c r="L525" s="19">
        <f>IFERROR(TEXT(VLOOKUP($B525-1,开奖记录!$A:$L,3,FALSE),"00")&amp;"+5="&amp;VLOOKUP(MOD(VLOOKUP($B525-1,开奖记录!$A:$L,3,FALSE)+4,49)+1,规律参数!$A:$C,3,FALSE),"")</f>
        <v/>
      </c>
      <c r="M525" s="19">
        <f>IF(L525="","",IF(I525="","待开奖",IF(ISNUMBER(SEARCH(I525,L525)),"命中","未命中")))</f>
        <v/>
      </c>
      <c r="N525" s="19">
        <f>IFERROR(VLOOKUP(VLOOKUP($B525-1,开奖记录!$A:$L,11,FALSE),八肖参数!$A:$B,2,FALSE),"")</f>
        <v/>
      </c>
      <c r="O525" s="19">
        <f>IF(N525="","",IF(I525="","待开奖",IF(ISNUMBER(SEARCH(I525,N525)),"命中","未命中")))</f>
        <v/>
      </c>
    </row>
    <row r="526">
      <c r="A526" s="19" t="n">
        <v>525</v>
      </c>
      <c r="B526" s="19">
        <f>IF(COUNTA(C526:E526)=0,"",B525+1)</f>
        <v/>
      </c>
      <c r="C526" s="19" t="inlineStr"/>
      <c r="D526" s="19" t="n"/>
      <c r="E526" s="19" t="n"/>
      <c r="F526" s="19">
        <f>IF(COUNTA(D526:E526)=0,"",N(D526)-N(E526))</f>
        <v/>
      </c>
      <c r="G526" s="19">
        <f>IFERROR(VLOOKUP($B526,'开奖记录'!$A:$K,2,FALSE),"")</f>
        <v/>
      </c>
      <c r="H526" s="19">
        <f>IFERROR(VLOOKUP($B526,'开奖记录'!$A:$K,9,FALSE),"")</f>
        <v/>
      </c>
      <c r="I526" s="19">
        <f>IFERROR(VLOOKUP($B526,'开奖记录'!$A:$K,11,FALSE),"")</f>
        <v/>
      </c>
      <c r="J526" s="19">
        <f>IF($B526="","",IF(ISNUMBER($D526),"命中",IF(ISNUMBER($E526),"未命中","")))</f>
        <v/>
      </c>
      <c r="K526" s="19" t="inlineStr"/>
      <c r="L526" s="19">
        <f>IFERROR(TEXT(VLOOKUP($B526-1,开奖记录!$A:$L,3,FALSE),"00")&amp;"+5="&amp;VLOOKUP(MOD(VLOOKUP($B526-1,开奖记录!$A:$L,3,FALSE)+4,49)+1,规律参数!$A:$C,3,FALSE),"")</f>
        <v/>
      </c>
      <c r="M526" s="19">
        <f>IF(L526="","",IF(I526="","待开奖",IF(ISNUMBER(SEARCH(I526,L526)),"命中","未命中")))</f>
        <v/>
      </c>
      <c r="N526" s="19">
        <f>IFERROR(VLOOKUP(VLOOKUP($B526-1,开奖记录!$A:$L,11,FALSE),八肖参数!$A:$B,2,FALSE),"")</f>
        <v/>
      </c>
      <c r="O526" s="19">
        <f>IF(N526="","",IF(I526="","待开奖",IF(ISNUMBER(SEARCH(I526,N526)),"命中","未命中")))</f>
        <v/>
      </c>
    </row>
    <row r="527">
      <c r="A527" s="19" t="n">
        <v>526</v>
      </c>
      <c r="B527" s="19">
        <f>IF(COUNTA(C527:E527)=0,"",B526+1)</f>
        <v/>
      </c>
      <c r="C527" s="19" t="inlineStr"/>
      <c r="D527" s="19" t="n"/>
      <c r="E527" s="19" t="n"/>
      <c r="F527" s="19">
        <f>IF(COUNTA(D527:E527)=0,"",N(D527)-N(E527))</f>
        <v/>
      </c>
      <c r="G527" s="19">
        <f>IFERROR(VLOOKUP($B527,'开奖记录'!$A:$K,2,FALSE),"")</f>
        <v/>
      </c>
      <c r="H527" s="19">
        <f>IFERROR(VLOOKUP($B527,'开奖记录'!$A:$K,9,FALSE),"")</f>
        <v/>
      </c>
      <c r="I527" s="19">
        <f>IFERROR(VLOOKUP($B527,'开奖记录'!$A:$K,11,FALSE),"")</f>
        <v/>
      </c>
      <c r="J527" s="19">
        <f>IF($B527="","",IF(ISNUMBER($D527),"命中",IF(ISNUMBER($E527),"未命中","")))</f>
        <v/>
      </c>
      <c r="K527" s="19" t="inlineStr"/>
      <c r="L527" s="19">
        <f>IFERROR(TEXT(VLOOKUP($B527-1,开奖记录!$A:$L,3,FALSE),"00")&amp;"+5="&amp;VLOOKUP(MOD(VLOOKUP($B527-1,开奖记录!$A:$L,3,FALSE)+4,49)+1,规律参数!$A:$C,3,FALSE),"")</f>
        <v/>
      </c>
      <c r="M527" s="19">
        <f>IF(L527="","",IF(I527="","待开奖",IF(ISNUMBER(SEARCH(I527,L527)),"命中","未命中")))</f>
        <v/>
      </c>
      <c r="N527" s="19">
        <f>IFERROR(VLOOKUP(VLOOKUP($B527-1,开奖记录!$A:$L,11,FALSE),八肖参数!$A:$B,2,FALSE),"")</f>
        <v/>
      </c>
      <c r="O527" s="19">
        <f>IF(N527="","",IF(I527="","待开奖",IF(ISNUMBER(SEARCH(I527,N527)),"命中","未命中")))</f>
        <v/>
      </c>
    </row>
    <row r="528">
      <c r="A528" s="19" t="n">
        <v>527</v>
      </c>
      <c r="B528" s="19">
        <f>IF(COUNTA(C528:E528)=0,"",B527+1)</f>
        <v/>
      </c>
      <c r="C528" s="19" t="inlineStr"/>
      <c r="D528" s="19" t="n"/>
      <c r="E528" s="19" t="n"/>
      <c r="F528" s="19">
        <f>IF(COUNTA(D528:E528)=0,"",N(D528)-N(E528))</f>
        <v/>
      </c>
      <c r="G528" s="19">
        <f>IFERROR(VLOOKUP($B528,'开奖记录'!$A:$K,2,FALSE),"")</f>
        <v/>
      </c>
      <c r="H528" s="19">
        <f>IFERROR(VLOOKUP($B528,'开奖记录'!$A:$K,9,FALSE),"")</f>
        <v/>
      </c>
      <c r="I528" s="19">
        <f>IFERROR(VLOOKUP($B528,'开奖记录'!$A:$K,11,FALSE),"")</f>
        <v/>
      </c>
      <c r="J528" s="19">
        <f>IF($B528="","",IF(ISNUMBER($D528),"命中",IF(ISNUMBER($E528),"未命中","")))</f>
        <v/>
      </c>
      <c r="K528" s="19" t="inlineStr"/>
      <c r="L528" s="19">
        <f>IFERROR(TEXT(VLOOKUP($B528-1,开奖记录!$A:$L,3,FALSE),"00")&amp;"+5="&amp;VLOOKUP(MOD(VLOOKUP($B528-1,开奖记录!$A:$L,3,FALSE)+4,49)+1,规律参数!$A:$C,3,FALSE),"")</f>
        <v/>
      </c>
      <c r="M528" s="19">
        <f>IF(L528="","",IF(I528="","待开奖",IF(ISNUMBER(SEARCH(I528,L528)),"命中","未命中")))</f>
        <v/>
      </c>
      <c r="N528" s="19">
        <f>IFERROR(VLOOKUP(VLOOKUP($B528-1,开奖记录!$A:$L,11,FALSE),八肖参数!$A:$B,2,FALSE),"")</f>
        <v/>
      </c>
      <c r="O528" s="19">
        <f>IF(N528="","",IF(I528="","待开奖",IF(ISNUMBER(SEARCH(I528,N528)),"命中","未命中")))</f>
        <v/>
      </c>
    </row>
    <row r="529">
      <c r="A529" s="19" t="n">
        <v>528</v>
      </c>
      <c r="B529" s="19">
        <f>IF(COUNTA(C529:E529)=0,"",B528+1)</f>
        <v/>
      </c>
      <c r="C529" s="19" t="inlineStr"/>
      <c r="D529" s="19" t="n"/>
      <c r="E529" s="19" t="n"/>
      <c r="F529" s="19">
        <f>IF(COUNTA(D529:E529)=0,"",N(D529)-N(E529))</f>
        <v/>
      </c>
      <c r="G529" s="19">
        <f>IFERROR(VLOOKUP($B529,'开奖记录'!$A:$K,2,FALSE),"")</f>
        <v/>
      </c>
      <c r="H529" s="19">
        <f>IFERROR(VLOOKUP($B529,'开奖记录'!$A:$K,9,FALSE),"")</f>
        <v/>
      </c>
      <c r="I529" s="19">
        <f>IFERROR(VLOOKUP($B529,'开奖记录'!$A:$K,11,FALSE),"")</f>
        <v/>
      </c>
      <c r="J529" s="19">
        <f>IF($B529="","",IF(ISNUMBER($D529),"命中",IF(ISNUMBER($E529),"未命中","")))</f>
        <v/>
      </c>
      <c r="K529" s="19" t="inlineStr"/>
      <c r="L529" s="19">
        <f>IFERROR(TEXT(VLOOKUP($B529-1,开奖记录!$A:$L,3,FALSE),"00")&amp;"+5="&amp;VLOOKUP(MOD(VLOOKUP($B529-1,开奖记录!$A:$L,3,FALSE)+4,49)+1,规律参数!$A:$C,3,FALSE),"")</f>
        <v/>
      </c>
      <c r="M529" s="19">
        <f>IF(L529="","",IF(I529="","待开奖",IF(ISNUMBER(SEARCH(I529,L529)),"命中","未命中")))</f>
        <v/>
      </c>
      <c r="N529" s="19">
        <f>IFERROR(VLOOKUP(VLOOKUP($B529-1,开奖记录!$A:$L,11,FALSE),八肖参数!$A:$B,2,FALSE),"")</f>
        <v/>
      </c>
      <c r="O529" s="19">
        <f>IF(N529="","",IF(I529="","待开奖",IF(ISNUMBER(SEARCH(I529,N529)),"命中","未命中")))</f>
        <v/>
      </c>
    </row>
    <row r="530">
      <c r="A530" s="19" t="n">
        <v>529</v>
      </c>
      <c r="B530" s="19">
        <f>IF(COUNTA(C530:E530)=0,"",B529+1)</f>
        <v/>
      </c>
      <c r="C530" s="19" t="inlineStr"/>
      <c r="D530" s="19" t="n"/>
      <c r="E530" s="19" t="n"/>
      <c r="F530" s="19">
        <f>IF(COUNTA(D530:E530)=0,"",N(D530)-N(E530))</f>
        <v/>
      </c>
      <c r="G530" s="19">
        <f>IFERROR(VLOOKUP($B530,'开奖记录'!$A:$K,2,FALSE),"")</f>
        <v/>
      </c>
      <c r="H530" s="19">
        <f>IFERROR(VLOOKUP($B530,'开奖记录'!$A:$K,9,FALSE),"")</f>
        <v/>
      </c>
      <c r="I530" s="19">
        <f>IFERROR(VLOOKUP($B530,'开奖记录'!$A:$K,11,FALSE),"")</f>
        <v/>
      </c>
      <c r="J530" s="19">
        <f>IF($B530="","",IF(ISNUMBER($D530),"命中",IF(ISNUMBER($E530),"未命中","")))</f>
        <v/>
      </c>
      <c r="K530" s="19" t="inlineStr"/>
      <c r="L530" s="19">
        <f>IFERROR(TEXT(VLOOKUP($B530-1,开奖记录!$A:$L,3,FALSE),"00")&amp;"+5="&amp;VLOOKUP(MOD(VLOOKUP($B530-1,开奖记录!$A:$L,3,FALSE)+4,49)+1,规律参数!$A:$C,3,FALSE),"")</f>
        <v/>
      </c>
      <c r="M530" s="19">
        <f>IF(L530="","",IF(I530="","待开奖",IF(ISNUMBER(SEARCH(I530,L530)),"命中","未命中")))</f>
        <v/>
      </c>
      <c r="N530" s="19">
        <f>IFERROR(VLOOKUP(VLOOKUP($B530-1,开奖记录!$A:$L,11,FALSE),八肖参数!$A:$B,2,FALSE),"")</f>
        <v/>
      </c>
      <c r="O530" s="19">
        <f>IF(N530="","",IF(I530="","待开奖",IF(ISNUMBER(SEARCH(I530,N530)),"命中","未命中")))</f>
        <v/>
      </c>
    </row>
    <row r="531">
      <c r="A531" s="19" t="n">
        <v>530</v>
      </c>
      <c r="B531" s="19">
        <f>IF(COUNTA(C531:E531)=0,"",B530+1)</f>
        <v/>
      </c>
      <c r="C531" s="19" t="inlineStr"/>
      <c r="D531" s="19" t="n"/>
      <c r="E531" s="19" t="n"/>
      <c r="F531" s="19">
        <f>IF(COUNTA(D531:E531)=0,"",N(D531)-N(E531))</f>
        <v/>
      </c>
      <c r="G531" s="19">
        <f>IFERROR(VLOOKUP($B531,'开奖记录'!$A:$K,2,FALSE),"")</f>
        <v/>
      </c>
      <c r="H531" s="19">
        <f>IFERROR(VLOOKUP($B531,'开奖记录'!$A:$K,9,FALSE),"")</f>
        <v/>
      </c>
      <c r="I531" s="19">
        <f>IFERROR(VLOOKUP($B531,'开奖记录'!$A:$K,11,FALSE),"")</f>
        <v/>
      </c>
      <c r="J531" s="19">
        <f>IF($B531="","",IF(ISNUMBER($D531),"命中",IF(ISNUMBER($E531),"未命中","")))</f>
        <v/>
      </c>
      <c r="K531" s="19" t="inlineStr"/>
      <c r="L531" s="19">
        <f>IFERROR(TEXT(VLOOKUP($B531-1,开奖记录!$A:$L,3,FALSE),"00")&amp;"+5="&amp;VLOOKUP(MOD(VLOOKUP($B531-1,开奖记录!$A:$L,3,FALSE)+4,49)+1,规律参数!$A:$C,3,FALSE),"")</f>
        <v/>
      </c>
      <c r="M531" s="19">
        <f>IF(L531="","",IF(I531="","待开奖",IF(ISNUMBER(SEARCH(I531,L531)),"命中","未命中")))</f>
        <v/>
      </c>
      <c r="N531" s="19">
        <f>IFERROR(VLOOKUP(VLOOKUP($B531-1,开奖记录!$A:$L,11,FALSE),八肖参数!$A:$B,2,FALSE),"")</f>
        <v/>
      </c>
      <c r="O531" s="19">
        <f>IF(N531="","",IF(I531="","待开奖",IF(ISNUMBER(SEARCH(I531,N531)),"命中","未命中")))</f>
        <v/>
      </c>
    </row>
    <row r="532">
      <c r="A532" s="19" t="n">
        <v>531</v>
      </c>
      <c r="B532" s="19">
        <f>IF(COUNTA(C532:E532)=0,"",B531+1)</f>
        <v/>
      </c>
      <c r="C532" s="19" t="inlineStr"/>
      <c r="D532" s="19" t="n"/>
      <c r="E532" s="19" t="n"/>
      <c r="F532" s="19">
        <f>IF(COUNTA(D532:E532)=0,"",N(D532)-N(E532))</f>
        <v/>
      </c>
      <c r="G532" s="19">
        <f>IFERROR(VLOOKUP($B532,'开奖记录'!$A:$K,2,FALSE),"")</f>
        <v/>
      </c>
      <c r="H532" s="19">
        <f>IFERROR(VLOOKUP($B532,'开奖记录'!$A:$K,9,FALSE),"")</f>
        <v/>
      </c>
      <c r="I532" s="19">
        <f>IFERROR(VLOOKUP($B532,'开奖记录'!$A:$K,11,FALSE),"")</f>
        <v/>
      </c>
      <c r="J532" s="19">
        <f>IF($B532="","",IF(ISNUMBER($D532),"命中",IF(ISNUMBER($E532),"未命中","")))</f>
        <v/>
      </c>
      <c r="K532" s="19" t="inlineStr"/>
      <c r="L532" s="19">
        <f>IFERROR(TEXT(VLOOKUP($B532-1,开奖记录!$A:$L,3,FALSE),"00")&amp;"+5="&amp;VLOOKUP(MOD(VLOOKUP($B532-1,开奖记录!$A:$L,3,FALSE)+4,49)+1,规律参数!$A:$C,3,FALSE),"")</f>
        <v/>
      </c>
      <c r="M532" s="19">
        <f>IF(L532="","",IF(I532="","待开奖",IF(ISNUMBER(SEARCH(I532,L532)),"命中","未命中")))</f>
        <v/>
      </c>
      <c r="N532" s="19">
        <f>IFERROR(VLOOKUP(VLOOKUP($B532-1,开奖记录!$A:$L,11,FALSE),八肖参数!$A:$B,2,FALSE),"")</f>
        <v/>
      </c>
      <c r="O532" s="19">
        <f>IF(N532="","",IF(I532="","待开奖",IF(ISNUMBER(SEARCH(I532,N532)),"命中","未命中")))</f>
        <v/>
      </c>
    </row>
    <row r="533">
      <c r="A533" s="19" t="n">
        <v>532</v>
      </c>
      <c r="B533" s="19">
        <f>IF(COUNTA(C533:E533)=0,"",B532+1)</f>
        <v/>
      </c>
      <c r="C533" s="19" t="inlineStr"/>
      <c r="D533" s="19" t="n"/>
      <c r="E533" s="19" t="n"/>
      <c r="F533" s="19">
        <f>IF(COUNTA(D533:E533)=0,"",N(D533)-N(E533))</f>
        <v/>
      </c>
      <c r="G533" s="19">
        <f>IFERROR(VLOOKUP($B533,'开奖记录'!$A:$K,2,FALSE),"")</f>
        <v/>
      </c>
      <c r="H533" s="19">
        <f>IFERROR(VLOOKUP($B533,'开奖记录'!$A:$K,9,FALSE),"")</f>
        <v/>
      </c>
      <c r="I533" s="19">
        <f>IFERROR(VLOOKUP($B533,'开奖记录'!$A:$K,11,FALSE),"")</f>
        <v/>
      </c>
      <c r="J533" s="19">
        <f>IF($B533="","",IF(ISNUMBER($D533),"命中",IF(ISNUMBER($E533),"未命中","")))</f>
        <v/>
      </c>
      <c r="K533" s="19" t="inlineStr"/>
      <c r="L533" s="19">
        <f>IFERROR(TEXT(VLOOKUP($B533-1,开奖记录!$A:$L,3,FALSE),"00")&amp;"+5="&amp;VLOOKUP(MOD(VLOOKUP($B533-1,开奖记录!$A:$L,3,FALSE)+4,49)+1,规律参数!$A:$C,3,FALSE),"")</f>
        <v/>
      </c>
      <c r="M533" s="19">
        <f>IF(L533="","",IF(I533="","待开奖",IF(ISNUMBER(SEARCH(I533,L533)),"命中","未命中")))</f>
        <v/>
      </c>
      <c r="N533" s="19">
        <f>IFERROR(VLOOKUP(VLOOKUP($B533-1,开奖记录!$A:$L,11,FALSE),八肖参数!$A:$B,2,FALSE),"")</f>
        <v/>
      </c>
      <c r="O533" s="19">
        <f>IF(N533="","",IF(I533="","待开奖",IF(ISNUMBER(SEARCH(I533,N533)),"命中","未命中")))</f>
        <v/>
      </c>
    </row>
    <row r="534">
      <c r="A534" s="19" t="n">
        <v>533</v>
      </c>
      <c r="B534" s="19">
        <f>IF(COUNTA(C534:E534)=0,"",B533+1)</f>
        <v/>
      </c>
      <c r="C534" s="19" t="inlineStr"/>
      <c r="D534" s="19" t="n"/>
      <c r="E534" s="19" t="n"/>
      <c r="F534" s="19">
        <f>IF(COUNTA(D534:E534)=0,"",N(D534)-N(E534))</f>
        <v/>
      </c>
      <c r="G534" s="19">
        <f>IFERROR(VLOOKUP($B534,'开奖记录'!$A:$K,2,FALSE),"")</f>
        <v/>
      </c>
      <c r="H534" s="19">
        <f>IFERROR(VLOOKUP($B534,'开奖记录'!$A:$K,9,FALSE),"")</f>
        <v/>
      </c>
      <c r="I534" s="19">
        <f>IFERROR(VLOOKUP($B534,'开奖记录'!$A:$K,11,FALSE),"")</f>
        <v/>
      </c>
      <c r="J534" s="19">
        <f>IF($B534="","",IF(ISNUMBER($D534),"命中",IF(ISNUMBER($E534),"未命中","")))</f>
        <v/>
      </c>
      <c r="K534" s="19" t="inlineStr"/>
      <c r="L534" s="19">
        <f>IFERROR(TEXT(VLOOKUP($B534-1,开奖记录!$A:$L,3,FALSE),"00")&amp;"+5="&amp;VLOOKUP(MOD(VLOOKUP($B534-1,开奖记录!$A:$L,3,FALSE)+4,49)+1,规律参数!$A:$C,3,FALSE),"")</f>
        <v/>
      </c>
      <c r="M534" s="19">
        <f>IF(L534="","",IF(I534="","待开奖",IF(ISNUMBER(SEARCH(I534,L534)),"命中","未命中")))</f>
        <v/>
      </c>
      <c r="N534" s="19">
        <f>IFERROR(VLOOKUP(VLOOKUP($B534-1,开奖记录!$A:$L,11,FALSE),八肖参数!$A:$B,2,FALSE),"")</f>
        <v/>
      </c>
      <c r="O534" s="19">
        <f>IF(N534="","",IF(I534="","待开奖",IF(ISNUMBER(SEARCH(I534,N534)),"命中","未命中")))</f>
        <v/>
      </c>
    </row>
    <row r="535">
      <c r="A535" s="19" t="n">
        <v>534</v>
      </c>
      <c r="B535" s="19">
        <f>IF(COUNTA(C535:E535)=0,"",B534+1)</f>
        <v/>
      </c>
      <c r="C535" s="19" t="inlineStr"/>
      <c r="D535" s="19" t="n"/>
      <c r="E535" s="19" t="n"/>
      <c r="F535" s="19">
        <f>IF(COUNTA(D535:E535)=0,"",N(D535)-N(E535))</f>
        <v/>
      </c>
      <c r="G535" s="19">
        <f>IFERROR(VLOOKUP($B535,'开奖记录'!$A:$K,2,FALSE),"")</f>
        <v/>
      </c>
      <c r="H535" s="19">
        <f>IFERROR(VLOOKUP($B535,'开奖记录'!$A:$K,9,FALSE),"")</f>
        <v/>
      </c>
      <c r="I535" s="19">
        <f>IFERROR(VLOOKUP($B535,'开奖记录'!$A:$K,11,FALSE),"")</f>
        <v/>
      </c>
      <c r="J535" s="19">
        <f>IF($B535="","",IF(ISNUMBER($D535),"命中",IF(ISNUMBER($E535),"未命中","")))</f>
        <v/>
      </c>
      <c r="K535" s="19" t="inlineStr"/>
      <c r="L535" s="19">
        <f>IFERROR(TEXT(VLOOKUP($B535-1,开奖记录!$A:$L,3,FALSE),"00")&amp;"+5="&amp;VLOOKUP(MOD(VLOOKUP($B535-1,开奖记录!$A:$L,3,FALSE)+4,49)+1,规律参数!$A:$C,3,FALSE),"")</f>
        <v/>
      </c>
      <c r="M535" s="19">
        <f>IF(L535="","",IF(I535="","待开奖",IF(ISNUMBER(SEARCH(I535,L535)),"命中","未命中")))</f>
        <v/>
      </c>
      <c r="N535" s="19">
        <f>IFERROR(VLOOKUP(VLOOKUP($B535-1,开奖记录!$A:$L,11,FALSE),八肖参数!$A:$B,2,FALSE),"")</f>
        <v/>
      </c>
      <c r="O535" s="19">
        <f>IF(N535="","",IF(I535="","待开奖",IF(ISNUMBER(SEARCH(I535,N535)),"命中","未命中")))</f>
        <v/>
      </c>
    </row>
    <row r="536">
      <c r="A536" s="19" t="n">
        <v>535</v>
      </c>
      <c r="B536" s="19">
        <f>IF(COUNTA(C536:E536)=0,"",B535+1)</f>
        <v/>
      </c>
      <c r="C536" s="19" t="inlineStr"/>
      <c r="D536" s="19" t="n"/>
      <c r="E536" s="19" t="n"/>
      <c r="F536" s="19">
        <f>IF(COUNTA(D536:E536)=0,"",N(D536)-N(E536))</f>
        <v/>
      </c>
      <c r="G536" s="19">
        <f>IFERROR(VLOOKUP($B536,'开奖记录'!$A:$K,2,FALSE),"")</f>
        <v/>
      </c>
      <c r="H536" s="19">
        <f>IFERROR(VLOOKUP($B536,'开奖记录'!$A:$K,9,FALSE),"")</f>
        <v/>
      </c>
      <c r="I536" s="19">
        <f>IFERROR(VLOOKUP($B536,'开奖记录'!$A:$K,11,FALSE),"")</f>
        <v/>
      </c>
      <c r="J536" s="19">
        <f>IF($B536="","",IF(ISNUMBER($D536),"命中",IF(ISNUMBER($E536),"未命中","")))</f>
        <v/>
      </c>
      <c r="K536" s="19" t="inlineStr"/>
      <c r="L536" s="19">
        <f>IFERROR(TEXT(VLOOKUP($B536-1,开奖记录!$A:$L,3,FALSE),"00")&amp;"+5="&amp;VLOOKUP(MOD(VLOOKUP($B536-1,开奖记录!$A:$L,3,FALSE)+4,49)+1,规律参数!$A:$C,3,FALSE),"")</f>
        <v/>
      </c>
      <c r="M536" s="19">
        <f>IF(L536="","",IF(I536="","待开奖",IF(ISNUMBER(SEARCH(I536,L536)),"命中","未命中")))</f>
        <v/>
      </c>
      <c r="N536" s="19">
        <f>IFERROR(VLOOKUP(VLOOKUP($B536-1,开奖记录!$A:$L,11,FALSE),八肖参数!$A:$B,2,FALSE),"")</f>
        <v/>
      </c>
      <c r="O536" s="19">
        <f>IF(N536="","",IF(I536="","待开奖",IF(ISNUMBER(SEARCH(I536,N536)),"命中","未命中")))</f>
        <v/>
      </c>
    </row>
    <row r="537">
      <c r="A537" s="19" t="n">
        <v>536</v>
      </c>
      <c r="B537" s="19">
        <f>IF(COUNTA(C537:E537)=0,"",B536+1)</f>
        <v/>
      </c>
      <c r="C537" s="19" t="inlineStr"/>
      <c r="D537" s="19" t="n"/>
      <c r="E537" s="19" t="n"/>
      <c r="F537" s="19">
        <f>IF(COUNTA(D537:E537)=0,"",N(D537)-N(E537))</f>
        <v/>
      </c>
      <c r="G537" s="19">
        <f>IFERROR(VLOOKUP($B537,'开奖记录'!$A:$K,2,FALSE),"")</f>
        <v/>
      </c>
      <c r="H537" s="19">
        <f>IFERROR(VLOOKUP($B537,'开奖记录'!$A:$K,9,FALSE),"")</f>
        <v/>
      </c>
      <c r="I537" s="19">
        <f>IFERROR(VLOOKUP($B537,'开奖记录'!$A:$K,11,FALSE),"")</f>
        <v/>
      </c>
      <c r="J537" s="19">
        <f>IF($B537="","",IF(ISNUMBER($D537),"命中",IF(ISNUMBER($E537),"未命中","")))</f>
        <v/>
      </c>
      <c r="K537" s="19" t="inlineStr"/>
      <c r="L537" s="19">
        <f>IFERROR(TEXT(VLOOKUP($B537-1,开奖记录!$A:$L,3,FALSE),"00")&amp;"+5="&amp;VLOOKUP(MOD(VLOOKUP($B537-1,开奖记录!$A:$L,3,FALSE)+4,49)+1,规律参数!$A:$C,3,FALSE),"")</f>
        <v/>
      </c>
      <c r="M537" s="19">
        <f>IF(L537="","",IF(I537="","待开奖",IF(ISNUMBER(SEARCH(I537,L537)),"命中","未命中")))</f>
        <v/>
      </c>
      <c r="N537" s="19">
        <f>IFERROR(VLOOKUP(VLOOKUP($B537-1,开奖记录!$A:$L,11,FALSE),八肖参数!$A:$B,2,FALSE),"")</f>
        <v/>
      </c>
      <c r="O537" s="19">
        <f>IF(N537="","",IF(I537="","待开奖",IF(ISNUMBER(SEARCH(I537,N537)),"命中","未命中")))</f>
        <v/>
      </c>
    </row>
    <row r="538">
      <c r="A538" s="19" t="n">
        <v>537</v>
      </c>
      <c r="B538" s="19">
        <f>IF(COUNTA(C538:E538)=0,"",B537+1)</f>
        <v/>
      </c>
      <c r="C538" s="19" t="inlineStr"/>
      <c r="D538" s="19" t="n"/>
      <c r="E538" s="19" t="n"/>
      <c r="F538" s="19">
        <f>IF(COUNTA(D538:E538)=0,"",N(D538)-N(E538))</f>
        <v/>
      </c>
      <c r="G538" s="19">
        <f>IFERROR(VLOOKUP($B538,'开奖记录'!$A:$K,2,FALSE),"")</f>
        <v/>
      </c>
      <c r="H538" s="19">
        <f>IFERROR(VLOOKUP($B538,'开奖记录'!$A:$K,9,FALSE),"")</f>
        <v/>
      </c>
      <c r="I538" s="19">
        <f>IFERROR(VLOOKUP($B538,'开奖记录'!$A:$K,11,FALSE),"")</f>
        <v/>
      </c>
      <c r="J538" s="19">
        <f>IF($B538="","",IF(ISNUMBER($D538),"命中",IF(ISNUMBER($E538),"未命中","")))</f>
        <v/>
      </c>
      <c r="K538" s="19" t="inlineStr"/>
      <c r="L538" s="19">
        <f>IFERROR(TEXT(VLOOKUP($B538-1,开奖记录!$A:$L,3,FALSE),"00")&amp;"+5="&amp;VLOOKUP(MOD(VLOOKUP($B538-1,开奖记录!$A:$L,3,FALSE)+4,49)+1,规律参数!$A:$C,3,FALSE),"")</f>
        <v/>
      </c>
      <c r="M538" s="19">
        <f>IF(L538="","",IF(I538="","待开奖",IF(ISNUMBER(SEARCH(I538,L538)),"命中","未命中")))</f>
        <v/>
      </c>
      <c r="N538" s="19">
        <f>IFERROR(VLOOKUP(VLOOKUP($B538-1,开奖记录!$A:$L,11,FALSE),八肖参数!$A:$B,2,FALSE),"")</f>
        <v/>
      </c>
      <c r="O538" s="19">
        <f>IF(N538="","",IF(I538="","待开奖",IF(ISNUMBER(SEARCH(I538,N538)),"命中","未命中")))</f>
        <v/>
      </c>
    </row>
    <row r="539">
      <c r="A539" s="19" t="n">
        <v>538</v>
      </c>
      <c r="B539" s="19">
        <f>IF(COUNTA(C539:E539)=0,"",B538+1)</f>
        <v/>
      </c>
      <c r="C539" s="19" t="inlineStr"/>
      <c r="D539" s="19" t="n"/>
      <c r="E539" s="19" t="n"/>
      <c r="F539" s="19">
        <f>IF(COUNTA(D539:E539)=0,"",N(D539)-N(E539))</f>
        <v/>
      </c>
      <c r="G539" s="19">
        <f>IFERROR(VLOOKUP($B539,'开奖记录'!$A:$K,2,FALSE),"")</f>
        <v/>
      </c>
      <c r="H539" s="19">
        <f>IFERROR(VLOOKUP($B539,'开奖记录'!$A:$K,9,FALSE),"")</f>
        <v/>
      </c>
      <c r="I539" s="19">
        <f>IFERROR(VLOOKUP($B539,'开奖记录'!$A:$K,11,FALSE),"")</f>
        <v/>
      </c>
      <c r="J539" s="19">
        <f>IF($B539="","",IF(ISNUMBER($D539),"命中",IF(ISNUMBER($E539),"未命中","")))</f>
        <v/>
      </c>
      <c r="K539" s="19" t="inlineStr"/>
      <c r="L539" s="19">
        <f>IFERROR(TEXT(VLOOKUP($B539-1,开奖记录!$A:$L,3,FALSE),"00")&amp;"+5="&amp;VLOOKUP(MOD(VLOOKUP($B539-1,开奖记录!$A:$L,3,FALSE)+4,49)+1,规律参数!$A:$C,3,FALSE),"")</f>
        <v/>
      </c>
      <c r="M539" s="19">
        <f>IF(L539="","",IF(I539="","待开奖",IF(ISNUMBER(SEARCH(I539,L539)),"命中","未命中")))</f>
        <v/>
      </c>
      <c r="N539" s="19">
        <f>IFERROR(VLOOKUP(VLOOKUP($B539-1,开奖记录!$A:$L,11,FALSE),八肖参数!$A:$B,2,FALSE),"")</f>
        <v/>
      </c>
      <c r="O539" s="19">
        <f>IF(N539="","",IF(I539="","待开奖",IF(ISNUMBER(SEARCH(I539,N539)),"命中","未命中")))</f>
        <v/>
      </c>
    </row>
    <row r="540">
      <c r="A540" s="19" t="n">
        <v>539</v>
      </c>
      <c r="B540" s="19">
        <f>IF(COUNTA(C540:E540)=0,"",B539+1)</f>
        <v/>
      </c>
      <c r="C540" s="19" t="inlineStr"/>
      <c r="D540" s="19" t="n"/>
      <c r="E540" s="19" t="n"/>
      <c r="F540" s="19">
        <f>IF(COUNTA(D540:E540)=0,"",N(D540)-N(E540))</f>
        <v/>
      </c>
      <c r="G540" s="19">
        <f>IFERROR(VLOOKUP($B540,'开奖记录'!$A:$K,2,FALSE),"")</f>
        <v/>
      </c>
      <c r="H540" s="19">
        <f>IFERROR(VLOOKUP($B540,'开奖记录'!$A:$K,9,FALSE),"")</f>
        <v/>
      </c>
      <c r="I540" s="19">
        <f>IFERROR(VLOOKUP($B540,'开奖记录'!$A:$K,11,FALSE),"")</f>
        <v/>
      </c>
      <c r="J540" s="19">
        <f>IF($B540="","",IF(ISNUMBER($D540),"命中",IF(ISNUMBER($E540),"未命中","")))</f>
        <v/>
      </c>
      <c r="K540" s="19" t="inlineStr"/>
      <c r="L540" s="19">
        <f>IFERROR(TEXT(VLOOKUP($B540-1,开奖记录!$A:$L,3,FALSE),"00")&amp;"+5="&amp;VLOOKUP(MOD(VLOOKUP($B540-1,开奖记录!$A:$L,3,FALSE)+4,49)+1,规律参数!$A:$C,3,FALSE),"")</f>
        <v/>
      </c>
      <c r="M540" s="19">
        <f>IF(L540="","",IF(I540="","待开奖",IF(ISNUMBER(SEARCH(I540,L540)),"命中","未命中")))</f>
        <v/>
      </c>
      <c r="N540" s="19">
        <f>IFERROR(VLOOKUP(VLOOKUP($B540-1,开奖记录!$A:$L,11,FALSE),八肖参数!$A:$B,2,FALSE),"")</f>
        <v/>
      </c>
      <c r="O540" s="19">
        <f>IF(N540="","",IF(I540="","待开奖",IF(ISNUMBER(SEARCH(I540,N540)),"命中","未命中")))</f>
        <v/>
      </c>
    </row>
    <row r="541">
      <c r="A541" s="19" t="n">
        <v>540</v>
      </c>
      <c r="B541" s="19">
        <f>IF(COUNTA(C541:E541)=0,"",B540+1)</f>
        <v/>
      </c>
      <c r="C541" s="19" t="inlineStr"/>
      <c r="D541" s="19" t="n"/>
      <c r="E541" s="19" t="n"/>
      <c r="F541" s="19">
        <f>IF(COUNTA(D541:E541)=0,"",N(D541)-N(E541))</f>
        <v/>
      </c>
      <c r="G541" s="19">
        <f>IFERROR(VLOOKUP($B541,'开奖记录'!$A:$K,2,FALSE),"")</f>
        <v/>
      </c>
      <c r="H541" s="19">
        <f>IFERROR(VLOOKUP($B541,'开奖记录'!$A:$K,9,FALSE),"")</f>
        <v/>
      </c>
      <c r="I541" s="19">
        <f>IFERROR(VLOOKUP($B541,'开奖记录'!$A:$K,11,FALSE),"")</f>
        <v/>
      </c>
      <c r="J541" s="19">
        <f>IF($B541="","",IF(ISNUMBER($D541),"命中",IF(ISNUMBER($E541),"未命中","")))</f>
        <v/>
      </c>
      <c r="K541" s="19" t="inlineStr"/>
      <c r="L541" s="19">
        <f>IFERROR(TEXT(VLOOKUP($B541-1,开奖记录!$A:$L,3,FALSE),"00")&amp;"+5="&amp;VLOOKUP(MOD(VLOOKUP($B541-1,开奖记录!$A:$L,3,FALSE)+4,49)+1,规律参数!$A:$C,3,FALSE),"")</f>
        <v/>
      </c>
      <c r="M541" s="19">
        <f>IF(L541="","",IF(I541="","待开奖",IF(ISNUMBER(SEARCH(I541,L541)),"命中","未命中")))</f>
        <v/>
      </c>
      <c r="N541" s="19">
        <f>IFERROR(VLOOKUP(VLOOKUP($B541-1,开奖记录!$A:$L,11,FALSE),八肖参数!$A:$B,2,FALSE),"")</f>
        <v/>
      </c>
      <c r="O541" s="19">
        <f>IF(N541="","",IF(I541="","待开奖",IF(ISNUMBER(SEARCH(I541,N541)),"命中","未命中")))</f>
        <v/>
      </c>
    </row>
    <row r="542">
      <c r="A542" s="19" t="n">
        <v>541</v>
      </c>
      <c r="B542" s="19">
        <f>IF(COUNTA(C542:E542)=0,"",B541+1)</f>
        <v/>
      </c>
      <c r="C542" s="19" t="inlineStr"/>
      <c r="D542" s="19" t="n"/>
      <c r="E542" s="19" t="n"/>
      <c r="F542" s="19">
        <f>IF(COUNTA(D542:E542)=0,"",N(D542)-N(E542))</f>
        <v/>
      </c>
      <c r="G542" s="19">
        <f>IFERROR(VLOOKUP($B542,'开奖记录'!$A:$K,2,FALSE),"")</f>
        <v/>
      </c>
      <c r="H542" s="19">
        <f>IFERROR(VLOOKUP($B542,'开奖记录'!$A:$K,9,FALSE),"")</f>
        <v/>
      </c>
      <c r="I542" s="19">
        <f>IFERROR(VLOOKUP($B542,'开奖记录'!$A:$K,11,FALSE),"")</f>
        <v/>
      </c>
      <c r="J542" s="19">
        <f>IF($B542="","",IF(ISNUMBER($D542),"命中",IF(ISNUMBER($E542),"未命中","")))</f>
        <v/>
      </c>
      <c r="K542" s="19" t="inlineStr"/>
      <c r="L542" s="19">
        <f>IFERROR(TEXT(VLOOKUP($B542-1,开奖记录!$A:$L,3,FALSE),"00")&amp;"+5="&amp;VLOOKUP(MOD(VLOOKUP($B542-1,开奖记录!$A:$L,3,FALSE)+4,49)+1,规律参数!$A:$C,3,FALSE),"")</f>
        <v/>
      </c>
      <c r="M542" s="19">
        <f>IF(L542="","",IF(I542="","待开奖",IF(ISNUMBER(SEARCH(I542,L542)),"命中","未命中")))</f>
        <v/>
      </c>
      <c r="N542" s="19">
        <f>IFERROR(VLOOKUP(VLOOKUP($B542-1,开奖记录!$A:$L,11,FALSE),八肖参数!$A:$B,2,FALSE),"")</f>
        <v/>
      </c>
      <c r="O542" s="19">
        <f>IF(N542="","",IF(I542="","待开奖",IF(ISNUMBER(SEARCH(I542,N542)),"命中","未命中")))</f>
        <v/>
      </c>
    </row>
    <row r="543">
      <c r="A543" s="19" t="n">
        <v>542</v>
      </c>
      <c r="B543" s="19">
        <f>IF(COUNTA(C543:E543)=0,"",B542+1)</f>
        <v/>
      </c>
      <c r="C543" s="19" t="inlineStr"/>
      <c r="D543" s="19" t="n"/>
      <c r="E543" s="19" t="n"/>
      <c r="F543" s="19">
        <f>IF(COUNTA(D543:E543)=0,"",N(D543)-N(E543))</f>
        <v/>
      </c>
      <c r="G543" s="19">
        <f>IFERROR(VLOOKUP($B543,'开奖记录'!$A:$K,2,FALSE),"")</f>
        <v/>
      </c>
      <c r="H543" s="19">
        <f>IFERROR(VLOOKUP($B543,'开奖记录'!$A:$K,9,FALSE),"")</f>
        <v/>
      </c>
      <c r="I543" s="19">
        <f>IFERROR(VLOOKUP($B543,'开奖记录'!$A:$K,11,FALSE),"")</f>
        <v/>
      </c>
      <c r="J543" s="19">
        <f>IF($B543="","",IF(ISNUMBER($D543),"命中",IF(ISNUMBER($E543),"未命中","")))</f>
        <v/>
      </c>
      <c r="K543" s="19" t="inlineStr"/>
      <c r="L543" s="19">
        <f>IFERROR(TEXT(VLOOKUP($B543-1,开奖记录!$A:$L,3,FALSE),"00")&amp;"+5="&amp;VLOOKUP(MOD(VLOOKUP($B543-1,开奖记录!$A:$L,3,FALSE)+4,49)+1,规律参数!$A:$C,3,FALSE),"")</f>
        <v/>
      </c>
      <c r="M543" s="19">
        <f>IF(L543="","",IF(I543="","待开奖",IF(ISNUMBER(SEARCH(I543,L543)),"命中","未命中")))</f>
        <v/>
      </c>
      <c r="N543" s="19">
        <f>IFERROR(VLOOKUP(VLOOKUP($B543-1,开奖记录!$A:$L,11,FALSE),八肖参数!$A:$B,2,FALSE),"")</f>
        <v/>
      </c>
      <c r="O543" s="19">
        <f>IF(N543="","",IF(I543="","待开奖",IF(ISNUMBER(SEARCH(I543,N543)),"命中","未命中")))</f>
        <v/>
      </c>
    </row>
    <row r="544">
      <c r="A544" s="19" t="n">
        <v>543</v>
      </c>
      <c r="B544" s="19">
        <f>IF(COUNTA(C544:E544)=0,"",B543+1)</f>
        <v/>
      </c>
      <c r="C544" s="19" t="inlineStr"/>
      <c r="D544" s="19" t="n"/>
      <c r="E544" s="19" t="n"/>
      <c r="F544" s="19">
        <f>IF(COUNTA(D544:E544)=0,"",N(D544)-N(E544))</f>
        <v/>
      </c>
      <c r="G544" s="19">
        <f>IFERROR(VLOOKUP($B544,'开奖记录'!$A:$K,2,FALSE),"")</f>
        <v/>
      </c>
      <c r="H544" s="19">
        <f>IFERROR(VLOOKUP($B544,'开奖记录'!$A:$K,9,FALSE),"")</f>
        <v/>
      </c>
      <c r="I544" s="19">
        <f>IFERROR(VLOOKUP($B544,'开奖记录'!$A:$K,11,FALSE),"")</f>
        <v/>
      </c>
      <c r="J544" s="19">
        <f>IF($B544="","",IF(ISNUMBER($D544),"命中",IF(ISNUMBER($E544),"未命中","")))</f>
        <v/>
      </c>
      <c r="K544" s="19" t="inlineStr"/>
      <c r="L544" s="19">
        <f>IFERROR(TEXT(VLOOKUP($B544-1,开奖记录!$A:$L,3,FALSE),"00")&amp;"+5="&amp;VLOOKUP(MOD(VLOOKUP($B544-1,开奖记录!$A:$L,3,FALSE)+4,49)+1,规律参数!$A:$C,3,FALSE),"")</f>
        <v/>
      </c>
      <c r="M544" s="19">
        <f>IF(L544="","",IF(I544="","待开奖",IF(ISNUMBER(SEARCH(I544,L544)),"命中","未命中")))</f>
        <v/>
      </c>
      <c r="N544" s="19">
        <f>IFERROR(VLOOKUP(VLOOKUP($B544-1,开奖记录!$A:$L,11,FALSE),八肖参数!$A:$B,2,FALSE),"")</f>
        <v/>
      </c>
      <c r="O544" s="19">
        <f>IF(N544="","",IF(I544="","待开奖",IF(ISNUMBER(SEARCH(I544,N544)),"命中","未命中")))</f>
        <v/>
      </c>
    </row>
    <row r="545">
      <c r="A545" s="19" t="n">
        <v>544</v>
      </c>
      <c r="B545" s="19">
        <f>IF(COUNTA(C545:E545)=0,"",B544+1)</f>
        <v/>
      </c>
      <c r="C545" s="19" t="inlineStr"/>
      <c r="D545" s="19" t="n"/>
      <c r="E545" s="19" t="n"/>
      <c r="F545" s="19">
        <f>IF(COUNTA(D545:E545)=0,"",N(D545)-N(E545))</f>
        <v/>
      </c>
      <c r="G545" s="19">
        <f>IFERROR(VLOOKUP($B545,'开奖记录'!$A:$K,2,FALSE),"")</f>
        <v/>
      </c>
      <c r="H545" s="19">
        <f>IFERROR(VLOOKUP($B545,'开奖记录'!$A:$K,9,FALSE),"")</f>
        <v/>
      </c>
      <c r="I545" s="19">
        <f>IFERROR(VLOOKUP($B545,'开奖记录'!$A:$K,11,FALSE),"")</f>
        <v/>
      </c>
      <c r="J545" s="19">
        <f>IF($B545="","",IF(ISNUMBER($D545),"命中",IF(ISNUMBER($E545),"未命中","")))</f>
        <v/>
      </c>
      <c r="K545" s="19" t="inlineStr"/>
      <c r="L545" s="19">
        <f>IFERROR(TEXT(VLOOKUP($B545-1,开奖记录!$A:$L,3,FALSE),"00")&amp;"+5="&amp;VLOOKUP(MOD(VLOOKUP($B545-1,开奖记录!$A:$L,3,FALSE)+4,49)+1,规律参数!$A:$C,3,FALSE),"")</f>
        <v/>
      </c>
      <c r="M545" s="19">
        <f>IF(L545="","",IF(I545="","待开奖",IF(ISNUMBER(SEARCH(I545,L545)),"命中","未命中")))</f>
        <v/>
      </c>
      <c r="N545" s="19">
        <f>IFERROR(VLOOKUP(VLOOKUP($B545-1,开奖记录!$A:$L,11,FALSE),八肖参数!$A:$B,2,FALSE),"")</f>
        <v/>
      </c>
      <c r="O545" s="19">
        <f>IF(N545="","",IF(I545="","待开奖",IF(ISNUMBER(SEARCH(I545,N545)),"命中","未命中")))</f>
        <v/>
      </c>
    </row>
    <row r="546">
      <c r="A546" s="19" t="n">
        <v>545</v>
      </c>
      <c r="B546" s="19">
        <f>IF(COUNTA(C546:E546)=0,"",B545+1)</f>
        <v/>
      </c>
      <c r="C546" s="19" t="inlineStr"/>
      <c r="D546" s="19" t="n"/>
      <c r="E546" s="19" t="n"/>
      <c r="F546" s="19">
        <f>IF(COUNTA(D546:E546)=0,"",N(D546)-N(E546))</f>
        <v/>
      </c>
      <c r="G546" s="19">
        <f>IFERROR(VLOOKUP($B546,'开奖记录'!$A:$K,2,FALSE),"")</f>
        <v/>
      </c>
      <c r="H546" s="19">
        <f>IFERROR(VLOOKUP($B546,'开奖记录'!$A:$K,9,FALSE),"")</f>
        <v/>
      </c>
      <c r="I546" s="19">
        <f>IFERROR(VLOOKUP($B546,'开奖记录'!$A:$K,11,FALSE),"")</f>
        <v/>
      </c>
      <c r="J546" s="19">
        <f>IF($B546="","",IF(ISNUMBER($D546),"命中",IF(ISNUMBER($E546),"未命中","")))</f>
        <v/>
      </c>
      <c r="K546" s="19" t="inlineStr"/>
      <c r="L546" s="19">
        <f>IFERROR(TEXT(VLOOKUP($B546-1,开奖记录!$A:$L,3,FALSE),"00")&amp;"+5="&amp;VLOOKUP(MOD(VLOOKUP($B546-1,开奖记录!$A:$L,3,FALSE)+4,49)+1,规律参数!$A:$C,3,FALSE),"")</f>
        <v/>
      </c>
      <c r="M546" s="19">
        <f>IF(L546="","",IF(I546="","待开奖",IF(ISNUMBER(SEARCH(I546,L546)),"命中","未命中")))</f>
        <v/>
      </c>
      <c r="N546" s="19">
        <f>IFERROR(VLOOKUP(VLOOKUP($B546-1,开奖记录!$A:$L,11,FALSE),八肖参数!$A:$B,2,FALSE),"")</f>
        <v/>
      </c>
      <c r="O546" s="19">
        <f>IF(N546="","",IF(I546="","待开奖",IF(ISNUMBER(SEARCH(I546,N546)),"命中","未命中")))</f>
        <v/>
      </c>
    </row>
    <row r="547">
      <c r="A547" s="19" t="n">
        <v>546</v>
      </c>
      <c r="B547" s="19">
        <f>IF(COUNTA(C547:E547)=0,"",B546+1)</f>
        <v/>
      </c>
      <c r="C547" s="19" t="inlineStr"/>
      <c r="D547" s="19" t="n"/>
      <c r="E547" s="19" t="n"/>
      <c r="F547" s="19">
        <f>IF(COUNTA(D547:E547)=0,"",N(D547)-N(E547))</f>
        <v/>
      </c>
      <c r="G547" s="19">
        <f>IFERROR(VLOOKUP($B547,'开奖记录'!$A:$K,2,FALSE),"")</f>
        <v/>
      </c>
      <c r="H547" s="19">
        <f>IFERROR(VLOOKUP($B547,'开奖记录'!$A:$K,9,FALSE),"")</f>
        <v/>
      </c>
      <c r="I547" s="19">
        <f>IFERROR(VLOOKUP($B547,'开奖记录'!$A:$K,11,FALSE),"")</f>
        <v/>
      </c>
      <c r="J547" s="19">
        <f>IF($B547="","",IF(ISNUMBER($D547),"命中",IF(ISNUMBER($E547),"未命中","")))</f>
        <v/>
      </c>
      <c r="K547" s="19" t="inlineStr"/>
      <c r="L547" s="19">
        <f>IFERROR(TEXT(VLOOKUP($B547-1,开奖记录!$A:$L,3,FALSE),"00")&amp;"+5="&amp;VLOOKUP(MOD(VLOOKUP($B547-1,开奖记录!$A:$L,3,FALSE)+4,49)+1,规律参数!$A:$C,3,FALSE),"")</f>
        <v/>
      </c>
      <c r="M547" s="19">
        <f>IF(L547="","",IF(I547="","待开奖",IF(ISNUMBER(SEARCH(I547,L547)),"命中","未命中")))</f>
        <v/>
      </c>
      <c r="N547" s="19">
        <f>IFERROR(VLOOKUP(VLOOKUP($B547-1,开奖记录!$A:$L,11,FALSE),八肖参数!$A:$B,2,FALSE),"")</f>
        <v/>
      </c>
      <c r="O547" s="19">
        <f>IF(N547="","",IF(I547="","待开奖",IF(ISNUMBER(SEARCH(I547,N547)),"命中","未命中")))</f>
        <v/>
      </c>
    </row>
    <row r="548">
      <c r="A548" s="19" t="n">
        <v>547</v>
      </c>
      <c r="B548" s="19">
        <f>IF(COUNTA(C548:E548)=0,"",B547+1)</f>
        <v/>
      </c>
      <c r="C548" s="19" t="inlineStr"/>
      <c r="D548" s="19" t="n"/>
      <c r="E548" s="19" t="n"/>
      <c r="F548" s="19">
        <f>IF(COUNTA(D548:E548)=0,"",N(D548)-N(E548))</f>
        <v/>
      </c>
      <c r="G548" s="19">
        <f>IFERROR(VLOOKUP($B548,'开奖记录'!$A:$K,2,FALSE),"")</f>
        <v/>
      </c>
      <c r="H548" s="19">
        <f>IFERROR(VLOOKUP($B548,'开奖记录'!$A:$K,9,FALSE),"")</f>
        <v/>
      </c>
      <c r="I548" s="19">
        <f>IFERROR(VLOOKUP($B548,'开奖记录'!$A:$K,11,FALSE),"")</f>
        <v/>
      </c>
      <c r="J548" s="19">
        <f>IF($B548="","",IF(ISNUMBER($D548),"命中",IF(ISNUMBER($E548),"未命中","")))</f>
        <v/>
      </c>
      <c r="K548" s="19" t="inlineStr"/>
      <c r="L548" s="19">
        <f>IFERROR(TEXT(VLOOKUP($B548-1,开奖记录!$A:$L,3,FALSE),"00")&amp;"+5="&amp;VLOOKUP(MOD(VLOOKUP($B548-1,开奖记录!$A:$L,3,FALSE)+4,49)+1,规律参数!$A:$C,3,FALSE),"")</f>
        <v/>
      </c>
      <c r="M548" s="19">
        <f>IF(L548="","",IF(I548="","待开奖",IF(ISNUMBER(SEARCH(I548,L548)),"命中","未命中")))</f>
        <v/>
      </c>
      <c r="N548" s="19">
        <f>IFERROR(VLOOKUP(VLOOKUP($B548-1,开奖记录!$A:$L,11,FALSE),八肖参数!$A:$B,2,FALSE),"")</f>
        <v/>
      </c>
      <c r="O548" s="19">
        <f>IF(N548="","",IF(I548="","待开奖",IF(ISNUMBER(SEARCH(I548,N548)),"命中","未命中")))</f>
        <v/>
      </c>
    </row>
    <row r="549">
      <c r="A549" s="19" t="n">
        <v>548</v>
      </c>
      <c r="B549" s="19">
        <f>IF(COUNTA(C549:E549)=0,"",B548+1)</f>
        <v/>
      </c>
      <c r="C549" s="19" t="inlineStr"/>
      <c r="D549" s="19" t="n"/>
      <c r="E549" s="19" t="n"/>
      <c r="F549" s="19">
        <f>IF(COUNTA(D549:E549)=0,"",N(D549)-N(E549))</f>
        <v/>
      </c>
      <c r="G549" s="19">
        <f>IFERROR(VLOOKUP($B549,'开奖记录'!$A:$K,2,FALSE),"")</f>
        <v/>
      </c>
      <c r="H549" s="19">
        <f>IFERROR(VLOOKUP($B549,'开奖记录'!$A:$K,9,FALSE),"")</f>
        <v/>
      </c>
      <c r="I549" s="19">
        <f>IFERROR(VLOOKUP($B549,'开奖记录'!$A:$K,11,FALSE),"")</f>
        <v/>
      </c>
      <c r="J549" s="19">
        <f>IF($B549="","",IF(ISNUMBER($D549),"命中",IF(ISNUMBER($E549),"未命中","")))</f>
        <v/>
      </c>
      <c r="K549" s="19" t="inlineStr"/>
      <c r="L549" s="19">
        <f>IFERROR(TEXT(VLOOKUP($B549-1,开奖记录!$A:$L,3,FALSE),"00")&amp;"+5="&amp;VLOOKUP(MOD(VLOOKUP($B549-1,开奖记录!$A:$L,3,FALSE)+4,49)+1,规律参数!$A:$C,3,FALSE),"")</f>
        <v/>
      </c>
      <c r="M549" s="19">
        <f>IF(L549="","",IF(I549="","待开奖",IF(ISNUMBER(SEARCH(I549,L549)),"命中","未命中")))</f>
        <v/>
      </c>
      <c r="N549" s="19">
        <f>IFERROR(VLOOKUP(VLOOKUP($B549-1,开奖记录!$A:$L,11,FALSE),八肖参数!$A:$B,2,FALSE),"")</f>
        <v/>
      </c>
      <c r="O549" s="19">
        <f>IF(N549="","",IF(I549="","待开奖",IF(ISNUMBER(SEARCH(I549,N549)),"命中","未命中")))</f>
        <v/>
      </c>
    </row>
    <row r="550">
      <c r="A550" s="19" t="n">
        <v>549</v>
      </c>
      <c r="B550" s="19">
        <f>IF(COUNTA(C550:E550)=0,"",B549+1)</f>
        <v/>
      </c>
      <c r="C550" s="19" t="inlineStr"/>
      <c r="D550" s="19" t="n"/>
      <c r="E550" s="19" t="n"/>
      <c r="F550" s="19">
        <f>IF(COUNTA(D550:E550)=0,"",N(D550)-N(E550))</f>
        <v/>
      </c>
      <c r="G550" s="19">
        <f>IFERROR(VLOOKUP($B550,'开奖记录'!$A:$K,2,FALSE),"")</f>
        <v/>
      </c>
      <c r="H550" s="19">
        <f>IFERROR(VLOOKUP($B550,'开奖记录'!$A:$K,9,FALSE),"")</f>
        <v/>
      </c>
      <c r="I550" s="19">
        <f>IFERROR(VLOOKUP($B550,'开奖记录'!$A:$K,11,FALSE),"")</f>
        <v/>
      </c>
      <c r="J550" s="19">
        <f>IF($B550="","",IF(ISNUMBER($D550),"命中",IF(ISNUMBER($E550),"未命中","")))</f>
        <v/>
      </c>
      <c r="K550" s="19" t="inlineStr"/>
      <c r="L550" s="19">
        <f>IFERROR(TEXT(VLOOKUP($B550-1,开奖记录!$A:$L,3,FALSE),"00")&amp;"+5="&amp;VLOOKUP(MOD(VLOOKUP($B550-1,开奖记录!$A:$L,3,FALSE)+4,49)+1,规律参数!$A:$C,3,FALSE),"")</f>
        <v/>
      </c>
      <c r="M550" s="19">
        <f>IF(L550="","",IF(I550="","待开奖",IF(ISNUMBER(SEARCH(I550,L550)),"命中","未命中")))</f>
        <v/>
      </c>
      <c r="N550" s="19">
        <f>IFERROR(VLOOKUP(VLOOKUP($B550-1,开奖记录!$A:$L,11,FALSE),八肖参数!$A:$B,2,FALSE),"")</f>
        <v/>
      </c>
      <c r="O550" s="19">
        <f>IF(N550="","",IF(I550="","待开奖",IF(ISNUMBER(SEARCH(I550,N550)),"命中","未命中")))</f>
        <v/>
      </c>
    </row>
    <row r="551">
      <c r="A551" s="19" t="n">
        <v>550</v>
      </c>
      <c r="B551" s="19">
        <f>IF(COUNTA(C551:E551)=0,"",B550+1)</f>
        <v/>
      </c>
      <c r="C551" s="19" t="inlineStr"/>
      <c r="D551" s="19" t="n"/>
      <c r="E551" s="19" t="n"/>
      <c r="F551" s="19">
        <f>IF(COUNTA(D551:E551)=0,"",N(D551)-N(E551))</f>
        <v/>
      </c>
      <c r="G551" s="19">
        <f>IFERROR(VLOOKUP($B551,'开奖记录'!$A:$K,2,FALSE),"")</f>
        <v/>
      </c>
      <c r="H551" s="19">
        <f>IFERROR(VLOOKUP($B551,'开奖记录'!$A:$K,9,FALSE),"")</f>
        <v/>
      </c>
      <c r="I551" s="19">
        <f>IFERROR(VLOOKUP($B551,'开奖记录'!$A:$K,11,FALSE),"")</f>
        <v/>
      </c>
      <c r="J551" s="19">
        <f>IF($B551="","",IF(ISNUMBER($D551),"命中",IF(ISNUMBER($E551),"未命中","")))</f>
        <v/>
      </c>
      <c r="K551" s="19" t="inlineStr"/>
      <c r="L551" s="19">
        <f>IFERROR(TEXT(VLOOKUP($B551-1,开奖记录!$A:$L,3,FALSE),"00")&amp;"+5="&amp;VLOOKUP(MOD(VLOOKUP($B551-1,开奖记录!$A:$L,3,FALSE)+4,49)+1,规律参数!$A:$C,3,FALSE),"")</f>
        <v/>
      </c>
      <c r="M551" s="19">
        <f>IF(L551="","",IF(I551="","待开奖",IF(ISNUMBER(SEARCH(I551,L551)),"命中","未命中")))</f>
        <v/>
      </c>
      <c r="N551" s="19">
        <f>IFERROR(VLOOKUP(VLOOKUP($B551-1,开奖记录!$A:$L,11,FALSE),八肖参数!$A:$B,2,FALSE),"")</f>
        <v/>
      </c>
      <c r="O551" s="19">
        <f>IF(N551="","",IF(I551="","待开奖",IF(ISNUMBER(SEARCH(I551,N551)),"命中","未命中")))</f>
        <v/>
      </c>
    </row>
    <row r="552">
      <c r="A552" s="19" t="n">
        <v>551</v>
      </c>
      <c r="B552" s="19">
        <f>IF(COUNTA(C552:E552)=0,"",B551+1)</f>
        <v/>
      </c>
      <c r="C552" s="19" t="inlineStr"/>
      <c r="D552" s="19" t="n"/>
      <c r="E552" s="19" t="n"/>
      <c r="F552" s="19">
        <f>IF(COUNTA(D552:E552)=0,"",N(D552)-N(E552))</f>
        <v/>
      </c>
      <c r="G552" s="19">
        <f>IFERROR(VLOOKUP($B552,'开奖记录'!$A:$K,2,FALSE),"")</f>
        <v/>
      </c>
      <c r="H552" s="19">
        <f>IFERROR(VLOOKUP($B552,'开奖记录'!$A:$K,9,FALSE),"")</f>
        <v/>
      </c>
      <c r="I552" s="19">
        <f>IFERROR(VLOOKUP($B552,'开奖记录'!$A:$K,11,FALSE),"")</f>
        <v/>
      </c>
      <c r="J552" s="19">
        <f>IF($B552="","",IF(ISNUMBER($D552),"命中",IF(ISNUMBER($E552),"未命中","")))</f>
        <v/>
      </c>
      <c r="K552" s="19" t="inlineStr"/>
      <c r="L552" s="19">
        <f>IFERROR(TEXT(VLOOKUP($B552-1,开奖记录!$A:$L,3,FALSE),"00")&amp;"+5="&amp;VLOOKUP(MOD(VLOOKUP($B552-1,开奖记录!$A:$L,3,FALSE)+4,49)+1,规律参数!$A:$C,3,FALSE),"")</f>
        <v/>
      </c>
      <c r="M552" s="19">
        <f>IF(L552="","",IF(I552="","待开奖",IF(ISNUMBER(SEARCH(I552,L552)),"命中","未命中")))</f>
        <v/>
      </c>
      <c r="N552" s="19">
        <f>IFERROR(VLOOKUP(VLOOKUP($B552-1,开奖记录!$A:$L,11,FALSE),八肖参数!$A:$B,2,FALSE),"")</f>
        <v/>
      </c>
      <c r="O552" s="19">
        <f>IF(N552="","",IF(I552="","待开奖",IF(ISNUMBER(SEARCH(I552,N552)),"命中","未命中")))</f>
        <v/>
      </c>
    </row>
    <row r="553">
      <c r="A553" s="19" t="n">
        <v>552</v>
      </c>
      <c r="B553" s="19">
        <f>IF(COUNTA(C553:E553)=0,"",B552+1)</f>
        <v/>
      </c>
      <c r="C553" s="19" t="inlineStr"/>
      <c r="D553" s="19" t="n"/>
      <c r="E553" s="19" t="n"/>
      <c r="F553" s="19">
        <f>IF(COUNTA(D553:E553)=0,"",N(D553)-N(E553))</f>
        <v/>
      </c>
      <c r="G553" s="19">
        <f>IFERROR(VLOOKUP($B553,'开奖记录'!$A:$K,2,FALSE),"")</f>
        <v/>
      </c>
      <c r="H553" s="19">
        <f>IFERROR(VLOOKUP($B553,'开奖记录'!$A:$K,9,FALSE),"")</f>
        <v/>
      </c>
      <c r="I553" s="19">
        <f>IFERROR(VLOOKUP($B553,'开奖记录'!$A:$K,11,FALSE),"")</f>
        <v/>
      </c>
      <c r="J553" s="19">
        <f>IF($B553="","",IF(ISNUMBER($D553),"命中",IF(ISNUMBER($E553),"未命中","")))</f>
        <v/>
      </c>
      <c r="K553" s="19" t="inlineStr"/>
      <c r="L553" s="19">
        <f>IFERROR(TEXT(VLOOKUP($B553-1,开奖记录!$A:$L,3,FALSE),"00")&amp;"+5="&amp;VLOOKUP(MOD(VLOOKUP($B553-1,开奖记录!$A:$L,3,FALSE)+4,49)+1,规律参数!$A:$C,3,FALSE),"")</f>
        <v/>
      </c>
      <c r="M553" s="19">
        <f>IF(L553="","",IF(I553="","待开奖",IF(ISNUMBER(SEARCH(I553,L553)),"命中","未命中")))</f>
        <v/>
      </c>
      <c r="N553" s="19">
        <f>IFERROR(VLOOKUP(VLOOKUP($B553-1,开奖记录!$A:$L,11,FALSE),八肖参数!$A:$B,2,FALSE),"")</f>
        <v/>
      </c>
      <c r="O553" s="19">
        <f>IF(N553="","",IF(I553="","待开奖",IF(ISNUMBER(SEARCH(I553,N553)),"命中","未命中")))</f>
        <v/>
      </c>
    </row>
    <row r="554">
      <c r="A554" s="19" t="n">
        <v>553</v>
      </c>
      <c r="B554" s="19">
        <f>IF(COUNTA(C554:E554)=0,"",B553+1)</f>
        <v/>
      </c>
      <c r="C554" s="19" t="inlineStr"/>
      <c r="D554" s="19" t="n"/>
      <c r="E554" s="19" t="n"/>
      <c r="F554" s="19">
        <f>IF(COUNTA(D554:E554)=0,"",N(D554)-N(E554))</f>
        <v/>
      </c>
      <c r="G554" s="19">
        <f>IFERROR(VLOOKUP($B554,'开奖记录'!$A:$K,2,FALSE),"")</f>
        <v/>
      </c>
      <c r="H554" s="19">
        <f>IFERROR(VLOOKUP($B554,'开奖记录'!$A:$K,9,FALSE),"")</f>
        <v/>
      </c>
      <c r="I554" s="19">
        <f>IFERROR(VLOOKUP($B554,'开奖记录'!$A:$K,11,FALSE),"")</f>
        <v/>
      </c>
      <c r="J554" s="19">
        <f>IF($B554="","",IF(ISNUMBER($D554),"命中",IF(ISNUMBER($E554),"未命中","")))</f>
        <v/>
      </c>
      <c r="K554" s="19" t="inlineStr"/>
      <c r="L554" s="19">
        <f>IFERROR(TEXT(VLOOKUP($B554-1,开奖记录!$A:$L,3,FALSE),"00")&amp;"+5="&amp;VLOOKUP(MOD(VLOOKUP($B554-1,开奖记录!$A:$L,3,FALSE)+4,49)+1,规律参数!$A:$C,3,FALSE),"")</f>
        <v/>
      </c>
      <c r="M554" s="19">
        <f>IF(L554="","",IF(I554="","待开奖",IF(ISNUMBER(SEARCH(I554,L554)),"命中","未命中")))</f>
        <v/>
      </c>
      <c r="N554" s="19">
        <f>IFERROR(VLOOKUP(VLOOKUP($B554-1,开奖记录!$A:$L,11,FALSE),八肖参数!$A:$B,2,FALSE),"")</f>
        <v/>
      </c>
      <c r="O554" s="19">
        <f>IF(N554="","",IF(I554="","待开奖",IF(ISNUMBER(SEARCH(I554,N554)),"命中","未命中")))</f>
        <v/>
      </c>
    </row>
    <row r="555">
      <c r="A555" s="19" t="n">
        <v>554</v>
      </c>
      <c r="B555" s="19">
        <f>IF(COUNTA(C555:E555)=0,"",B554+1)</f>
        <v/>
      </c>
      <c r="C555" s="19" t="inlineStr"/>
      <c r="D555" s="19" t="n"/>
      <c r="E555" s="19" t="n"/>
      <c r="F555" s="19">
        <f>IF(COUNTA(D555:E555)=0,"",N(D555)-N(E555))</f>
        <v/>
      </c>
      <c r="G555" s="19">
        <f>IFERROR(VLOOKUP($B555,'开奖记录'!$A:$K,2,FALSE),"")</f>
        <v/>
      </c>
      <c r="H555" s="19">
        <f>IFERROR(VLOOKUP($B555,'开奖记录'!$A:$K,9,FALSE),"")</f>
        <v/>
      </c>
      <c r="I555" s="19">
        <f>IFERROR(VLOOKUP($B555,'开奖记录'!$A:$K,11,FALSE),"")</f>
        <v/>
      </c>
      <c r="J555" s="19">
        <f>IF($B555="","",IF(ISNUMBER($D555),"命中",IF(ISNUMBER($E555),"未命中","")))</f>
        <v/>
      </c>
      <c r="K555" s="19" t="inlineStr"/>
      <c r="L555" s="19">
        <f>IFERROR(TEXT(VLOOKUP($B555-1,开奖记录!$A:$L,3,FALSE),"00")&amp;"+5="&amp;VLOOKUP(MOD(VLOOKUP($B555-1,开奖记录!$A:$L,3,FALSE)+4,49)+1,规律参数!$A:$C,3,FALSE),"")</f>
        <v/>
      </c>
      <c r="M555" s="19">
        <f>IF(L555="","",IF(I555="","待开奖",IF(ISNUMBER(SEARCH(I555,L555)),"命中","未命中")))</f>
        <v/>
      </c>
      <c r="N555" s="19">
        <f>IFERROR(VLOOKUP(VLOOKUP($B555-1,开奖记录!$A:$L,11,FALSE),八肖参数!$A:$B,2,FALSE),"")</f>
        <v/>
      </c>
      <c r="O555" s="19">
        <f>IF(N555="","",IF(I555="","待开奖",IF(ISNUMBER(SEARCH(I555,N555)),"命中","未命中")))</f>
        <v/>
      </c>
    </row>
    <row r="556">
      <c r="A556" s="19" t="n">
        <v>555</v>
      </c>
      <c r="B556" s="19">
        <f>IF(COUNTA(C556:E556)=0,"",B555+1)</f>
        <v/>
      </c>
      <c r="C556" s="19" t="inlineStr"/>
      <c r="D556" s="19" t="n"/>
      <c r="E556" s="19" t="n"/>
      <c r="F556" s="19">
        <f>IF(COUNTA(D556:E556)=0,"",N(D556)-N(E556))</f>
        <v/>
      </c>
      <c r="G556" s="19">
        <f>IFERROR(VLOOKUP($B556,'开奖记录'!$A:$K,2,FALSE),"")</f>
        <v/>
      </c>
      <c r="H556" s="19">
        <f>IFERROR(VLOOKUP($B556,'开奖记录'!$A:$K,9,FALSE),"")</f>
        <v/>
      </c>
      <c r="I556" s="19">
        <f>IFERROR(VLOOKUP($B556,'开奖记录'!$A:$K,11,FALSE),"")</f>
        <v/>
      </c>
      <c r="J556" s="19">
        <f>IF($B556="","",IF(ISNUMBER($D556),"命中",IF(ISNUMBER($E556),"未命中","")))</f>
        <v/>
      </c>
      <c r="K556" s="19" t="inlineStr"/>
      <c r="L556" s="19">
        <f>IFERROR(TEXT(VLOOKUP($B556-1,开奖记录!$A:$L,3,FALSE),"00")&amp;"+5="&amp;VLOOKUP(MOD(VLOOKUP($B556-1,开奖记录!$A:$L,3,FALSE)+4,49)+1,规律参数!$A:$C,3,FALSE),"")</f>
        <v/>
      </c>
      <c r="M556" s="19">
        <f>IF(L556="","",IF(I556="","待开奖",IF(ISNUMBER(SEARCH(I556,L556)),"命中","未命中")))</f>
        <v/>
      </c>
      <c r="N556" s="19">
        <f>IFERROR(VLOOKUP(VLOOKUP($B556-1,开奖记录!$A:$L,11,FALSE),八肖参数!$A:$B,2,FALSE),"")</f>
        <v/>
      </c>
      <c r="O556" s="19">
        <f>IF(N556="","",IF(I556="","待开奖",IF(ISNUMBER(SEARCH(I556,N556)),"命中","未命中")))</f>
        <v/>
      </c>
    </row>
    <row r="557">
      <c r="A557" s="19" t="n">
        <v>556</v>
      </c>
      <c r="B557" s="19">
        <f>IF(COUNTA(C557:E557)=0,"",B556+1)</f>
        <v/>
      </c>
      <c r="C557" s="19" t="inlineStr"/>
      <c r="D557" s="19" t="n"/>
      <c r="E557" s="19" t="n"/>
      <c r="F557" s="19">
        <f>IF(COUNTA(D557:E557)=0,"",N(D557)-N(E557))</f>
        <v/>
      </c>
      <c r="G557" s="19">
        <f>IFERROR(VLOOKUP($B557,'开奖记录'!$A:$K,2,FALSE),"")</f>
        <v/>
      </c>
      <c r="H557" s="19">
        <f>IFERROR(VLOOKUP($B557,'开奖记录'!$A:$K,9,FALSE),"")</f>
        <v/>
      </c>
      <c r="I557" s="19">
        <f>IFERROR(VLOOKUP($B557,'开奖记录'!$A:$K,11,FALSE),"")</f>
        <v/>
      </c>
      <c r="J557" s="19">
        <f>IF($B557="","",IF(ISNUMBER($D557),"命中",IF(ISNUMBER($E557),"未命中","")))</f>
        <v/>
      </c>
      <c r="K557" s="19" t="inlineStr"/>
      <c r="L557" s="19">
        <f>IFERROR(TEXT(VLOOKUP($B557-1,开奖记录!$A:$L,3,FALSE),"00")&amp;"+5="&amp;VLOOKUP(MOD(VLOOKUP($B557-1,开奖记录!$A:$L,3,FALSE)+4,49)+1,规律参数!$A:$C,3,FALSE),"")</f>
        <v/>
      </c>
      <c r="M557" s="19">
        <f>IF(L557="","",IF(I557="","待开奖",IF(ISNUMBER(SEARCH(I557,L557)),"命中","未命中")))</f>
        <v/>
      </c>
      <c r="N557" s="19">
        <f>IFERROR(VLOOKUP(VLOOKUP($B557-1,开奖记录!$A:$L,11,FALSE),八肖参数!$A:$B,2,FALSE),"")</f>
        <v/>
      </c>
      <c r="O557" s="19">
        <f>IF(N557="","",IF(I557="","待开奖",IF(ISNUMBER(SEARCH(I557,N557)),"命中","未命中")))</f>
        <v/>
      </c>
    </row>
    <row r="558">
      <c r="A558" s="19" t="n">
        <v>557</v>
      </c>
      <c r="B558" s="19">
        <f>IF(COUNTA(C558:E558)=0,"",B557+1)</f>
        <v/>
      </c>
      <c r="C558" s="19" t="inlineStr"/>
      <c r="D558" s="19" t="n"/>
      <c r="E558" s="19" t="n"/>
      <c r="F558" s="19">
        <f>IF(COUNTA(D558:E558)=0,"",N(D558)-N(E558))</f>
        <v/>
      </c>
      <c r="G558" s="19">
        <f>IFERROR(VLOOKUP($B558,'开奖记录'!$A:$K,2,FALSE),"")</f>
        <v/>
      </c>
      <c r="H558" s="19">
        <f>IFERROR(VLOOKUP($B558,'开奖记录'!$A:$K,9,FALSE),"")</f>
        <v/>
      </c>
      <c r="I558" s="19">
        <f>IFERROR(VLOOKUP($B558,'开奖记录'!$A:$K,11,FALSE),"")</f>
        <v/>
      </c>
      <c r="J558" s="19">
        <f>IF($B558="","",IF(ISNUMBER($D558),"命中",IF(ISNUMBER($E558),"未命中","")))</f>
        <v/>
      </c>
      <c r="K558" s="19" t="inlineStr"/>
      <c r="L558" s="19">
        <f>IFERROR(TEXT(VLOOKUP($B558-1,开奖记录!$A:$L,3,FALSE),"00")&amp;"+5="&amp;VLOOKUP(MOD(VLOOKUP($B558-1,开奖记录!$A:$L,3,FALSE)+4,49)+1,规律参数!$A:$C,3,FALSE),"")</f>
        <v/>
      </c>
      <c r="M558" s="19">
        <f>IF(L558="","",IF(I558="","待开奖",IF(ISNUMBER(SEARCH(I558,L558)),"命中","未命中")))</f>
        <v/>
      </c>
      <c r="N558" s="19">
        <f>IFERROR(VLOOKUP(VLOOKUP($B558-1,开奖记录!$A:$L,11,FALSE),八肖参数!$A:$B,2,FALSE),"")</f>
        <v/>
      </c>
      <c r="O558" s="19">
        <f>IF(N558="","",IF(I558="","待开奖",IF(ISNUMBER(SEARCH(I558,N558)),"命中","未命中")))</f>
        <v/>
      </c>
    </row>
    <row r="559">
      <c r="A559" s="19" t="n">
        <v>558</v>
      </c>
      <c r="B559" s="19">
        <f>IF(COUNTA(C559:E559)=0,"",B558+1)</f>
        <v/>
      </c>
      <c r="C559" s="19" t="inlineStr"/>
      <c r="D559" s="19" t="n"/>
      <c r="E559" s="19" t="n"/>
      <c r="F559" s="19">
        <f>IF(COUNTA(D559:E559)=0,"",N(D559)-N(E559))</f>
        <v/>
      </c>
      <c r="G559" s="19">
        <f>IFERROR(VLOOKUP($B559,'开奖记录'!$A:$K,2,FALSE),"")</f>
        <v/>
      </c>
      <c r="H559" s="19">
        <f>IFERROR(VLOOKUP($B559,'开奖记录'!$A:$K,9,FALSE),"")</f>
        <v/>
      </c>
      <c r="I559" s="19">
        <f>IFERROR(VLOOKUP($B559,'开奖记录'!$A:$K,11,FALSE),"")</f>
        <v/>
      </c>
      <c r="J559" s="19">
        <f>IF($B559="","",IF(ISNUMBER($D559),"命中",IF(ISNUMBER($E559),"未命中","")))</f>
        <v/>
      </c>
      <c r="K559" s="19" t="inlineStr"/>
      <c r="L559" s="19">
        <f>IFERROR(TEXT(VLOOKUP($B559-1,开奖记录!$A:$L,3,FALSE),"00")&amp;"+5="&amp;VLOOKUP(MOD(VLOOKUP($B559-1,开奖记录!$A:$L,3,FALSE)+4,49)+1,规律参数!$A:$C,3,FALSE),"")</f>
        <v/>
      </c>
      <c r="M559" s="19">
        <f>IF(L559="","",IF(I559="","待开奖",IF(ISNUMBER(SEARCH(I559,L559)),"命中","未命中")))</f>
        <v/>
      </c>
      <c r="N559" s="19">
        <f>IFERROR(VLOOKUP(VLOOKUP($B559-1,开奖记录!$A:$L,11,FALSE),八肖参数!$A:$B,2,FALSE),"")</f>
        <v/>
      </c>
      <c r="O559" s="19">
        <f>IF(N559="","",IF(I559="","待开奖",IF(ISNUMBER(SEARCH(I559,N559)),"命中","未命中")))</f>
        <v/>
      </c>
    </row>
    <row r="560">
      <c r="A560" s="19" t="n">
        <v>559</v>
      </c>
      <c r="B560" s="19">
        <f>IF(COUNTA(C560:E560)=0,"",B559+1)</f>
        <v/>
      </c>
      <c r="C560" s="19" t="inlineStr"/>
      <c r="D560" s="19" t="n"/>
      <c r="E560" s="19" t="n"/>
      <c r="F560" s="19">
        <f>IF(COUNTA(D560:E560)=0,"",N(D560)-N(E560))</f>
        <v/>
      </c>
      <c r="G560" s="19">
        <f>IFERROR(VLOOKUP($B560,'开奖记录'!$A:$K,2,FALSE),"")</f>
        <v/>
      </c>
      <c r="H560" s="19">
        <f>IFERROR(VLOOKUP($B560,'开奖记录'!$A:$K,9,FALSE),"")</f>
        <v/>
      </c>
      <c r="I560" s="19">
        <f>IFERROR(VLOOKUP($B560,'开奖记录'!$A:$K,11,FALSE),"")</f>
        <v/>
      </c>
      <c r="J560" s="19">
        <f>IF($B560="","",IF(ISNUMBER($D560),"命中",IF(ISNUMBER($E560),"未命中","")))</f>
        <v/>
      </c>
      <c r="K560" s="19" t="inlineStr"/>
      <c r="L560" s="19">
        <f>IFERROR(TEXT(VLOOKUP($B560-1,开奖记录!$A:$L,3,FALSE),"00")&amp;"+5="&amp;VLOOKUP(MOD(VLOOKUP($B560-1,开奖记录!$A:$L,3,FALSE)+4,49)+1,规律参数!$A:$C,3,FALSE),"")</f>
        <v/>
      </c>
      <c r="M560" s="19">
        <f>IF(L560="","",IF(I560="","待开奖",IF(ISNUMBER(SEARCH(I560,L560)),"命中","未命中")))</f>
        <v/>
      </c>
      <c r="N560" s="19">
        <f>IFERROR(VLOOKUP(VLOOKUP($B560-1,开奖记录!$A:$L,11,FALSE),八肖参数!$A:$B,2,FALSE),"")</f>
        <v/>
      </c>
      <c r="O560" s="19">
        <f>IF(N560="","",IF(I560="","待开奖",IF(ISNUMBER(SEARCH(I560,N560)),"命中","未命中")))</f>
        <v/>
      </c>
    </row>
    <row r="561">
      <c r="A561" s="19" t="n">
        <v>560</v>
      </c>
      <c r="B561" s="19">
        <f>IF(COUNTA(C561:E561)=0,"",B560+1)</f>
        <v/>
      </c>
      <c r="C561" s="19" t="inlineStr"/>
      <c r="D561" s="19" t="n"/>
      <c r="E561" s="19" t="n"/>
      <c r="F561" s="19">
        <f>IF(COUNTA(D561:E561)=0,"",N(D561)-N(E561))</f>
        <v/>
      </c>
      <c r="G561" s="19">
        <f>IFERROR(VLOOKUP($B561,'开奖记录'!$A:$K,2,FALSE),"")</f>
        <v/>
      </c>
      <c r="H561" s="19">
        <f>IFERROR(VLOOKUP($B561,'开奖记录'!$A:$K,9,FALSE),"")</f>
        <v/>
      </c>
      <c r="I561" s="19">
        <f>IFERROR(VLOOKUP($B561,'开奖记录'!$A:$K,11,FALSE),"")</f>
        <v/>
      </c>
      <c r="J561" s="19">
        <f>IF($B561="","",IF(ISNUMBER($D561),"命中",IF(ISNUMBER($E561),"未命中","")))</f>
        <v/>
      </c>
      <c r="K561" s="19" t="inlineStr"/>
      <c r="L561" s="19">
        <f>IFERROR(TEXT(VLOOKUP($B561-1,开奖记录!$A:$L,3,FALSE),"00")&amp;"+5="&amp;VLOOKUP(MOD(VLOOKUP($B561-1,开奖记录!$A:$L,3,FALSE)+4,49)+1,规律参数!$A:$C,3,FALSE),"")</f>
        <v/>
      </c>
      <c r="M561" s="19">
        <f>IF(L561="","",IF(I561="","待开奖",IF(ISNUMBER(SEARCH(I561,L561)),"命中","未命中")))</f>
        <v/>
      </c>
      <c r="N561" s="19">
        <f>IFERROR(VLOOKUP(VLOOKUP($B561-1,开奖记录!$A:$L,11,FALSE),八肖参数!$A:$B,2,FALSE),"")</f>
        <v/>
      </c>
      <c r="O561" s="19">
        <f>IF(N561="","",IF(I561="","待开奖",IF(ISNUMBER(SEARCH(I561,N561)),"命中","未命中")))</f>
        <v/>
      </c>
    </row>
    <row r="562">
      <c r="A562" s="19" t="n">
        <v>561</v>
      </c>
      <c r="B562" s="19">
        <f>IF(COUNTA(C562:E562)=0,"",B561+1)</f>
        <v/>
      </c>
      <c r="C562" s="19" t="inlineStr"/>
      <c r="D562" s="19" t="n"/>
      <c r="E562" s="19" t="n"/>
      <c r="F562" s="19">
        <f>IF(COUNTA(D562:E562)=0,"",N(D562)-N(E562))</f>
        <v/>
      </c>
      <c r="G562" s="19">
        <f>IFERROR(VLOOKUP($B562,'开奖记录'!$A:$K,2,FALSE),"")</f>
        <v/>
      </c>
      <c r="H562" s="19">
        <f>IFERROR(VLOOKUP($B562,'开奖记录'!$A:$K,9,FALSE),"")</f>
        <v/>
      </c>
      <c r="I562" s="19">
        <f>IFERROR(VLOOKUP($B562,'开奖记录'!$A:$K,11,FALSE),"")</f>
        <v/>
      </c>
      <c r="J562" s="19">
        <f>IF($B562="","",IF(ISNUMBER($D562),"命中",IF(ISNUMBER($E562),"未命中","")))</f>
        <v/>
      </c>
      <c r="K562" s="19" t="inlineStr"/>
      <c r="L562" s="19">
        <f>IFERROR(TEXT(VLOOKUP($B562-1,开奖记录!$A:$L,3,FALSE),"00")&amp;"+5="&amp;VLOOKUP(MOD(VLOOKUP($B562-1,开奖记录!$A:$L,3,FALSE)+4,49)+1,规律参数!$A:$C,3,FALSE),"")</f>
        <v/>
      </c>
      <c r="M562" s="19">
        <f>IF(L562="","",IF(I562="","待开奖",IF(ISNUMBER(SEARCH(I562,L562)),"命中","未命中")))</f>
        <v/>
      </c>
      <c r="N562" s="19">
        <f>IFERROR(VLOOKUP(VLOOKUP($B562-1,开奖记录!$A:$L,11,FALSE),八肖参数!$A:$B,2,FALSE),"")</f>
        <v/>
      </c>
      <c r="O562" s="19">
        <f>IF(N562="","",IF(I562="","待开奖",IF(ISNUMBER(SEARCH(I562,N562)),"命中","未命中")))</f>
        <v/>
      </c>
    </row>
    <row r="563">
      <c r="A563" s="19" t="n">
        <v>562</v>
      </c>
      <c r="B563" s="19">
        <f>IF(COUNTA(C563:E563)=0,"",B562+1)</f>
        <v/>
      </c>
      <c r="C563" s="19" t="inlineStr"/>
      <c r="D563" s="19" t="n"/>
      <c r="E563" s="19" t="n"/>
      <c r="F563" s="19">
        <f>IF(COUNTA(D563:E563)=0,"",N(D563)-N(E563))</f>
        <v/>
      </c>
      <c r="G563" s="19">
        <f>IFERROR(VLOOKUP($B563,'开奖记录'!$A:$K,2,FALSE),"")</f>
        <v/>
      </c>
      <c r="H563" s="19">
        <f>IFERROR(VLOOKUP($B563,'开奖记录'!$A:$K,9,FALSE),"")</f>
        <v/>
      </c>
      <c r="I563" s="19">
        <f>IFERROR(VLOOKUP($B563,'开奖记录'!$A:$K,11,FALSE),"")</f>
        <v/>
      </c>
      <c r="J563" s="19">
        <f>IF($B563="","",IF(ISNUMBER($D563),"命中",IF(ISNUMBER($E563),"未命中","")))</f>
        <v/>
      </c>
      <c r="K563" s="19" t="inlineStr"/>
      <c r="L563" s="19">
        <f>IFERROR(TEXT(VLOOKUP($B563-1,开奖记录!$A:$L,3,FALSE),"00")&amp;"+5="&amp;VLOOKUP(MOD(VLOOKUP($B563-1,开奖记录!$A:$L,3,FALSE)+4,49)+1,规律参数!$A:$C,3,FALSE),"")</f>
        <v/>
      </c>
      <c r="M563" s="19">
        <f>IF(L563="","",IF(I563="","待开奖",IF(ISNUMBER(SEARCH(I563,L563)),"命中","未命中")))</f>
        <v/>
      </c>
      <c r="N563" s="19">
        <f>IFERROR(VLOOKUP(VLOOKUP($B563-1,开奖记录!$A:$L,11,FALSE),八肖参数!$A:$B,2,FALSE),"")</f>
        <v/>
      </c>
      <c r="O563" s="19">
        <f>IF(N563="","",IF(I563="","待开奖",IF(ISNUMBER(SEARCH(I563,N563)),"命中","未命中")))</f>
        <v/>
      </c>
    </row>
    <row r="564">
      <c r="A564" s="19" t="n">
        <v>563</v>
      </c>
      <c r="B564" s="19">
        <f>IF(COUNTA(C564:E564)=0,"",B563+1)</f>
        <v/>
      </c>
      <c r="C564" s="19" t="inlineStr"/>
      <c r="D564" s="19" t="n"/>
      <c r="E564" s="19" t="n"/>
      <c r="F564" s="19">
        <f>IF(COUNTA(D564:E564)=0,"",N(D564)-N(E564))</f>
        <v/>
      </c>
      <c r="G564" s="19">
        <f>IFERROR(VLOOKUP($B564,'开奖记录'!$A:$K,2,FALSE),"")</f>
        <v/>
      </c>
      <c r="H564" s="19">
        <f>IFERROR(VLOOKUP($B564,'开奖记录'!$A:$K,9,FALSE),"")</f>
        <v/>
      </c>
      <c r="I564" s="19">
        <f>IFERROR(VLOOKUP($B564,'开奖记录'!$A:$K,11,FALSE),"")</f>
        <v/>
      </c>
      <c r="J564" s="19">
        <f>IF($B564="","",IF(ISNUMBER($D564),"命中",IF(ISNUMBER($E564),"未命中","")))</f>
        <v/>
      </c>
      <c r="K564" s="19" t="inlineStr"/>
      <c r="L564" s="19">
        <f>IFERROR(TEXT(VLOOKUP($B564-1,开奖记录!$A:$L,3,FALSE),"00")&amp;"+5="&amp;VLOOKUP(MOD(VLOOKUP($B564-1,开奖记录!$A:$L,3,FALSE)+4,49)+1,规律参数!$A:$C,3,FALSE),"")</f>
        <v/>
      </c>
      <c r="M564" s="19">
        <f>IF(L564="","",IF(I564="","待开奖",IF(ISNUMBER(SEARCH(I564,L564)),"命中","未命中")))</f>
        <v/>
      </c>
      <c r="N564" s="19">
        <f>IFERROR(VLOOKUP(VLOOKUP($B564-1,开奖记录!$A:$L,11,FALSE),八肖参数!$A:$B,2,FALSE),"")</f>
        <v/>
      </c>
      <c r="O564" s="19">
        <f>IF(N564="","",IF(I564="","待开奖",IF(ISNUMBER(SEARCH(I564,N564)),"命中","未命中")))</f>
        <v/>
      </c>
    </row>
    <row r="565">
      <c r="A565" s="19" t="n">
        <v>564</v>
      </c>
      <c r="B565" s="19">
        <f>IF(COUNTA(C565:E565)=0,"",B564+1)</f>
        <v/>
      </c>
      <c r="C565" s="19" t="inlineStr"/>
      <c r="D565" s="19" t="n"/>
      <c r="E565" s="19" t="n"/>
      <c r="F565" s="19">
        <f>IF(COUNTA(D565:E565)=0,"",N(D565)-N(E565))</f>
        <v/>
      </c>
      <c r="G565" s="19">
        <f>IFERROR(VLOOKUP($B565,'开奖记录'!$A:$K,2,FALSE),"")</f>
        <v/>
      </c>
      <c r="H565" s="19">
        <f>IFERROR(VLOOKUP($B565,'开奖记录'!$A:$K,9,FALSE),"")</f>
        <v/>
      </c>
      <c r="I565" s="19">
        <f>IFERROR(VLOOKUP($B565,'开奖记录'!$A:$K,11,FALSE),"")</f>
        <v/>
      </c>
      <c r="J565" s="19">
        <f>IF($B565="","",IF(ISNUMBER($D565),"命中",IF(ISNUMBER($E565),"未命中","")))</f>
        <v/>
      </c>
      <c r="K565" s="19" t="inlineStr"/>
      <c r="L565" s="19">
        <f>IFERROR(TEXT(VLOOKUP($B565-1,开奖记录!$A:$L,3,FALSE),"00")&amp;"+5="&amp;VLOOKUP(MOD(VLOOKUP($B565-1,开奖记录!$A:$L,3,FALSE)+4,49)+1,规律参数!$A:$C,3,FALSE),"")</f>
        <v/>
      </c>
      <c r="M565" s="19">
        <f>IF(L565="","",IF(I565="","待开奖",IF(ISNUMBER(SEARCH(I565,L565)),"命中","未命中")))</f>
        <v/>
      </c>
      <c r="N565" s="19">
        <f>IFERROR(VLOOKUP(VLOOKUP($B565-1,开奖记录!$A:$L,11,FALSE),八肖参数!$A:$B,2,FALSE),"")</f>
        <v/>
      </c>
      <c r="O565" s="19">
        <f>IF(N565="","",IF(I565="","待开奖",IF(ISNUMBER(SEARCH(I565,N565)),"命中","未命中")))</f>
        <v/>
      </c>
    </row>
    <row r="566">
      <c r="A566" s="19" t="n">
        <v>565</v>
      </c>
      <c r="B566" s="19">
        <f>IF(COUNTA(C566:E566)=0,"",B565+1)</f>
        <v/>
      </c>
      <c r="C566" s="19" t="inlineStr"/>
      <c r="D566" s="19" t="n"/>
      <c r="E566" s="19" t="n"/>
      <c r="F566" s="19">
        <f>IF(COUNTA(D566:E566)=0,"",N(D566)-N(E566))</f>
        <v/>
      </c>
      <c r="G566" s="19">
        <f>IFERROR(VLOOKUP($B566,'开奖记录'!$A:$K,2,FALSE),"")</f>
        <v/>
      </c>
      <c r="H566" s="19">
        <f>IFERROR(VLOOKUP($B566,'开奖记录'!$A:$K,9,FALSE),"")</f>
        <v/>
      </c>
      <c r="I566" s="19">
        <f>IFERROR(VLOOKUP($B566,'开奖记录'!$A:$K,11,FALSE),"")</f>
        <v/>
      </c>
      <c r="J566" s="19">
        <f>IF($B566="","",IF(ISNUMBER($D566),"命中",IF(ISNUMBER($E566),"未命中","")))</f>
        <v/>
      </c>
      <c r="K566" s="19" t="inlineStr"/>
      <c r="L566" s="19">
        <f>IFERROR(TEXT(VLOOKUP($B566-1,开奖记录!$A:$L,3,FALSE),"00")&amp;"+5="&amp;VLOOKUP(MOD(VLOOKUP($B566-1,开奖记录!$A:$L,3,FALSE)+4,49)+1,规律参数!$A:$C,3,FALSE),"")</f>
        <v/>
      </c>
      <c r="M566" s="19">
        <f>IF(L566="","",IF(I566="","待开奖",IF(ISNUMBER(SEARCH(I566,L566)),"命中","未命中")))</f>
        <v/>
      </c>
      <c r="N566" s="19">
        <f>IFERROR(VLOOKUP(VLOOKUP($B566-1,开奖记录!$A:$L,11,FALSE),八肖参数!$A:$B,2,FALSE),"")</f>
        <v/>
      </c>
      <c r="O566" s="19">
        <f>IF(N566="","",IF(I566="","待开奖",IF(ISNUMBER(SEARCH(I566,N566)),"命中","未命中")))</f>
        <v/>
      </c>
    </row>
    <row r="567">
      <c r="A567" s="19" t="n">
        <v>566</v>
      </c>
      <c r="B567" s="19">
        <f>IF(COUNTA(C567:E567)=0,"",B566+1)</f>
        <v/>
      </c>
      <c r="C567" s="19" t="inlineStr"/>
      <c r="D567" s="19" t="n"/>
      <c r="E567" s="19" t="n"/>
      <c r="F567" s="19">
        <f>IF(COUNTA(D567:E567)=0,"",N(D567)-N(E567))</f>
        <v/>
      </c>
      <c r="G567" s="19">
        <f>IFERROR(VLOOKUP($B567,'开奖记录'!$A:$K,2,FALSE),"")</f>
        <v/>
      </c>
      <c r="H567" s="19">
        <f>IFERROR(VLOOKUP($B567,'开奖记录'!$A:$K,9,FALSE),"")</f>
        <v/>
      </c>
      <c r="I567" s="19">
        <f>IFERROR(VLOOKUP($B567,'开奖记录'!$A:$K,11,FALSE),"")</f>
        <v/>
      </c>
      <c r="J567" s="19">
        <f>IF($B567="","",IF(ISNUMBER($D567),"命中",IF(ISNUMBER($E567),"未命中","")))</f>
        <v/>
      </c>
      <c r="K567" s="19" t="inlineStr"/>
      <c r="L567" s="19">
        <f>IFERROR(TEXT(VLOOKUP($B567-1,开奖记录!$A:$L,3,FALSE),"00")&amp;"+5="&amp;VLOOKUP(MOD(VLOOKUP($B567-1,开奖记录!$A:$L,3,FALSE)+4,49)+1,规律参数!$A:$C,3,FALSE),"")</f>
        <v/>
      </c>
      <c r="M567" s="19">
        <f>IF(L567="","",IF(I567="","待开奖",IF(ISNUMBER(SEARCH(I567,L567)),"命中","未命中")))</f>
        <v/>
      </c>
      <c r="N567" s="19">
        <f>IFERROR(VLOOKUP(VLOOKUP($B567-1,开奖记录!$A:$L,11,FALSE),八肖参数!$A:$B,2,FALSE),"")</f>
        <v/>
      </c>
      <c r="O567" s="19">
        <f>IF(N567="","",IF(I567="","待开奖",IF(ISNUMBER(SEARCH(I567,N567)),"命中","未命中")))</f>
        <v/>
      </c>
    </row>
    <row r="568">
      <c r="A568" s="19" t="n">
        <v>567</v>
      </c>
      <c r="B568" s="19">
        <f>IF(COUNTA(C568:E568)=0,"",B567+1)</f>
        <v/>
      </c>
      <c r="C568" s="19" t="inlineStr"/>
      <c r="D568" s="19" t="n"/>
      <c r="E568" s="19" t="n"/>
      <c r="F568" s="19">
        <f>IF(COUNTA(D568:E568)=0,"",N(D568)-N(E568))</f>
        <v/>
      </c>
      <c r="G568" s="19">
        <f>IFERROR(VLOOKUP($B568,'开奖记录'!$A:$K,2,FALSE),"")</f>
        <v/>
      </c>
      <c r="H568" s="19">
        <f>IFERROR(VLOOKUP($B568,'开奖记录'!$A:$K,9,FALSE),"")</f>
        <v/>
      </c>
      <c r="I568" s="19">
        <f>IFERROR(VLOOKUP($B568,'开奖记录'!$A:$K,11,FALSE),"")</f>
        <v/>
      </c>
      <c r="J568" s="19">
        <f>IF($B568="","",IF(ISNUMBER($D568),"命中",IF(ISNUMBER($E568),"未命中","")))</f>
        <v/>
      </c>
      <c r="K568" s="19" t="inlineStr"/>
      <c r="L568" s="19">
        <f>IFERROR(TEXT(VLOOKUP($B568-1,开奖记录!$A:$L,3,FALSE),"00")&amp;"+5="&amp;VLOOKUP(MOD(VLOOKUP($B568-1,开奖记录!$A:$L,3,FALSE)+4,49)+1,规律参数!$A:$C,3,FALSE),"")</f>
        <v/>
      </c>
      <c r="M568" s="19">
        <f>IF(L568="","",IF(I568="","待开奖",IF(ISNUMBER(SEARCH(I568,L568)),"命中","未命中")))</f>
        <v/>
      </c>
      <c r="N568" s="19">
        <f>IFERROR(VLOOKUP(VLOOKUP($B568-1,开奖记录!$A:$L,11,FALSE),八肖参数!$A:$B,2,FALSE),"")</f>
        <v/>
      </c>
      <c r="O568" s="19">
        <f>IF(N568="","",IF(I568="","待开奖",IF(ISNUMBER(SEARCH(I568,N568)),"命中","未命中")))</f>
        <v/>
      </c>
    </row>
    <row r="569">
      <c r="A569" s="19" t="n">
        <v>568</v>
      </c>
      <c r="B569" s="19">
        <f>IF(COUNTA(C569:E569)=0,"",B568+1)</f>
        <v/>
      </c>
      <c r="C569" s="19" t="inlineStr"/>
      <c r="D569" s="19" t="n"/>
      <c r="E569" s="19" t="n"/>
      <c r="F569" s="19">
        <f>IF(COUNTA(D569:E569)=0,"",N(D569)-N(E569))</f>
        <v/>
      </c>
      <c r="G569" s="19">
        <f>IFERROR(VLOOKUP($B569,'开奖记录'!$A:$K,2,FALSE),"")</f>
        <v/>
      </c>
      <c r="H569" s="19">
        <f>IFERROR(VLOOKUP($B569,'开奖记录'!$A:$K,9,FALSE),"")</f>
        <v/>
      </c>
      <c r="I569" s="19">
        <f>IFERROR(VLOOKUP($B569,'开奖记录'!$A:$K,11,FALSE),"")</f>
        <v/>
      </c>
      <c r="J569" s="19">
        <f>IF($B569="","",IF(ISNUMBER($D569),"命中",IF(ISNUMBER($E569),"未命中","")))</f>
        <v/>
      </c>
      <c r="K569" s="19" t="inlineStr"/>
      <c r="L569" s="19">
        <f>IFERROR(TEXT(VLOOKUP($B569-1,开奖记录!$A:$L,3,FALSE),"00")&amp;"+5="&amp;VLOOKUP(MOD(VLOOKUP($B569-1,开奖记录!$A:$L,3,FALSE)+4,49)+1,规律参数!$A:$C,3,FALSE),"")</f>
        <v/>
      </c>
      <c r="M569" s="19">
        <f>IF(L569="","",IF(I569="","待开奖",IF(ISNUMBER(SEARCH(I569,L569)),"命中","未命中")))</f>
        <v/>
      </c>
      <c r="N569" s="19">
        <f>IFERROR(VLOOKUP(VLOOKUP($B569-1,开奖记录!$A:$L,11,FALSE),八肖参数!$A:$B,2,FALSE),"")</f>
        <v/>
      </c>
      <c r="O569" s="19">
        <f>IF(N569="","",IF(I569="","待开奖",IF(ISNUMBER(SEARCH(I569,N569)),"命中","未命中")))</f>
        <v/>
      </c>
    </row>
    <row r="570">
      <c r="A570" s="19" t="n">
        <v>569</v>
      </c>
      <c r="B570" s="19">
        <f>IF(COUNTA(C570:E570)=0,"",B569+1)</f>
        <v/>
      </c>
      <c r="C570" s="19" t="inlineStr"/>
      <c r="D570" s="19" t="n"/>
      <c r="E570" s="19" t="n"/>
      <c r="F570" s="19">
        <f>IF(COUNTA(D570:E570)=0,"",N(D570)-N(E570))</f>
        <v/>
      </c>
      <c r="G570" s="19">
        <f>IFERROR(VLOOKUP($B570,'开奖记录'!$A:$K,2,FALSE),"")</f>
        <v/>
      </c>
      <c r="H570" s="19">
        <f>IFERROR(VLOOKUP($B570,'开奖记录'!$A:$K,9,FALSE),"")</f>
        <v/>
      </c>
      <c r="I570" s="19">
        <f>IFERROR(VLOOKUP($B570,'开奖记录'!$A:$K,11,FALSE),"")</f>
        <v/>
      </c>
      <c r="J570" s="19">
        <f>IF($B570="","",IF(ISNUMBER($D570),"命中",IF(ISNUMBER($E570),"未命中","")))</f>
        <v/>
      </c>
      <c r="K570" s="19" t="inlineStr"/>
      <c r="L570" s="19">
        <f>IFERROR(TEXT(VLOOKUP($B570-1,开奖记录!$A:$L,3,FALSE),"00")&amp;"+5="&amp;VLOOKUP(MOD(VLOOKUP($B570-1,开奖记录!$A:$L,3,FALSE)+4,49)+1,规律参数!$A:$C,3,FALSE),"")</f>
        <v/>
      </c>
      <c r="M570" s="19">
        <f>IF(L570="","",IF(I570="","待开奖",IF(ISNUMBER(SEARCH(I570,L570)),"命中","未命中")))</f>
        <v/>
      </c>
      <c r="N570" s="19">
        <f>IFERROR(VLOOKUP(VLOOKUP($B570-1,开奖记录!$A:$L,11,FALSE),八肖参数!$A:$B,2,FALSE),"")</f>
        <v/>
      </c>
      <c r="O570" s="19">
        <f>IF(N570="","",IF(I570="","待开奖",IF(ISNUMBER(SEARCH(I570,N570)),"命中","未命中")))</f>
        <v/>
      </c>
    </row>
    <row r="571">
      <c r="A571" s="19" t="n">
        <v>570</v>
      </c>
      <c r="B571" s="19">
        <f>IF(COUNTA(C571:E571)=0,"",B570+1)</f>
        <v/>
      </c>
      <c r="C571" s="19" t="inlineStr"/>
      <c r="D571" s="19" t="n"/>
      <c r="E571" s="19" t="n"/>
      <c r="F571" s="19">
        <f>IF(COUNTA(D571:E571)=0,"",N(D571)-N(E571))</f>
        <v/>
      </c>
      <c r="G571" s="19">
        <f>IFERROR(VLOOKUP($B571,'开奖记录'!$A:$K,2,FALSE),"")</f>
        <v/>
      </c>
      <c r="H571" s="19">
        <f>IFERROR(VLOOKUP($B571,'开奖记录'!$A:$K,9,FALSE),"")</f>
        <v/>
      </c>
      <c r="I571" s="19">
        <f>IFERROR(VLOOKUP($B571,'开奖记录'!$A:$K,11,FALSE),"")</f>
        <v/>
      </c>
      <c r="J571" s="19">
        <f>IF($B571="","",IF(ISNUMBER($D571),"命中",IF(ISNUMBER($E571),"未命中","")))</f>
        <v/>
      </c>
      <c r="K571" s="19" t="inlineStr"/>
      <c r="L571" s="19">
        <f>IFERROR(TEXT(VLOOKUP($B571-1,开奖记录!$A:$L,3,FALSE),"00")&amp;"+5="&amp;VLOOKUP(MOD(VLOOKUP($B571-1,开奖记录!$A:$L,3,FALSE)+4,49)+1,规律参数!$A:$C,3,FALSE),"")</f>
        <v/>
      </c>
      <c r="M571" s="19">
        <f>IF(L571="","",IF(I571="","待开奖",IF(ISNUMBER(SEARCH(I571,L571)),"命中","未命中")))</f>
        <v/>
      </c>
      <c r="N571" s="19">
        <f>IFERROR(VLOOKUP(VLOOKUP($B571-1,开奖记录!$A:$L,11,FALSE),八肖参数!$A:$B,2,FALSE),"")</f>
        <v/>
      </c>
      <c r="O571" s="19">
        <f>IF(N571="","",IF(I571="","待开奖",IF(ISNUMBER(SEARCH(I571,N571)),"命中","未命中")))</f>
        <v/>
      </c>
    </row>
    <row r="572">
      <c r="A572" s="19" t="n">
        <v>571</v>
      </c>
      <c r="B572" s="19">
        <f>IF(COUNTA(C572:E572)=0,"",B571+1)</f>
        <v/>
      </c>
      <c r="C572" s="19" t="inlineStr"/>
      <c r="D572" s="19" t="n"/>
      <c r="E572" s="19" t="n"/>
      <c r="F572" s="19">
        <f>IF(COUNTA(D572:E572)=0,"",N(D572)-N(E572))</f>
        <v/>
      </c>
      <c r="G572" s="19">
        <f>IFERROR(VLOOKUP($B572,'开奖记录'!$A:$K,2,FALSE),"")</f>
        <v/>
      </c>
      <c r="H572" s="19">
        <f>IFERROR(VLOOKUP($B572,'开奖记录'!$A:$K,9,FALSE),"")</f>
        <v/>
      </c>
      <c r="I572" s="19">
        <f>IFERROR(VLOOKUP($B572,'开奖记录'!$A:$K,11,FALSE),"")</f>
        <v/>
      </c>
      <c r="J572" s="19">
        <f>IF($B572="","",IF(ISNUMBER($D572),"命中",IF(ISNUMBER($E572),"未命中","")))</f>
        <v/>
      </c>
      <c r="K572" s="19" t="inlineStr"/>
      <c r="L572" s="19">
        <f>IFERROR(TEXT(VLOOKUP($B572-1,开奖记录!$A:$L,3,FALSE),"00")&amp;"+5="&amp;VLOOKUP(MOD(VLOOKUP($B572-1,开奖记录!$A:$L,3,FALSE)+4,49)+1,规律参数!$A:$C,3,FALSE),"")</f>
        <v/>
      </c>
      <c r="M572" s="19">
        <f>IF(L572="","",IF(I572="","待开奖",IF(ISNUMBER(SEARCH(I572,L572)),"命中","未命中")))</f>
        <v/>
      </c>
      <c r="N572" s="19">
        <f>IFERROR(VLOOKUP(VLOOKUP($B572-1,开奖记录!$A:$L,11,FALSE),八肖参数!$A:$B,2,FALSE),"")</f>
        <v/>
      </c>
      <c r="O572" s="19">
        <f>IF(N572="","",IF(I572="","待开奖",IF(ISNUMBER(SEARCH(I572,N572)),"命中","未命中")))</f>
        <v/>
      </c>
    </row>
    <row r="573">
      <c r="A573" s="19" t="n">
        <v>572</v>
      </c>
      <c r="B573" s="19">
        <f>IF(COUNTA(C573:E573)=0,"",B572+1)</f>
        <v/>
      </c>
      <c r="C573" s="19" t="inlineStr"/>
      <c r="D573" s="19" t="n"/>
      <c r="E573" s="19" t="n"/>
      <c r="F573" s="19">
        <f>IF(COUNTA(D573:E573)=0,"",N(D573)-N(E573))</f>
        <v/>
      </c>
      <c r="G573" s="19">
        <f>IFERROR(VLOOKUP($B573,'开奖记录'!$A:$K,2,FALSE),"")</f>
        <v/>
      </c>
      <c r="H573" s="19">
        <f>IFERROR(VLOOKUP($B573,'开奖记录'!$A:$K,9,FALSE),"")</f>
        <v/>
      </c>
      <c r="I573" s="19">
        <f>IFERROR(VLOOKUP($B573,'开奖记录'!$A:$K,11,FALSE),"")</f>
        <v/>
      </c>
      <c r="J573" s="19">
        <f>IF($B573="","",IF(ISNUMBER($D573),"命中",IF(ISNUMBER($E573),"未命中","")))</f>
        <v/>
      </c>
      <c r="K573" s="19" t="inlineStr"/>
      <c r="L573" s="19">
        <f>IFERROR(TEXT(VLOOKUP($B573-1,开奖记录!$A:$L,3,FALSE),"00")&amp;"+5="&amp;VLOOKUP(MOD(VLOOKUP($B573-1,开奖记录!$A:$L,3,FALSE)+4,49)+1,规律参数!$A:$C,3,FALSE),"")</f>
        <v/>
      </c>
      <c r="M573" s="19">
        <f>IF(L573="","",IF(I573="","待开奖",IF(ISNUMBER(SEARCH(I573,L573)),"命中","未命中")))</f>
        <v/>
      </c>
      <c r="N573" s="19">
        <f>IFERROR(VLOOKUP(VLOOKUP($B573-1,开奖记录!$A:$L,11,FALSE),八肖参数!$A:$B,2,FALSE),"")</f>
        <v/>
      </c>
      <c r="O573" s="19">
        <f>IF(N573="","",IF(I573="","待开奖",IF(ISNUMBER(SEARCH(I573,N573)),"命中","未命中")))</f>
        <v/>
      </c>
    </row>
    <row r="574">
      <c r="A574" s="19" t="n">
        <v>573</v>
      </c>
      <c r="B574" s="19">
        <f>IF(COUNTA(C574:E574)=0,"",B573+1)</f>
        <v/>
      </c>
      <c r="C574" s="19" t="inlineStr"/>
      <c r="D574" s="19" t="n"/>
      <c r="E574" s="19" t="n"/>
      <c r="F574" s="19">
        <f>IF(COUNTA(D574:E574)=0,"",N(D574)-N(E574))</f>
        <v/>
      </c>
      <c r="G574" s="19">
        <f>IFERROR(VLOOKUP($B574,'开奖记录'!$A:$K,2,FALSE),"")</f>
        <v/>
      </c>
      <c r="H574" s="19">
        <f>IFERROR(VLOOKUP($B574,'开奖记录'!$A:$K,9,FALSE),"")</f>
        <v/>
      </c>
      <c r="I574" s="19">
        <f>IFERROR(VLOOKUP($B574,'开奖记录'!$A:$K,11,FALSE),"")</f>
        <v/>
      </c>
      <c r="J574" s="19">
        <f>IF($B574="","",IF(ISNUMBER($D574),"命中",IF(ISNUMBER($E574),"未命中","")))</f>
        <v/>
      </c>
      <c r="K574" s="19" t="inlineStr"/>
      <c r="L574" s="19">
        <f>IFERROR(TEXT(VLOOKUP($B574-1,开奖记录!$A:$L,3,FALSE),"00")&amp;"+5="&amp;VLOOKUP(MOD(VLOOKUP($B574-1,开奖记录!$A:$L,3,FALSE)+4,49)+1,规律参数!$A:$C,3,FALSE),"")</f>
        <v/>
      </c>
      <c r="M574" s="19">
        <f>IF(L574="","",IF(I574="","待开奖",IF(ISNUMBER(SEARCH(I574,L574)),"命中","未命中")))</f>
        <v/>
      </c>
      <c r="N574" s="19">
        <f>IFERROR(VLOOKUP(VLOOKUP($B574-1,开奖记录!$A:$L,11,FALSE),八肖参数!$A:$B,2,FALSE),"")</f>
        <v/>
      </c>
      <c r="O574" s="19">
        <f>IF(N574="","",IF(I574="","待开奖",IF(ISNUMBER(SEARCH(I574,N574)),"命中","未命中")))</f>
        <v/>
      </c>
    </row>
    <row r="575">
      <c r="A575" s="19" t="n">
        <v>574</v>
      </c>
      <c r="B575" s="19">
        <f>IF(COUNTA(C575:E575)=0,"",B574+1)</f>
        <v/>
      </c>
      <c r="C575" s="19" t="inlineStr"/>
      <c r="D575" s="19" t="n"/>
      <c r="E575" s="19" t="n"/>
      <c r="F575" s="19">
        <f>IF(COUNTA(D575:E575)=0,"",N(D575)-N(E575))</f>
        <v/>
      </c>
      <c r="G575" s="19">
        <f>IFERROR(VLOOKUP($B575,'开奖记录'!$A:$K,2,FALSE),"")</f>
        <v/>
      </c>
      <c r="H575" s="19">
        <f>IFERROR(VLOOKUP($B575,'开奖记录'!$A:$K,9,FALSE),"")</f>
        <v/>
      </c>
      <c r="I575" s="19">
        <f>IFERROR(VLOOKUP($B575,'开奖记录'!$A:$K,11,FALSE),"")</f>
        <v/>
      </c>
      <c r="J575" s="19">
        <f>IF($B575="","",IF(ISNUMBER($D575),"命中",IF(ISNUMBER($E575),"未命中","")))</f>
        <v/>
      </c>
      <c r="K575" s="19" t="inlineStr"/>
      <c r="L575" s="19">
        <f>IFERROR(TEXT(VLOOKUP($B575-1,开奖记录!$A:$L,3,FALSE),"00")&amp;"+5="&amp;VLOOKUP(MOD(VLOOKUP($B575-1,开奖记录!$A:$L,3,FALSE)+4,49)+1,规律参数!$A:$C,3,FALSE),"")</f>
        <v/>
      </c>
      <c r="M575" s="19">
        <f>IF(L575="","",IF(I575="","待开奖",IF(ISNUMBER(SEARCH(I575,L575)),"命中","未命中")))</f>
        <v/>
      </c>
      <c r="N575" s="19">
        <f>IFERROR(VLOOKUP(VLOOKUP($B575-1,开奖记录!$A:$L,11,FALSE),八肖参数!$A:$B,2,FALSE),"")</f>
        <v/>
      </c>
      <c r="O575" s="19">
        <f>IF(N575="","",IF(I575="","待开奖",IF(ISNUMBER(SEARCH(I575,N575)),"命中","未命中")))</f>
        <v/>
      </c>
    </row>
    <row r="576">
      <c r="A576" s="19" t="n">
        <v>575</v>
      </c>
      <c r="B576" s="19">
        <f>IF(COUNTA(C576:E576)=0,"",B575+1)</f>
        <v/>
      </c>
      <c r="C576" s="19" t="inlineStr"/>
      <c r="D576" s="19" t="n"/>
      <c r="E576" s="19" t="n"/>
      <c r="F576" s="19">
        <f>IF(COUNTA(D576:E576)=0,"",N(D576)-N(E576))</f>
        <v/>
      </c>
      <c r="G576" s="19">
        <f>IFERROR(VLOOKUP($B576,'开奖记录'!$A:$K,2,FALSE),"")</f>
        <v/>
      </c>
      <c r="H576" s="19">
        <f>IFERROR(VLOOKUP($B576,'开奖记录'!$A:$K,9,FALSE),"")</f>
        <v/>
      </c>
      <c r="I576" s="19">
        <f>IFERROR(VLOOKUP($B576,'开奖记录'!$A:$K,11,FALSE),"")</f>
        <v/>
      </c>
      <c r="J576" s="19">
        <f>IF($B576="","",IF(ISNUMBER($D576),"命中",IF(ISNUMBER($E576),"未命中","")))</f>
        <v/>
      </c>
      <c r="K576" s="19" t="inlineStr"/>
      <c r="L576" s="19">
        <f>IFERROR(TEXT(VLOOKUP($B576-1,开奖记录!$A:$L,3,FALSE),"00")&amp;"+5="&amp;VLOOKUP(MOD(VLOOKUP($B576-1,开奖记录!$A:$L,3,FALSE)+4,49)+1,规律参数!$A:$C,3,FALSE),"")</f>
        <v/>
      </c>
      <c r="M576" s="19">
        <f>IF(L576="","",IF(I576="","待开奖",IF(ISNUMBER(SEARCH(I576,L576)),"命中","未命中")))</f>
        <v/>
      </c>
      <c r="N576" s="19">
        <f>IFERROR(VLOOKUP(VLOOKUP($B576-1,开奖记录!$A:$L,11,FALSE),八肖参数!$A:$B,2,FALSE),"")</f>
        <v/>
      </c>
      <c r="O576" s="19">
        <f>IF(N576="","",IF(I576="","待开奖",IF(ISNUMBER(SEARCH(I576,N576)),"命中","未命中")))</f>
        <v/>
      </c>
    </row>
    <row r="577">
      <c r="A577" s="19" t="n">
        <v>576</v>
      </c>
      <c r="B577" s="19">
        <f>IF(COUNTA(C577:E577)=0,"",B576+1)</f>
        <v/>
      </c>
      <c r="C577" s="19" t="inlineStr"/>
      <c r="D577" s="19" t="n"/>
      <c r="E577" s="19" t="n"/>
      <c r="F577" s="19">
        <f>IF(COUNTA(D577:E577)=0,"",N(D577)-N(E577))</f>
        <v/>
      </c>
      <c r="G577" s="19">
        <f>IFERROR(VLOOKUP($B577,'开奖记录'!$A:$K,2,FALSE),"")</f>
        <v/>
      </c>
      <c r="H577" s="19">
        <f>IFERROR(VLOOKUP($B577,'开奖记录'!$A:$K,9,FALSE),"")</f>
        <v/>
      </c>
      <c r="I577" s="19">
        <f>IFERROR(VLOOKUP($B577,'开奖记录'!$A:$K,11,FALSE),"")</f>
        <v/>
      </c>
      <c r="J577" s="19">
        <f>IF($B577="","",IF(ISNUMBER($D577),"命中",IF(ISNUMBER($E577),"未命中","")))</f>
        <v/>
      </c>
      <c r="K577" s="19" t="inlineStr"/>
      <c r="L577" s="19">
        <f>IFERROR(TEXT(VLOOKUP($B577-1,开奖记录!$A:$L,3,FALSE),"00")&amp;"+5="&amp;VLOOKUP(MOD(VLOOKUP($B577-1,开奖记录!$A:$L,3,FALSE)+4,49)+1,规律参数!$A:$C,3,FALSE),"")</f>
        <v/>
      </c>
      <c r="M577" s="19">
        <f>IF(L577="","",IF(I577="","待开奖",IF(ISNUMBER(SEARCH(I577,L577)),"命中","未命中")))</f>
        <v/>
      </c>
      <c r="N577" s="19">
        <f>IFERROR(VLOOKUP(VLOOKUP($B577-1,开奖记录!$A:$L,11,FALSE),八肖参数!$A:$B,2,FALSE),"")</f>
        <v/>
      </c>
      <c r="O577" s="19">
        <f>IF(N577="","",IF(I577="","待开奖",IF(ISNUMBER(SEARCH(I577,N577)),"命中","未命中")))</f>
        <v/>
      </c>
    </row>
    <row r="578">
      <c r="A578" s="19" t="n">
        <v>577</v>
      </c>
      <c r="B578" s="19">
        <f>IF(COUNTA(C578:E578)=0,"",B577+1)</f>
        <v/>
      </c>
      <c r="C578" s="19" t="inlineStr"/>
      <c r="D578" s="19" t="n"/>
      <c r="E578" s="19" t="n"/>
      <c r="F578" s="19">
        <f>IF(COUNTA(D578:E578)=0,"",N(D578)-N(E578))</f>
        <v/>
      </c>
      <c r="G578" s="19">
        <f>IFERROR(VLOOKUP($B578,'开奖记录'!$A:$K,2,FALSE),"")</f>
        <v/>
      </c>
      <c r="H578" s="19">
        <f>IFERROR(VLOOKUP($B578,'开奖记录'!$A:$K,9,FALSE),"")</f>
        <v/>
      </c>
      <c r="I578" s="19">
        <f>IFERROR(VLOOKUP($B578,'开奖记录'!$A:$K,11,FALSE),"")</f>
        <v/>
      </c>
      <c r="J578" s="19">
        <f>IF($B578="","",IF(ISNUMBER($D578),"命中",IF(ISNUMBER($E578),"未命中","")))</f>
        <v/>
      </c>
      <c r="K578" s="19" t="inlineStr"/>
      <c r="L578" s="19">
        <f>IFERROR(TEXT(VLOOKUP($B578-1,开奖记录!$A:$L,3,FALSE),"00")&amp;"+5="&amp;VLOOKUP(MOD(VLOOKUP($B578-1,开奖记录!$A:$L,3,FALSE)+4,49)+1,规律参数!$A:$C,3,FALSE),"")</f>
        <v/>
      </c>
      <c r="M578" s="19">
        <f>IF(L578="","",IF(I578="","待开奖",IF(ISNUMBER(SEARCH(I578,L578)),"命中","未命中")))</f>
        <v/>
      </c>
      <c r="N578" s="19">
        <f>IFERROR(VLOOKUP(VLOOKUP($B578-1,开奖记录!$A:$L,11,FALSE),八肖参数!$A:$B,2,FALSE),"")</f>
        <v/>
      </c>
      <c r="O578" s="19">
        <f>IF(N578="","",IF(I578="","待开奖",IF(ISNUMBER(SEARCH(I578,N578)),"命中","未命中")))</f>
        <v/>
      </c>
    </row>
    <row r="579">
      <c r="A579" s="19" t="n">
        <v>578</v>
      </c>
      <c r="B579" s="19">
        <f>IF(COUNTA(C579:E579)=0,"",B578+1)</f>
        <v/>
      </c>
      <c r="C579" s="19" t="inlineStr"/>
      <c r="D579" s="19" t="n"/>
      <c r="E579" s="19" t="n"/>
      <c r="F579" s="19">
        <f>IF(COUNTA(D579:E579)=0,"",N(D579)-N(E579))</f>
        <v/>
      </c>
      <c r="G579" s="19">
        <f>IFERROR(VLOOKUP($B579,'开奖记录'!$A:$K,2,FALSE),"")</f>
        <v/>
      </c>
      <c r="H579" s="19">
        <f>IFERROR(VLOOKUP($B579,'开奖记录'!$A:$K,9,FALSE),"")</f>
        <v/>
      </c>
      <c r="I579" s="19">
        <f>IFERROR(VLOOKUP($B579,'开奖记录'!$A:$K,11,FALSE),"")</f>
        <v/>
      </c>
      <c r="J579" s="19">
        <f>IF($B579="","",IF(ISNUMBER($D579),"命中",IF(ISNUMBER($E579),"未命中","")))</f>
        <v/>
      </c>
      <c r="K579" s="19" t="inlineStr"/>
      <c r="L579" s="19">
        <f>IFERROR(TEXT(VLOOKUP($B579-1,开奖记录!$A:$L,3,FALSE),"00")&amp;"+5="&amp;VLOOKUP(MOD(VLOOKUP($B579-1,开奖记录!$A:$L,3,FALSE)+4,49)+1,规律参数!$A:$C,3,FALSE),"")</f>
        <v/>
      </c>
      <c r="M579" s="19">
        <f>IF(L579="","",IF(I579="","待开奖",IF(ISNUMBER(SEARCH(I579,L579)),"命中","未命中")))</f>
        <v/>
      </c>
      <c r="N579" s="19">
        <f>IFERROR(VLOOKUP(VLOOKUP($B579-1,开奖记录!$A:$L,11,FALSE),八肖参数!$A:$B,2,FALSE),"")</f>
        <v/>
      </c>
      <c r="O579" s="19">
        <f>IF(N579="","",IF(I579="","待开奖",IF(ISNUMBER(SEARCH(I579,N579)),"命中","未命中")))</f>
        <v/>
      </c>
    </row>
    <row r="580">
      <c r="A580" s="19" t="n">
        <v>579</v>
      </c>
      <c r="B580" s="19">
        <f>IF(COUNTA(C580:E580)=0,"",B579+1)</f>
        <v/>
      </c>
      <c r="C580" s="19" t="inlineStr"/>
      <c r="D580" s="19" t="n"/>
      <c r="E580" s="19" t="n"/>
      <c r="F580" s="19">
        <f>IF(COUNTA(D580:E580)=0,"",N(D580)-N(E580))</f>
        <v/>
      </c>
      <c r="G580" s="19">
        <f>IFERROR(VLOOKUP($B580,'开奖记录'!$A:$K,2,FALSE),"")</f>
        <v/>
      </c>
      <c r="H580" s="19">
        <f>IFERROR(VLOOKUP($B580,'开奖记录'!$A:$K,9,FALSE),"")</f>
        <v/>
      </c>
      <c r="I580" s="19">
        <f>IFERROR(VLOOKUP($B580,'开奖记录'!$A:$K,11,FALSE),"")</f>
        <v/>
      </c>
      <c r="J580" s="19">
        <f>IF($B580="","",IF(ISNUMBER($D580),"命中",IF(ISNUMBER($E580),"未命中","")))</f>
        <v/>
      </c>
      <c r="K580" s="19" t="inlineStr"/>
      <c r="L580" s="19">
        <f>IFERROR(TEXT(VLOOKUP($B580-1,开奖记录!$A:$L,3,FALSE),"00")&amp;"+5="&amp;VLOOKUP(MOD(VLOOKUP($B580-1,开奖记录!$A:$L,3,FALSE)+4,49)+1,规律参数!$A:$C,3,FALSE),"")</f>
        <v/>
      </c>
      <c r="M580" s="19">
        <f>IF(L580="","",IF(I580="","待开奖",IF(ISNUMBER(SEARCH(I580,L580)),"命中","未命中")))</f>
        <v/>
      </c>
      <c r="N580" s="19">
        <f>IFERROR(VLOOKUP(VLOOKUP($B580-1,开奖记录!$A:$L,11,FALSE),八肖参数!$A:$B,2,FALSE),"")</f>
        <v/>
      </c>
      <c r="O580" s="19">
        <f>IF(N580="","",IF(I580="","待开奖",IF(ISNUMBER(SEARCH(I580,N580)),"命中","未命中")))</f>
        <v/>
      </c>
    </row>
    <row r="581">
      <c r="A581" s="19" t="n">
        <v>580</v>
      </c>
      <c r="B581" s="19">
        <f>IF(COUNTA(C581:E581)=0,"",B580+1)</f>
        <v/>
      </c>
      <c r="C581" s="19" t="inlineStr"/>
      <c r="D581" s="19" t="n"/>
      <c r="E581" s="19" t="n"/>
      <c r="F581" s="19">
        <f>IF(COUNTA(D581:E581)=0,"",N(D581)-N(E581))</f>
        <v/>
      </c>
      <c r="G581" s="19">
        <f>IFERROR(VLOOKUP($B581,'开奖记录'!$A:$K,2,FALSE),"")</f>
        <v/>
      </c>
      <c r="H581" s="19">
        <f>IFERROR(VLOOKUP($B581,'开奖记录'!$A:$K,9,FALSE),"")</f>
        <v/>
      </c>
      <c r="I581" s="19">
        <f>IFERROR(VLOOKUP($B581,'开奖记录'!$A:$K,11,FALSE),"")</f>
        <v/>
      </c>
      <c r="J581" s="19">
        <f>IF($B581="","",IF(ISNUMBER($D581),"命中",IF(ISNUMBER($E581),"未命中","")))</f>
        <v/>
      </c>
      <c r="K581" s="19" t="inlineStr"/>
      <c r="L581" s="19">
        <f>IFERROR(TEXT(VLOOKUP($B581-1,开奖记录!$A:$L,3,FALSE),"00")&amp;"+5="&amp;VLOOKUP(MOD(VLOOKUP($B581-1,开奖记录!$A:$L,3,FALSE)+4,49)+1,规律参数!$A:$C,3,FALSE),"")</f>
        <v/>
      </c>
      <c r="M581" s="19">
        <f>IF(L581="","",IF(I581="","待开奖",IF(ISNUMBER(SEARCH(I581,L581)),"命中","未命中")))</f>
        <v/>
      </c>
      <c r="N581" s="19">
        <f>IFERROR(VLOOKUP(VLOOKUP($B581-1,开奖记录!$A:$L,11,FALSE),八肖参数!$A:$B,2,FALSE),"")</f>
        <v/>
      </c>
      <c r="O581" s="19">
        <f>IF(N581="","",IF(I581="","待开奖",IF(ISNUMBER(SEARCH(I581,N581)),"命中","未命中")))</f>
        <v/>
      </c>
    </row>
    <row r="582">
      <c r="A582" s="19" t="n">
        <v>581</v>
      </c>
      <c r="B582" s="19">
        <f>IF(COUNTA(C582:E582)=0,"",B581+1)</f>
        <v/>
      </c>
      <c r="C582" s="19" t="inlineStr"/>
      <c r="D582" s="19" t="n"/>
      <c r="E582" s="19" t="n"/>
      <c r="F582" s="19">
        <f>IF(COUNTA(D582:E582)=0,"",N(D582)-N(E582))</f>
        <v/>
      </c>
      <c r="G582" s="19">
        <f>IFERROR(VLOOKUP($B582,'开奖记录'!$A:$K,2,FALSE),"")</f>
        <v/>
      </c>
      <c r="H582" s="19">
        <f>IFERROR(VLOOKUP($B582,'开奖记录'!$A:$K,9,FALSE),"")</f>
        <v/>
      </c>
      <c r="I582" s="19">
        <f>IFERROR(VLOOKUP($B582,'开奖记录'!$A:$K,11,FALSE),"")</f>
        <v/>
      </c>
      <c r="J582" s="19">
        <f>IF($B582="","",IF(ISNUMBER($D582),"命中",IF(ISNUMBER($E582),"未命中","")))</f>
        <v/>
      </c>
      <c r="K582" s="19" t="inlineStr"/>
      <c r="L582" s="19">
        <f>IFERROR(TEXT(VLOOKUP($B582-1,开奖记录!$A:$L,3,FALSE),"00")&amp;"+5="&amp;VLOOKUP(MOD(VLOOKUP($B582-1,开奖记录!$A:$L,3,FALSE)+4,49)+1,规律参数!$A:$C,3,FALSE),"")</f>
        <v/>
      </c>
      <c r="M582" s="19">
        <f>IF(L582="","",IF(I582="","待开奖",IF(ISNUMBER(SEARCH(I582,L582)),"命中","未命中")))</f>
        <v/>
      </c>
      <c r="N582" s="19">
        <f>IFERROR(VLOOKUP(VLOOKUP($B582-1,开奖记录!$A:$L,11,FALSE),八肖参数!$A:$B,2,FALSE),"")</f>
        <v/>
      </c>
      <c r="O582" s="19">
        <f>IF(N582="","",IF(I582="","待开奖",IF(ISNUMBER(SEARCH(I582,N582)),"命中","未命中")))</f>
        <v/>
      </c>
    </row>
    <row r="583">
      <c r="A583" s="19" t="n">
        <v>582</v>
      </c>
      <c r="B583" s="19">
        <f>IF(COUNTA(C583:E583)=0,"",B582+1)</f>
        <v/>
      </c>
      <c r="C583" s="19" t="inlineStr"/>
      <c r="D583" s="19" t="n"/>
      <c r="E583" s="19" t="n"/>
      <c r="F583" s="19">
        <f>IF(COUNTA(D583:E583)=0,"",N(D583)-N(E583))</f>
        <v/>
      </c>
      <c r="G583" s="19">
        <f>IFERROR(VLOOKUP($B583,'开奖记录'!$A:$K,2,FALSE),"")</f>
        <v/>
      </c>
      <c r="H583" s="19">
        <f>IFERROR(VLOOKUP($B583,'开奖记录'!$A:$K,9,FALSE),"")</f>
        <v/>
      </c>
      <c r="I583" s="19">
        <f>IFERROR(VLOOKUP($B583,'开奖记录'!$A:$K,11,FALSE),"")</f>
        <v/>
      </c>
      <c r="J583" s="19">
        <f>IF($B583="","",IF(ISNUMBER($D583),"命中",IF(ISNUMBER($E583),"未命中","")))</f>
        <v/>
      </c>
      <c r="K583" s="19" t="inlineStr"/>
      <c r="L583" s="19">
        <f>IFERROR(TEXT(VLOOKUP($B583-1,开奖记录!$A:$L,3,FALSE),"00")&amp;"+5="&amp;VLOOKUP(MOD(VLOOKUP($B583-1,开奖记录!$A:$L,3,FALSE)+4,49)+1,规律参数!$A:$C,3,FALSE),"")</f>
        <v/>
      </c>
      <c r="M583" s="19">
        <f>IF(L583="","",IF(I583="","待开奖",IF(ISNUMBER(SEARCH(I583,L583)),"命中","未命中")))</f>
        <v/>
      </c>
      <c r="N583" s="19">
        <f>IFERROR(VLOOKUP(VLOOKUP($B583-1,开奖记录!$A:$L,11,FALSE),八肖参数!$A:$B,2,FALSE),"")</f>
        <v/>
      </c>
      <c r="O583" s="19">
        <f>IF(N583="","",IF(I583="","待开奖",IF(ISNUMBER(SEARCH(I583,N583)),"命中","未命中")))</f>
        <v/>
      </c>
    </row>
    <row r="584">
      <c r="A584" s="19" t="n">
        <v>583</v>
      </c>
      <c r="B584" s="19">
        <f>IF(COUNTA(C584:E584)=0,"",B583+1)</f>
        <v/>
      </c>
      <c r="C584" s="19" t="inlineStr"/>
      <c r="D584" s="19" t="n"/>
      <c r="E584" s="19" t="n"/>
      <c r="F584" s="19">
        <f>IF(COUNTA(D584:E584)=0,"",N(D584)-N(E584))</f>
        <v/>
      </c>
      <c r="G584" s="19">
        <f>IFERROR(VLOOKUP($B584,'开奖记录'!$A:$K,2,FALSE),"")</f>
        <v/>
      </c>
      <c r="H584" s="19">
        <f>IFERROR(VLOOKUP($B584,'开奖记录'!$A:$K,9,FALSE),"")</f>
        <v/>
      </c>
      <c r="I584" s="19">
        <f>IFERROR(VLOOKUP($B584,'开奖记录'!$A:$K,11,FALSE),"")</f>
        <v/>
      </c>
      <c r="J584" s="19">
        <f>IF($B584="","",IF(ISNUMBER($D584),"命中",IF(ISNUMBER($E584),"未命中","")))</f>
        <v/>
      </c>
      <c r="K584" s="19" t="inlineStr"/>
      <c r="L584" s="19">
        <f>IFERROR(TEXT(VLOOKUP($B584-1,开奖记录!$A:$L,3,FALSE),"00")&amp;"+5="&amp;VLOOKUP(MOD(VLOOKUP($B584-1,开奖记录!$A:$L,3,FALSE)+4,49)+1,规律参数!$A:$C,3,FALSE),"")</f>
        <v/>
      </c>
      <c r="M584" s="19">
        <f>IF(L584="","",IF(I584="","待开奖",IF(ISNUMBER(SEARCH(I584,L584)),"命中","未命中")))</f>
        <v/>
      </c>
      <c r="N584" s="19">
        <f>IFERROR(VLOOKUP(VLOOKUP($B584-1,开奖记录!$A:$L,11,FALSE),八肖参数!$A:$B,2,FALSE),"")</f>
        <v/>
      </c>
      <c r="O584" s="19">
        <f>IF(N584="","",IF(I584="","待开奖",IF(ISNUMBER(SEARCH(I584,N584)),"命中","未命中")))</f>
        <v/>
      </c>
    </row>
    <row r="585">
      <c r="A585" s="19" t="n">
        <v>584</v>
      </c>
      <c r="B585" s="19">
        <f>IF(COUNTA(C585:E585)=0,"",B584+1)</f>
        <v/>
      </c>
      <c r="C585" s="19" t="inlineStr"/>
      <c r="D585" s="19" t="n"/>
      <c r="E585" s="19" t="n"/>
      <c r="F585" s="19">
        <f>IF(COUNTA(D585:E585)=0,"",N(D585)-N(E585))</f>
        <v/>
      </c>
      <c r="G585" s="19">
        <f>IFERROR(VLOOKUP($B585,'开奖记录'!$A:$K,2,FALSE),"")</f>
        <v/>
      </c>
      <c r="H585" s="19">
        <f>IFERROR(VLOOKUP($B585,'开奖记录'!$A:$K,9,FALSE),"")</f>
        <v/>
      </c>
      <c r="I585" s="19">
        <f>IFERROR(VLOOKUP($B585,'开奖记录'!$A:$K,11,FALSE),"")</f>
        <v/>
      </c>
      <c r="J585" s="19">
        <f>IF($B585="","",IF(ISNUMBER($D585),"命中",IF(ISNUMBER($E585),"未命中","")))</f>
        <v/>
      </c>
      <c r="K585" s="19" t="inlineStr"/>
      <c r="L585" s="19">
        <f>IFERROR(TEXT(VLOOKUP($B585-1,开奖记录!$A:$L,3,FALSE),"00")&amp;"+5="&amp;VLOOKUP(MOD(VLOOKUP($B585-1,开奖记录!$A:$L,3,FALSE)+4,49)+1,规律参数!$A:$C,3,FALSE),"")</f>
        <v/>
      </c>
      <c r="M585" s="19">
        <f>IF(L585="","",IF(I585="","待开奖",IF(ISNUMBER(SEARCH(I585,L585)),"命中","未命中")))</f>
        <v/>
      </c>
      <c r="N585" s="19">
        <f>IFERROR(VLOOKUP(VLOOKUP($B585-1,开奖记录!$A:$L,11,FALSE),八肖参数!$A:$B,2,FALSE),"")</f>
        <v/>
      </c>
      <c r="O585" s="19">
        <f>IF(N585="","",IF(I585="","待开奖",IF(ISNUMBER(SEARCH(I585,N585)),"命中","未命中")))</f>
        <v/>
      </c>
    </row>
    <row r="586">
      <c r="A586" s="19" t="n">
        <v>585</v>
      </c>
      <c r="B586" s="19">
        <f>IF(COUNTA(C586:E586)=0,"",B585+1)</f>
        <v/>
      </c>
      <c r="C586" s="19" t="inlineStr"/>
      <c r="D586" s="19" t="n"/>
      <c r="E586" s="19" t="n"/>
      <c r="F586" s="19">
        <f>IF(COUNTA(D586:E586)=0,"",N(D586)-N(E586))</f>
        <v/>
      </c>
      <c r="G586" s="19">
        <f>IFERROR(VLOOKUP($B586,'开奖记录'!$A:$K,2,FALSE),"")</f>
        <v/>
      </c>
      <c r="H586" s="19">
        <f>IFERROR(VLOOKUP($B586,'开奖记录'!$A:$K,9,FALSE),"")</f>
        <v/>
      </c>
      <c r="I586" s="19">
        <f>IFERROR(VLOOKUP($B586,'开奖记录'!$A:$K,11,FALSE),"")</f>
        <v/>
      </c>
      <c r="J586" s="19">
        <f>IF($B586="","",IF(ISNUMBER($D586),"命中",IF(ISNUMBER($E586),"未命中","")))</f>
        <v/>
      </c>
      <c r="K586" s="19" t="inlineStr"/>
      <c r="L586" s="19">
        <f>IFERROR(TEXT(VLOOKUP($B586-1,开奖记录!$A:$L,3,FALSE),"00")&amp;"+5="&amp;VLOOKUP(MOD(VLOOKUP($B586-1,开奖记录!$A:$L,3,FALSE)+4,49)+1,规律参数!$A:$C,3,FALSE),"")</f>
        <v/>
      </c>
      <c r="M586" s="19">
        <f>IF(L586="","",IF(I586="","待开奖",IF(ISNUMBER(SEARCH(I586,L586)),"命中","未命中")))</f>
        <v/>
      </c>
      <c r="N586" s="19">
        <f>IFERROR(VLOOKUP(VLOOKUP($B586-1,开奖记录!$A:$L,11,FALSE),八肖参数!$A:$B,2,FALSE),"")</f>
        <v/>
      </c>
      <c r="O586" s="19">
        <f>IF(N586="","",IF(I586="","待开奖",IF(ISNUMBER(SEARCH(I586,N586)),"命中","未命中")))</f>
        <v/>
      </c>
    </row>
    <row r="587">
      <c r="A587" s="19" t="n">
        <v>586</v>
      </c>
      <c r="B587" s="19">
        <f>IF(COUNTA(C587:E587)=0,"",B586+1)</f>
        <v/>
      </c>
      <c r="C587" s="19" t="inlineStr"/>
      <c r="D587" s="19" t="n"/>
      <c r="E587" s="19" t="n"/>
      <c r="F587" s="19">
        <f>IF(COUNTA(D587:E587)=0,"",N(D587)-N(E587))</f>
        <v/>
      </c>
      <c r="G587" s="19">
        <f>IFERROR(VLOOKUP($B587,'开奖记录'!$A:$K,2,FALSE),"")</f>
        <v/>
      </c>
      <c r="H587" s="19">
        <f>IFERROR(VLOOKUP($B587,'开奖记录'!$A:$K,9,FALSE),"")</f>
        <v/>
      </c>
      <c r="I587" s="19">
        <f>IFERROR(VLOOKUP($B587,'开奖记录'!$A:$K,11,FALSE),"")</f>
        <v/>
      </c>
      <c r="J587" s="19">
        <f>IF($B587="","",IF(ISNUMBER($D587),"命中",IF(ISNUMBER($E587),"未命中","")))</f>
        <v/>
      </c>
      <c r="K587" s="19" t="inlineStr"/>
      <c r="L587" s="19">
        <f>IFERROR(TEXT(VLOOKUP($B587-1,开奖记录!$A:$L,3,FALSE),"00")&amp;"+5="&amp;VLOOKUP(MOD(VLOOKUP($B587-1,开奖记录!$A:$L,3,FALSE)+4,49)+1,规律参数!$A:$C,3,FALSE),"")</f>
        <v/>
      </c>
      <c r="M587" s="19">
        <f>IF(L587="","",IF(I587="","待开奖",IF(ISNUMBER(SEARCH(I587,L587)),"命中","未命中")))</f>
        <v/>
      </c>
      <c r="N587" s="19">
        <f>IFERROR(VLOOKUP(VLOOKUP($B587-1,开奖记录!$A:$L,11,FALSE),八肖参数!$A:$B,2,FALSE),"")</f>
        <v/>
      </c>
      <c r="O587" s="19">
        <f>IF(N587="","",IF(I587="","待开奖",IF(ISNUMBER(SEARCH(I587,N587)),"命中","未命中")))</f>
        <v/>
      </c>
    </row>
    <row r="588">
      <c r="A588" s="19" t="n">
        <v>587</v>
      </c>
      <c r="B588" s="19">
        <f>IF(COUNTA(C588:E588)=0,"",B587+1)</f>
        <v/>
      </c>
      <c r="C588" s="19" t="inlineStr"/>
      <c r="D588" s="19" t="n"/>
      <c r="E588" s="19" t="n"/>
      <c r="F588" s="19">
        <f>IF(COUNTA(D588:E588)=0,"",N(D588)-N(E588))</f>
        <v/>
      </c>
      <c r="G588" s="19">
        <f>IFERROR(VLOOKUP($B588,'开奖记录'!$A:$K,2,FALSE),"")</f>
        <v/>
      </c>
      <c r="H588" s="19">
        <f>IFERROR(VLOOKUP($B588,'开奖记录'!$A:$K,9,FALSE),"")</f>
        <v/>
      </c>
      <c r="I588" s="19">
        <f>IFERROR(VLOOKUP($B588,'开奖记录'!$A:$K,11,FALSE),"")</f>
        <v/>
      </c>
      <c r="J588" s="19">
        <f>IF($B588="","",IF(ISNUMBER($D588),"命中",IF(ISNUMBER($E588),"未命中","")))</f>
        <v/>
      </c>
      <c r="K588" s="19" t="inlineStr"/>
      <c r="L588" s="19">
        <f>IFERROR(TEXT(VLOOKUP($B588-1,开奖记录!$A:$L,3,FALSE),"00")&amp;"+5="&amp;VLOOKUP(MOD(VLOOKUP($B588-1,开奖记录!$A:$L,3,FALSE)+4,49)+1,规律参数!$A:$C,3,FALSE),"")</f>
        <v/>
      </c>
      <c r="M588" s="19">
        <f>IF(L588="","",IF(I588="","待开奖",IF(ISNUMBER(SEARCH(I588,L588)),"命中","未命中")))</f>
        <v/>
      </c>
      <c r="N588" s="19">
        <f>IFERROR(VLOOKUP(VLOOKUP($B588-1,开奖记录!$A:$L,11,FALSE),八肖参数!$A:$B,2,FALSE),"")</f>
        <v/>
      </c>
      <c r="O588" s="19">
        <f>IF(N588="","",IF(I588="","待开奖",IF(ISNUMBER(SEARCH(I588,N588)),"命中","未命中")))</f>
        <v/>
      </c>
    </row>
    <row r="589">
      <c r="A589" s="19" t="n">
        <v>588</v>
      </c>
      <c r="B589" s="19">
        <f>IF(COUNTA(C589:E589)=0,"",B588+1)</f>
        <v/>
      </c>
      <c r="C589" s="19" t="inlineStr"/>
      <c r="D589" s="19" t="n"/>
      <c r="E589" s="19" t="n"/>
      <c r="F589" s="19">
        <f>IF(COUNTA(D589:E589)=0,"",N(D589)-N(E589))</f>
        <v/>
      </c>
      <c r="G589" s="19">
        <f>IFERROR(VLOOKUP($B589,'开奖记录'!$A:$K,2,FALSE),"")</f>
        <v/>
      </c>
      <c r="H589" s="19">
        <f>IFERROR(VLOOKUP($B589,'开奖记录'!$A:$K,9,FALSE),"")</f>
        <v/>
      </c>
      <c r="I589" s="19">
        <f>IFERROR(VLOOKUP($B589,'开奖记录'!$A:$K,11,FALSE),"")</f>
        <v/>
      </c>
      <c r="J589" s="19">
        <f>IF($B589="","",IF(ISNUMBER($D589),"命中",IF(ISNUMBER($E589),"未命中","")))</f>
        <v/>
      </c>
      <c r="K589" s="19" t="inlineStr"/>
      <c r="L589" s="19">
        <f>IFERROR(TEXT(VLOOKUP($B589-1,开奖记录!$A:$L,3,FALSE),"00")&amp;"+5="&amp;VLOOKUP(MOD(VLOOKUP($B589-1,开奖记录!$A:$L,3,FALSE)+4,49)+1,规律参数!$A:$C,3,FALSE),"")</f>
        <v/>
      </c>
      <c r="M589" s="19">
        <f>IF(L589="","",IF(I589="","待开奖",IF(ISNUMBER(SEARCH(I589,L589)),"命中","未命中")))</f>
        <v/>
      </c>
      <c r="N589" s="19">
        <f>IFERROR(VLOOKUP(VLOOKUP($B589-1,开奖记录!$A:$L,11,FALSE),八肖参数!$A:$B,2,FALSE),"")</f>
        <v/>
      </c>
      <c r="O589" s="19">
        <f>IF(N589="","",IF(I589="","待开奖",IF(ISNUMBER(SEARCH(I589,N589)),"命中","未命中")))</f>
        <v/>
      </c>
    </row>
    <row r="590">
      <c r="A590" s="19" t="n">
        <v>589</v>
      </c>
      <c r="B590" s="19">
        <f>IF(COUNTA(C590:E590)=0,"",B589+1)</f>
        <v/>
      </c>
      <c r="C590" s="19" t="inlineStr"/>
      <c r="D590" s="19" t="n"/>
      <c r="E590" s="19" t="n"/>
      <c r="F590" s="19">
        <f>IF(COUNTA(D590:E590)=0,"",N(D590)-N(E590))</f>
        <v/>
      </c>
      <c r="G590" s="19">
        <f>IFERROR(VLOOKUP($B590,'开奖记录'!$A:$K,2,FALSE),"")</f>
        <v/>
      </c>
      <c r="H590" s="19">
        <f>IFERROR(VLOOKUP($B590,'开奖记录'!$A:$K,9,FALSE),"")</f>
        <v/>
      </c>
      <c r="I590" s="19">
        <f>IFERROR(VLOOKUP($B590,'开奖记录'!$A:$K,11,FALSE),"")</f>
        <v/>
      </c>
      <c r="J590" s="19">
        <f>IF($B590="","",IF(ISNUMBER($D590),"命中",IF(ISNUMBER($E590),"未命中","")))</f>
        <v/>
      </c>
      <c r="K590" s="19" t="inlineStr"/>
      <c r="L590" s="19">
        <f>IFERROR(TEXT(VLOOKUP($B590-1,开奖记录!$A:$L,3,FALSE),"00")&amp;"+5="&amp;VLOOKUP(MOD(VLOOKUP($B590-1,开奖记录!$A:$L,3,FALSE)+4,49)+1,规律参数!$A:$C,3,FALSE),"")</f>
        <v/>
      </c>
      <c r="M590" s="19">
        <f>IF(L590="","",IF(I590="","待开奖",IF(ISNUMBER(SEARCH(I590,L590)),"命中","未命中")))</f>
        <v/>
      </c>
      <c r="N590" s="19">
        <f>IFERROR(VLOOKUP(VLOOKUP($B590-1,开奖记录!$A:$L,11,FALSE),八肖参数!$A:$B,2,FALSE),"")</f>
        <v/>
      </c>
      <c r="O590" s="19">
        <f>IF(N590="","",IF(I590="","待开奖",IF(ISNUMBER(SEARCH(I590,N590)),"命中","未命中")))</f>
        <v/>
      </c>
    </row>
    <row r="591">
      <c r="A591" s="19" t="n">
        <v>590</v>
      </c>
      <c r="B591" s="19">
        <f>IF(COUNTA(C591:E591)=0,"",B590+1)</f>
        <v/>
      </c>
      <c r="C591" s="19" t="inlineStr"/>
      <c r="D591" s="19" t="n"/>
      <c r="E591" s="19" t="n"/>
      <c r="F591" s="19">
        <f>IF(COUNTA(D591:E591)=0,"",N(D591)-N(E591))</f>
        <v/>
      </c>
      <c r="G591" s="19">
        <f>IFERROR(VLOOKUP($B591,'开奖记录'!$A:$K,2,FALSE),"")</f>
        <v/>
      </c>
      <c r="H591" s="19">
        <f>IFERROR(VLOOKUP($B591,'开奖记录'!$A:$K,9,FALSE),"")</f>
        <v/>
      </c>
      <c r="I591" s="19">
        <f>IFERROR(VLOOKUP($B591,'开奖记录'!$A:$K,11,FALSE),"")</f>
        <v/>
      </c>
      <c r="J591" s="19">
        <f>IF($B591="","",IF(ISNUMBER($D591),"命中",IF(ISNUMBER($E591),"未命中","")))</f>
        <v/>
      </c>
      <c r="K591" s="19" t="inlineStr"/>
      <c r="L591" s="19">
        <f>IFERROR(TEXT(VLOOKUP($B591-1,开奖记录!$A:$L,3,FALSE),"00")&amp;"+5="&amp;VLOOKUP(MOD(VLOOKUP($B591-1,开奖记录!$A:$L,3,FALSE)+4,49)+1,规律参数!$A:$C,3,FALSE),"")</f>
        <v/>
      </c>
      <c r="M591" s="19">
        <f>IF(L591="","",IF(I591="","待开奖",IF(ISNUMBER(SEARCH(I591,L591)),"命中","未命中")))</f>
        <v/>
      </c>
      <c r="N591" s="19">
        <f>IFERROR(VLOOKUP(VLOOKUP($B591-1,开奖记录!$A:$L,11,FALSE),八肖参数!$A:$B,2,FALSE),"")</f>
        <v/>
      </c>
      <c r="O591" s="19">
        <f>IF(N591="","",IF(I591="","待开奖",IF(ISNUMBER(SEARCH(I591,N591)),"命中","未命中")))</f>
        <v/>
      </c>
    </row>
    <row r="592">
      <c r="A592" s="19" t="n">
        <v>591</v>
      </c>
      <c r="B592" s="19">
        <f>IF(COUNTA(C592:E592)=0,"",B591+1)</f>
        <v/>
      </c>
      <c r="C592" s="19" t="inlineStr"/>
      <c r="D592" s="19" t="n"/>
      <c r="E592" s="19" t="n"/>
      <c r="F592" s="19">
        <f>IF(COUNTA(D592:E592)=0,"",N(D592)-N(E592))</f>
        <v/>
      </c>
      <c r="G592" s="19">
        <f>IFERROR(VLOOKUP($B592,'开奖记录'!$A:$K,2,FALSE),"")</f>
        <v/>
      </c>
      <c r="H592" s="19">
        <f>IFERROR(VLOOKUP($B592,'开奖记录'!$A:$K,9,FALSE),"")</f>
        <v/>
      </c>
      <c r="I592" s="19">
        <f>IFERROR(VLOOKUP($B592,'开奖记录'!$A:$K,11,FALSE),"")</f>
        <v/>
      </c>
      <c r="J592" s="19">
        <f>IF($B592="","",IF(ISNUMBER($D592),"命中",IF(ISNUMBER($E592),"未命中","")))</f>
        <v/>
      </c>
      <c r="K592" s="19" t="inlineStr"/>
      <c r="L592" s="19">
        <f>IFERROR(TEXT(VLOOKUP($B592-1,开奖记录!$A:$L,3,FALSE),"00")&amp;"+5="&amp;VLOOKUP(MOD(VLOOKUP($B592-1,开奖记录!$A:$L,3,FALSE)+4,49)+1,规律参数!$A:$C,3,FALSE),"")</f>
        <v/>
      </c>
      <c r="M592" s="19">
        <f>IF(L592="","",IF(I592="","待开奖",IF(ISNUMBER(SEARCH(I592,L592)),"命中","未命中")))</f>
        <v/>
      </c>
      <c r="N592" s="19">
        <f>IFERROR(VLOOKUP(VLOOKUP($B592-1,开奖记录!$A:$L,11,FALSE),八肖参数!$A:$B,2,FALSE),"")</f>
        <v/>
      </c>
      <c r="O592" s="19">
        <f>IF(N592="","",IF(I592="","待开奖",IF(ISNUMBER(SEARCH(I592,N592)),"命中","未命中")))</f>
        <v/>
      </c>
    </row>
    <row r="593">
      <c r="A593" s="19" t="n">
        <v>592</v>
      </c>
      <c r="B593" s="19">
        <f>IF(COUNTA(C593:E593)=0,"",B592+1)</f>
        <v/>
      </c>
      <c r="C593" s="19" t="inlineStr"/>
      <c r="D593" s="19" t="n"/>
      <c r="E593" s="19" t="n"/>
      <c r="F593" s="19">
        <f>IF(COUNTA(D593:E593)=0,"",N(D593)-N(E593))</f>
        <v/>
      </c>
      <c r="G593" s="19">
        <f>IFERROR(VLOOKUP($B593,'开奖记录'!$A:$K,2,FALSE),"")</f>
        <v/>
      </c>
      <c r="H593" s="19">
        <f>IFERROR(VLOOKUP($B593,'开奖记录'!$A:$K,9,FALSE),"")</f>
        <v/>
      </c>
      <c r="I593" s="19">
        <f>IFERROR(VLOOKUP($B593,'开奖记录'!$A:$K,11,FALSE),"")</f>
        <v/>
      </c>
      <c r="J593" s="19">
        <f>IF($B593="","",IF(ISNUMBER($D593),"命中",IF(ISNUMBER($E593),"未命中","")))</f>
        <v/>
      </c>
      <c r="K593" s="19" t="inlineStr"/>
      <c r="L593" s="19">
        <f>IFERROR(TEXT(VLOOKUP($B593-1,开奖记录!$A:$L,3,FALSE),"00")&amp;"+5="&amp;VLOOKUP(MOD(VLOOKUP($B593-1,开奖记录!$A:$L,3,FALSE)+4,49)+1,规律参数!$A:$C,3,FALSE),"")</f>
        <v/>
      </c>
      <c r="M593" s="19">
        <f>IF(L593="","",IF(I593="","待开奖",IF(ISNUMBER(SEARCH(I593,L593)),"命中","未命中")))</f>
        <v/>
      </c>
      <c r="N593" s="19">
        <f>IFERROR(VLOOKUP(VLOOKUP($B593-1,开奖记录!$A:$L,11,FALSE),八肖参数!$A:$B,2,FALSE),"")</f>
        <v/>
      </c>
      <c r="O593" s="19">
        <f>IF(N593="","",IF(I593="","待开奖",IF(ISNUMBER(SEARCH(I593,N593)),"命中","未命中")))</f>
        <v/>
      </c>
    </row>
    <row r="594">
      <c r="A594" s="19" t="n">
        <v>593</v>
      </c>
      <c r="B594" s="19">
        <f>IF(COUNTA(C594:E594)=0,"",B593+1)</f>
        <v/>
      </c>
      <c r="C594" s="19" t="inlineStr"/>
      <c r="D594" s="19" t="n"/>
      <c r="E594" s="19" t="n"/>
      <c r="F594" s="19">
        <f>IF(COUNTA(D594:E594)=0,"",N(D594)-N(E594))</f>
        <v/>
      </c>
      <c r="G594" s="19">
        <f>IFERROR(VLOOKUP($B594,'开奖记录'!$A:$K,2,FALSE),"")</f>
        <v/>
      </c>
      <c r="H594" s="19">
        <f>IFERROR(VLOOKUP($B594,'开奖记录'!$A:$K,9,FALSE),"")</f>
        <v/>
      </c>
      <c r="I594" s="19">
        <f>IFERROR(VLOOKUP($B594,'开奖记录'!$A:$K,11,FALSE),"")</f>
        <v/>
      </c>
      <c r="J594" s="19">
        <f>IF($B594="","",IF(ISNUMBER($D594),"命中",IF(ISNUMBER($E594),"未命中","")))</f>
        <v/>
      </c>
      <c r="K594" s="19" t="inlineStr"/>
      <c r="L594" s="19">
        <f>IFERROR(TEXT(VLOOKUP($B594-1,开奖记录!$A:$L,3,FALSE),"00")&amp;"+5="&amp;VLOOKUP(MOD(VLOOKUP($B594-1,开奖记录!$A:$L,3,FALSE)+4,49)+1,规律参数!$A:$C,3,FALSE),"")</f>
        <v/>
      </c>
      <c r="M594" s="19">
        <f>IF(L594="","",IF(I594="","待开奖",IF(ISNUMBER(SEARCH(I594,L594)),"命中","未命中")))</f>
        <v/>
      </c>
      <c r="N594" s="19">
        <f>IFERROR(VLOOKUP(VLOOKUP($B594-1,开奖记录!$A:$L,11,FALSE),八肖参数!$A:$B,2,FALSE),"")</f>
        <v/>
      </c>
      <c r="O594" s="19">
        <f>IF(N594="","",IF(I594="","待开奖",IF(ISNUMBER(SEARCH(I594,N594)),"命中","未命中")))</f>
        <v/>
      </c>
    </row>
    <row r="595">
      <c r="A595" s="19" t="n">
        <v>594</v>
      </c>
      <c r="B595" s="19">
        <f>IF(COUNTA(C595:E595)=0,"",B594+1)</f>
        <v/>
      </c>
      <c r="C595" s="19" t="inlineStr"/>
      <c r="D595" s="19" t="n"/>
      <c r="E595" s="19" t="n"/>
      <c r="F595" s="19">
        <f>IF(COUNTA(D595:E595)=0,"",N(D595)-N(E595))</f>
        <v/>
      </c>
      <c r="G595" s="19">
        <f>IFERROR(VLOOKUP($B595,'开奖记录'!$A:$K,2,FALSE),"")</f>
        <v/>
      </c>
      <c r="H595" s="19">
        <f>IFERROR(VLOOKUP($B595,'开奖记录'!$A:$K,9,FALSE),"")</f>
        <v/>
      </c>
      <c r="I595" s="19">
        <f>IFERROR(VLOOKUP($B595,'开奖记录'!$A:$K,11,FALSE),"")</f>
        <v/>
      </c>
      <c r="J595" s="19">
        <f>IF($B595="","",IF(ISNUMBER($D595),"命中",IF(ISNUMBER($E595),"未命中","")))</f>
        <v/>
      </c>
      <c r="K595" s="19" t="inlineStr"/>
      <c r="L595" s="19">
        <f>IFERROR(TEXT(VLOOKUP($B595-1,开奖记录!$A:$L,3,FALSE),"00")&amp;"+5="&amp;VLOOKUP(MOD(VLOOKUP($B595-1,开奖记录!$A:$L,3,FALSE)+4,49)+1,规律参数!$A:$C,3,FALSE),"")</f>
        <v/>
      </c>
      <c r="M595" s="19">
        <f>IF(L595="","",IF(I595="","待开奖",IF(ISNUMBER(SEARCH(I595,L595)),"命中","未命中")))</f>
        <v/>
      </c>
      <c r="N595" s="19">
        <f>IFERROR(VLOOKUP(VLOOKUP($B595-1,开奖记录!$A:$L,11,FALSE),八肖参数!$A:$B,2,FALSE),"")</f>
        <v/>
      </c>
      <c r="O595" s="19">
        <f>IF(N595="","",IF(I595="","待开奖",IF(ISNUMBER(SEARCH(I595,N595)),"命中","未命中")))</f>
        <v/>
      </c>
    </row>
    <row r="596">
      <c r="A596" s="19" t="n">
        <v>595</v>
      </c>
      <c r="B596" s="19">
        <f>IF(COUNTA(C596:E596)=0,"",B595+1)</f>
        <v/>
      </c>
      <c r="C596" s="19" t="inlineStr"/>
      <c r="D596" s="19" t="n"/>
      <c r="E596" s="19" t="n"/>
      <c r="F596" s="19">
        <f>IF(COUNTA(D596:E596)=0,"",N(D596)-N(E596))</f>
        <v/>
      </c>
      <c r="G596" s="19">
        <f>IFERROR(VLOOKUP($B596,'开奖记录'!$A:$K,2,FALSE),"")</f>
        <v/>
      </c>
      <c r="H596" s="19">
        <f>IFERROR(VLOOKUP($B596,'开奖记录'!$A:$K,9,FALSE),"")</f>
        <v/>
      </c>
      <c r="I596" s="19">
        <f>IFERROR(VLOOKUP($B596,'开奖记录'!$A:$K,11,FALSE),"")</f>
        <v/>
      </c>
      <c r="J596" s="19">
        <f>IF($B596="","",IF(ISNUMBER($D596),"命中",IF(ISNUMBER($E596),"未命中","")))</f>
        <v/>
      </c>
      <c r="K596" s="19" t="inlineStr"/>
      <c r="L596" s="19">
        <f>IFERROR(TEXT(VLOOKUP($B596-1,开奖记录!$A:$L,3,FALSE),"00")&amp;"+5="&amp;VLOOKUP(MOD(VLOOKUP($B596-1,开奖记录!$A:$L,3,FALSE)+4,49)+1,规律参数!$A:$C,3,FALSE),"")</f>
        <v/>
      </c>
      <c r="M596" s="19">
        <f>IF(L596="","",IF(I596="","待开奖",IF(ISNUMBER(SEARCH(I596,L596)),"命中","未命中")))</f>
        <v/>
      </c>
      <c r="N596" s="19">
        <f>IFERROR(VLOOKUP(VLOOKUP($B596-1,开奖记录!$A:$L,11,FALSE),八肖参数!$A:$B,2,FALSE),"")</f>
        <v/>
      </c>
      <c r="O596" s="19">
        <f>IF(N596="","",IF(I596="","待开奖",IF(ISNUMBER(SEARCH(I596,N596)),"命中","未命中")))</f>
        <v/>
      </c>
    </row>
    <row r="597">
      <c r="A597" s="19" t="n">
        <v>596</v>
      </c>
      <c r="B597" s="19">
        <f>IF(COUNTA(C597:E597)=0,"",B596+1)</f>
        <v/>
      </c>
      <c r="C597" s="19" t="inlineStr"/>
      <c r="D597" s="19" t="n"/>
      <c r="E597" s="19" t="n"/>
      <c r="F597" s="19">
        <f>IF(COUNTA(D597:E597)=0,"",N(D597)-N(E597))</f>
        <v/>
      </c>
      <c r="G597" s="19">
        <f>IFERROR(VLOOKUP($B597,'开奖记录'!$A:$K,2,FALSE),"")</f>
        <v/>
      </c>
      <c r="H597" s="19">
        <f>IFERROR(VLOOKUP($B597,'开奖记录'!$A:$K,9,FALSE),"")</f>
        <v/>
      </c>
      <c r="I597" s="19">
        <f>IFERROR(VLOOKUP($B597,'开奖记录'!$A:$K,11,FALSE),"")</f>
        <v/>
      </c>
      <c r="J597" s="19">
        <f>IF($B597="","",IF(ISNUMBER($D597),"命中",IF(ISNUMBER($E597),"未命中","")))</f>
        <v/>
      </c>
      <c r="K597" s="19" t="inlineStr"/>
      <c r="L597" s="19">
        <f>IFERROR(TEXT(VLOOKUP($B597-1,开奖记录!$A:$L,3,FALSE),"00")&amp;"+5="&amp;VLOOKUP(MOD(VLOOKUP($B597-1,开奖记录!$A:$L,3,FALSE)+4,49)+1,规律参数!$A:$C,3,FALSE),"")</f>
        <v/>
      </c>
      <c r="M597" s="19">
        <f>IF(L597="","",IF(I597="","待开奖",IF(ISNUMBER(SEARCH(I597,L597)),"命中","未命中")))</f>
        <v/>
      </c>
      <c r="N597" s="19">
        <f>IFERROR(VLOOKUP(VLOOKUP($B597-1,开奖记录!$A:$L,11,FALSE),八肖参数!$A:$B,2,FALSE),"")</f>
        <v/>
      </c>
      <c r="O597" s="19">
        <f>IF(N597="","",IF(I597="","待开奖",IF(ISNUMBER(SEARCH(I597,N597)),"命中","未命中")))</f>
        <v/>
      </c>
    </row>
    <row r="598">
      <c r="A598" s="19" t="n">
        <v>597</v>
      </c>
      <c r="B598" s="19">
        <f>IF(COUNTA(C598:E598)=0,"",B597+1)</f>
        <v/>
      </c>
      <c r="C598" s="19" t="inlineStr"/>
      <c r="D598" s="19" t="n"/>
      <c r="E598" s="19" t="n"/>
      <c r="F598" s="19">
        <f>IF(COUNTA(D598:E598)=0,"",N(D598)-N(E598))</f>
        <v/>
      </c>
      <c r="G598" s="19">
        <f>IFERROR(VLOOKUP($B598,'开奖记录'!$A:$K,2,FALSE),"")</f>
        <v/>
      </c>
      <c r="H598" s="19">
        <f>IFERROR(VLOOKUP($B598,'开奖记录'!$A:$K,9,FALSE),"")</f>
        <v/>
      </c>
      <c r="I598" s="19">
        <f>IFERROR(VLOOKUP($B598,'开奖记录'!$A:$K,11,FALSE),"")</f>
        <v/>
      </c>
      <c r="J598" s="19">
        <f>IF($B598="","",IF(ISNUMBER($D598),"命中",IF(ISNUMBER($E598),"未命中","")))</f>
        <v/>
      </c>
      <c r="K598" s="19" t="inlineStr"/>
      <c r="L598" s="19">
        <f>IFERROR(TEXT(VLOOKUP($B598-1,开奖记录!$A:$L,3,FALSE),"00")&amp;"+5="&amp;VLOOKUP(MOD(VLOOKUP($B598-1,开奖记录!$A:$L,3,FALSE)+4,49)+1,规律参数!$A:$C,3,FALSE),"")</f>
        <v/>
      </c>
      <c r="M598" s="19">
        <f>IF(L598="","",IF(I598="","待开奖",IF(ISNUMBER(SEARCH(I598,L598)),"命中","未命中")))</f>
        <v/>
      </c>
      <c r="N598" s="19">
        <f>IFERROR(VLOOKUP(VLOOKUP($B598-1,开奖记录!$A:$L,11,FALSE),八肖参数!$A:$B,2,FALSE),"")</f>
        <v/>
      </c>
      <c r="O598" s="19">
        <f>IF(N598="","",IF(I598="","待开奖",IF(ISNUMBER(SEARCH(I598,N598)),"命中","未命中")))</f>
        <v/>
      </c>
    </row>
    <row r="599">
      <c r="A599" s="19" t="n">
        <v>598</v>
      </c>
      <c r="B599" s="19">
        <f>IF(COUNTA(C599:E599)=0,"",B598+1)</f>
        <v/>
      </c>
      <c r="C599" s="19" t="inlineStr"/>
      <c r="D599" s="19" t="n"/>
      <c r="E599" s="19" t="n"/>
      <c r="F599" s="19">
        <f>IF(COUNTA(D599:E599)=0,"",N(D599)-N(E599))</f>
        <v/>
      </c>
      <c r="G599" s="19">
        <f>IFERROR(VLOOKUP($B599,'开奖记录'!$A:$K,2,FALSE),"")</f>
        <v/>
      </c>
      <c r="H599" s="19">
        <f>IFERROR(VLOOKUP($B599,'开奖记录'!$A:$K,9,FALSE),"")</f>
        <v/>
      </c>
      <c r="I599" s="19">
        <f>IFERROR(VLOOKUP($B599,'开奖记录'!$A:$K,11,FALSE),"")</f>
        <v/>
      </c>
      <c r="J599" s="19">
        <f>IF($B599="","",IF(ISNUMBER($D599),"命中",IF(ISNUMBER($E599),"未命中","")))</f>
        <v/>
      </c>
      <c r="K599" s="19" t="inlineStr"/>
      <c r="L599" s="19">
        <f>IFERROR(TEXT(VLOOKUP($B599-1,开奖记录!$A:$L,3,FALSE),"00")&amp;"+5="&amp;VLOOKUP(MOD(VLOOKUP($B599-1,开奖记录!$A:$L,3,FALSE)+4,49)+1,规律参数!$A:$C,3,FALSE),"")</f>
        <v/>
      </c>
      <c r="M599" s="19">
        <f>IF(L599="","",IF(I599="","待开奖",IF(ISNUMBER(SEARCH(I599,L599)),"命中","未命中")))</f>
        <v/>
      </c>
      <c r="N599" s="19">
        <f>IFERROR(VLOOKUP(VLOOKUP($B599-1,开奖记录!$A:$L,11,FALSE),八肖参数!$A:$B,2,FALSE),"")</f>
        <v/>
      </c>
      <c r="O599" s="19">
        <f>IF(N599="","",IF(I599="","待开奖",IF(ISNUMBER(SEARCH(I599,N599)),"命中","未命中")))</f>
        <v/>
      </c>
    </row>
    <row r="600">
      <c r="A600" s="19" t="n">
        <v>599</v>
      </c>
      <c r="B600" s="19">
        <f>IF(COUNTA(C600:E600)=0,"",B599+1)</f>
        <v/>
      </c>
      <c r="C600" s="19" t="inlineStr"/>
      <c r="D600" s="19" t="n"/>
      <c r="E600" s="19" t="n"/>
      <c r="F600" s="19">
        <f>IF(COUNTA(D600:E600)=0,"",N(D600)-N(E600))</f>
        <v/>
      </c>
      <c r="G600" s="19">
        <f>IFERROR(VLOOKUP($B600,'开奖记录'!$A:$K,2,FALSE),"")</f>
        <v/>
      </c>
      <c r="H600" s="19">
        <f>IFERROR(VLOOKUP($B600,'开奖记录'!$A:$K,9,FALSE),"")</f>
        <v/>
      </c>
      <c r="I600" s="19">
        <f>IFERROR(VLOOKUP($B600,'开奖记录'!$A:$K,11,FALSE),"")</f>
        <v/>
      </c>
      <c r="J600" s="19">
        <f>IF($B600="","",IF(ISNUMBER($D600),"命中",IF(ISNUMBER($E600),"未命中","")))</f>
        <v/>
      </c>
      <c r="K600" s="19" t="inlineStr"/>
      <c r="L600" s="19">
        <f>IFERROR(TEXT(VLOOKUP($B600-1,开奖记录!$A:$L,3,FALSE),"00")&amp;"+5="&amp;VLOOKUP(MOD(VLOOKUP($B600-1,开奖记录!$A:$L,3,FALSE)+4,49)+1,规律参数!$A:$C,3,FALSE),"")</f>
        <v/>
      </c>
      <c r="M600" s="19">
        <f>IF(L600="","",IF(I600="","待开奖",IF(ISNUMBER(SEARCH(I600,L600)),"命中","未命中")))</f>
        <v/>
      </c>
      <c r="N600" s="19">
        <f>IFERROR(VLOOKUP(VLOOKUP($B600-1,开奖记录!$A:$L,11,FALSE),八肖参数!$A:$B,2,FALSE),"")</f>
        <v/>
      </c>
      <c r="O600" s="19">
        <f>IF(N600="","",IF(I600="","待开奖",IF(ISNUMBER(SEARCH(I600,N600)),"命中","未命中")))</f>
        <v/>
      </c>
    </row>
    <row r="601">
      <c r="A601" s="19" t="n">
        <v>600</v>
      </c>
      <c r="B601" s="19">
        <f>IF(COUNTA(C601:E601)=0,"",B600+1)</f>
        <v/>
      </c>
      <c r="C601" s="19" t="inlineStr"/>
      <c r="D601" s="19" t="n"/>
      <c r="E601" s="19" t="n"/>
      <c r="F601" s="19">
        <f>IF(COUNTA(D601:E601)=0,"",N(D601)-N(E601))</f>
        <v/>
      </c>
      <c r="G601" s="19">
        <f>IFERROR(VLOOKUP($B601,'开奖记录'!$A:$K,2,FALSE),"")</f>
        <v/>
      </c>
      <c r="H601" s="19">
        <f>IFERROR(VLOOKUP($B601,'开奖记录'!$A:$K,9,FALSE),"")</f>
        <v/>
      </c>
      <c r="I601" s="19">
        <f>IFERROR(VLOOKUP($B601,'开奖记录'!$A:$K,11,FALSE),"")</f>
        <v/>
      </c>
      <c r="J601" s="19">
        <f>IF($B601="","",IF(ISNUMBER($D601),"命中",IF(ISNUMBER($E601),"未命中","")))</f>
        <v/>
      </c>
      <c r="K601" s="19" t="inlineStr"/>
      <c r="L601" s="19">
        <f>IFERROR(TEXT(VLOOKUP($B601-1,开奖记录!$A:$L,3,FALSE),"00")&amp;"+5="&amp;VLOOKUP(MOD(VLOOKUP($B601-1,开奖记录!$A:$L,3,FALSE)+4,49)+1,规律参数!$A:$C,3,FALSE),"")</f>
        <v/>
      </c>
      <c r="M601" s="19">
        <f>IF(L601="","",IF(I601="","待开奖",IF(ISNUMBER(SEARCH(I601,L601)),"命中","未命中")))</f>
        <v/>
      </c>
      <c r="N601" s="19">
        <f>IFERROR(VLOOKUP(VLOOKUP($B601-1,开奖记录!$A:$L,11,FALSE),八肖参数!$A:$B,2,FALSE),"")</f>
        <v/>
      </c>
      <c r="O601" s="19">
        <f>IF(N601="","",IF(I601="","待开奖",IF(ISNUMBER(SEARCH(I601,N601)),"命中","未命中")))</f>
        <v/>
      </c>
    </row>
    <row r="602">
      <c r="A602" s="19" t="n">
        <v>601</v>
      </c>
      <c r="B602" s="19">
        <f>IF(COUNTA(C602:E602)=0,"",B601+1)</f>
        <v/>
      </c>
      <c r="C602" s="19" t="inlineStr"/>
      <c r="D602" s="19" t="n"/>
      <c r="E602" s="19" t="n"/>
      <c r="F602" s="19">
        <f>IF(COUNTA(D602:E602)=0,"",N(D602)-N(E602))</f>
        <v/>
      </c>
      <c r="G602" s="19">
        <f>IFERROR(VLOOKUP($B602,'开奖记录'!$A:$K,2,FALSE),"")</f>
        <v/>
      </c>
      <c r="H602" s="19">
        <f>IFERROR(VLOOKUP($B602,'开奖记录'!$A:$K,9,FALSE),"")</f>
        <v/>
      </c>
      <c r="I602" s="19">
        <f>IFERROR(VLOOKUP($B602,'开奖记录'!$A:$K,11,FALSE),"")</f>
        <v/>
      </c>
      <c r="J602" s="19">
        <f>IF($B602="","",IF(ISNUMBER($D602),"命中",IF(ISNUMBER($E602),"未命中","")))</f>
        <v/>
      </c>
      <c r="K602" s="19" t="inlineStr"/>
      <c r="L602" s="19">
        <f>IFERROR(TEXT(VLOOKUP($B602-1,开奖记录!$A:$L,3,FALSE),"00")&amp;"+5="&amp;VLOOKUP(MOD(VLOOKUP($B602-1,开奖记录!$A:$L,3,FALSE)+4,49)+1,规律参数!$A:$C,3,FALSE),"")</f>
        <v/>
      </c>
      <c r="M602" s="19">
        <f>IF(L602="","",IF(I602="","待开奖",IF(ISNUMBER(SEARCH(I602,L602)),"命中","未命中")))</f>
        <v/>
      </c>
      <c r="N602" s="19">
        <f>IFERROR(VLOOKUP(VLOOKUP($B602-1,开奖记录!$A:$L,11,FALSE),八肖参数!$A:$B,2,FALSE),"")</f>
        <v/>
      </c>
      <c r="O602" s="19">
        <f>IF(N602="","",IF(I602="","待开奖",IF(ISNUMBER(SEARCH(I602,N602)),"命中","未命中")))</f>
        <v/>
      </c>
    </row>
    <row r="603">
      <c r="A603" s="19" t="n">
        <v>602</v>
      </c>
      <c r="B603" s="19">
        <f>IF(COUNTA(C603:E603)=0,"",B602+1)</f>
        <v/>
      </c>
      <c r="C603" s="19" t="inlineStr"/>
      <c r="D603" s="19" t="n"/>
      <c r="E603" s="19" t="n"/>
      <c r="F603" s="19">
        <f>IF(COUNTA(D603:E603)=0,"",N(D603)-N(E603))</f>
        <v/>
      </c>
      <c r="G603" s="19">
        <f>IFERROR(VLOOKUP($B603,'开奖记录'!$A:$K,2,FALSE),"")</f>
        <v/>
      </c>
      <c r="H603" s="19">
        <f>IFERROR(VLOOKUP($B603,'开奖记录'!$A:$K,9,FALSE),"")</f>
        <v/>
      </c>
      <c r="I603" s="19">
        <f>IFERROR(VLOOKUP($B603,'开奖记录'!$A:$K,11,FALSE),"")</f>
        <v/>
      </c>
      <c r="J603" s="19">
        <f>IF($B603="","",IF(ISNUMBER($D603),"命中",IF(ISNUMBER($E603),"未命中","")))</f>
        <v/>
      </c>
      <c r="K603" s="19" t="inlineStr"/>
      <c r="L603" s="19">
        <f>IFERROR(TEXT(VLOOKUP($B603-1,开奖记录!$A:$L,3,FALSE),"00")&amp;"+5="&amp;VLOOKUP(MOD(VLOOKUP($B603-1,开奖记录!$A:$L,3,FALSE)+4,49)+1,规律参数!$A:$C,3,FALSE),"")</f>
        <v/>
      </c>
      <c r="M603" s="19">
        <f>IF(L603="","",IF(I603="","待开奖",IF(ISNUMBER(SEARCH(I603,L603)),"命中","未命中")))</f>
        <v/>
      </c>
      <c r="N603" s="19">
        <f>IFERROR(VLOOKUP(VLOOKUP($B603-1,开奖记录!$A:$L,11,FALSE),八肖参数!$A:$B,2,FALSE),"")</f>
        <v/>
      </c>
      <c r="O603" s="19">
        <f>IF(N603="","",IF(I603="","待开奖",IF(ISNUMBER(SEARCH(I603,N603)),"命中","未命中")))</f>
        <v/>
      </c>
    </row>
    <row r="604">
      <c r="A604" s="19" t="n">
        <v>603</v>
      </c>
      <c r="B604" s="19">
        <f>IF(COUNTA(C604:E604)=0,"",B603+1)</f>
        <v/>
      </c>
      <c r="C604" s="19" t="inlineStr"/>
      <c r="D604" s="19" t="n"/>
      <c r="E604" s="19" t="n"/>
      <c r="F604" s="19">
        <f>IF(COUNTA(D604:E604)=0,"",N(D604)-N(E604))</f>
        <v/>
      </c>
      <c r="G604" s="19">
        <f>IFERROR(VLOOKUP($B604,'开奖记录'!$A:$K,2,FALSE),"")</f>
        <v/>
      </c>
      <c r="H604" s="19">
        <f>IFERROR(VLOOKUP($B604,'开奖记录'!$A:$K,9,FALSE),"")</f>
        <v/>
      </c>
      <c r="I604" s="19">
        <f>IFERROR(VLOOKUP($B604,'开奖记录'!$A:$K,11,FALSE),"")</f>
        <v/>
      </c>
      <c r="J604" s="19">
        <f>IF($B604="","",IF(ISNUMBER($D604),"命中",IF(ISNUMBER($E604),"未命中","")))</f>
        <v/>
      </c>
      <c r="K604" s="19" t="inlineStr"/>
      <c r="L604" s="19">
        <f>IFERROR(TEXT(VLOOKUP($B604-1,开奖记录!$A:$L,3,FALSE),"00")&amp;"+5="&amp;VLOOKUP(MOD(VLOOKUP($B604-1,开奖记录!$A:$L,3,FALSE)+4,49)+1,规律参数!$A:$C,3,FALSE),"")</f>
        <v/>
      </c>
      <c r="M604" s="19">
        <f>IF(L604="","",IF(I604="","待开奖",IF(ISNUMBER(SEARCH(I604,L604)),"命中","未命中")))</f>
        <v/>
      </c>
      <c r="N604" s="19">
        <f>IFERROR(VLOOKUP(VLOOKUP($B604-1,开奖记录!$A:$L,11,FALSE),八肖参数!$A:$B,2,FALSE),"")</f>
        <v/>
      </c>
      <c r="O604" s="19">
        <f>IF(N604="","",IF(I604="","待开奖",IF(ISNUMBER(SEARCH(I604,N604)),"命中","未命中")))</f>
        <v/>
      </c>
    </row>
    <row r="605">
      <c r="A605" s="19" t="n">
        <v>604</v>
      </c>
      <c r="B605" s="19">
        <f>IF(COUNTA(C605:E605)=0,"",B604+1)</f>
        <v/>
      </c>
      <c r="C605" s="19" t="inlineStr"/>
      <c r="D605" s="19" t="n"/>
      <c r="E605" s="19" t="n"/>
      <c r="F605" s="19">
        <f>IF(COUNTA(D605:E605)=0,"",N(D605)-N(E605))</f>
        <v/>
      </c>
      <c r="G605" s="19">
        <f>IFERROR(VLOOKUP($B605,'开奖记录'!$A:$K,2,FALSE),"")</f>
        <v/>
      </c>
      <c r="H605" s="19">
        <f>IFERROR(VLOOKUP($B605,'开奖记录'!$A:$K,9,FALSE),"")</f>
        <v/>
      </c>
      <c r="I605" s="19">
        <f>IFERROR(VLOOKUP($B605,'开奖记录'!$A:$K,11,FALSE),"")</f>
        <v/>
      </c>
      <c r="J605" s="19">
        <f>IF($B605="","",IF(ISNUMBER($D605),"命中",IF(ISNUMBER($E605),"未命中","")))</f>
        <v/>
      </c>
      <c r="K605" s="19" t="inlineStr"/>
      <c r="L605" s="19">
        <f>IFERROR(TEXT(VLOOKUP($B605-1,开奖记录!$A:$L,3,FALSE),"00")&amp;"+5="&amp;VLOOKUP(MOD(VLOOKUP($B605-1,开奖记录!$A:$L,3,FALSE)+4,49)+1,规律参数!$A:$C,3,FALSE),"")</f>
        <v/>
      </c>
      <c r="M605" s="19">
        <f>IF(L605="","",IF(I605="","待开奖",IF(ISNUMBER(SEARCH(I605,L605)),"命中","未命中")))</f>
        <v/>
      </c>
      <c r="N605" s="19">
        <f>IFERROR(VLOOKUP(VLOOKUP($B605-1,开奖记录!$A:$L,11,FALSE),八肖参数!$A:$B,2,FALSE),"")</f>
        <v/>
      </c>
      <c r="O605" s="19">
        <f>IF(N605="","",IF(I605="","待开奖",IF(ISNUMBER(SEARCH(I605,N605)),"命中","未命中")))</f>
        <v/>
      </c>
    </row>
    <row r="606">
      <c r="A606" s="19" t="n">
        <v>605</v>
      </c>
      <c r="B606" s="19">
        <f>IF(COUNTA(C606:E606)=0,"",B605+1)</f>
        <v/>
      </c>
      <c r="C606" s="19" t="inlineStr"/>
      <c r="D606" s="19" t="n"/>
      <c r="E606" s="19" t="n"/>
      <c r="F606" s="19">
        <f>IF(COUNTA(D606:E606)=0,"",N(D606)-N(E606))</f>
        <v/>
      </c>
      <c r="G606" s="19">
        <f>IFERROR(VLOOKUP($B606,'开奖记录'!$A:$K,2,FALSE),"")</f>
        <v/>
      </c>
      <c r="H606" s="19">
        <f>IFERROR(VLOOKUP($B606,'开奖记录'!$A:$K,9,FALSE),"")</f>
        <v/>
      </c>
      <c r="I606" s="19">
        <f>IFERROR(VLOOKUP($B606,'开奖记录'!$A:$K,11,FALSE),"")</f>
        <v/>
      </c>
      <c r="J606" s="19">
        <f>IF($B606="","",IF(ISNUMBER($D606),"命中",IF(ISNUMBER($E606),"未命中","")))</f>
        <v/>
      </c>
      <c r="K606" s="19" t="inlineStr"/>
      <c r="L606" s="19">
        <f>IFERROR(TEXT(VLOOKUP($B606-1,开奖记录!$A:$L,3,FALSE),"00")&amp;"+5="&amp;VLOOKUP(MOD(VLOOKUP($B606-1,开奖记录!$A:$L,3,FALSE)+4,49)+1,规律参数!$A:$C,3,FALSE),"")</f>
        <v/>
      </c>
      <c r="M606" s="19">
        <f>IF(L606="","",IF(I606="","待开奖",IF(ISNUMBER(SEARCH(I606,L606)),"命中","未命中")))</f>
        <v/>
      </c>
      <c r="N606" s="19">
        <f>IFERROR(VLOOKUP(VLOOKUP($B606-1,开奖记录!$A:$L,11,FALSE),八肖参数!$A:$B,2,FALSE),"")</f>
        <v/>
      </c>
      <c r="O606" s="19">
        <f>IF(N606="","",IF(I606="","待开奖",IF(ISNUMBER(SEARCH(I606,N606)),"命中","未命中")))</f>
        <v/>
      </c>
    </row>
    <row r="607">
      <c r="A607" s="19" t="n">
        <v>606</v>
      </c>
      <c r="B607" s="19">
        <f>IF(COUNTA(C607:E607)=0,"",B606+1)</f>
        <v/>
      </c>
      <c r="C607" s="19" t="inlineStr"/>
      <c r="D607" s="19" t="n"/>
      <c r="E607" s="19" t="n"/>
      <c r="F607" s="19">
        <f>IF(COUNTA(D607:E607)=0,"",N(D607)-N(E607))</f>
        <v/>
      </c>
      <c r="G607" s="19">
        <f>IFERROR(VLOOKUP($B607,'开奖记录'!$A:$K,2,FALSE),"")</f>
        <v/>
      </c>
      <c r="H607" s="19">
        <f>IFERROR(VLOOKUP($B607,'开奖记录'!$A:$K,9,FALSE),"")</f>
        <v/>
      </c>
      <c r="I607" s="19">
        <f>IFERROR(VLOOKUP($B607,'开奖记录'!$A:$K,11,FALSE),"")</f>
        <v/>
      </c>
      <c r="J607" s="19">
        <f>IF($B607="","",IF(ISNUMBER($D607),"命中",IF(ISNUMBER($E607),"未命中","")))</f>
        <v/>
      </c>
      <c r="K607" s="19" t="inlineStr"/>
      <c r="L607" s="19">
        <f>IFERROR(TEXT(VLOOKUP($B607-1,开奖记录!$A:$L,3,FALSE),"00")&amp;"+5="&amp;VLOOKUP(MOD(VLOOKUP($B607-1,开奖记录!$A:$L,3,FALSE)+4,49)+1,规律参数!$A:$C,3,FALSE),"")</f>
        <v/>
      </c>
      <c r="M607" s="19">
        <f>IF(L607="","",IF(I607="","待开奖",IF(ISNUMBER(SEARCH(I607,L607)),"命中","未命中")))</f>
        <v/>
      </c>
      <c r="N607" s="19">
        <f>IFERROR(VLOOKUP(VLOOKUP($B607-1,开奖记录!$A:$L,11,FALSE),八肖参数!$A:$B,2,FALSE),"")</f>
        <v/>
      </c>
      <c r="O607" s="19">
        <f>IF(N607="","",IF(I607="","待开奖",IF(ISNUMBER(SEARCH(I607,N607)),"命中","未命中")))</f>
        <v/>
      </c>
    </row>
    <row r="608">
      <c r="A608" s="19" t="n">
        <v>607</v>
      </c>
      <c r="B608" s="19">
        <f>IF(COUNTA(C608:E608)=0,"",B607+1)</f>
        <v/>
      </c>
      <c r="C608" s="19" t="inlineStr"/>
      <c r="D608" s="19" t="n"/>
      <c r="E608" s="19" t="n"/>
      <c r="F608" s="19">
        <f>IF(COUNTA(D608:E608)=0,"",N(D608)-N(E608))</f>
        <v/>
      </c>
      <c r="G608" s="19">
        <f>IFERROR(VLOOKUP($B608,'开奖记录'!$A:$K,2,FALSE),"")</f>
        <v/>
      </c>
      <c r="H608" s="19">
        <f>IFERROR(VLOOKUP($B608,'开奖记录'!$A:$K,9,FALSE),"")</f>
        <v/>
      </c>
      <c r="I608" s="19">
        <f>IFERROR(VLOOKUP($B608,'开奖记录'!$A:$K,11,FALSE),"")</f>
        <v/>
      </c>
      <c r="J608" s="19">
        <f>IF($B608="","",IF(ISNUMBER($D608),"命中",IF(ISNUMBER($E608),"未命中","")))</f>
        <v/>
      </c>
      <c r="K608" s="19" t="inlineStr"/>
      <c r="L608" s="19">
        <f>IFERROR(TEXT(VLOOKUP($B608-1,开奖记录!$A:$L,3,FALSE),"00")&amp;"+5="&amp;VLOOKUP(MOD(VLOOKUP($B608-1,开奖记录!$A:$L,3,FALSE)+4,49)+1,规律参数!$A:$C,3,FALSE),"")</f>
        <v/>
      </c>
      <c r="M608" s="19">
        <f>IF(L608="","",IF(I608="","待开奖",IF(ISNUMBER(SEARCH(I608,L608)),"命中","未命中")))</f>
        <v/>
      </c>
      <c r="N608" s="19">
        <f>IFERROR(VLOOKUP(VLOOKUP($B608-1,开奖记录!$A:$L,11,FALSE),八肖参数!$A:$B,2,FALSE),"")</f>
        <v/>
      </c>
      <c r="O608" s="19">
        <f>IF(N608="","",IF(I608="","待开奖",IF(ISNUMBER(SEARCH(I608,N608)),"命中","未命中")))</f>
        <v/>
      </c>
    </row>
    <row r="609">
      <c r="A609" s="19" t="n">
        <v>608</v>
      </c>
      <c r="B609" s="19">
        <f>IF(COUNTA(C609:E609)=0,"",B608+1)</f>
        <v/>
      </c>
      <c r="C609" s="19" t="inlineStr"/>
      <c r="D609" s="19" t="n"/>
      <c r="E609" s="19" t="n"/>
      <c r="F609" s="19">
        <f>IF(COUNTA(D609:E609)=0,"",N(D609)-N(E609))</f>
        <v/>
      </c>
      <c r="G609" s="19">
        <f>IFERROR(VLOOKUP($B609,'开奖记录'!$A:$K,2,FALSE),"")</f>
        <v/>
      </c>
      <c r="H609" s="19">
        <f>IFERROR(VLOOKUP($B609,'开奖记录'!$A:$K,9,FALSE),"")</f>
        <v/>
      </c>
      <c r="I609" s="19">
        <f>IFERROR(VLOOKUP($B609,'开奖记录'!$A:$K,11,FALSE),"")</f>
        <v/>
      </c>
      <c r="J609" s="19">
        <f>IF($B609="","",IF(ISNUMBER($D609),"命中",IF(ISNUMBER($E609),"未命中","")))</f>
        <v/>
      </c>
      <c r="K609" s="19" t="inlineStr"/>
      <c r="L609" s="19">
        <f>IFERROR(TEXT(VLOOKUP($B609-1,开奖记录!$A:$L,3,FALSE),"00")&amp;"+5="&amp;VLOOKUP(MOD(VLOOKUP($B609-1,开奖记录!$A:$L,3,FALSE)+4,49)+1,规律参数!$A:$C,3,FALSE),"")</f>
        <v/>
      </c>
      <c r="M609" s="19">
        <f>IF(L609="","",IF(I609="","待开奖",IF(ISNUMBER(SEARCH(I609,L609)),"命中","未命中")))</f>
        <v/>
      </c>
      <c r="N609" s="19">
        <f>IFERROR(VLOOKUP(VLOOKUP($B609-1,开奖记录!$A:$L,11,FALSE),八肖参数!$A:$B,2,FALSE),"")</f>
        <v/>
      </c>
      <c r="O609" s="19">
        <f>IF(N609="","",IF(I609="","待开奖",IF(ISNUMBER(SEARCH(I609,N609)),"命中","未命中")))</f>
        <v/>
      </c>
    </row>
    <row r="610">
      <c r="A610" s="19" t="n">
        <v>609</v>
      </c>
      <c r="B610" s="19">
        <f>IF(COUNTA(C610:E610)=0,"",B609+1)</f>
        <v/>
      </c>
      <c r="C610" s="19" t="inlineStr"/>
      <c r="D610" s="19" t="n"/>
      <c r="E610" s="19" t="n"/>
      <c r="F610" s="19">
        <f>IF(COUNTA(D610:E610)=0,"",N(D610)-N(E610))</f>
        <v/>
      </c>
      <c r="G610" s="19">
        <f>IFERROR(VLOOKUP($B610,'开奖记录'!$A:$K,2,FALSE),"")</f>
        <v/>
      </c>
      <c r="H610" s="19">
        <f>IFERROR(VLOOKUP($B610,'开奖记录'!$A:$K,9,FALSE),"")</f>
        <v/>
      </c>
      <c r="I610" s="19">
        <f>IFERROR(VLOOKUP($B610,'开奖记录'!$A:$K,11,FALSE),"")</f>
        <v/>
      </c>
      <c r="J610" s="19">
        <f>IF($B610="","",IF(ISNUMBER($D610),"命中",IF(ISNUMBER($E610),"未命中","")))</f>
        <v/>
      </c>
      <c r="K610" s="19" t="inlineStr"/>
      <c r="L610" s="19">
        <f>IFERROR(TEXT(VLOOKUP($B610-1,开奖记录!$A:$L,3,FALSE),"00")&amp;"+5="&amp;VLOOKUP(MOD(VLOOKUP($B610-1,开奖记录!$A:$L,3,FALSE)+4,49)+1,规律参数!$A:$C,3,FALSE),"")</f>
        <v/>
      </c>
      <c r="M610" s="19">
        <f>IF(L610="","",IF(I610="","待开奖",IF(ISNUMBER(SEARCH(I610,L610)),"命中","未命中")))</f>
        <v/>
      </c>
      <c r="N610" s="19">
        <f>IFERROR(VLOOKUP(VLOOKUP($B610-1,开奖记录!$A:$L,11,FALSE),八肖参数!$A:$B,2,FALSE),"")</f>
        <v/>
      </c>
      <c r="O610" s="19">
        <f>IF(N610="","",IF(I610="","待开奖",IF(ISNUMBER(SEARCH(I610,N610)),"命中","未命中")))</f>
        <v/>
      </c>
    </row>
    <row r="611">
      <c r="A611" s="19" t="n">
        <v>610</v>
      </c>
      <c r="B611" s="19">
        <f>IF(COUNTA(C611:E611)=0,"",B610+1)</f>
        <v/>
      </c>
      <c r="C611" s="19" t="inlineStr"/>
      <c r="D611" s="19" t="n"/>
      <c r="E611" s="19" t="n"/>
      <c r="F611" s="19">
        <f>IF(COUNTA(D611:E611)=0,"",N(D611)-N(E611))</f>
        <v/>
      </c>
      <c r="G611" s="19">
        <f>IFERROR(VLOOKUP($B611,'开奖记录'!$A:$K,2,FALSE),"")</f>
        <v/>
      </c>
      <c r="H611" s="19">
        <f>IFERROR(VLOOKUP($B611,'开奖记录'!$A:$K,9,FALSE),"")</f>
        <v/>
      </c>
      <c r="I611" s="19">
        <f>IFERROR(VLOOKUP($B611,'开奖记录'!$A:$K,11,FALSE),"")</f>
        <v/>
      </c>
      <c r="J611" s="19">
        <f>IF($B611="","",IF(ISNUMBER($D611),"命中",IF(ISNUMBER($E611),"未命中","")))</f>
        <v/>
      </c>
      <c r="K611" s="19" t="inlineStr"/>
      <c r="L611" s="19">
        <f>IFERROR(TEXT(VLOOKUP($B611-1,开奖记录!$A:$L,3,FALSE),"00")&amp;"+5="&amp;VLOOKUP(MOD(VLOOKUP($B611-1,开奖记录!$A:$L,3,FALSE)+4,49)+1,规律参数!$A:$C,3,FALSE),"")</f>
        <v/>
      </c>
      <c r="M611" s="19">
        <f>IF(L611="","",IF(I611="","待开奖",IF(ISNUMBER(SEARCH(I611,L611)),"命中","未命中")))</f>
        <v/>
      </c>
      <c r="N611" s="19">
        <f>IFERROR(VLOOKUP(VLOOKUP($B611-1,开奖记录!$A:$L,11,FALSE),八肖参数!$A:$B,2,FALSE),"")</f>
        <v/>
      </c>
      <c r="O611" s="19">
        <f>IF(N611="","",IF(I611="","待开奖",IF(ISNUMBER(SEARCH(I611,N611)),"命中","未命中")))</f>
        <v/>
      </c>
    </row>
    <row r="612">
      <c r="A612" s="19" t="n">
        <v>611</v>
      </c>
      <c r="B612" s="19">
        <f>IF(COUNTA(C612:E612)=0,"",B611+1)</f>
        <v/>
      </c>
      <c r="C612" s="19" t="inlineStr"/>
      <c r="D612" s="19" t="n"/>
      <c r="E612" s="19" t="n"/>
      <c r="F612" s="19">
        <f>IF(COUNTA(D612:E612)=0,"",N(D612)-N(E612))</f>
        <v/>
      </c>
      <c r="G612" s="19">
        <f>IFERROR(VLOOKUP($B612,'开奖记录'!$A:$K,2,FALSE),"")</f>
        <v/>
      </c>
      <c r="H612" s="19">
        <f>IFERROR(VLOOKUP($B612,'开奖记录'!$A:$K,9,FALSE),"")</f>
        <v/>
      </c>
      <c r="I612" s="19">
        <f>IFERROR(VLOOKUP($B612,'开奖记录'!$A:$K,11,FALSE),"")</f>
        <v/>
      </c>
      <c r="J612" s="19">
        <f>IF($B612="","",IF(ISNUMBER($D612),"命中",IF(ISNUMBER($E612),"未命中","")))</f>
        <v/>
      </c>
      <c r="K612" s="19" t="inlineStr"/>
      <c r="L612" s="19">
        <f>IFERROR(TEXT(VLOOKUP($B612-1,开奖记录!$A:$L,3,FALSE),"00")&amp;"+5="&amp;VLOOKUP(MOD(VLOOKUP($B612-1,开奖记录!$A:$L,3,FALSE)+4,49)+1,规律参数!$A:$C,3,FALSE),"")</f>
        <v/>
      </c>
      <c r="M612" s="19">
        <f>IF(L612="","",IF(I612="","待开奖",IF(ISNUMBER(SEARCH(I612,L612)),"命中","未命中")))</f>
        <v/>
      </c>
      <c r="N612" s="19">
        <f>IFERROR(VLOOKUP(VLOOKUP($B612-1,开奖记录!$A:$L,11,FALSE),八肖参数!$A:$B,2,FALSE),"")</f>
        <v/>
      </c>
      <c r="O612" s="19">
        <f>IF(N612="","",IF(I612="","待开奖",IF(ISNUMBER(SEARCH(I612,N612)),"命中","未命中")))</f>
        <v/>
      </c>
    </row>
    <row r="613">
      <c r="A613" s="19" t="n">
        <v>612</v>
      </c>
      <c r="B613" s="19">
        <f>IF(COUNTA(C613:E613)=0,"",B612+1)</f>
        <v/>
      </c>
      <c r="C613" s="19" t="inlineStr"/>
      <c r="D613" s="19" t="n"/>
      <c r="E613" s="19" t="n"/>
      <c r="F613" s="19">
        <f>IF(COUNTA(D613:E613)=0,"",N(D613)-N(E613))</f>
        <v/>
      </c>
      <c r="G613" s="19">
        <f>IFERROR(VLOOKUP($B613,'开奖记录'!$A:$K,2,FALSE),"")</f>
        <v/>
      </c>
      <c r="H613" s="19">
        <f>IFERROR(VLOOKUP($B613,'开奖记录'!$A:$K,9,FALSE),"")</f>
        <v/>
      </c>
      <c r="I613" s="19">
        <f>IFERROR(VLOOKUP($B613,'开奖记录'!$A:$K,11,FALSE),"")</f>
        <v/>
      </c>
      <c r="J613" s="19">
        <f>IF($B613="","",IF(ISNUMBER($D613),"命中",IF(ISNUMBER($E613),"未命中","")))</f>
        <v/>
      </c>
      <c r="K613" s="19" t="inlineStr"/>
      <c r="L613" s="19">
        <f>IFERROR(TEXT(VLOOKUP($B613-1,开奖记录!$A:$L,3,FALSE),"00")&amp;"+5="&amp;VLOOKUP(MOD(VLOOKUP($B613-1,开奖记录!$A:$L,3,FALSE)+4,49)+1,规律参数!$A:$C,3,FALSE),"")</f>
        <v/>
      </c>
      <c r="M613" s="19">
        <f>IF(L613="","",IF(I613="","待开奖",IF(ISNUMBER(SEARCH(I613,L613)),"命中","未命中")))</f>
        <v/>
      </c>
      <c r="N613" s="19">
        <f>IFERROR(VLOOKUP(VLOOKUP($B613-1,开奖记录!$A:$L,11,FALSE),八肖参数!$A:$B,2,FALSE),"")</f>
        <v/>
      </c>
      <c r="O613" s="19">
        <f>IF(N613="","",IF(I613="","待开奖",IF(ISNUMBER(SEARCH(I613,N613)),"命中","未命中")))</f>
        <v/>
      </c>
    </row>
    <row r="614">
      <c r="A614" s="19" t="n">
        <v>613</v>
      </c>
      <c r="B614" s="19">
        <f>IF(COUNTA(C614:E614)=0,"",B613+1)</f>
        <v/>
      </c>
      <c r="C614" s="19" t="inlineStr"/>
      <c r="D614" s="19" t="n"/>
      <c r="E614" s="19" t="n"/>
      <c r="F614" s="19">
        <f>IF(COUNTA(D614:E614)=0,"",N(D614)-N(E614))</f>
        <v/>
      </c>
      <c r="G614" s="19">
        <f>IFERROR(VLOOKUP($B614,'开奖记录'!$A:$K,2,FALSE),"")</f>
        <v/>
      </c>
      <c r="H614" s="19">
        <f>IFERROR(VLOOKUP($B614,'开奖记录'!$A:$K,9,FALSE),"")</f>
        <v/>
      </c>
      <c r="I614" s="19">
        <f>IFERROR(VLOOKUP($B614,'开奖记录'!$A:$K,11,FALSE),"")</f>
        <v/>
      </c>
      <c r="J614" s="19">
        <f>IF($B614="","",IF(ISNUMBER($D614),"命中",IF(ISNUMBER($E614),"未命中","")))</f>
        <v/>
      </c>
      <c r="K614" s="19" t="inlineStr"/>
      <c r="L614" s="19">
        <f>IFERROR(TEXT(VLOOKUP($B614-1,开奖记录!$A:$L,3,FALSE),"00")&amp;"+5="&amp;VLOOKUP(MOD(VLOOKUP($B614-1,开奖记录!$A:$L,3,FALSE)+4,49)+1,规律参数!$A:$C,3,FALSE),"")</f>
        <v/>
      </c>
      <c r="M614" s="19">
        <f>IF(L614="","",IF(I614="","待开奖",IF(ISNUMBER(SEARCH(I614,L614)),"命中","未命中")))</f>
        <v/>
      </c>
      <c r="N614" s="19">
        <f>IFERROR(VLOOKUP(VLOOKUP($B614-1,开奖记录!$A:$L,11,FALSE),八肖参数!$A:$B,2,FALSE),"")</f>
        <v/>
      </c>
      <c r="O614" s="19">
        <f>IF(N614="","",IF(I614="","待开奖",IF(ISNUMBER(SEARCH(I614,N614)),"命中","未命中")))</f>
        <v/>
      </c>
    </row>
    <row r="615">
      <c r="A615" s="19" t="n">
        <v>614</v>
      </c>
      <c r="B615" s="19">
        <f>IF(COUNTA(C615:E615)=0,"",B614+1)</f>
        <v/>
      </c>
      <c r="C615" s="19" t="inlineStr"/>
      <c r="D615" s="19" t="n"/>
      <c r="E615" s="19" t="n"/>
      <c r="F615" s="19">
        <f>IF(COUNTA(D615:E615)=0,"",N(D615)-N(E615))</f>
        <v/>
      </c>
      <c r="G615" s="19">
        <f>IFERROR(VLOOKUP($B615,'开奖记录'!$A:$K,2,FALSE),"")</f>
        <v/>
      </c>
      <c r="H615" s="19">
        <f>IFERROR(VLOOKUP($B615,'开奖记录'!$A:$K,9,FALSE),"")</f>
        <v/>
      </c>
      <c r="I615" s="19">
        <f>IFERROR(VLOOKUP($B615,'开奖记录'!$A:$K,11,FALSE),"")</f>
        <v/>
      </c>
      <c r="J615" s="19">
        <f>IF($B615="","",IF(ISNUMBER($D615),"命中",IF(ISNUMBER($E615),"未命中","")))</f>
        <v/>
      </c>
      <c r="K615" s="19" t="inlineStr"/>
      <c r="L615" s="19">
        <f>IFERROR(TEXT(VLOOKUP($B615-1,开奖记录!$A:$L,3,FALSE),"00")&amp;"+5="&amp;VLOOKUP(MOD(VLOOKUP($B615-1,开奖记录!$A:$L,3,FALSE)+4,49)+1,规律参数!$A:$C,3,FALSE),"")</f>
        <v/>
      </c>
      <c r="M615" s="19">
        <f>IF(L615="","",IF(I615="","待开奖",IF(ISNUMBER(SEARCH(I615,L615)),"命中","未命中")))</f>
        <v/>
      </c>
      <c r="N615" s="19">
        <f>IFERROR(VLOOKUP(VLOOKUP($B615-1,开奖记录!$A:$L,11,FALSE),八肖参数!$A:$B,2,FALSE),"")</f>
        <v/>
      </c>
      <c r="O615" s="19">
        <f>IF(N615="","",IF(I615="","待开奖",IF(ISNUMBER(SEARCH(I615,N615)),"命中","未命中")))</f>
        <v/>
      </c>
    </row>
    <row r="616">
      <c r="A616" s="19" t="n">
        <v>615</v>
      </c>
      <c r="B616" s="19">
        <f>IF(COUNTA(C616:E616)=0,"",B615+1)</f>
        <v/>
      </c>
      <c r="C616" s="19" t="inlineStr"/>
      <c r="D616" s="19" t="n"/>
      <c r="E616" s="19" t="n"/>
      <c r="F616" s="19">
        <f>IF(COUNTA(D616:E616)=0,"",N(D616)-N(E616))</f>
        <v/>
      </c>
      <c r="G616" s="19">
        <f>IFERROR(VLOOKUP($B616,'开奖记录'!$A:$K,2,FALSE),"")</f>
        <v/>
      </c>
      <c r="H616" s="19">
        <f>IFERROR(VLOOKUP($B616,'开奖记录'!$A:$K,9,FALSE),"")</f>
        <v/>
      </c>
      <c r="I616" s="19">
        <f>IFERROR(VLOOKUP($B616,'开奖记录'!$A:$K,11,FALSE),"")</f>
        <v/>
      </c>
      <c r="J616" s="19">
        <f>IF($B616="","",IF(ISNUMBER($D616),"命中",IF(ISNUMBER($E616),"未命中","")))</f>
        <v/>
      </c>
      <c r="K616" s="19" t="inlineStr"/>
      <c r="L616" s="19">
        <f>IFERROR(TEXT(VLOOKUP($B616-1,开奖记录!$A:$L,3,FALSE),"00")&amp;"+5="&amp;VLOOKUP(MOD(VLOOKUP($B616-1,开奖记录!$A:$L,3,FALSE)+4,49)+1,规律参数!$A:$C,3,FALSE),"")</f>
        <v/>
      </c>
      <c r="M616" s="19">
        <f>IF(L616="","",IF(I616="","待开奖",IF(ISNUMBER(SEARCH(I616,L616)),"命中","未命中")))</f>
        <v/>
      </c>
      <c r="N616" s="19">
        <f>IFERROR(VLOOKUP(VLOOKUP($B616-1,开奖记录!$A:$L,11,FALSE),八肖参数!$A:$B,2,FALSE),"")</f>
        <v/>
      </c>
      <c r="O616" s="19">
        <f>IF(N616="","",IF(I616="","待开奖",IF(ISNUMBER(SEARCH(I616,N616)),"命中","未命中")))</f>
        <v/>
      </c>
    </row>
    <row r="617">
      <c r="A617" s="19" t="n">
        <v>616</v>
      </c>
      <c r="B617" s="19">
        <f>IF(COUNTA(C617:E617)=0,"",B616+1)</f>
        <v/>
      </c>
      <c r="C617" s="19" t="inlineStr"/>
      <c r="D617" s="19" t="n"/>
      <c r="E617" s="19" t="n"/>
      <c r="F617" s="19">
        <f>IF(COUNTA(D617:E617)=0,"",N(D617)-N(E617))</f>
        <v/>
      </c>
      <c r="G617" s="19">
        <f>IFERROR(VLOOKUP($B617,'开奖记录'!$A:$K,2,FALSE),"")</f>
        <v/>
      </c>
      <c r="H617" s="19">
        <f>IFERROR(VLOOKUP($B617,'开奖记录'!$A:$K,9,FALSE),"")</f>
        <v/>
      </c>
      <c r="I617" s="19">
        <f>IFERROR(VLOOKUP($B617,'开奖记录'!$A:$K,11,FALSE),"")</f>
        <v/>
      </c>
      <c r="J617" s="19">
        <f>IF($B617="","",IF(ISNUMBER($D617),"命中",IF(ISNUMBER($E617),"未命中","")))</f>
        <v/>
      </c>
      <c r="K617" s="19" t="inlineStr"/>
      <c r="L617" s="19">
        <f>IFERROR(TEXT(VLOOKUP($B617-1,开奖记录!$A:$L,3,FALSE),"00")&amp;"+5="&amp;VLOOKUP(MOD(VLOOKUP($B617-1,开奖记录!$A:$L,3,FALSE)+4,49)+1,规律参数!$A:$C,3,FALSE),"")</f>
        <v/>
      </c>
      <c r="M617" s="19">
        <f>IF(L617="","",IF(I617="","待开奖",IF(ISNUMBER(SEARCH(I617,L617)),"命中","未命中")))</f>
        <v/>
      </c>
      <c r="N617" s="19">
        <f>IFERROR(VLOOKUP(VLOOKUP($B617-1,开奖记录!$A:$L,11,FALSE),八肖参数!$A:$B,2,FALSE),"")</f>
        <v/>
      </c>
      <c r="O617" s="19">
        <f>IF(N617="","",IF(I617="","待开奖",IF(ISNUMBER(SEARCH(I617,N617)),"命中","未命中")))</f>
        <v/>
      </c>
    </row>
    <row r="618">
      <c r="A618" s="19" t="n">
        <v>617</v>
      </c>
      <c r="B618" s="19">
        <f>IF(COUNTA(C618:E618)=0,"",B617+1)</f>
        <v/>
      </c>
      <c r="C618" s="19" t="inlineStr"/>
      <c r="D618" s="19" t="n"/>
      <c r="E618" s="19" t="n"/>
      <c r="F618" s="19">
        <f>IF(COUNTA(D618:E618)=0,"",N(D618)-N(E618))</f>
        <v/>
      </c>
      <c r="G618" s="19">
        <f>IFERROR(VLOOKUP($B618,'开奖记录'!$A:$K,2,FALSE),"")</f>
        <v/>
      </c>
      <c r="H618" s="19">
        <f>IFERROR(VLOOKUP($B618,'开奖记录'!$A:$K,9,FALSE),"")</f>
        <v/>
      </c>
      <c r="I618" s="19">
        <f>IFERROR(VLOOKUP($B618,'开奖记录'!$A:$K,11,FALSE),"")</f>
        <v/>
      </c>
      <c r="J618" s="19">
        <f>IF($B618="","",IF(ISNUMBER($D618),"命中",IF(ISNUMBER($E618),"未命中","")))</f>
        <v/>
      </c>
      <c r="K618" s="19" t="inlineStr"/>
      <c r="L618" s="19">
        <f>IFERROR(TEXT(VLOOKUP($B618-1,开奖记录!$A:$L,3,FALSE),"00")&amp;"+5="&amp;VLOOKUP(MOD(VLOOKUP($B618-1,开奖记录!$A:$L,3,FALSE)+4,49)+1,规律参数!$A:$C,3,FALSE),"")</f>
        <v/>
      </c>
      <c r="M618" s="19">
        <f>IF(L618="","",IF(I618="","待开奖",IF(ISNUMBER(SEARCH(I618,L618)),"命中","未命中")))</f>
        <v/>
      </c>
      <c r="N618" s="19">
        <f>IFERROR(VLOOKUP(VLOOKUP($B618-1,开奖记录!$A:$L,11,FALSE),八肖参数!$A:$B,2,FALSE),"")</f>
        <v/>
      </c>
      <c r="O618" s="19">
        <f>IF(N618="","",IF(I618="","待开奖",IF(ISNUMBER(SEARCH(I618,N618)),"命中","未命中")))</f>
        <v/>
      </c>
    </row>
    <row r="619">
      <c r="A619" s="19" t="n">
        <v>618</v>
      </c>
      <c r="B619" s="19">
        <f>IF(COUNTA(C619:E619)=0,"",B618+1)</f>
        <v/>
      </c>
      <c r="C619" s="19" t="inlineStr"/>
      <c r="D619" s="19" t="n"/>
      <c r="E619" s="19" t="n"/>
      <c r="F619" s="19">
        <f>IF(COUNTA(D619:E619)=0,"",N(D619)-N(E619))</f>
        <v/>
      </c>
      <c r="G619" s="19">
        <f>IFERROR(VLOOKUP($B619,'开奖记录'!$A:$K,2,FALSE),"")</f>
        <v/>
      </c>
      <c r="H619" s="19">
        <f>IFERROR(VLOOKUP($B619,'开奖记录'!$A:$K,9,FALSE),"")</f>
        <v/>
      </c>
      <c r="I619" s="19">
        <f>IFERROR(VLOOKUP($B619,'开奖记录'!$A:$K,11,FALSE),"")</f>
        <v/>
      </c>
      <c r="J619" s="19">
        <f>IF($B619="","",IF(ISNUMBER($D619),"命中",IF(ISNUMBER($E619),"未命中","")))</f>
        <v/>
      </c>
      <c r="K619" s="19" t="inlineStr"/>
      <c r="L619" s="19">
        <f>IFERROR(TEXT(VLOOKUP($B619-1,开奖记录!$A:$L,3,FALSE),"00")&amp;"+5="&amp;VLOOKUP(MOD(VLOOKUP($B619-1,开奖记录!$A:$L,3,FALSE)+4,49)+1,规律参数!$A:$C,3,FALSE),"")</f>
        <v/>
      </c>
      <c r="M619" s="19">
        <f>IF(L619="","",IF(I619="","待开奖",IF(ISNUMBER(SEARCH(I619,L619)),"命中","未命中")))</f>
        <v/>
      </c>
      <c r="N619" s="19">
        <f>IFERROR(VLOOKUP(VLOOKUP($B619-1,开奖记录!$A:$L,11,FALSE),八肖参数!$A:$B,2,FALSE),"")</f>
        <v/>
      </c>
      <c r="O619" s="19">
        <f>IF(N619="","",IF(I619="","待开奖",IF(ISNUMBER(SEARCH(I619,N619)),"命中","未命中")))</f>
        <v/>
      </c>
    </row>
    <row r="620">
      <c r="A620" s="19" t="n">
        <v>619</v>
      </c>
      <c r="B620" s="19">
        <f>IF(COUNTA(C620:E620)=0,"",B619+1)</f>
        <v/>
      </c>
      <c r="C620" s="19" t="inlineStr"/>
      <c r="D620" s="19" t="n"/>
      <c r="E620" s="19" t="n"/>
      <c r="F620" s="19">
        <f>IF(COUNTA(D620:E620)=0,"",N(D620)-N(E620))</f>
        <v/>
      </c>
      <c r="G620" s="19">
        <f>IFERROR(VLOOKUP($B620,'开奖记录'!$A:$K,2,FALSE),"")</f>
        <v/>
      </c>
      <c r="H620" s="19">
        <f>IFERROR(VLOOKUP($B620,'开奖记录'!$A:$K,9,FALSE),"")</f>
        <v/>
      </c>
      <c r="I620" s="19">
        <f>IFERROR(VLOOKUP($B620,'开奖记录'!$A:$K,11,FALSE),"")</f>
        <v/>
      </c>
      <c r="J620" s="19">
        <f>IF($B620="","",IF(ISNUMBER($D620),"命中",IF(ISNUMBER($E620),"未命中","")))</f>
        <v/>
      </c>
      <c r="K620" s="19" t="inlineStr"/>
      <c r="L620" s="19">
        <f>IFERROR(TEXT(VLOOKUP($B620-1,开奖记录!$A:$L,3,FALSE),"00")&amp;"+5="&amp;VLOOKUP(MOD(VLOOKUP($B620-1,开奖记录!$A:$L,3,FALSE)+4,49)+1,规律参数!$A:$C,3,FALSE),"")</f>
        <v/>
      </c>
      <c r="M620" s="19">
        <f>IF(L620="","",IF(I620="","待开奖",IF(ISNUMBER(SEARCH(I620,L620)),"命中","未命中")))</f>
        <v/>
      </c>
      <c r="N620" s="19">
        <f>IFERROR(VLOOKUP(VLOOKUP($B620-1,开奖记录!$A:$L,11,FALSE),八肖参数!$A:$B,2,FALSE),"")</f>
        <v/>
      </c>
      <c r="O620" s="19">
        <f>IF(N620="","",IF(I620="","待开奖",IF(ISNUMBER(SEARCH(I620,N620)),"命中","未命中")))</f>
        <v/>
      </c>
    </row>
    <row r="621">
      <c r="A621" s="19" t="n">
        <v>620</v>
      </c>
      <c r="B621" s="19">
        <f>IF(COUNTA(C621:E621)=0,"",B620+1)</f>
        <v/>
      </c>
      <c r="C621" s="19" t="inlineStr"/>
      <c r="D621" s="19" t="n"/>
      <c r="E621" s="19" t="n"/>
      <c r="F621" s="19">
        <f>IF(COUNTA(D621:E621)=0,"",N(D621)-N(E621))</f>
        <v/>
      </c>
      <c r="G621" s="19">
        <f>IFERROR(VLOOKUP($B621,'开奖记录'!$A:$K,2,FALSE),"")</f>
        <v/>
      </c>
      <c r="H621" s="19">
        <f>IFERROR(VLOOKUP($B621,'开奖记录'!$A:$K,9,FALSE),"")</f>
        <v/>
      </c>
      <c r="I621" s="19">
        <f>IFERROR(VLOOKUP($B621,'开奖记录'!$A:$K,11,FALSE),"")</f>
        <v/>
      </c>
      <c r="J621" s="19">
        <f>IF($B621="","",IF(ISNUMBER($D621),"命中",IF(ISNUMBER($E621),"未命中","")))</f>
        <v/>
      </c>
      <c r="K621" s="19" t="inlineStr"/>
      <c r="L621" s="19">
        <f>IFERROR(TEXT(VLOOKUP($B621-1,开奖记录!$A:$L,3,FALSE),"00")&amp;"+5="&amp;VLOOKUP(MOD(VLOOKUP($B621-1,开奖记录!$A:$L,3,FALSE)+4,49)+1,规律参数!$A:$C,3,FALSE),"")</f>
        <v/>
      </c>
      <c r="M621" s="19">
        <f>IF(L621="","",IF(I621="","待开奖",IF(ISNUMBER(SEARCH(I621,L621)),"命中","未命中")))</f>
        <v/>
      </c>
      <c r="N621" s="19">
        <f>IFERROR(VLOOKUP(VLOOKUP($B621-1,开奖记录!$A:$L,11,FALSE),八肖参数!$A:$B,2,FALSE),"")</f>
        <v/>
      </c>
      <c r="O621" s="19">
        <f>IF(N621="","",IF(I621="","待开奖",IF(ISNUMBER(SEARCH(I621,N621)),"命中","未命中")))</f>
        <v/>
      </c>
    </row>
    <row r="622">
      <c r="A622" s="19" t="n">
        <v>621</v>
      </c>
      <c r="B622" s="19">
        <f>IF(COUNTA(C622:E622)=0,"",B621+1)</f>
        <v/>
      </c>
      <c r="C622" s="19" t="inlineStr"/>
      <c r="D622" s="19" t="n"/>
      <c r="E622" s="19" t="n"/>
      <c r="F622" s="19">
        <f>IF(COUNTA(D622:E622)=0,"",N(D622)-N(E622))</f>
        <v/>
      </c>
      <c r="G622" s="19">
        <f>IFERROR(VLOOKUP($B622,'开奖记录'!$A:$K,2,FALSE),"")</f>
        <v/>
      </c>
      <c r="H622" s="19">
        <f>IFERROR(VLOOKUP($B622,'开奖记录'!$A:$K,9,FALSE),"")</f>
        <v/>
      </c>
      <c r="I622" s="19">
        <f>IFERROR(VLOOKUP($B622,'开奖记录'!$A:$K,11,FALSE),"")</f>
        <v/>
      </c>
      <c r="J622" s="19">
        <f>IF($B622="","",IF(ISNUMBER($D622),"命中",IF(ISNUMBER($E622),"未命中","")))</f>
        <v/>
      </c>
      <c r="K622" s="19" t="inlineStr"/>
      <c r="L622" s="19">
        <f>IFERROR(TEXT(VLOOKUP($B622-1,开奖记录!$A:$L,3,FALSE),"00")&amp;"+5="&amp;VLOOKUP(MOD(VLOOKUP($B622-1,开奖记录!$A:$L,3,FALSE)+4,49)+1,规律参数!$A:$C,3,FALSE),"")</f>
        <v/>
      </c>
      <c r="M622" s="19">
        <f>IF(L622="","",IF(I622="","待开奖",IF(ISNUMBER(SEARCH(I622,L622)),"命中","未命中")))</f>
        <v/>
      </c>
      <c r="N622" s="19">
        <f>IFERROR(VLOOKUP(VLOOKUP($B622-1,开奖记录!$A:$L,11,FALSE),八肖参数!$A:$B,2,FALSE),"")</f>
        <v/>
      </c>
      <c r="O622" s="19">
        <f>IF(N622="","",IF(I622="","待开奖",IF(ISNUMBER(SEARCH(I622,N622)),"命中","未命中")))</f>
        <v/>
      </c>
    </row>
    <row r="623">
      <c r="A623" s="19" t="n">
        <v>622</v>
      </c>
      <c r="B623" s="19">
        <f>IF(COUNTA(C623:E623)=0,"",B622+1)</f>
        <v/>
      </c>
      <c r="C623" s="19" t="inlineStr"/>
      <c r="D623" s="19" t="n"/>
      <c r="E623" s="19" t="n"/>
      <c r="F623" s="19">
        <f>IF(COUNTA(D623:E623)=0,"",N(D623)-N(E623))</f>
        <v/>
      </c>
      <c r="G623" s="19">
        <f>IFERROR(VLOOKUP($B623,'开奖记录'!$A:$K,2,FALSE),"")</f>
        <v/>
      </c>
      <c r="H623" s="19">
        <f>IFERROR(VLOOKUP($B623,'开奖记录'!$A:$K,9,FALSE),"")</f>
        <v/>
      </c>
      <c r="I623" s="19">
        <f>IFERROR(VLOOKUP($B623,'开奖记录'!$A:$K,11,FALSE),"")</f>
        <v/>
      </c>
      <c r="J623" s="19">
        <f>IF($B623="","",IF(ISNUMBER($D623),"命中",IF(ISNUMBER($E623),"未命中","")))</f>
        <v/>
      </c>
      <c r="K623" s="19" t="inlineStr"/>
      <c r="L623" s="19">
        <f>IFERROR(TEXT(VLOOKUP($B623-1,开奖记录!$A:$L,3,FALSE),"00")&amp;"+5="&amp;VLOOKUP(MOD(VLOOKUP($B623-1,开奖记录!$A:$L,3,FALSE)+4,49)+1,规律参数!$A:$C,3,FALSE),"")</f>
        <v/>
      </c>
      <c r="M623" s="19">
        <f>IF(L623="","",IF(I623="","待开奖",IF(ISNUMBER(SEARCH(I623,L623)),"命中","未命中")))</f>
        <v/>
      </c>
      <c r="N623" s="19">
        <f>IFERROR(VLOOKUP(VLOOKUP($B623-1,开奖记录!$A:$L,11,FALSE),八肖参数!$A:$B,2,FALSE),"")</f>
        <v/>
      </c>
      <c r="O623" s="19">
        <f>IF(N623="","",IF(I623="","待开奖",IF(ISNUMBER(SEARCH(I623,N623)),"命中","未命中")))</f>
        <v/>
      </c>
    </row>
    <row r="624">
      <c r="A624" s="19" t="n">
        <v>623</v>
      </c>
      <c r="B624" s="19">
        <f>IF(COUNTA(C624:E624)=0,"",B623+1)</f>
        <v/>
      </c>
      <c r="C624" s="19" t="inlineStr"/>
      <c r="D624" s="19" t="n"/>
      <c r="E624" s="19" t="n"/>
      <c r="F624" s="19">
        <f>IF(COUNTA(D624:E624)=0,"",N(D624)-N(E624))</f>
        <v/>
      </c>
      <c r="G624" s="19">
        <f>IFERROR(VLOOKUP($B624,'开奖记录'!$A:$K,2,FALSE),"")</f>
        <v/>
      </c>
      <c r="H624" s="19">
        <f>IFERROR(VLOOKUP($B624,'开奖记录'!$A:$K,9,FALSE),"")</f>
        <v/>
      </c>
      <c r="I624" s="19">
        <f>IFERROR(VLOOKUP($B624,'开奖记录'!$A:$K,11,FALSE),"")</f>
        <v/>
      </c>
      <c r="J624" s="19">
        <f>IF($B624="","",IF(ISNUMBER($D624),"命中",IF(ISNUMBER($E624),"未命中","")))</f>
        <v/>
      </c>
      <c r="K624" s="19" t="inlineStr"/>
      <c r="L624" s="19">
        <f>IFERROR(TEXT(VLOOKUP($B624-1,开奖记录!$A:$L,3,FALSE),"00")&amp;"+5="&amp;VLOOKUP(MOD(VLOOKUP($B624-1,开奖记录!$A:$L,3,FALSE)+4,49)+1,规律参数!$A:$C,3,FALSE),"")</f>
        <v/>
      </c>
      <c r="M624" s="19">
        <f>IF(L624="","",IF(I624="","待开奖",IF(ISNUMBER(SEARCH(I624,L624)),"命中","未命中")))</f>
        <v/>
      </c>
      <c r="N624" s="19">
        <f>IFERROR(VLOOKUP(VLOOKUP($B624-1,开奖记录!$A:$L,11,FALSE),八肖参数!$A:$B,2,FALSE),"")</f>
        <v/>
      </c>
      <c r="O624" s="19">
        <f>IF(N624="","",IF(I624="","待开奖",IF(ISNUMBER(SEARCH(I624,N624)),"命中","未命中")))</f>
        <v/>
      </c>
    </row>
    <row r="625">
      <c r="A625" s="19" t="n">
        <v>624</v>
      </c>
      <c r="B625" s="19">
        <f>IF(COUNTA(C625:E625)=0,"",B624+1)</f>
        <v/>
      </c>
      <c r="C625" s="19" t="inlineStr"/>
      <c r="D625" s="19" t="n"/>
      <c r="E625" s="19" t="n"/>
      <c r="F625" s="19">
        <f>IF(COUNTA(D625:E625)=0,"",N(D625)-N(E625))</f>
        <v/>
      </c>
      <c r="G625" s="19">
        <f>IFERROR(VLOOKUP($B625,'开奖记录'!$A:$K,2,FALSE),"")</f>
        <v/>
      </c>
      <c r="H625" s="19">
        <f>IFERROR(VLOOKUP($B625,'开奖记录'!$A:$K,9,FALSE),"")</f>
        <v/>
      </c>
      <c r="I625" s="19">
        <f>IFERROR(VLOOKUP($B625,'开奖记录'!$A:$K,11,FALSE),"")</f>
        <v/>
      </c>
      <c r="J625" s="19">
        <f>IF($B625="","",IF(ISNUMBER($D625),"命中",IF(ISNUMBER($E625),"未命中","")))</f>
        <v/>
      </c>
      <c r="K625" s="19" t="inlineStr"/>
      <c r="L625" s="19">
        <f>IFERROR(TEXT(VLOOKUP($B625-1,开奖记录!$A:$L,3,FALSE),"00")&amp;"+5="&amp;VLOOKUP(MOD(VLOOKUP($B625-1,开奖记录!$A:$L,3,FALSE)+4,49)+1,规律参数!$A:$C,3,FALSE),"")</f>
        <v/>
      </c>
      <c r="M625" s="19">
        <f>IF(L625="","",IF(I625="","待开奖",IF(ISNUMBER(SEARCH(I625,L625)),"命中","未命中")))</f>
        <v/>
      </c>
      <c r="N625" s="19">
        <f>IFERROR(VLOOKUP(VLOOKUP($B625-1,开奖记录!$A:$L,11,FALSE),八肖参数!$A:$B,2,FALSE),"")</f>
        <v/>
      </c>
      <c r="O625" s="19">
        <f>IF(N625="","",IF(I625="","待开奖",IF(ISNUMBER(SEARCH(I625,N625)),"命中","未命中")))</f>
        <v/>
      </c>
    </row>
    <row r="626">
      <c r="A626" s="19" t="n">
        <v>625</v>
      </c>
      <c r="B626" s="19">
        <f>IF(COUNTA(C626:E626)=0,"",B625+1)</f>
        <v/>
      </c>
      <c r="C626" s="19" t="inlineStr"/>
      <c r="D626" s="19" t="n"/>
      <c r="E626" s="19" t="n"/>
      <c r="F626" s="19">
        <f>IF(COUNTA(D626:E626)=0,"",N(D626)-N(E626))</f>
        <v/>
      </c>
      <c r="G626" s="19">
        <f>IFERROR(VLOOKUP($B626,'开奖记录'!$A:$K,2,FALSE),"")</f>
        <v/>
      </c>
      <c r="H626" s="19">
        <f>IFERROR(VLOOKUP($B626,'开奖记录'!$A:$K,9,FALSE),"")</f>
        <v/>
      </c>
      <c r="I626" s="19">
        <f>IFERROR(VLOOKUP($B626,'开奖记录'!$A:$K,11,FALSE),"")</f>
        <v/>
      </c>
      <c r="J626" s="19">
        <f>IF($B626="","",IF(ISNUMBER($D626),"命中",IF(ISNUMBER($E626),"未命中","")))</f>
        <v/>
      </c>
      <c r="K626" s="19" t="inlineStr"/>
      <c r="L626" s="19">
        <f>IFERROR(TEXT(VLOOKUP($B626-1,开奖记录!$A:$L,3,FALSE),"00")&amp;"+5="&amp;VLOOKUP(MOD(VLOOKUP($B626-1,开奖记录!$A:$L,3,FALSE)+4,49)+1,规律参数!$A:$C,3,FALSE),"")</f>
        <v/>
      </c>
      <c r="M626" s="19">
        <f>IF(L626="","",IF(I626="","待开奖",IF(ISNUMBER(SEARCH(I626,L626)),"命中","未命中")))</f>
        <v/>
      </c>
      <c r="N626" s="19">
        <f>IFERROR(VLOOKUP(VLOOKUP($B626-1,开奖记录!$A:$L,11,FALSE),八肖参数!$A:$B,2,FALSE),"")</f>
        <v/>
      </c>
      <c r="O626" s="19">
        <f>IF(N626="","",IF(I626="","待开奖",IF(ISNUMBER(SEARCH(I626,N626)),"命中","未命中")))</f>
        <v/>
      </c>
    </row>
    <row r="627">
      <c r="A627" s="19" t="n">
        <v>626</v>
      </c>
      <c r="B627" s="19">
        <f>IF(COUNTA(C627:E627)=0,"",B626+1)</f>
        <v/>
      </c>
      <c r="C627" s="19" t="inlineStr"/>
      <c r="D627" s="19" t="n"/>
      <c r="E627" s="19" t="n"/>
      <c r="F627" s="19">
        <f>IF(COUNTA(D627:E627)=0,"",N(D627)-N(E627))</f>
        <v/>
      </c>
      <c r="G627" s="19">
        <f>IFERROR(VLOOKUP($B627,'开奖记录'!$A:$K,2,FALSE),"")</f>
        <v/>
      </c>
      <c r="H627" s="19">
        <f>IFERROR(VLOOKUP($B627,'开奖记录'!$A:$K,9,FALSE),"")</f>
        <v/>
      </c>
      <c r="I627" s="19">
        <f>IFERROR(VLOOKUP($B627,'开奖记录'!$A:$K,11,FALSE),"")</f>
        <v/>
      </c>
      <c r="J627" s="19">
        <f>IF($B627="","",IF(ISNUMBER($D627),"命中",IF(ISNUMBER($E627),"未命中","")))</f>
        <v/>
      </c>
      <c r="K627" s="19" t="inlineStr"/>
      <c r="L627" s="19">
        <f>IFERROR(TEXT(VLOOKUP($B627-1,开奖记录!$A:$L,3,FALSE),"00")&amp;"+5="&amp;VLOOKUP(MOD(VLOOKUP($B627-1,开奖记录!$A:$L,3,FALSE)+4,49)+1,规律参数!$A:$C,3,FALSE),"")</f>
        <v/>
      </c>
      <c r="M627" s="19">
        <f>IF(L627="","",IF(I627="","待开奖",IF(ISNUMBER(SEARCH(I627,L627)),"命中","未命中")))</f>
        <v/>
      </c>
      <c r="N627" s="19">
        <f>IFERROR(VLOOKUP(VLOOKUP($B627-1,开奖记录!$A:$L,11,FALSE),八肖参数!$A:$B,2,FALSE),"")</f>
        <v/>
      </c>
      <c r="O627" s="19">
        <f>IF(N627="","",IF(I627="","待开奖",IF(ISNUMBER(SEARCH(I627,N627)),"命中","未命中")))</f>
        <v/>
      </c>
    </row>
    <row r="628">
      <c r="A628" s="19" t="n">
        <v>627</v>
      </c>
      <c r="B628" s="19">
        <f>IF(COUNTA(C628:E628)=0,"",B627+1)</f>
        <v/>
      </c>
      <c r="C628" s="19" t="inlineStr"/>
      <c r="D628" s="19" t="n"/>
      <c r="E628" s="19" t="n"/>
      <c r="F628" s="19">
        <f>IF(COUNTA(D628:E628)=0,"",N(D628)-N(E628))</f>
        <v/>
      </c>
      <c r="G628" s="19">
        <f>IFERROR(VLOOKUP($B628,'开奖记录'!$A:$K,2,FALSE),"")</f>
        <v/>
      </c>
      <c r="H628" s="19">
        <f>IFERROR(VLOOKUP($B628,'开奖记录'!$A:$K,9,FALSE),"")</f>
        <v/>
      </c>
      <c r="I628" s="19">
        <f>IFERROR(VLOOKUP($B628,'开奖记录'!$A:$K,11,FALSE),"")</f>
        <v/>
      </c>
      <c r="J628" s="19">
        <f>IF($B628="","",IF(ISNUMBER($D628),"命中",IF(ISNUMBER($E628),"未命中","")))</f>
        <v/>
      </c>
      <c r="K628" s="19" t="inlineStr"/>
      <c r="L628" s="19">
        <f>IFERROR(TEXT(VLOOKUP($B628-1,开奖记录!$A:$L,3,FALSE),"00")&amp;"+5="&amp;VLOOKUP(MOD(VLOOKUP($B628-1,开奖记录!$A:$L,3,FALSE)+4,49)+1,规律参数!$A:$C,3,FALSE),"")</f>
        <v/>
      </c>
      <c r="M628" s="19">
        <f>IF(L628="","",IF(I628="","待开奖",IF(ISNUMBER(SEARCH(I628,L628)),"命中","未命中")))</f>
        <v/>
      </c>
      <c r="N628" s="19">
        <f>IFERROR(VLOOKUP(VLOOKUP($B628-1,开奖记录!$A:$L,11,FALSE),八肖参数!$A:$B,2,FALSE),"")</f>
        <v/>
      </c>
      <c r="O628" s="19">
        <f>IF(N628="","",IF(I628="","待开奖",IF(ISNUMBER(SEARCH(I628,N628)),"命中","未命中")))</f>
        <v/>
      </c>
    </row>
    <row r="629">
      <c r="A629" s="19" t="n">
        <v>628</v>
      </c>
      <c r="B629" s="19">
        <f>IF(COUNTA(C629:E629)=0,"",B628+1)</f>
        <v/>
      </c>
      <c r="C629" s="19" t="inlineStr"/>
      <c r="D629" s="19" t="n"/>
      <c r="E629" s="19" t="n"/>
      <c r="F629" s="19">
        <f>IF(COUNTA(D629:E629)=0,"",N(D629)-N(E629))</f>
        <v/>
      </c>
      <c r="G629" s="19">
        <f>IFERROR(VLOOKUP($B629,'开奖记录'!$A:$K,2,FALSE),"")</f>
        <v/>
      </c>
      <c r="H629" s="19">
        <f>IFERROR(VLOOKUP($B629,'开奖记录'!$A:$K,9,FALSE),"")</f>
        <v/>
      </c>
      <c r="I629" s="19">
        <f>IFERROR(VLOOKUP($B629,'开奖记录'!$A:$K,11,FALSE),"")</f>
        <v/>
      </c>
      <c r="J629" s="19">
        <f>IF($B629="","",IF(ISNUMBER($D629),"命中",IF(ISNUMBER($E629),"未命中","")))</f>
        <v/>
      </c>
      <c r="K629" s="19" t="inlineStr"/>
      <c r="L629" s="19">
        <f>IFERROR(TEXT(VLOOKUP($B629-1,开奖记录!$A:$L,3,FALSE),"00")&amp;"+5="&amp;VLOOKUP(MOD(VLOOKUP($B629-1,开奖记录!$A:$L,3,FALSE)+4,49)+1,规律参数!$A:$C,3,FALSE),"")</f>
        <v/>
      </c>
      <c r="M629" s="19">
        <f>IF(L629="","",IF(I629="","待开奖",IF(ISNUMBER(SEARCH(I629,L629)),"命中","未命中")))</f>
        <v/>
      </c>
      <c r="N629" s="19">
        <f>IFERROR(VLOOKUP(VLOOKUP($B629-1,开奖记录!$A:$L,11,FALSE),八肖参数!$A:$B,2,FALSE),"")</f>
        <v/>
      </c>
      <c r="O629" s="19">
        <f>IF(N629="","",IF(I629="","待开奖",IF(ISNUMBER(SEARCH(I629,N629)),"命中","未命中")))</f>
        <v/>
      </c>
    </row>
    <row r="630">
      <c r="A630" s="19" t="n">
        <v>629</v>
      </c>
      <c r="B630" s="19">
        <f>IF(COUNTA(C630:E630)=0,"",B629+1)</f>
        <v/>
      </c>
      <c r="C630" s="19" t="inlineStr"/>
      <c r="D630" s="19" t="n"/>
      <c r="E630" s="19" t="n"/>
      <c r="F630" s="19">
        <f>IF(COUNTA(D630:E630)=0,"",N(D630)-N(E630))</f>
        <v/>
      </c>
      <c r="G630" s="19">
        <f>IFERROR(VLOOKUP($B630,'开奖记录'!$A:$K,2,FALSE),"")</f>
        <v/>
      </c>
      <c r="H630" s="19">
        <f>IFERROR(VLOOKUP($B630,'开奖记录'!$A:$K,9,FALSE),"")</f>
        <v/>
      </c>
      <c r="I630" s="19">
        <f>IFERROR(VLOOKUP($B630,'开奖记录'!$A:$K,11,FALSE),"")</f>
        <v/>
      </c>
      <c r="J630" s="19">
        <f>IF($B630="","",IF(ISNUMBER($D630),"命中",IF(ISNUMBER($E630),"未命中","")))</f>
        <v/>
      </c>
      <c r="K630" s="19" t="inlineStr"/>
      <c r="L630" s="19">
        <f>IFERROR(TEXT(VLOOKUP($B630-1,开奖记录!$A:$L,3,FALSE),"00")&amp;"+5="&amp;VLOOKUP(MOD(VLOOKUP($B630-1,开奖记录!$A:$L,3,FALSE)+4,49)+1,规律参数!$A:$C,3,FALSE),"")</f>
        <v/>
      </c>
      <c r="M630" s="19">
        <f>IF(L630="","",IF(I630="","待开奖",IF(ISNUMBER(SEARCH(I630,L630)),"命中","未命中")))</f>
        <v/>
      </c>
      <c r="N630" s="19">
        <f>IFERROR(VLOOKUP(VLOOKUP($B630-1,开奖记录!$A:$L,11,FALSE),八肖参数!$A:$B,2,FALSE),"")</f>
        <v/>
      </c>
      <c r="O630" s="19">
        <f>IF(N630="","",IF(I630="","待开奖",IF(ISNUMBER(SEARCH(I630,N630)),"命中","未命中")))</f>
        <v/>
      </c>
    </row>
    <row r="631">
      <c r="A631" s="19" t="n">
        <v>630</v>
      </c>
      <c r="B631" s="19">
        <f>IF(COUNTA(C631:E631)=0,"",B630+1)</f>
        <v/>
      </c>
      <c r="C631" s="19" t="inlineStr"/>
      <c r="D631" s="19" t="n"/>
      <c r="E631" s="19" t="n"/>
      <c r="F631" s="19">
        <f>IF(COUNTA(D631:E631)=0,"",N(D631)-N(E631))</f>
        <v/>
      </c>
      <c r="G631" s="19">
        <f>IFERROR(VLOOKUP($B631,'开奖记录'!$A:$K,2,FALSE),"")</f>
        <v/>
      </c>
      <c r="H631" s="19">
        <f>IFERROR(VLOOKUP($B631,'开奖记录'!$A:$K,9,FALSE),"")</f>
        <v/>
      </c>
      <c r="I631" s="19">
        <f>IFERROR(VLOOKUP($B631,'开奖记录'!$A:$K,11,FALSE),"")</f>
        <v/>
      </c>
      <c r="J631" s="19">
        <f>IF($B631="","",IF(ISNUMBER($D631),"命中",IF(ISNUMBER($E631),"未命中","")))</f>
        <v/>
      </c>
      <c r="K631" s="19" t="inlineStr"/>
      <c r="L631" s="19">
        <f>IFERROR(TEXT(VLOOKUP($B631-1,开奖记录!$A:$L,3,FALSE),"00")&amp;"+5="&amp;VLOOKUP(MOD(VLOOKUP($B631-1,开奖记录!$A:$L,3,FALSE)+4,49)+1,规律参数!$A:$C,3,FALSE),"")</f>
        <v/>
      </c>
      <c r="M631" s="19">
        <f>IF(L631="","",IF(I631="","待开奖",IF(ISNUMBER(SEARCH(I631,L631)),"命中","未命中")))</f>
        <v/>
      </c>
      <c r="N631" s="19">
        <f>IFERROR(VLOOKUP(VLOOKUP($B631-1,开奖记录!$A:$L,11,FALSE),八肖参数!$A:$B,2,FALSE),"")</f>
        <v/>
      </c>
      <c r="O631" s="19">
        <f>IF(N631="","",IF(I631="","待开奖",IF(ISNUMBER(SEARCH(I631,N631)),"命中","未命中")))</f>
        <v/>
      </c>
    </row>
    <row r="632">
      <c r="A632" s="19" t="n">
        <v>631</v>
      </c>
      <c r="B632" s="19">
        <f>IF(COUNTA(C632:E632)=0,"",B631+1)</f>
        <v/>
      </c>
      <c r="C632" s="19" t="inlineStr"/>
      <c r="D632" s="19" t="n"/>
      <c r="E632" s="19" t="n"/>
      <c r="F632" s="19">
        <f>IF(COUNTA(D632:E632)=0,"",N(D632)-N(E632))</f>
        <v/>
      </c>
      <c r="G632" s="19">
        <f>IFERROR(VLOOKUP($B632,'开奖记录'!$A:$K,2,FALSE),"")</f>
        <v/>
      </c>
      <c r="H632" s="19">
        <f>IFERROR(VLOOKUP($B632,'开奖记录'!$A:$K,9,FALSE),"")</f>
        <v/>
      </c>
      <c r="I632" s="19">
        <f>IFERROR(VLOOKUP($B632,'开奖记录'!$A:$K,11,FALSE),"")</f>
        <v/>
      </c>
      <c r="J632" s="19">
        <f>IF($B632="","",IF(ISNUMBER($D632),"命中",IF(ISNUMBER($E632),"未命中","")))</f>
        <v/>
      </c>
      <c r="K632" s="19" t="inlineStr"/>
      <c r="L632" s="19">
        <f>IFERROR(TEXT(VLOOKUP($B632-1,开奖记录!$A:$L,3,FALSE),"00")&amp;"+5="&amp;VLOOKUP(MOD(VLOOKUP($B632-1,开奖记录!$A:$L,3,FALSE)+4,49)+1,规律参数!$A:$C,3,FALSE),"")</f>
        <v/>
      </c>
      <c r="M632" s="19">
        <f>IF(L632="","",IF(I632="","待开奖",IF(ISNUMBER(SEARCH(I632,L632)),"命中","未命中")))</f>
        <v/>
      </c>
      <c r="N632" s="19">
        <f>IFERROR(VLOOKUP(VLOOKUP($B632-1,开奖记录!$A:$L,11,FALSE),八肖参数!$A:$B,2,FALSE),"")</f>
        <v/>
      </c>
      <c r="O632" s="19">
        <f>IF(N632="","",IF(I632="","待开奖",IF(ISNUMBER(SEARCH(I632,N632)),"命中","未命中")))</f>
        <v/>
      </c>
    </row>
    <row r="633">
      <c r="A633" s="19" t="n">
        <v>632</v>
      </c>
      <c r="B633" s="19">
        <f>IF(COUNTA(C633:E633)=0,"",B632+1)</f>
        <v/>
      </c>
      <c r="C633" s="19" t="inlineStr"/>
      <c r="D633" s="19" t="n"/>
      <c r="E633" s="19" t="n"/>
      <c r="F633" s="19">
        <f>IF(COUNTA(D633:E633)=0,"",N(D633)-N(E633))</f>
        <v/>
      </c>
      <c r="G633" s="19">
        <f>IFERROR(VLOOKUP($B633,'开奖记录'!$A:$K,2,FALSE),"")</f>
        <v/>
      </c>
      <c r="H633" s="19">
        <f>IFERROR(VLOOKUP($B633,'开奖记录'!$A:$K,9,FALSE),"")</f>
        <v/>
      </c>
      <c r="I633" s="19">
        <f>IFERROR(VLOOKUP($B633,'开奖记录'!$A:$K,11,FALSE),"")</f>
        <v/>
      </c>
      <c r="J633" s="19">
        <f>IF($B633="","",IF(ISNUMBER($D633),"命中",IF(ISNUMBER($E633),"未命中","")))</f>
        <v/>
      </c>
      <c r="K633" s="19" t="inlineStr"/>
      <c r="L633" s="19">
        <f>IFERROR(TEXT(VLOOKUP($B633-1,开奖记录!$A:$L,3,FALSE),"00")&amp;"+5="&amp;VLOOKUP(MOD(VLOOKUP($B633-1,开奖记录!$A:$L,3,FALSE)+4,49)+1,规律参数!$A:$C,3,FALSE),"")</f>
        <v/>
      </c>
      <c r="M633" s="19">
        <f>IF(L633="","",IF(I633="","待开奖",IF(ISNUMBER(SEARCH(I633,L633)),"命中","未命中")))</f>
        <v/>
      </c>
      <c r="N633" s="19">
        <f>IFERROR(VLOOKUP(VLOOKUP($B633-1,开奖记录!$A:$L,11,FALSE),八肖参数!$A:$B,2,FALSE),"")</f>
        <v/>
      </c>
      <c r="O633" s="19">
        <f>IF(N633="","",IF(I633="","待开奖",IF(ISNUMBER(SEARCH(I633,N633)),"命中","未命中")))</f>
        <v/>
      </c>
    </row>
    <row r="634">
      <c r="A634" s="19" t="n">
        <v>633</v>
      </c>
      <c r="B634" s="19">
        <f>IF(COUNTA(C634:E634)=0,"",B633+1)</f>
        <v/>
      </c>
      <c r="C634" s="19" t="inlineStr"/>
      <c r="D634" s="19" t="n"/>
      <c r="E634" s="19" t="n"/>
      <c r="F634" s="19">
        <f>IF(COUNTA(D634:E634)=0,"",N(D634)-N(E634))</f>
        <v/>
      </c>
      <c r="G634" s="19">
        <f>IFERROR(VLOOKUP($B634,'开奖记录'!$A:$K,2,FALSE),"")</f>
        <v/>
      </c>
      <c r="H634" s="19">
        <f>IFERROR(VLOOKUP($B634,'开奖记录'!$A:$K,9,FALSE),"")</f>
        <v/>
      </c>
      <c r="I634" s="19">
        <f>IFERROR(VLOOKUP($B634,'开奖记录'!$A:$K,11,FALSE),"")</f>
        <v/>
      </c>
      <c r="J634" s="19">
        <f>IF($B634="","",IF(ISNUMBER($D634),"命中",IF(ISNUMBER($E634),"未命中","")))</f>
        <v/>
      </c>
      <c r="K634" s="19" t="inlineStr"/>
      <c r="L634" s="19">
        <f>IFERROR(TEXT(VLOOKUP($B634-1,开奖记录!$A:$L,3,FALSE),"00")&amp;"+5="&amp;VLOOKUP(MOD(VLOOKUP($B634-1,开奖记录!$A:$L,3,FALSE)+4,49)+1,规律参数!$A:$C,3,FALSE),"")</f>
        <v/>
      </c>
      <c r="M634" s="19">
        <f>IF(L634="","",IF(I634="","待开奖",IF(ISNUMBER(SEARCH(I634,L634)),"命中","未命中")))</f>
        <v/>
      </c>
      <c r="N634" s="19">
        <f>IFERROR(VLOOKUP(VLOOKUP($B634-1,开奖记录!$A:$L,11,FALSE),八肖参数!$A:$B,2,FALSE),"")</f>
        <v/>
      </c>
      <c r="O634" s="19">
        <f>IF(N634="","",IF(I634="","待开奖",IF(ISNUMBER(SEARCH(I634,N634)),"命中","未命中")))</f>
        <v/>
      </c>
    </row>
    <row r="635">
      <c r="A635" s="19" t="n">
        <v>634</v>
      </c>
      <c r="B635" s="19">
        <f>IF(COUNTA(C635:E635)=0,"",B634+1)</f>
        <v/>
      </c>
      <c r="C635" s="19" t="inlineStr"/>
      <c r="D635" s="19" t="n"/>
      <c r="E635" s="19" t="n"/>
      <c r="F635" s="19">
        <f>IF(COUNTA(D635:E635)=0,"",N(D635)-N(E635))</f>
        <v/>
      </c>
      <c r="G635" s="19">
        <f>IFERROR(VLOOKUP($B635,'开奖记录'!$A:$K,2,FALSE),"")</f>
        <v/>
      </c>
      <c r="H635" s="19">
        <f>IFERROR(VLOOKUP($B635,'开奖记录'!$A:$K,9,FALSE),"")</f>
        <v/>
      </c>
      <c r="I635" s="19">
        <f>IFERROR(VLOOKUP($B635,'开奖记录'!$A:$K,11,FALSE),"")</f>
        <v/>
      </c>
      <c r="J635" s="19">
        <f>IF($B635="","",IF(ISNUMBER($D635),"命中",IF(ISNUMBER($E635),"未命中","")))</f>
        <v/>
      </c>
      <c r="K635" s="19" t="inlineStr"/>
      <c r="L635" s="19">
        <f>IFERROR(TEXT(VLOOKUP($B635-1,开奖记录!$A:$L,3,FALSE),"00")&amp;"+5="&amp;VLOOKUP(MOD(VLOOKUP($B635-1,开奖记录!$A:$L,3,FALSE)+4,49)+1,规律参数!$A:$C,3,FALSE),"")</f>
        <v/>
      </c>
      <c r="M635" s="19">
        <f>IF(L635="","",IF(I635="","待开奖",IF(ISNUMBER(SEARCH(I635,L635)),"命中","未命中")))</f>
        <v/>
      </c>
      <c r="N635" s="19">
        <f>IFERROR(VLOOKUP(VLOOKUP($B635-1,开奖记录!$A:$L,11,FALSE),八肖参数!$A:$B,2,FALSE),"")</f>
        <v/>
      </c>
      <c r="O635" s="19">
        <f>IF(N635="","",IF(I635="","待开奖",IF(ISNUMBER(SEARCH(I635,N635)),"命中","未命中")))</f>
        <v/>
      </c>
    </row>
    <row r="636">
      <c r="A636" s="19" t="n">
        <v>635</v>
      </c>
      <c r="B636" s="19">
        <f>IF(COUNTA(C636:E636)=0,"",B635+1)</f>
        <v/>
      </c>
      <c r="C636" s="19" t="inlineStr"/>
      <c r="D636" s="19" t="n"/>
      <c r="E636" s="19" t="n"/>
      <c r="F636" s="19">
        <f>IF(COUNTA(D636:E636)=0,"",N(D636)-N(E636))</f>
        <v/>
      </c>
      <c r="G636" s="19">
        <f>IFERROR(VLOOKUP($B636,'开奖记录'!$A:$K,2,FALSE),"")</f>
        <v/>
      </c>
      <c r="H636" s="19">
        <f>IFERROR(VLOOKUP($B636,'开奖记录'!$A:$K,9,FALSE),"")</f>
        <v/>
      </c>
      <c r="I636" s="19">
        <f>IFERROR(VLOOKUP($B636,'开奖记录'!$A:$K,11,FALSE),"")</f>
        <v/>
      </c>
      <c r="J636" s="19">
        <f>IF($B636="","",IF(ISNUMBER($D636),"命中",IF(ISNUMBER($E636),"未命中","")))</f>
        <v/>
      </c>
      <c r="K636" s="19" t="inlineStr"/>
      <c r="L636" s="19">
        <f>IFERROR(TEXT(VLOOKUP($B636-1,开奖记录!$A:$L,3,FALSE),"00")&amp;"+5="&amp;VLOOKUP(MOD(VLOOKUP($B636-1,开奖记录!$A:$L,3,FALSE)+4,49)+1,规律参数!$A:$C,3,FALSE),"")</f>
        <v/>
      </c>
      <c r="M636" s="19">
        <f>IF(L636="","",IF(I636="","待开奖",IF(ISNUMBER(SEARCH(I636,L636)),"命中","未命中")))</f>
        <v/>
      </c>
      <c r="N636" s="19">
        <f>IFERROR(VLOOKUP(VLOOKUP($B636-1,开奖记录!$A:$L,11,FALSE),八肖参数!$A:$B,2,FALSE),"")</f>
        <v/>
      </c>
      <c r="O636" s="19">
        <f>IF(N636="","",IF(I636="","待开奖",IF(ISNUMBER(SEARCH(I636,N636)),"命中","未命中")))</f>
        <v/>
      </c>
    </row>
    <row r="637">
      <c r="A637" s="19" t="n">
        <v>636</v>
      </c>
      <c r="B637" s="19">
        <f>IF(COUNTA(C637:E637)=0,"",B636+1)</f>
        <v/>
      </c>
      <c r="C637" s="19" t="inlineStr"/>
      <c r="D637" s="19" t="n"/>
      <c r="E637" s="19" t="n"/>
      <c r="F637" s="19">
        <f>IF(COUNTA(D637:E637)=0,"",N(D637)-N(E637))</f>
        <v/>
      </c>
      <c r="G637" s="19">
        <f>IFERROR(VLOOKUP($B637,'开奖记录'!$A:$K,2,FALSE),"")</f>
        <v/>
      </c>
      <c r="H637" s="19">
        <f>IFERROR(VLOOKUP($B637,'开奖记录'!$A:$K,9,FALSE),"")</f>
        <v/>
      </c>
      <c r="I637" s="19">
        <f>IFERROR(VLOOKUP($B637,'开奖记录'!$A:$K,11,FALSE),"")</f>
        <v/>
      </c>
      <c r="J637" s="19">
        <f>IF($B637="","",IF(ISNUMBER($D637),"命中",IF(ISNUMBER($E637),"未命中","")))</f>
        <v/>
      </c>
      <c r="K637" s="19" t="inlineStr"/>
      <c r="L637" s="19">
        <f>IFERROR(TEXT(VLOOKUP($B637-1,开奖记录!$A:$L,3,FALSE),"00")&amp;"+5="&amp;VLOOKUP(MOD(VLOOKUP($B637-1,开奖记录!$A:$L,3,FALSE)+4,49)+1,规律参数!$A:$C,3,FALSE),"")</f>
        <v/>
      </c>
      <c r="M637" s="19">
        <f>IF(L637="","",IF(I637="","待开奖",IF(ISNUMBER(SEARCH(I637,L637)),"命中","未命中")))</f>
        <v/>
      </c>
      <c r="N637" s="19">
        <f>IFERROR(VLOOKUP(VLOOKUP($B637-1,开奖记录!$A:$L,11,FALSE),八肖参数!$A:$B,2,FALSE),"")</f>
        <v/>
      </c>
      <c r="O637" s="19">
        <f>IF(N637="","",IF(I637="","待开奖",IF(ISNUMBER(SEARCH(I637,N637)),"命中","未命中")))</f>
        <v/>
      </c>
    </row>
    <row r="638">
      <c r="A638" s="19" t="n">
        <v>637</v>
      </c>
      <c r="B638" s="19">
        <f>IF(COUNTA(C638:E638)=0,"",B637+1)</f>
        <v/>
      </c>
      <c r="C638" s="19" t="inlineStr"/>
      <c r="D638" s="19" t="n"/>
      <c r="E638" s="19" t="n"/>
      <c r="F638" s="19">
        <f>IF(COUNTA(D638:E638)=0,"",N(D638)-N(E638))</f>
        <v/>
      </c>
      <c r="G638" s="19">
        <f>IFERROR(VLOOKUP($B638,'开奖记录'!$A:$K,2,FALSE),"")</f>
        <v/>
      </c>
      <c r="H638" s="19">
        <f>IFERROR(VLOOKUP($B638,'开奖记录'!$A:$K,9,FALSE),"")</f>
        <v/>
      </c>
      <c r="I638" s="19">
        <f>IFERROR(VLOOKUP($B638,'开奖记录'!$A:$K,11,FALSE),"")</f>
        <v/>
      </c>
      <c r="J638" s="19">
        <f>IF($B638="","",IF(ISNUMBER($D638),"命中",IF(ISNUMBER($E638),"未命中","")))</f>
        <v/>
      </c>
      <c r="K638" s="19" t="inlineStr"/>
      <c r="L638" s="19">
        <f>IFERROR(TEXT(VLOOKUP($B638-1,开奖记录!$A:$L,3,FALSE),"00")&amp;"+5="&amp;VLOOKUP(MOD(VLOOKUP($B638-1,开奖记录!$A:$L,3,FALSE)+4,49)+1,规律参数!$A:$C,3,FALSE),"")</f>
        <v/>
      </c>
      <c r="M638" s="19">
        <f>IF(L638="","",IF(I638="","待开奖",IF(ISNUMBER(SEARCH(I638,L638)),"命中","未命中")))</f>
        <v/>
      </c>
      <c r="N638" s="19">
        <f>IFERROR(VLOOKUP(VLOOKUP($B638-1,开奖记录!$A:$L,11,FALSE),八肖参数!$A:$B,2,FALSE),"")</f>
        <v/>
      </c>
      <c r="O638" s="19">
        <f>IF(N638="","",IF(I638="","待开奖",IF(ISNUMBER(SEARCH(I638,N638)),"命中","未命中")))</f>
        <v/>
      </c>
    </row>
    <row r="639">
      <c r="A639" s="19" t="n">
        <v>638</v>
      </c>
      <c r="B639" s="19">
        <f>IF(COUNTA(C639:E639)=0,"",B638+1)</f>
        <v/>
      </c>
      <c r="C639" s="19" t="inlineStr"/>
      <c r="D639" s="19" t="n"/>
      <c r="E639" s="19" t="n"/>
      <c r="F639" s="19">
        <f>IF(COUNTA(D639:E639)=0,"",N(D639)-N(E639))</f>
        <v/>
      </c>
      <c r="G639" s="19">
        <f>IFERROR(VLOOKUP($B639,'开奖记录'!$A:$K,2,FALSE),"")</f>
        <v/>
      </c>
      <c r="H639" s="19">
        <f>IFERROR(VLOOKUP($B639,'开奖记录'!$A:$K,9,FALSE),"")</f>
        <v/>
      </c>
      <c r="I639" s="19">
        <f>IFERROR(VLOOKUP($B639,'开奖记录'!$A:$K,11,FALSE),"")</f>
        <v/>
      </c>
      <c r="J639" s="19">
        <f>IF($B639="","",IF(ISNUMBER($D639),"命中",IF(ISNUMBER($E639),"未命中","")))</f>
        <v/>
      </c>
      <c r="K639" s="19" t="inlineStr"/>
      <c r="L639" s="19">
        <f>IFERROR(TEXT(VLOOKUP($B639-1,开奖记录!$A:$L,3,FALSE),"00")&amp;"+5="&amp;VLOOKUP(MOD(VLOOKUP($B639-1,开奖记录!$A:$L,3,FALSE)+4,49)+1,规律参数!$A:$C,3,FALSE),"")</f>
        <v/>
      </c>
      <c r="M639" s="19">
        <f>IF(L639="","",IF(I639="","待开奖",IF(ISNUMBER(SEARCH(I639,L639)),"命中","未命中")))</f>
        <v/>
      </c>
      <c r="N639" s="19">
        <f>IFERROR(VLOOKUP(VLOOKUP($B639-1,开奖记录!$A:$L,11,FALSE),八肖参数!$A:$B,2,FALSE),"")</f>
        <v/>
      </c>
      <c r="O639" s="19">
        <f>IF(N639="","",IF(I639="","待开奖",IF(ISNUMBER(SEARCH(I639,N639)),"命中","未命中")))</f>
        <v/>
      </c>
    </row>
    <row r="640">
      <c r="A640" s="19" t="n">
        <v>639</v>
      </c>
      <c r="B640" s="19">
        <f>IF(COUNTA(C640:E640)=0,"",B639+1)</f>
        <v/>
      </c>
      <c r="C640" s="19" t="inlineStr"/>
      <c r="D640" s="19" t="n"/>
      <c r="E640" s="19" t="n"/>
      <c r="F640" s="19">
        <f>IF(COUNTA(D640:E640)=0,"",N(D640)-N(E640))</f>
        <v/>
      </c>
      <c r="G640" s="19">
        <f>IFERROR(VLOOKUP($B640,'开奖记录'!$A:$K,2,FALSE),"")</f>
        <v/>
      </c>
      <c r="H640" s="19">
        <f>IFERROR(VLOOKUP($B640,'开奖记录'!$A:$K,9,FALSE),"")</f>
        <v/>
      </c>
      <c r="I640" s="19">
        <f>IFERROR(VLOOKUP($B640,'开奖记录'!$A:$K,11,FALSE),"")</f>
        <v/>
      </c>
      <c r="J640" s="19">
        <f>IF($B640="","",IF(ISNUMBER($D640),"命中",IF(ISNUMBER($E640),"未命中","")))</f>
        <v/>
      </c>
      <c r="K640" s="19" t="inlineStr"/>
      <c r="L640" s="19">
        <f>IFERROR(TEXT(VLOOKUP($B640-1,开奖记录!$A:$L,3,FALSE),"00")&amp;"+5="&amp;VLOOKUP(MOD(VLOOKUP($B640-1,开奖记录!$A:$L,3,FALSE)+4,49)+1,规律参数!$A:$C,3,FALSE),"")</f>
        <v/>
      </c>
      <c r="M640" s="19">
        <f>IF(L640="","",IF(I640="","待开奖",IF(ISNUMBER(SEARCH(I640,L640)),"命中","未命中")))</f>
        <v/>
      </c>
      <c r="N640" s="19">
        <f>IFERROR(VLOOKUP(VLOOKUP($B640-1,开奖记录!$A:$L,11,FALSE),八肖参数!$A:$B,2,FALSE),"")</f>
        <v/>
      </c>
      <c r="O640" s="19">
        <f>IF(N640="","",IF(I640="","待开奖",IF(ISNUMBER(SEARCH(I640,N640)),"命中","未命中")))</f>
        <v/>
      </c>
    </row>
    <row r="641">
      <c r="A641" s="19" t="n">
        <v>640</v>
      </c>
      <c r="B641" s="19">
        <f>IF(COUNTA(C641:E641)=0,"",B640+1)</f>
        <v/>
      </c>
      <c r="C641" s="19" t="inlineStr"/>
      <c r="D641" s="19" t="n"/>
      <c r="E641" s="19" t="n"/>
      <c r="F641" s="19">
        <f>IF(COUNTA(D641:E641)=0,"",N(D641)-N(E641))</f>
        <v/>
      </c>
      <c r="G641" s="19">
        <f>IFERROR(VLOOKUP($B641,'开奖记录'!$A:$K,2,FALSE),"")</f>
        <v/>
      </c>
      <c r="H641" s="19">
        <f>IFERROR(VLOOKUP($B641,'开奖记录'!$A:$K,9,FALSE),"")</f>
        <v/>
      </c>
      <c r="I641" s="19">
        <f>IFERROR(VLOOKUP($B641,'开奖记录'!$A:$K,11,FALSE),"")</f>
        <v/>
      </c>
      <c r="J641" s="19">
        <f>IF($B641="","",IF(ISNUMBER($D641),"命中",IF(ISNUMBER($E641),"未命中","")))</f>
        <v/>
      </c>
      <c r="K641" s="19" t="inlineStr"/>
      <c r="L641" s="19">
        <f>IFERROR(TEXT(VLOOKUP($B641-1,开奖记录!$A:$L,3,FALSE),"00")&amp;"+5="&amp;VLOOKUP(MOD(VLOOKUP($B641-1,开奖记录!$A:$L,3,FALSE)+4,49)+1,规律参数!$A:$C,3,FALSE),"")</f>
        <v/>
      </c>
      <c r="M641" s="19">
        <f>IF(L641="","",IF(I641="","待开奖",IF(ISNUMBER(SEARCH(I641,L641)),"命中","未命中")))</f>
        <v/>
      </c>
      <c r="N641" s="19">
        <f>IFERROR(VLOOKUP(VLOOKUP($B641-1,开奖记录!$A:$L,11,FALSE),八肖参数!$A:$B,2,FALSE),"")</f>
        <v/>
      </c>
      <c r="O641" s="19">
        <f>IF(N641="","",IF(I641="","待开奖",IF(ISNUMBER(SEARCH(I641,N641)),"命中","未命中")))</f>
        <v/>
      </c>
    </row>
    <row r="642">
      <c r="A642" s="19" t="n">
        <v>641</v>
      </c>
      <c r="B642" s="19">
        <f>IF(COUNTA(C642:E642)=0,"",B641+1)</f>
        <v/>
      </c>
      <c r="C642" s="19" t="inlineStr"/>
      <c r="D642" s="19" t="n"/>
      <c r="E642" s="19" t="n"/>
      <c r="F642" s="19">
        <f>IF(COUNTA(D642:E642)=0,"",N(D642)-N(E642))</f>
        <v/>
      </c>
      <c r="G642" s="19">
        <f>IFERROR(VLOOKUP($B642,'开奖记录'!$A:$K,2,FALSE),"")</f>
        <v/>
      </c>
      <c r="H642" s="19">
        <f>IFERROR(VLOOKUP($B642,'开奖记录'!$A:$K,9,FALSE),"")</f>
        <v/>
      </c>
      <c r="I642" s="19">
        <f>IFERROR(VLOOKUP($B642,'开奖记录'!$A:$K,11,FALSE),"")</f>
        <v/>
      </c>
      <c r="J642" s="19">
        <f>IF($B642="","",IF(ISNUMBER($D642),"命中",IF(ISNUMBER($E642),"未命中","")))</f>
        <v/>
      </c>
      <c r="K642" s="19" t="inlineStr"/>
      <c r="L642" s="19">
        <f>IFERROR(TEXT(VLOOKUP($B642-1,开奖记录!$A:$L,3,FALSE),"00")&amp;"+5="&amp;VLOOKUP(MOD(VLOOKUP($B642-1,开奖记录!$A:$L,3,FALSE)+4,49)+1,规律参数!$A:$C,3,FALSE),"")</f>
        <v/>
      </c>
      <c r="M642" s="19">
        <f>IF(L642="","",IF(I642="","待开奖",IF(ISNUMBER(SEARCH(I642,L642)),"命中","未命中")))</f>
        <v/>
      </c>
      <c r="N642" s="19">
        <f>IFERROR(VLOOKUP(VLOOKUP($B642-1,开奖记录!$A:$L,11,FALSE),八肖参数!$A:$B,2,FALSE),"")</f>
        <v/>
      </c>
      <c r="O642" s="19">
        <f>IF(N642="","",IF(I642="","待开奖",IF(ISNUMBER(SEARCH(I642,N642)),"命中","未命中")))</f>
        <v/>
      </c>
    </row>
    <row r="643">
      <c r="A643" s="19" t="n">
        <v>642</v>
      </c>
      <c r="B643" s="19">
        <f>IF(COUNTA(C643:E643)=0,"",B642+1)</f>
        <v/>
      </c>
      <c r="C643" s="19" t="inlineStr"/>
      <c r="D643" s="19" t="n"/>
      <c r="E643" s="19" t="n"/>
      <c r="F643" s="19">
        <f>IF(COUNTA(D643:E643)=0,"",N(D643)-N(E643))</f>
        <v/>
      </c>
      <c r="G643" s="19">
        <f>IFERROR(VLOOKUP($B643,'开奖记录'!$A:$K,2,FALSE),"")</f>
        <v/>
      </c>
      <c r="H643" s="19">
        <f>IFERROR(VLOOKUP($B643,'开奖记录'!$A:$K,9,FALSE),"")</f>
        <v/>
      </c>
      <c r="I643" s="19">
        <f>IFERROR(VLOOKUP($B643,'开奖记录'!$A:$K,11,FALSE),"")</f>
        <v/>
      </c>
      <c r="J643" s="19">
        <f>IF($B643="","",IF(ISNUMBER($D643),"命中",IF(ISNUMBER($E643),"未命中","")))</f>
        <v/>
      </c>
      <c r="K643" s="19" t="inlineStr"/>
      <c r="L643" s="19">
        <f>IFERROR(TEXT(VLOOKUP($B643-1,开奖记录!$A:$L,3,FALSE),"00")&amp;"+5="&amp;VLOOKUP(MOD(VLOOKUP($B643-1,开奖记录!$A:$L,3,FALSE)+4,49)+1,规律参数!$A:$C,3,FALSE),"")</f>
        <v/>
      </c>
      <c r="M643" s="19">
        <f>IF(L643="","",IF(I643="","待开奖",IF(ISNUMBER(SEARCH(I643,L643)),"命中","未命中")))</f>
        <v/>
      </c>
      <c r="N643" s="19">
        <f>IFERROR(VLOOKUP(VLOOKUP($B643-1,开奖记录!$A:$L,11,FALSE),八肖参数!$A:$B,2,FALSE),"")</f>
        <v/>
      </c>
      <c r="O643" s="19">
        <f>IF(N643="","",IF(I643="","待开奖",IF(ISNUMBER(SEARCH(I643,N643)),"命中","未命中")))</f>
        <v/>
      </c>
    </row>
    <row r="644">
      <c r="A644" s="19" t="n">
        <v>643</v>
      </c>
      <c r="B644" s="19">
        <f>IF(COUNTA(C644:E644)=0,"",B643+1)</f>
        <v/>
      </c>
      <c r="C644" s="19" t="inlineStr"/>
      <c r="D644" s="19" t="n"/>
      <c r="E644" s="19" t="n"/>
      <c r="F644" s="19">
        <f>IF(COUNTA(D644:E644)=0,"",N(D644)-N(E644))</f>
        <v/>
      </c>
      <c r="G644" s="19">
        <f>IFERROR(VLOOKUP($B644,'开奖记录'!$A:$K,2,FALSE),"")</f>
        <v/>
      </c>
      <c r="H644" s="19">
        <f>IFERROR(VLOOKUP($B644,'开奖记录'!$A:$K,9,FALSE),"")</f>
        <v/>
      </c>
      <c r="I644" s="19">
        <f>IFERROR(VLOOKUP($B644,'开奖记录'!$A:$K,11,FALSE),"")</f>
        <v/>
      </c>
      <c r="J644" s="19">
        <f>IF($B644="","",IF(ISNUMBER($D644),"命中",IF(ISNUMBER($E644),"未命中","")))</f>
        <v/>
      </c>
      <c r="K644" s="19" t="inlineStr"/>
      <c r="L644" s="19">
        <f>IFERROR(TEXT(VLOOKUP($B644-1,开奖记录!$A:$L,3,FALSE),"00")&amp;"+5="&amp;VLOOKUP(MOD(VLOOKUP($B644-1,开奖记录!$A:$L,3,FALSE)+4,49)+1,规律参数!$A:$C,3,FALSE),"")</f>
        <v/>
      </c>
      <c r="M644" s="19">
        <f>IF(L644="","",IF(I644="","待开奖",IF(ISNUMBER(SEARCH(I644,L644)),"命中","未命中")))</f>
        <v/>
      </c>
      <c r="N644" s="19">
        <f>IFERROR(VLOOKUP(VLOOKUP($B644-1,开奖记录!$A:$L,11,FALSE),八肖参数!$A:$B,2,FALSE),"")</f>
        <v/>
      </c>
      <c r="O644" s="19">
        <f>IF(N644="","",IF(I644="","待开奖",IF(ISNUMBER(SEARCH(I644,N644)),"命中","未命中")))</f>
        <v/>
      </c>
    </row>
    <row r="645">
      <c r="A645" s="19" t="n">
        <v>644</v>
      </c>
      <c r="B645" s="19">
        <f>IF(COUNTA(C645:E645)=0,"",B644+1)</f>
        <v/>
      </c>
      <c r="C645" s="19" t="inlineStr"/>
      <c r="D645" s="19" t="n"/>
      <c r="E645" s="19" t="n"/>
      <c r="F645" s="19">
        <f>IF(COUNTA(D645:E645)=0,"",N(D645)-N(E645))</f>
        <v/>
      </c>
      <c r="G645" s="19">
        <f>IFERROR(VLOOKUP($B645,'开奖记录'!$A:$K,2,FALSE),"")</f>
        <v/>
      </c>
      <c r="H645" s="19">
        <f>IFERROR(VLOOKUP($B645,'开奖记录'!$A:$K,9,FALSE),"")</f>
        <v/>
      </c>
      <c r="I645" s="19">
        <f>IFERROR(VLOOKUP($B645,'开奖记录'!$A:$K,11,FALSE),"")</f>
        <v/>
      </c>
      <c r="J645" s="19">
        <f>IF($B645="","",IF(ISNUMBER($D645),"命中",IF(ISNUMBER($E645),"未命中","")))</f>
        <v/>
      </c>
      <c r="K645" s="19" t="inlineStr"/>
      <c r="L645" s="19">
        <f>IFERROR(TEXT(VLOOKUP($B645-1,开奖记录!$A:$L,3,FALSE),"00")&amp;"+5="&amp;VLOOKUP(MOD(VLOOKUP($B645-1,开奖记录!$A:$L,3,FALSE)+4,49)+1,规律参数!$A:$C,3,FALSE),"")</f>
        <v/>
      </c>
      <c r="M645" s="19">
        <f>IF(L645="","",IF(I645="","待开奖",IF(ISNUMBER(SEARCH(I645,L645)),"命中","未命中")))</f>
        <v/>
      </c>
      <c r="N645" s="19">
        <f>IFERROR(VLOOKUP(VLOOKUP($B645-1,开奖记录!$A:$L,11,FALSE),八肖参数!$A:$B,2,FALSE),"")</f>
        <v/>
      </c>
      <c r="O645" s="19">
        <f>IF(N645="","",IF(I645="","待开奖",IF(ISNUMBER(SEARCH(I645,N645)),"命中","未命中")))</f>
        <v/>
      </c>
    </row>
    <row r="646">
      <c r="A646" s="19" t="n">
        <v>645</v>
      </c>
      <c r="B646" s="19">
        <f>IF(COUNTA(C646:E646)=0,"",B645+1)</f>
        <v/>
      </c>
      <c r="C646" s="19" t="inlineStr"/>
      <c r="D646" s="19" t="n"/>
      <c r="E646" s="19" t="n"/>
      <c r="F646" s="19">
        <f>IF(COUNTA(D646:E646)=0,"",N(D646)-N(E646))</f>
        <v/>
      </c>
      <c r="G646" s="19">
        <f>IFERROR(VLOOKUP($B646,'开奖记录'!$A:$K,2,FALSE),"")</f>
        <v/>
      </c>
      <c r="H646" s="19">
        <f>IFERROR(VLOOKUP($B646,'开奖记录'!$A:$K,9,FALSE),"")</f>
        <v/>
      </c>
      <c r="I646" s="19">
        <f>IFERROR(VLOOKUP($B646,'开奖记录'!$A:$K,11,FALSE),"")</f>
        <v/>
      </c>
      <c r="J646" s="19">
        <f>IF($B646="","",IF(ISNUMBER($D646),"命中",IF(ISNUMBER($E646),"未命中","")))</f>
        <v/>
      </c>
      <c r="K646" s="19" t="inlineStr"/>
      <c r="L646" s="19">
        <f>IFERROR(TEXT(VLOOKUP($B646-1,开奖记录!$A:$L,3,FALSE),"00")&amp;"+5="&amp;VLOOKUP(MOD(VLOOKUP($B646-1,开奖记录!$A:$L,3,FALSE)+4,49)+1,规律参数!$A:$C,3,FALSE),"")</f>
        <v/>
      </c>
      <c r="M646" s="19">
        <f>IF(L646="","",IF(I646="","待开奖",IF(ISNUMBER(SEARCH(I646,L646)),"命中","未命中")))</f>
        <v/>
      </c>
      <c r="N646" s="19">
        <f>IFERROR(VLOOKUP(VLOOKUP($B646-1,开奖记录!$A:$L,11,FALSE),八肖参数!$A:$B,2,FALSE),"")</f>
        <v/>
      </c>
      <c r="O646" s="19">
        <f>IF(N646="","",IF(I646="","待开奖",IF(ISNUMBER(SEARCH(I646,N646)),"命中","未命中")))</f>
        <v/>
      </c>
    </row>
    <row r="647">
      <c r="A647" s="19" t="n">
        <v>646</v>
      </c>
      <c r="B647" s="19">
        <f>IF(COUNTA(C647:E647)=0,"",B646+1)</f>
        <v/>
      </c>
      <c r="C647" s="19" t="inlineStr"/>
      <c r="D647" s="19" t="n"/>
      <c r="E647" s="19" t="n"/>
      <c r="F647" s="19">
        <f>IF(COUNTA(D647:E647)=0,"",N(D647)-N(E647))</f>
        <v/>
      </c>
      <c r="G647" s="19">
        <f>IFERROR(VLOOKUP($B647,'开奖记录'!$A:$K,2,FALSE),"")</f>
        <v/>
      </c>
      <c r="H647" s="19">
        <f>IFERROR(VLOOKUP($B647,'开奖记录'!$A:$K,9,FALSE),"")</f>
        <v/>
      </c>
      <c r="I647" s="19">
        <f>IFERROR(VLOOKUP($B647,'开奖记录'!$A:$K,11,FALSE),"")</f>
        <v/>
      </c>
      <c r="J647" s="19">
        <f>IF($B647="","",IF(ISNUMBER($D647),"命中",IF(ISNUMBER($E647),"未命中","")))</f>
        <v/>
      </c>
      <c r="K647" s="19" t="inlineStr"/>
      <c r="L647" s="19">
        <f>IFERROR(TEXT(VLOOKUP($B647-1,开奖记录!$A:$L,3,FALSE),"00")&amp;"+5="&amp;VLOOKUP(MOD(VLOOKUP($B647-1,开奖记录!$A:$L,3,FALSE)+4,49)+1,规律参数!$A:$C,3,FALSE),"")</f>
        <v/>
      </c>
      <c r="M647" s="19">
        <f>IF(L647="","",IF(I647="","待开奖",IF(ISNUMBER(SEARCH(I647,L647)),"命中","未命中")))</f>
        <v/>
      </c>
      <c r="N647" s="19">
        <f>IFERROR(VLOOKUP(VLOOKUP($B647-1,开奖记录!$A:$L,11,FALSE),八肖参数!$A:$B,2,FALSE),"")</f>
        <v/>
      </c>
      <c r="O647" s="19">
        <f>IF(N647="","",IF(I647="","待开奖",IF(ISNUMBER(SEARCH(I647,N647)),"命中","未命中")))</f>
        <v/>
      </c>
    </row>
    <row r="648">
      <c r="A648" s="19" t="n">
        <v>647</v>
      </c>
      <c r="B648" s="19">
        <f>IF(COUNTA(C648:E648)=0,"",B647+1)</f>
        <v/>
      </c>
      <c r="C648" s="19" t="inlineStr"/>
      <c r="D648" s="19" t="n"/>
      <c r="E648" s="19" t="n"/>
      <c r="F648" s="19">
        <f>IF(COUNTA(D648:E648)=0,"",N(D648)-N(E648))</f>
        <v/>
      </c>
      <c r="G648" s="19">
        <f>IFERROR(VLOOKUP($B648,'开奖记录'!$A:$K,2,FALSE),"")</f>
        <v/>
      </c>
      <c r="H648" s="19">
        <f>IFERROR(VLOOKUP($B648,'开奖记录'!$A:$K,9,FALSE),"")</f>
        <v/>
      </c>
      <c r="I648" s="19">
        <f>IFERROR(VLOOKUP($B648,'开奖记录'!$A:$K,11,FALSE),"")</f>
        <v/>
      </c>
      <c r="J648" s="19">
        <f>IF($B648="","",IF(ISNUMBER($D648),"命中",IF(ISNUMBER($E648),"未命中","")))</f>
        <v/>
      </c>
      <c r="K648" s="19" t="inlineStr"/>
      <c r="L648" s="19">
        <f>IFERROR(TEXT(VLOOKUP($B648-1,开奖记录!$A:$L,3,FALSE),"00")&amp;"+5="&amp;VLOOKUP(MOD(VLOOKUP($B648-1,开奖记录!$A:$L,3,FALSE)+4,49)+1,规律参数!$A:$C,3,FALSE),"")</f>
        <v/>
      </c>
      <c r="M648" s="19">
        <f>IF(L648="","",IF(I648="","待开奖",IF(ISNUMBER(SEARCH(I648,L648)),"命中","未命中")))</f>
        <v/>
      </c>
      <c r="N648" s="19">
        <f>IFERROR(VLOOKUP(VLOOKUP($B648-1,开奖记录!$A:$L,11,FALSE),八肖参数!$A:$B,2,FALSE),"")</f>
        <v/>
      </c>
      <c r="O648" s="19">
        <f>IF(N648="","",IF(I648="","待开奖",IF(ISNUMBER(SEARCH(I648,N648)),"命中","未命中")))</f>
        <v/>
      </c>
    </row>
    <row r="649">
      <c r="A649" s="19" t="n">
        <v>648</v>
      </c>
      <c r="B649" s="19">
        <f>IF(COUNTA(C649:E649)=0,"",B648+1)</f>
        <v/>
      </c>
      <c r="C649" s="19" t="inlineStr"/>
      <c r="D649" s="19" t="n"/>
      <c r="E649" s="19" t="n"/>
      <c r="F649" s="19">
        <f>IF(COUNTA(D649:E649)=0,"",N(D649)-N(E649))</f>
        <v/>
      </c>
      <c r="G649" s="19">
        <f>IFERROR(VLOOKUP($B649,'开奖记录'!$A:$K,2,FALSE),"")</f>
        <v/>
      </c>
      <c r="H649" s="19">
        <f>IFERROR(VLOOKUP($B649,'开奖记录'!$A:$K,9,FALSE),"")</f>
        <v/>
      </c>
      <c r="I649" s="19">
        <f>IFERROR(VLOOKUP($B649,'开奖记录'!$A:$K,11,FALSE),"")</f>
        <v/>
      </c>
      <c r="J649" s="19">
        <f>IF($B649="","",IF(ISNUMBER($D649),"命中",IF(ISNUMBER($E649),"未命中","")))</f>
        <v/>
      </c>
      <c r="K649" s="19" t="inlineStr"/>
      <c r="L649" s="19">
        <f>IFERROR(TEXT(VLOOKUP($B649-1,开奖记录!$A:$L,3,FALSE),"00")&amp;"+5="&amp;VLOOKUP(MOD(VLOOKUP($B649-1,开奖记录!$A:$L,3,FALSE)+4,49)+1,规律参数!$A:$C,3,FALSE),"")</f>
        <v/>
      </c>
      <c r="M649" s="19">
        <f>IF(L649="","",IF(I649="","待开奖",IF(ISNUMBER(SEARCH(I649,L649)),"命中","未命中")))</f>
        <v/>
      </c>
      <c r="N649" s="19">
        <f>IFERROR(VLOOKUP(VLOOKUP($B649-1,开奖记录!$A:$L,11,FALSE),八肖参数!$A:$B,2,FALSE),"")</f>
        <v/>
      </c>
      <c r="O649" s="19">
        <f>IF(N649="","",IF(I649="","待开奖",IF(ISNUMBER(SEARCH(I649,N649)),"命中","未命中")))</f>
        <v/>
      </c>
    </row>
    <row r="650">
      <c r="A650" s="19" t="n">
        <v>649</v>
      </c>
      <c r="B650" s="19">
        <f>IF(COUNTA(C650:E650)=0,"",B649+1)</f>
        <v/>
      </c>
      <c r="C650" s="19" t="inlineStr"/>
      <c r="D650" s="19" t="n"/>
      <c r="E650" s="19" t="n"/>
      <c r="F650" s="19">
        <f>IF(COUNTA(D650:E650)=0,"",N(D650)-N(E650))</f>
        <v/>
      </c>
      <c r="G650" s="19">
        <f>IFERROR(VLOOKUP($B650,'开奖记录'!$A:$K,2,FALSE),"")</f>
        <v/>
      </c>
      <c r="H650" s="19">
        <f>IFERROR(VLOOKUP($B650,'开奖记录'!$A:$K,9,FALSE),"")</f>
        <v/>
      </c>
      <c r="I650" s="19">
        <f>IFERROR(VLOOKUP($B650,'开奖记录'!$A:$K,11,FALSE),"")</f>
        <v/>
      </c>
      <c r="J650" s="19">
        <f>IF($B650="","",IF(ISNUMBER($D650),"命中",IF(ISNUMBER($E650),"未命中","")))</f>
        <v/>
      </c>
      <c r="K650" s="19" t="inlineStr"/>
      <c r="L650" s="19">
        <f>IFERROR(TEXT(VLOOKUP($B650-1,开奖记录!$A:$L,3,FALSE),"00")&amp;"+5="&amp;VLOOKUP(MOD(VLOOKUP($B650-1,开奖记录!$A:$L,3,FALSE)+4,49)+1,规律参数!$A:$C,3,FALSE),"")</f>
        <v/>
      </c>
      <c r="M650" s="19">
        <f>IF(L650="","",IF(I650="","待开奖",IF(ISNUMBER(SEARCH(I650,L650)),"命中","未命中")))</f>
        <v/>
      </c>
      <c r="N650" s="19">
        <f>IFERROR(VLOOKUP(VLOOKUP($B650-1,开奖记录!$A:$L,11,FALSE),八肖参数!$A:$B,2,FALSE),"")</f>
        <v/>
      </c>
      <c r="O650" s="19">
        <f>IF(N650="","",IF(I650="","待开奖",IF(ISNUMBER(SEARCH(I650,N650)),"命中","未命中")))</f>
        <v/>
      </c>
    </row>
    <row r="651">
      <c r="A651" s="19" t="n">
        <v>650</v>
      </c>
      <c r="B651" s="19">
        <f>IF(COUNTA(C651:E651)=0,"",B650+1)</f>
        <v/>
      </c>
      <c r="C651" s="19" t="inlineStr"/>
      <c r="D651" s="19" t="n"/>
      <c r="E651" s="19" t="n"/>
      <c r="F651" s="19">
        <f>IF(COUNTA(D651:E651)=0,"",N(D651)-N(E651))</f>
        <v/>
      </c>
      <c r="G651" s="19">
        <f>IFERROR(VLOOKUP($B651,'开奖记录'!$A:$K,2,FALSE),"")</f>
        <v/>
      </c>
      <c r="H651" s="19">
        <f>IFERROR(VLOOKUP($B651,'开奖记录'!$A:$K,9,FALSE),"")</f>
        <v/>
      </c>
      <c r="I651" s="19">
        <f>IFERROR(VLOOKUP($B651,'开奖记录'!$A:$K,11,FALSE),"")</f>
        <v/>
      </c>
      <c r="J651" s="19">
        <f>IF($B651="","",IF(ISNUMBER($D651),"命中",IF(ISNUMBER($E651),"未命中","")))</f>
        <v/>
      </c>
      <c r="K651" s="19" t="inlineStr"/>
      <c r="L651" s="19">
        <f>IFERROR(TEXT(VLOOKUP($B651-1,开奖记录!$A:$L,3,FALSE),"00")&amp;"+5="&amp;VLOOKUP(MOD(VLOOKUP($B651-1,开奖记录!$A:$L,3,FALSE)+4,49)+1,规律参数!$A:$C,3,FALSE),"")</f>
        <v/>
      </c>
      <c r="M651" s="19">
        <f>IF(L651="","",IF(I651="","待开奖",IF(ISNUMBER(SEARCH(I651,L651)),"命中","未命中")))</f>
        <v/>
      </c>
      <c r="N651" s="19">
        <f>IFERROR(VLOOKUP(VLOOKUP($B651-1,开奖记录!$A:$L,11,FALSE),八肖参数!$A:$B,2,FALSE),"")</f>
        <v/>
      </c>
      <c r="O651" s="19">
        <f>IF(N651="","",IF(I651="","待开奖",IF(ISNUMBER(SEARCH(I651,N651)),"命中","未命中")))</f>
        <v/>
      </c>
    </row>
    <row r="652">
      <c r="A652" s="19" t="n">
        <v>651</v>
      </c>
      <c r="B652" s="19">
        <f>IF(COUNTA(C652:E652)=0,"",B651+1)</f>
        <v/>
      </c>
      <c r="C652" s="19" t="inlineStr"/>
      <c r="D652" s="19" t="n"/>
      <c r="E652" s="19" t="n"/>
      <c r="F652" s="19">
        <f>IF(COUNTA(D652:E652)=0,"",N(D652)-N(E652))</f>
        <v/>
      </c>
      <c r="G652" s="19">
        <f>IFERROR(VLOOKUP($B652,'开奖记录'!$A:$K,2,FALSE),"")</f>
        <v/>
      </c>
      <c r="H652" s="19">
        <f>IFERROR(VLOOKUP($B652,'开奖记录'!$A:$K,9,FALSE),"")</f>
        <v/>
      </c>
      <c r="I652" s="19">
        <f>IFERROR(VLOOKUP($B652,'开奖记录'!$A:$K,11,FALSE),"")</f>
        <v/>
      </c>
      <c r="J652" s="19">
        <f>IF($B652="","",IF(ISNUMBER($D652),"命中",IF(ISNUMBER($E652),"未命中","")))</f>
        <v/>
      </c>
      <c r="K652" s="19" t="inlineStr"/>
      <c r="L652" s="19">
        <f>IFERROR(TEXT(VLOOKUP($B652-1,开奖记录!$A:$L,3,FALSE),"00")&amp;"+5="&amp;VLOOKUP(MOD(VLOOKUP($B652-1,开奖记录!$A:$L,3,FALSE)+4,49)+1,规律参数!$A:$C,3,FALSE),"")</f>
        <v/>
      </c>
      <c r="M652" s="19">
        <f>IF(L652="","",IF(I652="","待开奖",IF(ISNUMBER(SEARCH(I652,L652)),"命中","未命中")))</f>
        <v/>
      </c>
      <c r="N652" s="19">
        <f>IFERROR(VLOOKUP(VLOOKUP($B652-1,开奖记录!$A:$L,11,FALSE),八肖参数!$A:$B,2,FALSE),"")</f>
        <v/>
      </c>
      <c r="O652" s="19">
        <f>IF(N652="","",IF(I652="","待开奖",IF(ISNUMBER(SEARCH(I652,N652)),"命中","未命中")))</f>
        <v/>
      </c>
    </row>
    <row r="653">
      <c r="A653" s="19" t="n">
        <v>652</v>
      </c>
      <c r="B653" s="19">
        <f>IF(COUNTA(C653:E653)=0,"",B652+1)</f>
        <v/>
      </c>
      <c r="C653" s="19" t="inlineStr"/>
      <c r="D653" s="19" t="n"/>
      <c r="E653" s="19" t="n"/>
      <c r="F653" s="19">
        <f>IF(COUNTA(D653:E653)=0,"",N(D653)-N(E653))</f>
        <v/>
      </c>
      <c r="G653" s="19">
        <f>IFERROR(VLOOKUP($B653,'开奖记录'!$A:$K,2,FALSE),"")</f>
        <v/>
      </c>
      <c r="H653" s="19">
        <f>IFERROR(VLOOKUP($B653,'开奖记录'!$A:$K,9,FALSE),"")</f>
        <v/>
      </c>
      <c r="I653" s="19">
        <f>IFERROR(VLOOKUP($B653,'开奖记录'!$A:$K,11,FALSE),"")</f>
        <v/>
      </c>
      <c r="J653" s="19">
        <f>IF($B653="","",IF(ISNUMBER($D653),"命中",IF(ISNUMBER($E653),"未命中","")))</f>
        <v/>
      </c>
      <c r="K653" s="19" t="inlineStr"/>
      <c r="L653" s="19">
        <f>IFERROR(TEXT(VLOOKUP($B653-1,开奖记录!$A:$L,3,FALSE),"00")&amp;"+5="&amp;VLOOKUP(MOD(VLOOKUP($B653-1,开奖记录!$A:$L,3,FALSE)+4,49)+1,规律参数!$A:$C,3,FALSE),"")</f>
        <v/>
      </c>
      <c r="M653" s="19">
        <f>IF(L653="","",IF(I653="","待开奖",IF(ISNUMBER(SEARCH(I653,L653)),"命中","未命中")))</f>
        <v/>
      </c>
      <c r="N653" s="19">
        <f>IFERROR(VLOOKUP(VLOOKUP($B653-1,开奖记录!$A:$L,11,FALSE),八肖参数!$A:$B,2,FALSE),"")</f>
        <v/>
      </c>
      <c r="O653" s="19">
        <f>IF(N653="","",IF(I653="","待开奖",IF(ISNUMBER(SEARCH(I653,N653)),"命中","未命中")))</f>
        <v/>
      </c>
    </row>
    <row r="654">
      <c r="A654" s="19" t="n">
        <v>653</v>
      </c>
      <c r="B654" s="19">
        <f>IF(COUNTA(C654:E654)=0,"",B653+1)</f>
        <v/>
      </c>
      <c r="C654" s="19" t="inlineStr"/>
      <c r="D654" s="19" t="n"/>
      <c r="E654" s="19" t="n"/>
      <c r="F654" s="19">
        <f>IF(COUNTA(D654:E654)=0,"",N(D654)-N(E654))</f>
        <v/>
      </c>
      <c r="G654" s="19">
        <f>IFERROR(VLOOKUP($B654,'开奖记录'!$A:$K,2,FALSE),"")</f>
        <v/>
      </c>
      <c r="H654" s="19">
        <f>IFERROR(VLOOKUP($B654,'开奖记录'!$A:$K,9,FALSE),"")</f>
        <v/>
      </c>
      <c r="I654" s="19">
        <f>IFERROR(VLOOKUP($B654,'开奖记录'!$A:$K,11,FALSE),"")</f>
        <v/>
      </c>
      <c r="J654" s="19">
        <f>IF($B654="","",IF(ISNUMBER($D654),"命中",IF(ISNUMBER($E654),"未命中","")))</f>
        <v/>
      </c>
      <c r="K654" s="19" t="inlineStr"/>
      <c r="L654" s="19">
        <f>IFERROR(TEXT(VLOOKUP($B654-1,开奖记录!$A:$L,3,FALSE),"00")&amp;"+5="&amp;VLOOKUP(MOD(VLOOKUP($B654-1,开奖记录!$A:$L,3,FALSE)+4,49)+1,规律参数!$A:$C,3,FALSE),"")</f>
        <v/>
      </c>
      <c r="M654" s="19">
        <f>IF(L654="","",IF(I654="","待开奖",IF(ISNUMBER(SEARCH(I654,L654)),"命中","未命中")))</f>
        <v/>
      </c>
      <c r="N654" s="19">
        <f>IFERROR(VLOOKUP(VLOOKUP($B654-1,开奖记录!$A:$L,11,FALSE),八肖参数!$A:$B,2,FALSE),"")</f>
        <v/>
      </c>
      <c r="O654" s="19">
        <f>IF(N654="","",IF(I654="","待开奖",IF(ISNUMBER(SEARCH(I654,N654)),"命中","未命中")))</f>
        <v/>
      </c>
    </row>
    <row r="655">
      <c r="A655" s="19" t="n">
        <v>654</v>
      </c>
      <c r="B655" s="19">
        <f>IF(COUNTA(C655:E655)=0,"",B654+1)</f>
        <v/>
      </c>
      <c r="C655" s="19" t="inlineStr"/>
      <c r="D655" s="19" t="n"/>
      <c r="E655" s="19" t="n"/>
      <c r="F655" s="19">
        <f>IF(COUNTA(D655:E655)=0,"",N(D655)-N(E655))</f>
        <v/>
      </c>
      <c r="G655" s="19">
        <f>IFERROR(VLOOKUP($B655,'开奖记录'!$A:$K,2,FALSE),"")</f>
        <v/>
      </c>
      <c r="H655" s="19">
        <f>IFERROR(VLOOKUP($B655,'开奖记录'!$A:$K,9,FALSE),"")</f>
        <v/>
      </c>
      <c r="I655" s="19">
        <f>IFERROR(VLOOKUP($B655,'开奖记录'!$A:$K,11,FALSE),"")</f>
        <v/>
      </c>
      <c r="J655" s="19">
        <f>IF($B655="","",IF(ISNUMBER($D655),"命中",IF(ISNUMBER($E655),"未命中","")))</f>
        <v/>
      </c>
      <c r="K655" s="19" t="inlineStr"/>
      <c r="L655" s="19">
        <f>IFERROR(TEXT(VLOOKUP($B655-1,开奖记录!$A:$L,3,FALSE),"00")&amp;"+5="&amp;VLOOKUP(MOD(VLOOKUP($B655-1,开奖记录!$A:$L,3,FALSE)+4,49)+1,规律参数!$A:$C,3,FALSE),"")</f>
        <v/>
      </c>
      <c r="M655" s="19">
        <f>IF(L655="","",IF(I655="","待开奖",IF(ISNUMBER(SEARCH(I655,L655)),"命中","未命中")))</f>
        <v/>
      </c>
      <c r="N655" s="19">
        <f>IFERROR(VLOOKUP(VLOOKUP($B655-1,开奖记录!$A:$L,11,FALSE),八肖参数!$A:$B,2,FALSE),"")</f>
        <v/>
      </c>
      <c r="O655" s="19">
        <f>IF(N655="","",IF(I655="","待开奖",IF(ISNUMBER(SEARCH(I655,N655)),"命中","未命中")))</f>
        <v/>
      </c>
    </row>
    <row r="656">
      <c r="A656" s="19" t="n">
        <v>655</v>
      </c>
      <c r="B656" s="19">
        <f>IF(COUNTA(C656:E656)=0,"",B655+1)</f>
        <v/>
      </c>
      <c r="C656" s="19" t="inlineStr"/>
      <c r="D656" s="19" t="n"/>
      <c r="E656" s="19" t="n"/>
      <c r="F656" s="19">
        <f>IF(COUNTA(D656:E656)=0,"",N(D656)-N(E656))</f>
        <v/>
      </c>
      <c r="G656" s="19">
        <f>IFERROR(VLOOKUP($B656,'开奖记录'!$A:$K,2,FALSE),"")</f>
        <v/>
      </c>
      <c r="H656" s="19">
        <f>IFERROR(VLOOKUP($B656,'开奖记录'!$A:$K,9,FALSE),"")</f>
        <v/>
      </c>
      <c r="I656" s="19">
        <f>IFERROR(VLOOKUP($B656,'开奖记录'!$A:$K,11,FALSE),"")</f>
        <v/>
      </c>
      <c r="J656" s="19">
        <f>IF($B656="","",IF(ISNUMBER($D656),"命中",IF(ISNUMBER($E656),"未命中","")))</f>
        <v/>
      </c>
      <c r="K656" s="19" t="inlineStr"/>
      <c r="L656" s="19">
        <f>IFERROR(TEXT(VLOOKUP($B656-1,开奖记录!$A:$L,3,FALSE),"00")&amp;"+5="&amp;VLOOKUP(MOD(VLOOKUP($B656-1,开奖记录!$A:$L,3,FALSE)+4,49)+1,规律参数!$A:$C,3,FALSE),"")</f>
        <v/>
      </c>
      <c r="M656" s="19">
        <f>IF(L656="","",IF(I656="","待开奖",IF(ISNUMBER(SEARCH(I656,L656)),"命中","未命中")))</f>
        <v/>
      </c>
      <c r="N656" s="19">
        <f>IFERROR(VLOOKUP(VLOOKUP($B656-1,开奖记录!$A:$L,11,FALSE),八肖参数!$A:$B,2,FALSE),"")</f>
        <v/>
      </c>
      <c r="O656" s="19">
        <f>IF(N656="","",IF(I656="","待开奖",IF(ISNUMBER(SEARCH(I656,N656)),"命中","未命中")))</f>
        <v/>
      </c>
    </row>
    <row r="657">
      <c r="A657" s="19" t="n">
        <v>656</v>
      </c>
      <c r="B657" s="19">
        <f>IF(COUNTA(C657:E657)=0,"",B656+1)</f>
        <v/>
      </c>
      <c r="C657" s="19" t="inlineStr"/>
      <c r="D657" s="19" t="n"/>
      <c r="E657" s="19" t="n"/>
      <c r="F657" s="19">
        <f>IF(COUNTA(D657:E657)=0,"",N(D657)-N(E657))</f>
        <v/>
      </c>
      <c r="G657" s="19">
        <f>IFERROR(VLOOKUP($B657,'开奖记录'!$A:$K,2,FALSE),"")</f>
        <v/>
      </c>
      <c r="H657" s="19">
        <f>IFERROR(VLOOKUP($B657,'开奖记录'!$A:$K,9,FALSE),"")</f>
        <v/>
      </c>
      <c r="I657" s="19">
        <f>IFERROR(VLOOKUP($B657,'开奖记录'!$A:$K,11,FALSE),"")</f>
        <v/>
      </c>
      <c r="J657" s="19">
        <f>IF($B657="","",IF(ISNUMBER($D657),"命中",IF(ISNUMBER($E657),"未命中","")))</f>
        <v/>
      </c>
      <c r="K657" s="19" t="inlineStr"/>
      <c r="L657" s="19">
        <f>IFERROR(TEXT(VLOOKUP($B657-1,开奖记录!$A:$L,3,FALSE),"00")&amp;"+5="&amp;VLOOKUP(MOD(VLOOKUP($B657-1,开奖记录!$A:$L,3,FALSE)+4,49)+1,规律参数!$A:$C,3,FALSE),"")</f>
        <v/>
      </c>
      <c r="M657" s="19">
        <f>IF(L657="","",IF(I657="","待开奖",IF(ISNUMBER(SEARCH(I657,L657)),"命中","未命中")))</f>
        <v/>
      </c>
      <c r="N657" s="19">
        <f>IFERROR(VLOOKUP(VLOOKUP($B657-1,开奖记录!$A:$L,11,FALSE),八肖参数!$A:$B,2,FALSE),"")</f>
        <v/>
      </c>
      <c r="O657" s="19">
        <f>IF(N657="","",IF(I657="","待开奖",IF(ISNUMBER(SEARCH(I657,N657)),"命中","未命中")))</f>
        <v/>
      </c>
    </row>
    <row r="658">
      <c r="A658" s="19" t="n">
        <v>657</v>
      </c>
      <c r="B658" s="19">
        <f>IF(COUNTA(C658:E658)=0,"",B657+1)</f>
        <v/>
      </c>
      <c r="C658" s="19" t="inlineStr"/>
      <c r="D658" s="19" t="n"/>
      <c r="E658" s="19" t="n"/>
      <c r="F658" s="19">
        <f>IF(COUNTA(D658:E658)=0,"",N(D658)-N(E658))</f>
        <v/>
      </c>
      <c r="G658" s="19">
        <f>IFERROR(VLOOKUP($B658,'开奖记录'!$A:$K,2,FALSE),"")</f>
        <v/>
      </c>
      <c r="H658" s="19">
        <f>IFERROR(VLOOKUP($B658,'开奖记录'!$A:$K,9,FALSE),"")</f>
        <v/>
      </c>
      <c r="I658" s="19">
        <f>IFERROR(VLOOKUP($B658,'开奖记录'!$A:$K,11,FALSE),"")</f>
        <v/>
      </c>
      <c r="J658" s="19">
        <f>IF($B658="","",IF(ISNUMBER($D658),"命中",IF(ISNUMBER($E658),"未命中","")))</f>
        <v/>
      </c>
      <c r="K658" s="19" t="inlineStr"/>
      <c r="L658" s="19">
        <f>IFERROR(TEXT(VLOOKUP($B658-1,开奖记录!$A:$L,3,FALSE),"00")&amp;"+5="&amp;VLOOKUP(MOD(VLOOKUP($B658-1,开奖记录!$A:$L,3,FALSE)+4,49)+1,规律参数!$A:$C,3,FALSE),"")</f>
        <v/>
      </c>
      <c r="M658" s="19">
        <f>IF(L658="","",IF(I658="","待开奖",IF(ISNUMBER(SEARCH(I658,L658)),"命中","未命中")))</f>
        <v/>
      </c>
      <c r="N658" s="19">
        <f>IFERROR(VLOOKUP(VLOOKUP($B658-1,开奖记录!$A:$L,11,FALSE),八肖参数!$A:$B,2,FALSE),"")</f>
        <v/>
      </c>
      <c r="O658" s="19">
        <f>IF(N658="","",IF(I658="","待开奖",IF(ISNUMBER(SEARCH(I658,N658)),"命中","未命中")))</f>
        <v/>
      </c>
    </row>
    <row r="659">
      <c r="A659" s="19" t="n">
        <v>658</v>
      </c>
      <c r="B659" s="19">
        <f>IF(COUNTA(C659:E659)=0,"",B658+1)</f>
        <v/>
      </c>
      <c r="C659" s="19" t="inlineStr"/>
      <c r="D659" s="19" t="n"/>
      <c r="E659" s="19" t="n"/>
      <c r="F659" s="19">
        <f>IF(COUNTA(D659:E659)=0,"",N(D659)-N(E659))</f>
        <v/>
      </c>
      <c r="G659" s="19">
        <f>IFERROR(VLOOKUP($B659,'开奖记录'!$A:$K,2,FALSE),"")</f>
        <v/>
      </c>
      <c r="H659" s="19">
        <f>IFERROR(VLOOKUP($B659,'开奖记录'!$A:$K,9,FALSE),"")</f>
        <v/>
      </c>
      <c r="I659" s="19">
        <f>IFERROR(VLOOKUP($B659,'开奖记录'!$A:$K,11,FALSE),"")</f>
        <v/>
      </c>
      <c r="J659" s="19">
        <f>IF($B659="","",IF(ISNUMBER($D659),"命中",IF(ISNUMBER($E659),"未命中","")))</f>
        <v/>
      </c>
      <c r="K659" s="19" t="inlineStr"/>
      <c r="L659" s="19">
        <f>IFERROR(TEXT(VLOOKUP($B659-1,开奖记录!$A:$L,3,FALSE),"00")&amp;"+5="&amp;VLOOKUP(MOD(VLOOKUP($B659-1,开奖记录!$A:$L,3,FALSE)+4,49)+1,规律参数!$A:$C,3,FALSE),"")</f>
        <v/>
      </c>
      <c r="M659" s="19">
        <f>IF(L659="","",IF(I659="","待开奖",IF(ISNUMBER(SEARCH(I659,L659)),"命中","未命中")))</f>
        <v/>
      </c>
      <c r="N659" s="19">
        <f>IFERROR(VLOOKUP(VLOOKUP($B659-1,开奖记录!$A:$L,11,FALSE),八肖参数!$A:$B,2,FALSE),"")</f>
        <v/>
      </c>
      <c r="O659" s="19">
        <f>IF(N659="","",IF(I659="","待开奖",IF(ISNUMBER(SEARCH(I659,N659)),"命中","未命中")))</f>
        <v/>
      </c>
    </row>
    <row r="660">
      <c r="A660" s="19" t="n">
        <v>659</v>
      </c>
      <c r="B660" s="19">
        <f>IF(COUNTA(C660:E660)=0,"",B659+1)</f>
        <v/>
      </c>
      <c r="C660" s="19" t="inlineStr"/>
      <c r="D660" s="19" t="n"/>
      <c r="E660" s="19" t="n"/>
      <c r="F660" s="19">
        <f>IF(COUNTA(D660:E660)=0,"",N(D660)-N(E660))</f>
        <v/>
      </c>
      <c r="G660" s="19">
        <f>IFERROR(VLOOKUP($B660,'开奖记录'!$A:$K,2,FALSE),"")</f>
        <v/>
      </c>
      <c r="H660" s="19">
        <f>IFERROR(VLOOKUP($B660,'开奖记录'!$A:$K,9,FALSE),"")</f>
        <v/>
      </c>
      <c r="I660" s="19">
        <f>IFERROR(VLOOKUP($B660,'开奖记录'!$A:$K,11,FALSE),"")</f>
        <v/>
      </c>
      <c r="J660" s="19">
        <f>IF($B660="","",IF(ISNUMBER($D660),"命中",IF(ISNUMBER($E660),"未命中","")))</f>
        <v/>
      </c>
      <c r="K660" s="19" t="inlineStr"/>
      <c r="L660" s="19">
        <f>IFERROR(TEXT(VLOOKUP($B660-1,开奖记录!$A:$L,3,FALSE),"00")&amp;"+5="&amp;VLOOKUP(MOD(VLOOKUP($B660-1,开奖记录!$A:$L,3,FALSE)+4,49)+1,规律参数!$A:$C,3,FALSE),"")</f>
        <v/>
      </c>
      <c r="M660" s="19">
        <f>IF(L660="","",IF(I660="","待开奖",IF(ISNUMBER(SEARCH(I660,L660)),"命中","未命中")))</f>
        <v/>
      </c>
      <c r="N660" s="19">
        <f>IFERROR(VLOOKUP(VLOOKUP($B660-1,开奖记录!$A:$L,11,FALSE),八肖参数!$A:$B,2,FALSE),"")</f>
        <v/>
      </c>
      <c r="O660" s="19">
        <f>IF(N660="","",IF(I660="","待开奖",IF(ISNUMBER(SEARCH(I660,N660)),"命中","未命中")))</f>
        <v/>
      </c>
    </row>
    <row r="661">
      <c r="A661" s="19" t="n">
        <v>660</v>
      </c>
      <c r="B661" s="19">
        <f>IF(COUNTA(C661:E661)=0,"",B660+1)</f>
        <v/>
      </c>
      <c r="C661" s="19" t="inlineStr"/>
      <c r="D661" s="19" t="n"/>
      <c r="E661" s="19" t="n"/>
      <c r="F661" s="19">
        <f>IF(COUNTA(D661:E661)=0,"",N(D661)-N(E661))</f>
        <v/>
      </c>
      <c r="G661" s="19">
        <f>IFERROR(VLOOKUP($B661,'开奖记录'!$A:$K,2,FALSE),"")</f>
        <v/>
      </c>
      <c r="H661" s="19">
        <f>IFERROR(VLOOKUP($B661,'开奖记录'!$A:$K,9,FALSE),"")</f>
        <v/>
      </c>
      <c r="I661" s="19">
        <f>IFERROR(VLOOKUP($B661,'开奖记录'!$A:$K,11,FALSE),"")</f>
        <v/>
      </c>
      <c r="J661" s="19">
        <f>IF($B661="","",IF(ISNUMBER($D661),"命中",IF(ISNUMBER($E661),"未命中","")))</f>
        <v/>
      </c>
      <c r="K661" s="19" t="inlineStr"/>
      <c r="L661" s="19">
        <f>IFERROR(TEXT(VLOOKUP($B661-1,开奖记录!$A:$L,3,FALSE),"00")&amp;"+5="&amp;VLOOKUP(MOD(VLOOKUP($B661-1,开奖记录!$A:$L,3,FALSE)+4,49)+1,规律参数!$A:$C,3,FALSE),"")</f>
        <v/>
      </c>
      <c r="M661" s="19">
        <f>IF(L661="","",IF(I661="","待开奖",IF(ISNUMBER(SEARCH(I661,L661)),"命中","未命中")))</f>
        <v/>
      </c>
      <c r="N661" s="19">
        <f>IFERROR(VLOOKUP(VLOOKUP($B661-1,开奖记录!$A:$L,11,FALSE),八肖参数!$A:$B,2,FALSE),"")</f>
        <v/>
      </c>
      <c r="O661" s="19">
        <f>IF(N661="","",IF(I661="","待开奖",IF(ISNUMBER(SEARCH(I661,N661)),"命中","未命中")))</f>
        <v/>
      </c>
    </row>
    <row r="662">
      <c r="A662" s="19" t="n">
        <v>661</v>
      </c>
      <c r="B662" s="19">
        <f>IF(COUNTA(C662:E662)=0,"",B661+1)</f>
        <v/>
      </c>
      <c r="C662" s="19" t="inlineStr"/>
      <c r="D662" s="19" t="n"/>
      <c r="E662" s="19" t="n"/>
      <c r="F662" s="19">
        <f>IF(COUNTA(D662:E662)=0,"",N(D662)-N(E662))</f>
        <v/>
      </c>
      <c r="G662" s="19">
        <f>IFERROR(VLOOKUP($B662,'开奖记录'!$A:$K,2,FALSE),"")</f>
        <v/>
      </c>
      <c r="H662" s="19">
        <f>IFERROR(VLOOKUP($B662,'开奖记录'!$A:$K,9,FALSE),"")</f>
        <v/>
      </c>
      <c r="I662" s="19">
        <f>IFERROR(VLOOKUP($B662,'开奖记录'!$A:$K,11,FALSE),"")</f>
        <v/>
      </c>
      <c r="J662" s="19">
        <f>IF($B662="","",IF(ISNUMBER($D662),"命中",IF(ISNUMBER($E662),"未命中","")))</f>
        <v/>
      </c>
      <c r="K662" s="19" t="inlineStr"/>
      <c r="L662" s="19">
        <f>IFERROR(TEXT(VLOOKUP($B662-1,开奖记录!$A:$L,3,FALSE),"00")&amp;"+5="&amp;VLOOKUP(MOD(VLOOKUP($B662-1,开奖记录!$A:$L,3,FALSE)+4,49)+1,规律参数!$A:$C,3,FALSE),"")</f>
        <v/>
      </c>
      <c r="M662" s="19">
        <f>IF(L662="","",IF(I662="","待开奖",IF(ISNUMBER(SEARCH(I662,L662)),"命中","未命中")))</f>
        <v/>
      </c>
      <c r="N662" s="19">
        <f>IFERROR(VLOOKUP(VLOOKUP($B662-1,开奖记录!$A:$L,11,FALSE),八肖参数!$A:$B,2,FALSE),"")</f>
        <v/>
      </c>
      <c r="O662" s="19">
        <f>IF(N662="","",IF(I662="","待开奖",IF(ISNUMBER(SEARCH(I662,N662)),"命中","未命中")))</f>
        <v/>
      </c>
    </row>
    <row r="663">
      <c r="A663" s="19" t="n">
        <v>662</v>
      </c>
      <c r="B663" s="19">
        <f>IF(COUNTA(C663:E663)=0,"",B662+1)</f>
        <v/>
      </c>
      <c r="C663" s="19" t="inlineStr"/>
      <c r="D663" s="19" t="n"/>
      <c r="E663" s="19" t="n"/>
      <c r="F663" s="19">
        <f>IF(COUNTA(D663:E663)=0,"",N(D663)-N(E663))</f>
        <v/>
      </c>
      <c r="G663" s="19">
        <f>IFERROR(VLOOKUP($B663,'开奖记录'!$A:$K,2,FALSE),"")</f>
        <v/>
      </c>
      <c r="H663" s="19">
        <f>IFERROR(VLOOKUP($B663,'开奖记录'!$A:$K,9,FALSE),"")</f>
        <v/>
      </c>
      <c r="I663" s="19">
        <f>IFERROR(VLOOKUP($B663,'开奖记录'!$A:$K,11,FALSE),"")</f>
        <v/>
      </c>
      <c r="J663" s="19">
        <f>IF($B663="","",IF(ISNUMBER($D663),"命中",IF(ISNUMBER($E663),"未命中","")))</f>
        <v/>
      </c>
      <c r="K663" s="19" t="inlineStr"/>
      <c r="L663" s="19">
        <f>IFERROR(TEXT(VLOOKUP($B663-1,开奖记录!$A:$L,3,FALSE),"00")&amp;"+5="&amp;VLOOKUP(MOD(VLOOKUP($B663-1,开奖记录!$A:$L,3,FALSE)+4,49)+1,规律参数!$A:$C,3,FALSE),"")</f>
        <v/>
      </c>
      <c r="M663" s="19">
        <f>IF(L663="","",IF(I663="","待开奖",IF(ISNUMBER(SEARCH(I663,L663)),"命中","未命中")))</f>
        <v/>
      </c>
      <c r="N663" s="19">
        <f>IFERROR(VLOOKUP(VLOOKUP($B663-1,开奖记录!$A:$L,11,FALSE),八肖参数!$A:$B,2,FALSE),"")</f>
        <v/>
      </c>
      <c r="O663" s="19">
        <f>IF(N663="","",IF(I663="","待开奖",IF(ISNUMBER(SEARCH(I663,N663)),"命中","未命中")))</f>
        <v/>
      </c>
    </row>
    <row r="664">
      <c r="A664" s="19" t="n">
        <v>663</v>
      </c>
      <c r="B664" s="19">
        <f>IF(COUNTA(C664:E664)=0,"",B663+1)</f>
        <v/>
      </c>
      <c r="C664" s="19" t="inlineStr"/>
      <c r="D664" s="19" t="n"/>
      <c r="E664" s="19" t="n"/>
      <c r="F664" s="19">
        <f>IF(COUNTA(D664:E664)=0,"",N(D664)-N(E664))</f>
        <v/>
      </c>
      <c r="G664" s="19">
        <f>IFERROR(VLOOKUP($B664,'开奖记录'!$A:$K,2,FALSE),"")</f>
        <v/>
      </c>
      <c r="H664" s="19">
        <f>IFERROR(VLOOKUP($B664,'开奖记录'!$A:$K,9,FALSE),"")</f>
        <v/>
      </c>
      <c r="I664" s="19">
        <f>IFERROR(VLOOKUP($B664,'开奖记录'!$A:$K,11,FALSE),"")</f>
        <v/>
      </c>
      <c r="J664" s="19">
        <f>IF($B664="","",IF(ISNUMBER($D664),"命中",IF(ISNUMBER($E664),"未命中","")))</f>
        <v/>
      </c>
      <c r="K664" s="19" t="inlineStr"/>
      <c r="L664" s="19">
        <f>IFERROR(TEXT(VLOOKUP($B664-1,开奖记录!$A:$L,3,FALSE),"00")&amp;"+5="&amp;VLOOKUP(MOD(VLOOKUP($B664-1,开奖记录!$A:$L,3,FALSE)+4,49)+1,规律参数!$A:$C,3,FALSE),"")</f>
        <v/>
      </c>
      <c r="M664" s="19">
        <f>IF(L664="","",IF(I664="","待开奖",IF(ISNUMBER(SEARCH(I664,L664)),"命中","未命中")))</f>
        <v/>
      </c>
      <c r="N664" s="19">
        <f>IFERROR(VLOOKUP(VLOOKUP($B664-1,开奖记录!$A:$L,11,FALSE),八肖参数!$A:$B,2,FALSE),"")</f>
        <v/>
      </c>
      <c r="O664" s="19">
        <f>IF(N664="","",IF(I664="","待开奖",IF(ISNUMBER(SEARCH(I664,N664)),"命中","未命中")))</f>
        <v/>
      </c>
    </row>
    <row r="665">
      <c r="A665" s="19" t="n">
        <v>664</v>
      </c>
      <c r="B665" s="19">
        <f>IF(COUNTA(C665:E665)=0,"",B664+1)</f>
        <v/>
      </c>
      <c r="C665" s="19" t="inlineStr"/>
      <c r="D665" s="19" t="n"/>
      <c r="E665" s="19" t="n"/>
      <c r="F665" s="19">
        <f>IF(COUNTA(D665:E665)=0,"",N(D665)-N(E665))</f>
        <v/>
      </c>
      <c r="G665" s="19">
        <f>IFERROR(VLOOKUP($B665,'开奖记录'!$A:$K,2,FALSE),"")</f>
        <v/>
      </c>
      <c r="H665" s="19">
        <f>IFERROR(VLOOKUP($B665,'开奖记录'!$A:$K,9,FALSE),"")</f>
        <v/>
      </c>
      <c r="I665" s="19">
        <f>IFERROR(VLOOKUP($B665,'开奖记录'!$A:$K,11,FALSE),"")</f>
        <v/>
      </c>
      <c r="J665" s="19">
        <f>IF($B665="","",IF(ISNUMBER($D665),"命中",IF(ISNUMBER($E665),"未命中","")))</f>
        <v/>
      </c>
      <c r="K665" s="19" t="inlineStr"/>
      <c r="L665" s="19">
        <f>IFERROR(TEXT(VLOOKUP($B665-1,开奖记录!$A:$L,3,FALSE),"00")&amp;"+5="&amp;VLOOKUP(MOD(VLOOKUP($B665-1,开奖记录!$A:$L,3,FALSE)+4,49)+1,规律参数!$A:$C,3,FALSE),"")</f>
        <v/>
      </c>
      <c r="M665" s="19">
        <f>IF(L665="","",IF(I665="","待开奖",IF(ISNUMBER(SEARCH(I665,L665)),"命中","未命中")))</f>
        <v/>
      </c>
      <c r="N665" s="19">
        <f>IFERROR(VLOOKUP(VLOOKUP($B665-1,开奖记录!$A:$L,11,FALSE),八肖参数!$A:$B,2,FALSE),"")</f>
        <v/>
      </c>
      <c r="O665" s="19">
        <f>IF(N665="","",IF(I665="","待开奖",IF(ISNUMBER(SEARCH(I665,N665)),"命中","未命中")))</f>
        <v/>
      </c>
    </row>
    <row r="666">
      <c r="A666" s="19" t="n">
        <v>665</v>
      </c>
      <c r="B666" s="19">
        <f>IF(COUNTA(C666:E666)=0,"",B665+1)</f>
        <v/>
      </c>
      <c r="C666" s="19" t="inlineStr"/>
      <c r="D666" s="19" t="n"/>
      <c r="E666" s="19" t="n"/>
      <c r="F666" s="19">
        <f>IF(COUNTA(D666:E666)=0,"",N(D666)-N(E666))</f>
        <v/>
      </c>
      <c r="G666" s="19">
        <f>IFERROR(VLOOKUP($B666,'开奖记录'!$A:$K,2,FALSE),"")</f>
        <v/>
      </c>
      <c r="H666" s="19">
        <f>IFERROR(VLOOKUP($B666,'开奖记录'!$A:$K,9,FALSE),"")</f>
        <v/>
      </c>
      <c r="I666" s="19">
        <f>IFERROR(VLOOKUP($B666,'开奖记录'!$A:$K,11,FALSE),"")</f>
        <v/>
      </c>
      <c r="J666" s="19">
        <f>IF($B666="","",IF(ISNUMBER($D666),"命中",IF(ISNUMBER($E666),"未命中","")))</f>
        <v/>
      </c>
      <c r="K666" s="19" t="inlineStr"/>
      <c r="L666" s="19">
        <f>IFERROR(TEXT(VLOOKUP($B666-1,开奖记录!$A:$L,3,FALSE),"00")&amp;"+5="&amp;VLOOKUP(MOD(VLOOKUP($B666-1,开奖记录!$A:$L,3,FALSE)+4,49)+1,规律参数!$A:$C,3,FALSE),"")</f>
        <v/>
      </c>
      <c r="M666" s="19">
        <f>IF(L666="","",IF(I666="","待开奖",IF(ISNUMBER(SEARCH(I666,L666)),"命中","未命中")))</f>
        <v/>
      </c>
      <c r="N666" s="19">
        <f>IFERROR(VLOOKUP(VLOOKUP($B666-1,开奖记录!$A:$L,11,FALSE),八肖参数!$A:$B,2,FALSE),"")</f>
        <v/>
      </c>
      <c r="O666" s="19">
        <f>IF(N666="","",IF(I666="","待开奖",IF(ISNUMBER(SEARCH(I666,N666)),"命中","未命中")))</f>
        <v/>
      </c>
    </row>
    <row r="667">
      <c r="A667" s="19" t="n">
        <v>666</v>
      </c>
      <c r="B667" s="19">
        <f>IF(COUNTA(C667:E667)=0,"",B666+1)</f>
        <v/>
      </c>
      <c r="C667" s="19" t="inlineStr"/>
      <c r="D667" s="19" t="n"/>
      <c r="E667" s="19" t="n"/>
      <c r="F667" s="19">
        <f>IF(COUNTA(D667:E667)=0,"",N(D667)-N(E667))</f>
        <v/>
      </c>
      <c r="G667" s="19">
        <f>IFERROR(VLOOKUP($B667,'开奖记录'!$A:$K,2,FALSE),"")</f>
        <v/>
      </c>
      <c r="H667" s="19">
        <f>IFERROR(VLOOKUP($B667,'开奖记录'!$A:$K,9,FALSE),"")</f>
        <v/>
      </c>
      <c r="I667" s="19">
        <f>IFERROR(VLOOKUP($B667,'开奖记录'!$A:$K,11,FALSE),"")</f>
        <v/>
      </c>
      <c r="J667" s="19">
        <f>IF($B667="","",IF(ISNUMBER($D667),"命中",IF(ISNUMBER($E667),"未命中","")))</f>
        <v/>
      </c>
      <c r="K667" s="19" t="inlineStr"/>
      <c r="L667" s="19">
        <f>IFERROR(TEXT(VLOOKUP($B667-1,开奖记录!$A:$L,3,FALSE),"00")&amp;"+5="&amp;VLOOKUP(MOD(VLOOKUP($B667-1,开奖记录!$A:$L,3,FALSE)+4,49)+1,规律参数!$A:$C,3,FALSE),"")</f>
        <v/>
      </c>
      <c r="M667" s="19">
        <f>IF(L667="","",IF(I667="","待开奖",IF(ISNUMBER(SEARCH(I667,L667)),"命中","未命中")))</f>
        <v/>
      </c>
      <c r="N667" s="19">
        <f>IFERROR(VLOOKUP(VLOOKUP($B667-1,开奖记录!$A:$L,11,FALSE),八肖参数!$A:$B,2,FALSE),"")</f>
        <v/>
      </c>
      <c r="O667" s="19">
        <f>IF(N667="","",IF(I667="","待开奖",IF(ISNUMBER(SEARCH(I667,N667)),"命中","未命中")))</f>
        <v/>
      </c>
    </row>
    <row r="668">
      <c r="A668" s="19" t="n">
        <v>667</v>
      </c>
      <c r="B668" s="19">
        <f>IF(COUNTA(C668:E668)=0,"",B667+1)</f>
        <v/>
      </c>
      <c r="C668" s="19" t="inlineStr"/>
      <c r="D668" s="19" t="n"/>
      <c r="E668" s="19" t="n"/>
      <c r="F668" s="19">
        <f>IF(COUNTA(D668:E668)=0,"",N(D668)-N(E668))</f>
        <v/>
      </c>
      <c r="G668" s="19">
        <f>IFERROR(VLOOKUP($B668,'开奖记录'!$A:$K,2,FALSE),"")</f>
        <v/>
      </c>
      <c r="H668" s="19">
        <f>IFERROR(VLOOKUP($B668,'开奖记录'!$A:$K,9,FALSE),"")</f>
        <v/>
      </c>
      <c r="I668" s="19">
        <f>IFERROR(VLOOKUP($B668,'开奖记录'!$A:$K,11,FALSE),"")</f>
        <v/>
      </c>
      <c r="J668" s="19">
        <f>IF($B668="","",IF(ISNUMBER($D668),"命中",IF(ISNUMBER($E668),"未命中","")))</f>
        <v/>
      </c>
      <c r="K668" s="19" t="inlineStr"/>
      <c r="L668" s="19">
        <f>IFERROR(TEXT(VLOOKUP($B668-1,开奖记录!$A:$L,3,FALSE),"00")&amp;"+5="&amp;VLOOKUP(MOD(VLOOKUP($B668-1,开奖记录!$A:$L,3,FALSE)+4,49)+1,规律参数!$A:$C,3,FALSE),"")</f>
        <v/>
      </c>
      <c r="M668" s="19">
        <f>IF(L668="","",IF(I668="","待开奖",IF(ISNUMBER(SEARCH(I668,L668)),"命中","未命中")))</f>
        <v/>
      </c>
      <c r="N668" s="19">
        <f>IFERROR(VLOOKUP(VLOOKUP($B668-1,开奖记录!$A:$L,11,FALSE),八肖参数!$A:$B,2,FALSE),"")</f>
        <v/>
      </c>
      <c r="O668" s="19">
        <f>IF(N668="","",IF(I668="","待开奖",IF(ISNUMBER(SEARCH(I668,N668)),"命中","未命中")))</f>
        <v/>
      </c>
    </row>
    <row r="669">
      <c r="A669" s="19" t="n">
        <v>668</v>
      </c>
      <c r="B669" s="19">
        <f>IF(COUNTA(C669:E669)=0,"",B668+1)</f>
        <v/>
      </c>
      <c r="C669" s="19" t="inlineStr"/>
      <c r="D669" s="19" t="n"/>
      <c r="E669" s="19" t="n"/>
      <c r="F669" s="19">
        <f>IF(COUNTA(D669:E669)=0,"",N(D669)-N(E669))</f>
        <v/>
      </c>
      <c r="G669" s="19">
        <f>IFERROR(VLOOKUP($B669,'开奖记录'!$A:$K,2,FALSE),"")</f>
        <v/>
      </c>
      <c r="H669" s="19">
        <f>IFERROR(VLOOKUP($B669,'开奖记录'!$A:$K,9,FALSE),"")</f>
        <v/>
      </c>
      <c r="I669" s="19">
        <f>IFERROR(VLOOKUP($B669,'开奖记录'!$A:$K,11,FALSE),"")</f>
        <v/>
      </c>
      <c r="J669" s="19">
        <f>IF($B669="","",IF(ISNUMBER($D669),"命中",IF(ISNUMBER($E669),"未命中","")))</f>
        <v/>
      </c>
      <c r="K669" s="19" t="inlineStr"/>
      <c r="L669" s="19">
        <f>IFERROR(TEXT(VLOOKUP($B669-1,开奖记录!$A:$L,3,FALSE),"00")&amp;"+5="&amp;VLOOKUP(MOD(VLOOKUP($B669-1,开奖记录!$A:$L,3,FALSE)+4,49)+1,规律参数!$A:$C,3,FALSE),"")</f>
        <v/>
      </c>
      <c r="M669" s="19">
        <f>IF(L669="","",IF(I669="","待开奖",IF(ISNUMBER(SEARCH(I669,L669)),"命中","未命中")))</f>
        <v/>
      </c>
      <c r="N669" s="19">
        <f>IFERROR(VLOOKUP(VLOOKUP($B669-1,开奖记录!$A:$L,11,FALSE),八肖参数!$A:$B,2,FALSE),"")</f>
        <v/>
      </c>
      <c r="O669" s="19">
        <f>IF(N669="","",IF(I669="","待开奖",IF(ISNUMBER(SEARCH(I669,N669)),"命中","未命中")))</f>
        <v/>
      </c>
    </row>
    <row r="670">
      <c r="A670" s="19" t="n">
        <v>669</v>
      </c>
      <c r="B670" s="19">
        <f>IF(COUNTA(C670:E670)=0,"",B669+1)</f>
        <v/>
      </c>
      <c r="C670" s="19" t="inlineStr"/>
      <c r="D670" s="19" t="n"/>
      <c r="E670" s="19" t="n"/>
      <c r="F670" s="19">
        <f>IF(COUNTA(D670:E670)=0,"",N(D670)-N(E670))</f>
        <v/>
      </c>
      <c r="G670" s="19">
        <f>IFERROR(VLOOKUP($B670,'开奖记录'!$A:$K,2,FALSE),"")</f>
        <v/>
      </c>
      <c r="H670" s="19">
        <f>IFERROR(VLOOKUP($B670,'开奖记录'!$A:$K,9,FALSE),"")</f>
        <v/>
      </c>
      <c r="I670" s="19">
        <f>IFERROR(VLOOKUP($B670,'开奖记录'!$A:$K,11,FALSE),"")</f>
        <v/>
      </c>
      <c r="J670" s="19">
        <f>IF($B670="","",IF(ISNUMBER($D670),"命中",IF(ISNUMBER($E670),"未命中","")))</f>
        <v/>
      </c>
      <c r="K670" s="19" t="inlineStr"/>
      <c r="L670" s="19">
        <f>IFERROR(TEXT(VLOOKUP($B670-1,开奖记录!$A:$L,3,FALSE),"00")&amp;"+5="&amp;VLOOKUP(MOD(VLOOKUP($B670-1,开奖记录!$A:$L,3,FALSE)+4,49)+1,规律参数!$A:$C,3,FALSE),"")</f>
        <v/>
      </c>
      <c r="M670" s="19">
        <f>IF(L670="","",IF(I670="","待开奖",IF(ISNUMBER(SEARCH(I670,L670)),"命中","未命中")))</f>
        <v/>
      </c>
      <c r="N670" s="19">
        <f>IFERROR(VLOOKUP(VLOOKUP($B670-1,开奖记录!$A:$L,11,FALSE),八肖参数!$A:$B,2,FALSE),"")</f>
        <v/>
      </c>
      <c r="O670" s="19">
        <f>IF(N670="","",IF(I670="","待开奖",IF(ISNUMBER(SEARCH(I670,N670)),"命中","未命中")))</f>
        <v/>
      </c>
    </row>
    <row r="671">
      <c r="A671" s="19" t="n">
        <v>670</v>
      </c>
      <c r="B671" s="19">
        <f>IF(COUNTA(C671:E671)=0,"",B670+1)</f>
        <v/>
      </c>
      <c r="C671" s="19" t="inlineStr"/>
      <c r="D671" s="19" t="n"/>
      <c r="E671" s="19" t="n"/>
      <c r="F671" s="19">
        <f>IF(COUNTA(D671:E671)=0,"",N(D671)-N(E671))</f>
        <v/>
      </c>
      <c r="G671" s="19">
        <f>IFERROR(VLOOKUP($B671,'开奖记录'!$A:$K,2,FALSE),"")</f>
        <v/>
      </c>
      <c r="H671" s="19">
        <f>IFERROR(VLOOKUP($B671,'开奖记录'!$A:$K,9,FALSE),"")</f>
        <v/>
      </c>
      <c r="I671" s="19">
        <f>IFERROR(VLOOKUP($B671,'开奖记录'!$A:$K,11,FALSE),"")</f>
        <v/>
      </c>
      <c r="J671" s="19">
        <f>IF($B671="","",IF(ISNUMBER($D671),"命中",IF(ISNUMBER($E671),"未命中","")))</f>
        <v/>
      </c>
      <c r="K671" s="19" t="inlineStr"/>
      <c r="L671" s="19">
        <f>IFERROR(TEXT(VLOOKUP($B671-1,开奖记录!$A:$L,3,FALSE),"00")&amp;"+5="&amp;VLOOKUP(MOD(VLOOKUP($B671-1,开奖记录!$A:$L,3,FALSE)+4,49)+1,规律参数!$A:$C,3,FALSE),"")</f>
        <v/>
      </c>
      <c r="M671" s="19">
        <f>IF(L671="","",IF(I671="","待开奖",IF(ISNUMBER(SEARCH(I671,L671)),"命中","未命中")))</f>
        <v/>
      </c>
      <c r="N671" s="19">
        <f>IFERROR(VLOOKUP(VLOOKUP($B671-1,开奖记录!$A:$L,11,FALSE),八肖参数!$A:$B,2,FALSE),"")</f>
        <v/>
      </c>
      <c r="O671" s="19">
        <f>IF(N671="","",IF(I671="","待开奖",IF(ISNUMBER(SEARCH(I671,N671)),"命中","未命中")))</f>
        <v/>
      </c>
    </row>
    <row r="672">
      <c r="A672" s="19" t="n">
        <v>671</v>
      </c>
      <c r="B672" s="19">
        <f>IF(COUNTA(C672:E672)=0,"",B671+1)</f>
        <v/>
      </c>
      <c r="C672" s="19" t="inlineStr"/>
      <c r="D672" s="19" t="n"/>
      <c r="E672" s="19" t="n"/>
      <c r="F672" s="19">
        <f>IF(COUNTA(D672:E672)=0,"",N(D672)-N(E672))</f>
        <v/>
      </c>
      <c r="G672" s="19">
        <f>IFERROR(VLOOKUP($B672,'开奖记录'!$A:$K,2,FALSE),"")</f>
        <v/>
      </c>
      <c r="H672" s="19">
        <f>IFERROR(VLOOKUP($B672,'开奖记录'!$A:$K,9,FALSE),"")</f>
        <v/>
      </c>
      <c r="I672" s="19">
        <f>IFERROR(VLOOKUP($B672,'开奖记录'!$A:$K,11,FALSE),"")</f>
        <v/>
      </c>
      <c r="J672" s="19">
        <f>IF($B672="","",IF(ISNUMBER($D672),"命中",IF(ISNUMBER($E672),"未命中","")))</f>
        <v/>
      </c>
      <c r="K672" s="19" t="inlineStr"/>
      <c r="L672" s="19">
        <f>IFERROR(TEXT(VLOOKUP($B672-1,开奖记录!$A:$L,3,FALSE),"00")&amp;"+5="&amp;VLOOKUP(MOD(VLOOKUP($B672-1,开奖记录!$A:$L,3,FALSE)+4,49)+1,规律参数!$A:$C,3,FALSE),"")</f>
        <v/>
      </c>
      <c r="M672" s="19">
        <f>IF(L672="","",IF(I672="","待开奖",IF(ISNUMBER(SEARCH(I672,L672)),"命中","未命中")))</f>
        <v/>
      </c>
      <c r="N672" s="19">
        <f>IFERROR(VLOOKUP(VLOOKUP($B672-1,开奖记录!$A:$L,11,FALSE),八肖参数!$A:$B,2,FALSE),"")</f>
        <v/>
      </c>
      <c r="O672" s="19">
        <f>IF(N672="","",IF(I672="","待开奖",IF(ISNUMBER(SEARCH(I672,N672)),"命中","未命中")))</f>
        <v/>
      </c>
    </row>
    <row r="673">
      <c r="A673" s="19" t="n">
        <v>672</v>
      </c>
      <c r="B673" s="19">
        <f>IF(COUNTA(C673:E673)=0,"",B672+1)</f>
        <v/>
      </c>
      <c r="C673" s="19" t="inlineStr"/>
      <c r="D673" s="19" t="n"/>
      <c r="E673" s="19" t="n"/>
      <c r="F673" s="19">
        <f>IF(COUNTA(D673:E673)=0,"",N(D673)-N(E673))</f>
        <v/>
      </c>
      <c r="G673" s="19">
        <f>IFERROR(VLOOKUP($B673,'开奖记录'!$A:$K,2,FALSE),"")</f>
        <v/>
      </c>
      <c r="H673" s="19">
        <f>IFERROR(VLOOKUP($B673,'开奖记录'!$A:$K,9,FALSE),"")</f>
        <v/>
      </c>
      <c r="I673" s="19">
        <f>IFERROR(VLOOKUP($B673,'开奖记录'!$A:$K,11,FALSE),"")</f>
        <v/>
      </c>
      <c r="J673" s="19">
        <f>IF($B673="","",IF(ISNUMBER($D673),"命中",IF(ISNUMBER($E673),"未命中","")))</f>
        <v/>
      </c>
      <c r="K673" s="19" t="inlineStr"/>
      <c r="L673" s="19">
        <f>IFERROR(TEXT(VLOOKUP($B673-1,开奖记录!$A:$L,3,FALSE),"00")&amp;"+5="&amp;VLOOKUP(MOD(VLOOKUP($B673-1,开奖记录!$A:$L,3,FALSE)+4,49)+1,规律参数!$A:$C,3,FALSE),"")</f>
        <v/>
      </c>
      <c r="M673" s="19">
        <f>IF(L673="","",IF(I673="","待开奖",IF(ISNUMBER(SEARCH(I673,L673)),"命中","未命中")))</f>
        <v/>
      </c>
      <c r="N673" s="19">
        <f>IFERROR(VLOOKUP(VLOOKUP($B673-1,开奖记录!$A:$L,11,FALSE),八肖参数!$A:$B,2,FALSE),"")</f>
        <v/>
      </c>
      <c r="O673" s="19">
        <f>IF(N673="","",IF(I673="","待开奖",IF(ISNUMBER(SEARCH(I673,N673)),"命中","未命中")))</f>
        <v/>
      </c>
    </row>
    <row r="674">
      <c r="A674" s="19" t="n">
        <v>673</v>
      </c>
      <c r="B674" s="19">
        <f>IF(COUNTA(C674:E674)=0,"",B673+1)</f>
        <v/>
      </c>
      <c r="C674" s="19" t="inlineStr"/>
      <c r="D674" s="19" t="n"/>
      <c r="E674" s="19" t="n"/>
      <c r="F674" s="19">
        <f>IF(COUNTA(D674:E674)=0,"",N(D674)-N(E674))</f>
        <v/>
      </c>
      <c r="G674" s="19">
        <f>IFERROR(VLOOKUP($B674,'开奖记录'!$A:$K,2,FALSE),"")</f>
        <v/>
      </c>
      <c r="H674" s="19">
        <f>IFERROR(VLOOKUP($B674,'开奖记录'!$A:$K,9,FALSE),"")</f>
        <v/>
      </c>
      <c r="I674" s="19">
        <f>IFERROR(VLOOKUP($B674,'开奖记录'!$A:$K,11,FALSE),"")</f>
        <v/>
      </c>
      <c r="J674" s="19">
        <f>IF($B674="","",IF(ISNUMBER($D674),"命中",IF(ISNUMBER($E674),"未命中","")))</f>
        <v/>
      </c>
      <c r="K674" s="19" t="inlineStr"/>
      <c r="L674" s="19">
        <f>IFERROR(TEXT(VLOOKUP($B674-1,开奖记录!$A:$L,3,FALSE),"00")&amp;"+5="&amp;VLOOKUP(MOD(VLOOKUP($B674-1,开奖记录!$A:$L,3,FALSE)+4,49)+1,规律参数!$A:$C,3,FALSE),"")</f>
        <v/>
      </c>
      <c r="M674" s="19">
        <f>IF(L674="","",IF(I674="","待开奖",IF(ISNUMBER(SEARCH(I674,L674)),"命中","未命中")))</f>
        <v/>
      </c>
      <c r="N674" s="19">
        <f>IFERROR(VLOOKUP(VLOOKUP($B674-1,开奖记录!$A:$L,11,FALSE),八肖参数!$A:$B,2,FALSE),"")</f>
        <v/>
      </c>
      <c r="O674" s="19">
        <f>IF(N674="","",IF(I674="","待开奖",IF(ISNUMBER(SEARCH(I674,N674)),"命中","未命中")))</f>
        <v/>
      </c>
    </row>
    <row r="675">
      <c r="A675" s="19" t="n">
        <v>674</v>
      </c>
      <c r="B675" s="19">
        <f>IF(COUNTA(C675:E675)=0,"",B674+1)</f>
        <v/>
      </c>
      <c r="C675" s="19" t="inlineStr"/>
      <c r="D675" s="19" t="n"/>
      <c r="E675" s="19" t="n"/>
      <c r="F675" s="19">
        <f>IF(COUNTA(D675:E675)=0,"",N(D675)-N(E675))</f>
        <v/>
      </c>
      <c r="G675" s="19">
        <f>IFERROR(VLOOKUP($B675,'开奖记录'!$A:$K,2,FALSE),"")</f>
        <v/>
      </c>
      <c r="H675" s="19">
        <f>IFERROR(VLOOKUP($B675,'开奖记录'!$A:$K,9,FALSE),"")</f>
        <v/>
      </c>
      <c r="I675" s="19">
        <f>IFERROR(VLOOKUP($B675,'开奖记录'!$A:$K,11,FALSE),"")</f>
        <v/>
      </c>
      <c r="J675" s="19">
        <f>IF($B675="","",IF(ISNUMBER($D675),"命中",IF(ISNUMBER($E675),"未命中","")))</f>
        <v/>
      </c>
      <c r="K675" s="19" t="inlineStr"/>
      <c r="L675" s="19">
        <f>IFERROR(TEXT(VLOOKUP($B675-1,开奖记录!$A:$L,3,FALSE),"00")&amp;"+5="&amp;VLOOKUP(MOD(VLOOKUP($B675-1,开奖记录!$A:$L,3,FALSE)+4,49)+1,规律参数!$A:$C,3,FALSE),"")</f>
        <v/>
      </c>
      <c r="M675" s="19">
        <f>IF(L675="","",IF(I675="","待开奖",IF(ISNUMBER(SEARCH(I675,L675)),"命中","未命中")))</f>
        <v/>
      </c>
      <c r="N675" s="19">
        <f>IFERROR(VLOOKUP(VLOOKUP($B675-1,开奖记录!$A:$L,11,FALSE),八肖参数!$A:$B,2,FALSE),"")</f>
        <v/>
      </c>
      <c r="O675" s="19">
        <f>IF(N675="","",IF(I675="","待开奖",IF(ISNUMBER(SEARCH(I675,N675)),"命中","未命中")))</f>
        <v/>
      </c>
    </row>
    <row r="676">
      <c r="A676" s="19" t="n">
        <v>675</v>
      </c>
      <c r="B676" s="19">
        <f>IF(COUNTA(C676:E676)=0,"",B675+1)</f>
        <v/>
      </c>
      <c r="C676" s="19" t="inlineStr"/>
      <c r="D676" s="19" t="n"/>
      <c r="E676" s="19" t="n"/>
      <c r="F676" s="19">
        <f>IF(COUNTA(D676:E676)=0,"",N(D676)-N(E676))</f>
        <v/>
      </c>
      <c r="G676" s="19">
        <f>IFERROR(VLOOKUP($B676,'开奖记录'!$A:$K,2,FALSE),"")</f>
        <v/>
      </c>
      <c r="H676" s="19">
        <f>IFERROR(VLOOKUP($B676,'开奖记录'!$A:$K,9,FALSE),"")</f>
        <v/>
      </c>
      <c r="I676" s="19">
        <f>IFERROR(VLOOKUP($B676,'开奖记录'!$A:$K,11,FALSE),"")</f>
        <v/>
      </c>
      <c r="J676" s="19">
        <f>IF($B676="","",IF(ISNUMBER($D676),"命中",IF(ISNUMBER($E676),"未命中","")))</f>
        <v/>
      </c>
      <c r="K676" s="19" t="inlineStr"/>
      <c r="L676" s="19">
        <f>IFERROR(TEXT(VLOOKUP($B676-1,开奖记录!$A:$L,3,FALSE),"00")&amp;"+5="&amp;VLOOKUP(MOD(VLOOKUP($B676-1,开奖记录!$A:$L,3,FALSE)+4,49)+1,规律参数!$A:$C,3,FALSE),"")</f>
        <v/>
      </c>
      <c r="M676" s="19">
        <f>IF(L676="","",IF(I676="","待开奖",IF(ISNUMBER(SEARCH(I676,L676)),"命中","未命中")))</f>
        <v/>
      </c>
      <c r="N676" s="19">
        <f>IFERROR(VLOOKUP(VLOOKUP($B676-1,开奖记录!$A:$L,11,FALSE),八肖参数!$A:$B,2,FALSE),"")</f>
        <v/>
      </c>
      <c r="O676" s="19">
        <f>IF(N676="","",IF(I676="","待开奖",IF(ISNUMBER(SEARCH(I676,N676)),"命中","未命中")))</f>
        <v/>
      </c>
    </row>
    <row r="677">
      <c r="A677" s="19" t="n">
        <v>676</v>
      </c>
      <c r="B677" s="19">
        <f>IF(COUNTA(C677:E677)=0,"",B676+1)</f>
        <v/>
      </c>
      <c r="C677" s="19" t="inlineStr"/>
      <c r="D677" s="19" t="n"/>
      <c r="E677" s="19" t="n"/>
      <c r="F677" s="19">
        <f>IF(COUNTA(D677:E677)=0,"",N(D677)-N(E677))</f>
        <v/>
      </c>
      <c r="G677" s="19">
        <f>IFERROR(VLOOKUP($B677,'开奖记录'!$A:$K,2,FALSE),"")</f>
        <v/>
      </c>
      <c r="H677" s="19">
        <f>IFERROR(VLOOKUP($B677,'开奖记录'!$A:$K,9,FALSE),"")</f>
        <v/>
      </c>
      <c r="I677" s="19">
        <f>IFERROR(VLOOKUP($B677,'开奖记录'!$A:$K,11,FALSE),"")</f>
        <v/>
      </c>
      <c r="J677" s="19">
        <f>IF($B677="","",IF(ISNUMBER($D677),"命中",IF(ISNUMBER($E677),"未命中","")))</f>
        <v/>
      </c>
      <c r="K677" s="19" t="inlineStr"/>
      <c r="L677" s="19">
        <f>IFERROR(TEXT(VLOOKUP($B677-1,开奖记录!$A:$L,3,FALSE),"00")&amp;"+5="&amp;VLOOKUP(MOD(VLOOKUP($B677-1,开奖记录!$A:$L,3,FALSE)+4,49)+1,规律参数!$A:$C,3,FALSE),"")</f>
        <v/>
      </c>
      <c r="M677" s="19">
        <f>IF(L677="","",IF(I677="","待开奖",IF(ISNUMBER(SEARCH(I677,L677)),"命中","未命中")))</f>
        <v/>
      </c>
      <c r="N677" s="19">
        <f>IFERROR(VLOOKUP(VLOOKUP($B677-1,开奖记录!$A:$L,11,FALSE),八肖参数!$A:$B,2,FALSE),"")</f>
        <v/>
      </c>
      <c r="O677" s="19">
        <f>IF(N677="","",IF(I677="","待开奖",IF(ISNUMBER(SEARCH(I677,N677)),"命中","未命中")))</f>
        <v/>
      </c>
    </row>
    <row r="678">
      <c r="A678" s="19" t="n">
        <v>677</v>
      </c>
      <c r="B678" s="19">
        <f>IF(COUNTA(C678:E678)=0,"",B677+1)</f>
        <v/>
      </c>
      <c r="C678" s="19" t="inlineStr"/>
      <c r="D678" s="19" t="n"/>
      <c r="E678" s="19" t="n"/>
      <c r="F678" s="19">
        <f>IF(COUNTA(D678:E678)=0,"",N(D678)-N(E678))</f>
        <v/>
      </c>
      <c r="G678" s="19">
        <f>IFERROR(VLOOKUP($B678,'开奖记录'!$A:$K,2,FALSE),"")</f>
        <v/>
      </c>
      <c r="H678" s="19">
        <f>IFERROR(VLOOKUP($B678,'开奖记录'!$A:$K,9,FALSE),"")</f>
        <v/>
      </c>
      <c r="I678" s="19">
        <f>IFERROR(VLOOKUP($B678,'开奖记录'!$A:$K,11,FALSE),"")</f>
        <v/>
      </c>
      <c r="J678" s="19">
        <f>IF($B678="","",IF(ISNUMBER($D678),"命中",IF(ISNUMBER($E678),"未命中","")))</f>
        <v/>
      </c>
      <c r="K678" s="19" t="inlineStr"/>
      <c r="L678" s="19">
        <f>IFERROR(TEXT(VLOOKUP($B678-1,开奖记录!$A:$L,3,FALSE),"00")&amp;"+5="&amp;VLOOKUP(MOD(VLOOKUP($B678-1,开奖记录!$A:$L,3,FALSE)+4,49)+1,规律参数!$A:$C,3,FALSE),"")</f>
        <v/>
      </c>
      <c r="M678" s="19">
        <f>IF(L678="","",IF(I678="","待开奖",IF(ISNUMBER(SEARCH(I678,L678)),"命中","未命中")))</f>
        <v/>
      </c>
      <c r="N678" s="19">
        <f>IFERROR(VLOOKUP(VLOOKUP($B678-1,开奖记录!$A:$L,11,FALSE),八肖参数!$A:$B,2,FALSE),"")</f>
        <v/>
      </c>
      <c r="O678" s="19">
        <f>IF(N678="","",IF(I678="","待开奖",IF(ISNUMBER(SEARCH(I678,N678)),"命中","未命中")))</f>
        <v/>
      </c>
    </row>
    <row r="679">
      <c r="A679" s="19" t="n">
        <v>678</v>
      </c>
      <c r="B679" s="19">
        <f>IF(COUNTA(C679:E679)=0,"",B678+1)</f>
        <v/>
      </c>
      <c r="C679" s="19" t="inlineStr"/>
      <c r="D679" s="19" t="n"/>
      <c r="E679" s="19" t="n"/>
      <c r="F679" s="19">
        <f>IF(COUNTA(D679:E679)=0,"",N(D679)-N(E679))</f>
        <v/>
      </c>
      <c r="G679" s="19">
        <f>IFERROR(VLOOKUP($B679,'开奖记录'!$A:$K,2,FALSE),"")</f>
        <v/>
      </c>
      <c r="H679" s="19">
        <f>IFERROR(VLOOKUP($B679,'开奖记录'!$A:$K,9,FALSE),"")</f>
        <v/>
      </c>
      <c r="I679" s="19">
        <f>IFERROR(VLOOKUP($B679,'开奖记录'!$A:$K,11,FALSE),"")</f>
        <v/>
      </c>
      <c r="J679" s="19">
        <f>IF($B679="","",IF(ISNUMBER($D679),"命中",IF(ISNUMBER($E679),"未命中","")))</f>
        <v/>
      </c>
      <c r="K679" s="19" t="inlineStr"/>
      <c r="L679" s="19">
        <f>IFERROR(TEXT(VLOOKUP($B679-1,开奖记录!$A:$L,3,FALSE),"00")&amp;"+5="&amp;VLOOKUP(MOD(VLOOKUP($B679-1,开奖记录!$A:$L,3,FALSE)+4,49)+1,规律参数!$A:$C,3,FALSE),"")</f>
        <v/>
      </c>
      <c r="M679" s="19">
        <f>IF(L679="","",IF(I679="","待开奖",IF(ISNUMBER(SEARCH(I679,L679)),"命中","未命中")))</f>
        <v/>
      </c>
      <c r="N679" s="19">
        <f>IFERROR(VLOOKUP(VLOOKUP($B679-1,开奖记录!$A:$L,11,FALSE),八肖参数!$A:$B,2,FALSE),"")</f>
        <v/>
      </c>
      <c r="O679" s="19">
        <f>IF(N679="","",IF(I679="","待开奖",IF(ISNUMBER(SEARCH(I679,N679)),"命中","未命中")))</f>
        <v/>
      </c>
    </row>
    <row r="680">
      <c r="A680" s="19" t="n">
        <v>679</v>
      </c>
      <c r="B680" s="19">
        <f>IF(COUNTA(C680:E680)=0,"",B679+1)</f>
        <v/>
      </c>
      <c r="C680" s="19" t="inlineStr"/>
      <c r="D680" s="19" t="n"/>
      <c r="E680" s="19" t="n"/>
      <c r="F680" s="19">
        <f>IF(COUNTA(D680:E680)=0,"",N(D680)-N(E680))</f>
        <v/>
      </c>
      <c r="G680" s="19">
        <f>IFERROR(VLOOKUP($B680,'开奖记录'!$A:$K,2,FALSE),"")</f>
        <v/>
      </c>
      <c r="H680" s="19">
        <f>IFERROR(VLOOKUP($B680,'开奖记录'!$A:$K,9,FALSE),"")</f>
        <v/>
      </c>
      <c r="I680" s="19">
        <f>IFERROR(VLOOKUP($B680,'开奖记录'!$A:$K,11,FALSE),"")</f>
        <v/>
      </c>
      <c r="J680" s="19">
        <f>IF($B680="","",IF(ISNUMBER($D680),"命中",IF(ISNUMBER($E680),"未命中","")))</f>
        <v/>
      </c>
      <c r="K680" s="19" t="inlineStr"/>
      <c r="L680" s="19">
        <f>IFERROR(TEXT(VLOOKUP($B680-1,开奖记录!$A:$L,3,FALSE),"00")&amp;"+5="&amp;VLOOKUP(MOD(VLOOKUP($B680-1,开奖记录!$A:$L,3,FALSE)+4,49)+1,规律参数!$A:$C,3,FALSE),"")</f>
        <v/>
      </c>
      <c r="M680" s="19">
        <f>IF(L680="","",IF(I680="","待开奖",IF(ISNUMBER(SEARCH(I680,L680)),"命中","未命中")))</f>
        <v/>
      </c>
      <c r="N680" s="19">
        <f>IFERROR(VLOOKUP(VLOOKUP($B680-1,开奖记录!$A:$L,11,FALSE),八肖参数!$A:$B,2,FALSE),"")</f>
        <v/>
      </c>
      <c r="O680" s="19">
        <f>IF(N680="","",IF(I680="","待开奖",IF(ISNUMBER(SEARCH(I680,N680)),"命中","未命中")))</f>
        <v/>
      </c>
    </row>
    <row r="681">
      <c r="A681" s="19" t="n">
        <v>680</v>
      </c>
      <c r="B681" s="19">
        <f>IF(COUNTA(C681:E681)=0,"",B680+1)</f>
        <v/>
      </c>
      <c r="C681" s="19" t="inlineStr"/>
      <c r="D681" s="19" t="n"/>
      <c r="E681" s="19" t="n"/>
      <c r="F681" s="19">
        <f>IF(COUNTA(D681:E681)=0,"",N(D681)-N(E681))</f>
        <v/>
      </c>
      <c r="G681" s="19">
        <f>IFERROR(VLOOKUP($B681,'开奖记录'!$A:$K,2,FALSE),"")</f>
        <v/>
      </c>
      <c r="H681" s="19">
        <f>IFERROR(VLOOKUP($B681,'开奖记录'!$A:$K,9,FALSE),"")</f>
        <v/>
      </c>
      <c r="I681" s="19">
        <f>IFERROR(VLOOKUP($B681,'开奖记录'!$A:$K,11,FALSE),"")</f>
        <v/>
      </c>
      <c r="J681" s="19">
        <f>IF($B681="","",IF(ISNUMBER($D681),"命中",IF(ISNUMBER($E681),"未命中","")))</f>
        <v/>
      </c>
      <c r="K681" s="19" t="inlineStr"/>
      <c r="L681" s="19">
        <f>IFERROR(TEXT(VLOOKUP($B681-1,开奖记录!$A:$L,3,FALSE),"00")&amp;"+5="&amp;VLOOKUP(MOD(VLOOKUP($B681-1,开奖记录!$A:$L,3,FALSE)+4,49)+1,规律参数!$A:$C,3,FALSE),"")</f>
        <v/>
      </c>
      <c r="M681" s="19">
        <f>IF(L681="","",IF(I681="","待开奖",IF(ISNUMBER(SEARCH(I681,L681)),"命中","未命中")))</f>
        <v/>
      </c>
      <c r="N681" s="19">
        <f>IFERROR(VLOOKUP(VLOOKUP($B681-1,开奖记录!$A:$L,11,FALSE),八肖参数!$A:$B,2,FALSE),"")</f>
        <v/>
      </c>
      <c r="O681" s="19">
        <f>IF(N681="","",IF(I681="","待开奖",IF(ISNUMBER(SEARCH(I681,N681)),"命中","未命中")))</f>
        <v/>
      </c>
    </row>
    <row r="682">
      <c r="A682" s="19" t="n">
        <v>681</v>
      </c>
      <c r="B682" s="19">
        <f>IF(COUNTA(C682:E682)=0,"",B681+1)</f>
        <v/>
      </c>
      <c r="C682" s="19" t="inlineStr"/>
      <c r="D682" s="19" t="n"/>
      <c r="E682" s="19" t="n"/>
      <c r="F682" s="19">
        <f>IF(COUNTA(D682:E682)=0,"",N(D682)-N(E682))</f>
        <v/>
      </c>
      <c r="G682" s="19">
        <f>IFERROR(VLOOKUP($B682,'开奖记录'!$A:$K,2,FALSE),"")</f>
        <v/>
      </c>
      <c r="H682" s="19">
        <f>IFERROR(VLOOKUP($B682,'开奖记录'!$A:$K,9,FALSE),"")</f>
        <v/>
      </c>
      <c r="I682" s="19">
        <f>IFERROR(VLOOKUP($B682,'开奖记录'!$A:$K,11,FALSE),"")</f>
        <v/>
      </c>
      <c r="J682" s="19">
        <f>IF($B682="","",IF(ISNUMBER($D682),"命中",IF(ISNUMBER($E682),"未命中","")))</f>
        <v/>
      </c>
      <c r="K682" s="19" t="inlineStr"/>
      <c r="L682" s="19">
        <f>IFERROR(TEXT(VLOOKUP($B682-1,开奖记录!$A:$L,3,FALSE),"00")&amp;"+5="&amp;VLOOKUP(MOD(VLOOKUP($B682-1,开奖记录!$A:$L,3,FALSE)+4,49)+1,规律参数!$A:$C,3,FALSE),"")</f>
        <v/>
      </c>
      <c r="M682" s="19">
        <f>IF(L682="","",IF(I682="","待开奖",IF(ISNUMBER(SEARCH(I682,L682)),"命中","未命中")))</f>
        <v/>
      </c>
      <c r="N682" s="19">
        <f>IFERROR(VLOOKUP(VLOOKUP($B682-1,开奖记录!$A:$L,11,FALSE),八肖参数!$A:$B,2,FALSE),"")</f>
        <v/>
      </c>
      <c r="O682" s="19">
        <f>IF(N682="","",IF(I682="","待开奖",IF(ISNUMBER(SEARCH(I682,N682)),"命中","未命中")))</f>
        <v/>
      </c>
    </row>
    <row r="683">
      <c r="A683" s="19" t="n">
        <v>682</v>
      </c>
      <c r="B683" s="19">
        <f>IF(COUNTA(C683:E683)=0,"",B682+1)</f>
        <v/>
      </c>
      <c r="C683" s="19" t="inlineStr"/>
      <c r="D683" s="19" t="n"/>
      <c r="E683" s="19" t="n"/>
      <c r="F683" s="19">
        <f>IF(COUNTA(D683:E683)=0,"",N(D683)-N(E683))</f>
        <v/>
      </c>
      <c r="G683" s="19">
        <f>IFERROR(VLOOKUP($B683,'开奖记录'!$A:$K,2,FALSE),"")</f>
        <v/>
      </c>
      <c r="H683" s="19">
        <f>IFERROR(VLOOKUP($B683,'开奖记录'!$A:$K,9,FALSE),"")</f>
        <v/>
      </c>
      <c r="I683" s="19">
        <f>IFERROR(VLOOKUP($B683,'开奖记录'!$A:$K,11,FALSE),"")</f>
        <v/>
      </c>
      <c r="J683" s="19">
        <f>IF($B683="","",IF(ISNUMBER($D683),"命中",IF(ISNUMBER($E683),"未命中","")))</f>
        <v/>
      </c>
      <c r="K683" s="19" t="inlineStr"/>
      <c r="L683" s="19">
        <f>IFERROR(TEXT(VLOOKUP($B683-1,开奖记录!$A:$L,3,FALSE),"00")&amp;"+5="&amp;VLOOKUP(MOD(VLOOKUP($B683-1,开奖记录!$A:$L,3,FALSE)+4,49)+1,规律参数!$A:$C,3,FALSE),"")</f>
        <v/>
      </c>
      <c r="M683" s="19">
        <f>IF(L683="","",IF(I683="","待开奖",IF(ISNUMBER(SEARCH(I683,L683)),"命中","未命中")))</f>
        <v/>
      </c>
      <c r="N683" s="19">
        <f>IFERROR(VLOOKUP(VLOOKUP($B683-1,开奖记录!$A:$L,11,FALSE),八肖参数!$A:$B,2,FALSE),"")</f>
        <v/>
      </c>
      <c r="O683" s="19">
        <f>IF(N683="","",IF(I683="","待开奖",IF(ISNUMBER(SEARCH(I683,N683)),"命中","未命中")))</f>
        <v/>
      </c>
    </row>
    <row r="684">
      <c r="A684" s="19" t="n">
        <v>683</v>
      </c>
      <c r="B684" s="19">
        <f>IF(COUNTA(C684:E684)=0,"",B683+1)</f>
        <v/>
      </c>
      <c r="C684" s="19" t="inlineStr"/>
      <c r="D684" s="19" t="n"/>
      <c r="E684" s="19" t="n"/>
      <c r="F684" s="19">
        <f>IF(COUNTA(D684:E684)=0,"",N(D684)-N(E684))</f>
        <v/>
      </c>
      <c r="G684" s="19">
        <f>IFERROR(VLOOKUP($B684,'开奖记录'!$A:$K,2,FALSE),"")</f>
        <v/>
      </c>
      <c r="H684" s="19">
        <f>IFERROR(VLOOKUP($B684,'开奖记录'!$A:$K,9,FALSE),"")</f>
        <v/>
      </c>
      <c r="I684" s="19">
        <f>IFERROR(VLOOKUP($B684,'开奖记录'!$A:$K,11,FALSE),"")</f>
        <v/>
      </c>
      <c r="J684" s="19">
        <f>IF($B684="","",IF(ISNUMBER($D684),"命中",IF(ISNUMBER($E684),"未命中","")))</f>
        <v/>
      </c>
      <c r="K684" s="19" t="inlineStr"/>
      <c r="L684" s="19">
        <f>IFERROR(TEXT(VLOOKUP($B684-1,开奖记录!$A:$L,3,FALSE),"00")&amp;"+5="&amp;VLOOKUP(MOD(VLOOKUP($B684-1,开奖记录!$A:$L,3,FALSE)+4,49)+1,规律参数!$A:$C,3,FALSE),"")</f>
        <v/>
      </c>
      <c r="M684" s="19">
        <f>IF(L684="","",IF(I684="","待开奖",IF(ISNUMBER(SEARCH(I684,L684)),"命中","未命中")))</f>
        <v/>
      </c>
      <c r="N684" s="19">
        <f>IFERROR(VLOOKUP(VLOOKUP($B684-1,开奖记录!$A:$L,11,FALSE),八肖参数!$A:$B,2,FALSE),"")</f>
        <v/>
      </c>
      <c r="O684" s="19">
        <f>IF(N684="","",IF(I684="","待开奖",IF(ISNUMBER(SEARCH(I684,N684)),"命中","未命中")))</f>
        <v/>
      </c>
    </row>
    <row r="685">
      <c r="A685" s="19" t="n">
        <v>684</v>
      </c>
      <c r="B685" s="19">
        <f>IF(COUNTA(C685:E685)=0,"",B684+1)</f>
        <v/>
      </c>
      <c r="C685" s="19" t="inlineStr"/>
      <c r="D685" s="19" t="n"/>
      <c r="E685" s="19" t="n"/>
      <c r="F685" s="19">
        <f>IF(COUNTA(D685:E685)=0,"",N(D685)-N(E685))</f>
        <v/>
      </c>
      <c r="G685" s="19">
        <f>IFERROR(VLOOKUP($B685,'开奖记录'!$A:$K,2,FALSE),"")</f>
        <v/>
      </c>
      <c r="H685" s="19">
        <f>IFERROR(VLOOKUP($B685,'开奖记录'!$A:$K,9,FALSE),"")</f>
        <v/>
      </c>
      <c r="I685" s="19">
        <f>IFERROR(VLOOKUP($B685,'开奖记录'!$A:$K,11,FALSE),"")</f>
        <v/>
      </c>
      <c r="J685" s="19">
        <f>IF($B685="","",IF(ISNUMBER($D685),"命中",IF(ISNUMBER($E685),"未命中","")))</f>
        <v/>
      </c>
      <c r="K685" s="19" t="inlineStr"/>
      <c r="L685" s="19">
        <f>IFERROR(TEXT(VLOOKUP($B685-1,开奖记录!$A:$L,3,FALSE),"00")&amp;"+5="&amp;VLOOKUP(MOD(VLOOKUP($B685-1,开奖记录!$A:$L,3,FALSE)+4,49)+1,规律参数!$A:$C,3,FALSE),"")</f>
        <v/>
      </c>
      <c r="M685" s="19">
        <f>IF(L685="","",IF(I685="","待开奖",IF(ISNUMBER(SEARCH(I685,L685)),"命中","未命中")))</f>
        <v/>
      </c>
      <c r="N685" s="19">
        <f>IFERROR(VLOOKUP(VLOOKUP($B685-1,开奖记录!$A:$L,11,FALSE),八肖参数!$A:$B,2,FALSE),"")</f>
        <v/>
      </c>
      <c r="O685" s="19">
        <f>IF(N685="","",IF(I685="","待开奖",IF(ISNUMBER(SEARCH(I685,N685)),"命中","未命中")))</f>
        <v/>
      </c>
    </row>
    <row r="686">
      <c r="A686" s="19" t="n">
        <v>685</v>
      </c>
      <c r="B686" s="19">
        <f>IF(COUNTA(C686:E686)=0,"",B685+1)</f>
        <v/>
      </c>
      <c r="C686" s="19" t="inlineStr"/>
      <c r="D686" s="19" t="n"/>
      <c r="E686" s="19" t="n"/>
      <c r="F686" s="19">
        <f>IF(COUNTA(D686:E686)=0,"",N(D686)-N(E686))</f>
        <v/>
      </c>
      <c r="G686" s="19">
        <f>IFERROR(VLOOKUP($B686,'开奖记录'!$A:$K,2,FALSE),"")</f>
        <v/>
      </c>
      <c r="H686" s="19">
        <f>IFERROR(VLOOKUP($B686,'开奖记录'!$A:$K,9,FALSE),"")</f>
        <v/>
      </c>
      <c r="I686" s="19">
        <f>IFERROR(VLOOKUP($B686,'开奖记录'!$A:$K,11,FALSE),"")</f>
        <v/>
      </c>
      <c r="J686" s="19">
        <f>IF($B686="","",IF(ISNUMBER($D686),"命中",IF(ISNUMBER($E686),"未命中","")))</f>
        <v/>
      </c>
      <c r="K686" s="19" t="inlineStr"/>
      <c r="L686" s="19">
        <f>IFERROR(TEXT(VLOOKUP($B686-1,开奖记录!$A:$L,3,FALSE),"00")&amp;"+5="&amp;VLOOKUP(MOD(VLOOKUP($B686-1,开奖记录!$A:$L,3,FALSE)+4,49)+1,规律参数!$A:$C,3,FALSE),"")</f>
        <v/>
      </c>
      <c r="M686" s="19">
        <f>IF(L686="","",IF(I686="","待开奖",IF(ISNUMBER(SEARCH(I686,L686)),"命中","未命中")))</f>
        <v/>
      </c>
      <c r="N686" s="19">
        <f>IFERROR(VLOOKUP(VLOOKUP($B686-1,开奖记录!$A:$L,11,FALSE),八肖参数!$A:$B,2,FALSE),"")</f>
        <v/>
      </c>
      <c r="O686" s="19">
        <f>IF(N686="","",IF(I686="","待开奖",IF(ISNUMBER(SEARCH(I686,N686)),"命中","未命中")))</f>
        <v/>
      </c>
    </row>
    <row r="687">
      <c r="A687" s="19" t="n">
        <v>686</v>
      </c>
      <c r="B687" s="19">
        <f>IF(COUNTA(C687:E687)=0,"",B686+1)</f>
        <v/>
      </c>
      <c r="C687" s="19" t="inlineStr"/>
      <c r="D687" s="19" t="n"/>
      <c r="E687" s="19" t="n"/>
      <c r="F687" s="19">
        <f>IF(COUNTA(D687:E687)=0,"",N(D687)-N(E687))</f>
        <v/>
      </c>
      <c r="G687" s="19">
        <f>IFERROR(VLOOKUP($B687,'开奖记录'!$A:$K,2,FALSE),"")</f>
        <v/>
      </c>
      <c r="H687" s="19">
        <f>IFERROR(VLOOKUP($B687,'开奖记录'!$A:$K,9,FALSE),"")</f>
        <v/>
      </c>
      <c r="I687" s="19">
        <f>IFERROR(VLOOKUP($B687,'开奖记录'!$A:$K,11,FALSE),"")</f>
        <v/>
      </c>
      <c r="J687" s="19">
        <f>IF($B687="","",IF(ISNUMBER($D687),"命中",IF(ISNUMBER($E687),"未命中","")))</f>
        <v/>
      </c>
      <c r="K687" s="19" t="inlineStr"/>
      <c r="L687" s="19">
        <f>IFERROR(TEXT(VLOOKUP($B687-1,开奖记录!$A:$L,3,FALSE),"00")&amp;"+5="&amp;VLOOKUP(MOD(VLOOKUP($B687-1,开奖记录!$A:$L,3,FALSE)+4,49)+1,规律参数!$A:$C,3,FALSE),"")</f>
        <v/>
      </c>
      <c r="M687" s="19">
        <f>IF(L687="","",IF(I687="","待开奖",IF(ISNUMBER(SEARCH(I687,L687)),"命中","未命中")))</f>
        <v/>
      </c>
      <c r="N687" s="19">
        <f>IFERROR(VLOOKUP(VLOOKUP($B687-1,开奖记录!$A:$L,11,FALSE),八肖参数!$A:$B,2,FALSE),"")</f>
        <v/>
      </c>
      <c r="O687" s="19">
        <f>IF(N687="","",IF(I687="","待开奖",IF(ISNUMBER(SEARCH(I687,N687)),"命中","未命中")))</f>
        <v/>
      </c>
    </row>
    <row r="688">
      <c r="A688" s="19" t="n">
        <v>687</v>
      </c>
      <c r="B688" s="19">
        <f>IF(COUNTA(C688:E688)=0,"",B687+1)</f>
        <v/>
      </c>
      <c r="C688" s="19" t="inlineStr"/>
      <c r="D688" s="19" t="n"/>
      <c r="E688" s="19" t="n"/>
      <c r="F688" s="19">
        <f>IF(COUNTA(D688:E688)=0,"",N(D688)-N(E688))</f>
        <v/>
      </c>
      <c r="G688" s="19">
        <f>IFERROR(VLOOKUP($B688,'开奖记录'!$A:$K,2,FALSE),"")</f>
        <v/>
      </c>
      <c r="H688" s="19">
        <f>IFERROR(VLOOKUP($B688,'开奖记录'!$A:$K,9,FALSE),"")</f>
        <v/>
      </c>
      <c r="I688" s="19">
        <f>IFERROR(VLOOKUP($B688,'开奖记录'!$A:$K,11,FALSE),"")</f>
        <v/>
      </c>
      <c r="J688" s="19">
        <f>IF($B688="","",IF(ISNUMBER($D688),"命中",IF(ISNUMBER($E688),"未命中","")))</f>
        <v/>
      </c>
      <c r="K688" s="19" t="inlineStr"/>
      <c r="L688" s="19">
        <f>IFERROR(TEXT(VLOOKUP($B688-1,开奖记录!$A:$L,3,FALSE),"00")&amp;"+5="&amp;VLOOKUP(MOD(VLOOKUP($B688-1,开奖记录!$A:$L,3,FALSE)+4,49)+1,规律参数!$A:$C,3,FALSE),"")</f>
        <v/>
      </c>
      <c r="M688" s="19">
        <f>IF(L688="","",IF(I688="","待开奖",IF(ISNUMBER(SEARCH(I688,L688)),"命中","未命中")))</f>
        <v/>
      </c>
      <c r="N688" s="19">
        <f>IFERROR(VLOOKUP(VLOOKUP($B688-1,开奖记录!$A:$L,11,FALSE),八肖参数!$A:$B,2,FALSE),"")</f>
        <v/>
      </c>
      <c r="O688" s="19">
        <f>IF(N688="","",IF(I688="","待开奖",IF(ISNUMBER(SEARCH(I688,N688)),"命中","未命中")))</f>
        <v/>
      </c>
    </row>
    <row r="689">
      <c r="A689" s="19" t="n">
        <v>688</v>
      </c>
      <c r="B689" s="19">
        <f>IF(COUNTA(C689:E689)=0,"",B688+1)</f>
        <v/>
      </c>
      <c r="C689" s="19" t="inlineStr"/>
      <c r="D689" s="19" t="n"/>
      <c r="E689" s="19" t="n"/>
      <c r="F689" s="19">
        <f>IF(COUNTA(D689:E689)=0,"",N(D689)-N(E689))</f>
        <v/>
      </c>
      <c r="G689" s="19">
        <f>IFERROR(VLOOKUP($B689,'开奖记录'!$A:$K,2,FALSE),"")</f>
        <v/>
      </c>
      <c r="H689" s="19">
        <f>IFERROR(VLOOKUP($B689,'开奖记录'!$A:$K,9,FALSE),"")</f>
        <v/>
      </c>
      <c r="I689" s="19">
        <f>IFERROR(VLOOKUP($B689,'开奖记录'!$A:$K,11,FALSE),"")</f>
        <v/>
      </c>
      <c r="J689" s="19">
        <f>IF($B689="","",IF(ISNUMBER($D689),"命中",IF(ISNUMBER($E689),"未命中","")))</f>
        <v/>
      </c>
      <c r="K689" s="19" t="inlineStr"/>
      <c r="L689" s="19">
        <f>IFERROR(TEXT(VLOOKUP($B689-1,开奖记录!$A:$L,3,FALSE),"00")&amp;"+5="&amp;VLOOKUP(MOD(VLOOKUP($B689-1,开奖记录!$A:$L,3,FALSE)+4,49)+1,规律参数!$A:$C,3,FALSE),"")</f>
        <v/>
      </c>
      <c r="M689" s="19">
        <f>IF(L689="","",IF(I689="","待开奖",IF(ISNUMBER(SEARCH(I689,L689)),"命中","未命中")))</f>
        <v/>
      </c>
      <c r="N689" s="19">
        <f>IFERROR(VLOOKUP(VLOOKUP($B689-1,开奖记录!$A:$L,11,FALSE),八肖参数!$A:$B,2,FALSE),"")</f>
        <v/>
      </c>
      <c r="O689" s="19">
        <f>IF(N689="","",IF(I689="","待开奖",IF(ISNUMBER(SEARCH(I689,N689)),"命中","未命中")))</f>
        <v/>
      </c>
    </row>
    <row r="690">
      <c r="A690" s="19" t="n">
        <v>689</v>
      </c>
      <c r="B690" s="19">
        <f>IF(COUNTA(C690:E690)=0,"",B689+1)</f>
        <v/>
      </c>
      <c r="C690" s="19" t="inlineStr"/>
      <c r="D690" s="19" t="n"/>
      <c r="E690" s="19" t="n"/>
      <c r="F690" s="19">
        <f>IF(COUNTA(D690:E690)=0,"",N(D690)-N(E690))</f>
        <v/>
      </c>
      <c r="G690" s="19">
        <f>IFERROR(VLOOKUP($B690,'开奖记录'!$A:$K,2,FALSE),"")</f>
        <v/>
      </c>
      <c r="H690" s="19">
        <f>IFERROR(VLOOKUP($B690,'开奖记录'!$A:$K,9,FALSE),"")</f>
        <v/>
      </c>
      <c r="I690" s="19">
        <f>IFERROR(VLOOKUP($B690,'开奖记录'!$A:$K,11,FALSE),"")</f>
        <v/>
      </c>
      <c r="J690" s="19">
        <f>IF($B690="","",IF(ISNUMBER($D690),"命中",IF(ISNUMBER($E690),"未命中","")))</f>
        <v/>
      </c>
      <c r="K690" s="19" t="inlineStr"/>
      <c r="L690" s="19">
        <f>IFERROR(TEXT(VLOOKUP($B690-1,开奖记录!$A:$L,3,FALSE),"00")&amp;"+5="&amp;VLOOKUP(MOD(VLOOKUP($B690-1,开奖记录!$A:$L,3,FALSE)+4,49)+1,规律参数!$A:$C,3,FALSE),"")</f>
        <v/>
      </c>
      <c r="M690" s="19">
        <f>IF(L690="","",IF(I690="","待开奖",IF(ISNUMBER(SEARCH(I690,L690)),"命中","未命中")))</f>
        <v/>
      </c>
      <c r="N690" s="19">
        <f>IFERROR(VLOOKUP(VLOOKUP($B690-1,开奖记录!$A:$L,11,FALSE),八肖参数!$A:$B,2,FALSE),"")</f>
        <v/>
      </c>
      <c r="O690" s="19">
        <f>IF(N690="","",IF(I690="","待开奖",IF(ISNUMBER(SEARCH(I690,N690)),"命中","未命中")))</f>
        <v/>
      </c>
    </row>
    <row r="691">
      <c r="A691" s="19" t="n">
        <v>690</v>
      </c>
      <c r="B691" s="19">
        <f>IF(COUNTA(C691:E691)=0,"",B690+1)</f>
        <v/>
      </c>
      <c r="C691" s="19" t="inlineStr"/>
      <c r="D691" s="19" t="n"/>
      <c r="E691" s="19" t="n"/>
      <c r="F691" s="19">
        <f>IF(COUNTA(D691:E691)=0,"",N(D691)-N(E691))</f>
        <v/>
      </c>
      <c r="G691" s="19">
        <f>IFERROR(VLOOKUP($B691,'开奖记录'!$A:$K,2,FALSE),"")</f>
        <v/>
      </c>
      <c r="H691" s="19">
        <f>IFERROR(VLOOKUP($B691,'开奖记录'!$A:$K,9,FALSE),"")</f>
        <v/>
      </c>
      <c r="I691" s="19">
        <f>IFERROR(VLOOKUP($B691,'开奖记录'!$A:$K,11,FALSE),"")</f>
        <v/>
      </c>
      <c r="J691" s="19">
        <f>IF($B691="","",IF(ISNUMBER($D691),"命中",IF(ISNUMBER($E691),"未命中","")))</f>
        <v/>
      </c>
      <c r="K691" s="19" t="inlineStr"/>
      <c r="L691" s="19">
        <f>IFERROR(TEXT(VLOOKUP($B691-1,开奖记录!$A:$L,3,FALSE),"00")&amp;"+5="&amp;VLOOKUP(MOD(VLOOKUP($B691-1,开奖记录!$A:$L,3,FALSE)+4,49)+1,规律参数!$A:$C,3,FALSE),"")</f>
        <v/>
      </c>
      <c r="M691" s="19">
        <f>IF(L691="","",IF(I691="","待开奖",IF(ISNUMBER(SEARCH(I691,L691)),"命中","未命中")))</f>
        <v/>
      </c>
      <c r="N691" s="19">
        <f>IFERROR(VLOOKUP(VLOOKUP($B691-1,开奖记录!$A:$L,11,FALSE),八肖参数!$A:$B,2,FALSE),"")</f>
        <v/>
      </c>
      <c r="O691" s="19">
        <f>IF(N691="","",IF(I691="","待开奖",IF(ISNUMBER(SEARCH(I691,N691)),"命中","未命中")))</f>
        <v/>
      </c>
    </row>
    <row r="692">
      <c r="A692" s="19" t="n">
        <v>691</v>
      </c>
      <c r="B692" s="19">
        <f>IF(COUNTA(C692:E692)=0,"",B691+1)</f>
        <v/>
      </c>
      <c r="C692" s="19" t="inlineStr"/>
      <c r="D692" s="19" t="n"/>
      <c r="E692" s="19" t="n"/>
      <c r="F692" s="19">
        <f>IF(COUNTA(D692:E692)=0,"",N(D692)-N(E692))</f>
        <v/>
      </c>
      <c r="G692" s="19">
        <f>IFERROR(VLOOKUP($B692,'开奖记录'!$A:$K,2,FALSE),"")</f>
        <v/>
      </c>
      <c r="H692" s="19">
        <f>IFERROR(VLOOKUP($B692,'开奖记录'!$A:$K,9,FALSE),"")</f>
        <v/>
      </c>
      <c r="I692" s="19">
        <f>IFERROR(VLOOKUP($B692,'开奖记录'!$A:$K,11,FALSE),"")</f>
        <v/>
      </c>
      <c r="J692" s="19">
        <f>IF($B692="","",IF(ISNUMBER($D692),"命中",IF(ISNUMBER($E692),"未命中","")))</f>
        <v/>
      </c>
      <c r="K692" s="19" t="inlineStr"/>
      <c r="L692" s="19">
        <f>IFERROR(TEXT(VLOOKUP($B692-1,开奖记录!$A:$L,3,FALSE),"00")&amp;"+5="&amp;VLOOKUP(MOD(VLOOKUP($B692-1,开奖记录!$A:$L,3,FALSE)+4,49)+1,规律参数!$A:$C,3,FALSE),"")</f>
        <v/>
      </c>
      <c r="M692" s="19">
        <f>IF(L692="","",IF(I692="","待开奖",IF(ISNUMBER(SEARCH(I692,L692)),"命中","未命中")))</f>
        <v/>
      </c>
      <c r="N692" s="19">
        <f>IFERROR(VLOOKUP(VLOOKUP($B692-1,开奖记录!$A:$L,11,FALSE),八肖参数!$A:$B,2,FALSE),"")</f>
        <v/>
      </c>
      <c r="O692" s="19">
        <f>IF(N692="","",IF(I692="","待开奖",IF(ISNUMBER(SEARCH(I692,N692)),"命中","未命中")))</f>
        <v/>
      </c>
    </row>
    <row r="693">
      <c r="A693" s="19" t="n">
        <v>692</v>
      </c>
      <c r="B693" s="19">
        <f>IF(COUNTA(C693:E693)=0,"",B692+1)</f>
        <v/>
      </c>
      <c r="C693" s="19" t="inlineStr"/>
      <c r="D693" s="19" t="n"/>
      <c r="E693" s="19" t="n"/>
      <c r="F693" s="19">
        <f>IF(COUNTA(D693:E693)=0,"",N(D693)-N(E693))</f>
        <v/>
      </c>
      <c r="G693" s="19">
        <f>IFERROR(VLOOKUP($B693,'开奖记录'!$A:$K,2,FALSE),"")</f>
        <v/>
      </c>
      <c r="H693" s="19">
        <f>IFERROR(VLOOKUP($B693,'开奖记录'!$A:$K,9,FALSE),"")</f>
        <v/>
      </c>
      <c r="I693" s="19">
        <f>IFERROR(VLOOKUP($B693,'开奖记录'!$A:$K,11,FALSE),"")</f>
        <v/>
      </c>
      <c r="J693" s="19">
        <f>IF($B693="","",IF(ISNUMBER($D693),"命中",IF(ISNUMBER($E693),"未命中","")))</f>
        <v/>
      </c>
      <c r="K693" s="19" t="inlineStr"/>
      <c r="L693" s="19">
        <f>IFERROR(TEXT(VLOOKUP($B693-1,开奖记录!$A:$L,3,FALSE),"00")&amp;"+5="&amp;VLOOKUP(MOD(VLOOKUP($B693-1,开奖记录!$A:$L,3,FALSE)+4,49)+1,规律参数!$A:$C,3,FALSE),"")</f>
        <v/>
      </c>
      <c r="M693" s="19">
        <f>IF(L693="","",IF(I693="","待开奖",IF(ISNUMBER(SEARCH(I693,L693)),"命中","未命中")))</f>
        <v/>
      </c>
      <c r="N693" s="19">
        <f>IFERROR(VLOOKUP(VLOOKUP($B693-1,开奖记录!$A:$L,11,FALSE),八肖参数!$A:$B,2,FALSE),"")</f>
        <v/>
      </c>
      <c r="O693" s="19">
        <f>IF(N693="","",IF(I693="","待开奖",IF(ISNUMBER(SEARCH(I693,N693)),"命中","未命中")))</f>
        <v/>
      </c>
    </row>
    <row r="694">
      <c r="A694" s="19" t="n">
        <v>693</v>
      </c>
      <c r="B694" s="19">
        <f>IF(COUNTA(C694:E694)=0,"",B693+1)</f>
        <v/>
      </c>
      <c r="C694" s="19" t="inlineStr"/>
      <c r="D694" s="19" t="n"/>
      <c r="E694" s="19" t="n"/>
      <c r="F694" s="19">
        <f>IF(COUNTA(D694:E694)=0,"",N(D694)-N(E694))</f>
        <v/>
      </c>
      <c r="G694" s="19">
        <f>IFERROR(VLOOKUP($B694,'开奖记录'!$A:$K,2,FALSE),"")</f>
        <v/>
      </c>
      <c r="H694" s="19">
        <f>IFERROR(VLOOKUP($B694,'开奖记录'!$A:$K,9,FALSE),"")</f>
        <v/>
      </c>
      <c r="I694" s="19">
        <f>IFERROR(VLOOKUP($B694,'开奖记录'!$A:$K,11,FALSE),"")</f>
        <v/>
      </c>
      <c r="J694" s="19">
        <f>IF($B694="","",IF(ISNUMBER($D694),"命中",IF(ISNUMBER($E694),"未命中","")))</f>
        <v/>
      </c>
      <c r="K694" s="19" t="inlineStr"/>
      <c r="L694" s="19">
        <f>IFERROR(TEXT(VLOOKUP($B694-1,开奖记录!$A:$L,3,FALSE),"00")&amp;"+5="&amp;VLOOKUP(MOD(VLOOKUP($B694-1,开奖记录!$A:$L,3,FALSE)+4,49)+1,规律参数!$A:$C,3,FALSE),"")</f>
        <v/>
      </c>
      <c r="M694" s="19">
        <f>IF(L694="","",IF(I694="","待开奖",IF(ISNUMBER(SEARCH(I694,L694)),"命中","未命中")))</f>
        <v/>
      </c>
      <c r="N694" s="19">
        <f>IFERROR(VLOOKUP(VLOOKUP($B694-1,开奖记录!$A:$L,11,FALSE),八肖参数!$A:$B,2,FALSE),"")</f>
        <v/>
      </c>
      <c r="O694" s="19">
        <f>IF(N694="","",IF(I694="","待开奖",IF(ISNUMBER(SEARCH(I694,N694)),"命中","未命中")))</f>
        <v/>
      </c>
    </row>
    <row r="695">
      <c r="A695" s="19" t="n">
        <v>694</v>
      </c>
      <c r="B695" s="19">
        <f>IF(COUNTA(C695:E695)=0,"",B694+1)</f>
        <v/>
      </c>
      <c r="C695" s="19" t="inlineStr"/>
      <c r="D695" s="19" t="n"/>
      <c r="E695" s="19" t="n"/>
      <c r="F695" s="19">
        <f>IF(COUNTA(D695:E695)=0,"",N(D695)-N(E695))</f>
        <v/>
      </c>
      <c r="G695" s="19">
        <f>IFERROR(VLOOKUP($B695,'开奖记录'!$A:$K,2,FALSE),"")</f>
        <v/>
      </c>
      <c r="H695" s="19">
        <f>IFERROR(VLOOKUP($B695,'开奖记录'!$A:$K,9,FALSE),"")</f>
        <v/>
      </c>
      <c r="I695" s="19">
        <f>IFERROR(VLOOKUP($B695,'开奖记录'!$A:$K,11,FALSE),"")</f>
        <v/>
      </c>
      <c r="J695" s="19">
        <f>IF($B695="","",IF(ISNUMBER($D695),"命中",IF(ISNUMBER($E695),"未命中","")))</f>
        <v/>
      </c>
      <c r="K695" s="19" t="inlineStr"/>
      <c r="L695" s="19">
        <f>IFERROR(TEXT(VLOOKUP($B695-1,开奖记录!$A:$L,3,FALSE),"00")&amp;"+5="&amp;VLOOKUP(MOD(VLOOKUP($B695-1,开奖记录!$A:$L,3,FALSE)+4,49)+1,规律参数!$A:$C,3,FALSE),"")</f>
        <v/>
      </c>
      <c r="M695" s="19">
        <f>IF(L695="","",IF(I695="","待开奖",IF(ISNUMBER(SEARCH(I695,L695)),"命中","未命中")))</f>
        <v/>
      </c>
      <c r="N695" s="19">
        <f>IFERROR(VLOOKUP(VLOOKUP($B695-1,开奖记录!$A:$L,11,FALSE),八肖参数!$A:$B,2,FALSE),"")</f>
        <v/>
      </c>
      <c r="O695" s="19">
        <f>IF(N695="","",IF(I695="","待开奖",IF(ISNUMBER(SEARCH(I695,N695)),"命中","未命中")))</f>
        <v/>
      </c>
    </row>
    <row r="696">
      <c r="A696" s="19" t="n">
        <v>695</v>
      </c>
      <c r="B696" s="19">
        <f>IF(COUNTA(C696:E696)=0,"",B695+1)</f>
        <v/>
      </c>
      <c r="C696" s="19" t="inlineStr"/>
      <c r="D696" s="19" t="n"/>
      <c r="E696" s="19" t="n"/>
      <c r="F696" s="19">
        <f>IF(COUNTA(D696:E696)=0,"",N(D696)-N(E696))</f>
        <v/>
      </c>
      <c r="G696" s="19">
        <f>IFERROR(VLOOKUP($B696,'开奖记录'!$A:$K,2,FALSE),"")</f>
        <v/>
      </c>
      <c r="H696" s="19">
        <f>IFERROR(VLOOKUP($B696,'开奖记录'!$A:$K,9,FALSE),"")</f>
        <v/>
      </c>
      <c r="I696" s="19">
        <f>IFERROR(VLOOKUP($B696,'开奖记录'!$A:$K,11,FALSE),"")</f>
        <v/>
      </c>
      <c r="J696" s="19">
        <f>IF($B696="","",IF(ISNUMBER($D696),"命中",IF(ISNUMBER($E696),"未命中","")))</f>
        <v/>
      </c>
      <c r="K696" s="19" t="inlineStr"/>
      <c r="L696" s="19">
        <f>IFERROR(TEXT(VLOOKUP($B696-1,开奖记录!$A:$L,3,FALSE),"00")&amp;"+5="&amp;VLOOKUP(MOD(VLOOKUP($B696-1,开奖记录!$A:$L,3,FALSE)+4,49)+1,规律参数!$A:$C,3,FALSE),"")</f>
        <v/>
      </c>
      <c r="M696" s="19">
        <f>IF(L696="","",IF(I696="","待开奖",IF(ISNUMBER(SEARCH(I696,L696)),"命中","未命中")))</f>
        <v/>
      </c>
      <c r="N696" s="19">
        <f>IFERROR(VLOOKUP(VLOOKUP($B696-1,开奖记录!$A:$L,11,FALSE),八肖参数!$A:$B,2,FALSE),"")</f>
        <v/>
      </c>
      <c r="O696" s="19">
        <f>IF(N696="","",IF(I696="","待开奖",IF(ISNUMBER(SEARCH(I696,N696)),"命中","未命中")))</f>
        <v/>
      </c>
    </row>
    <row r="697">
      <c r="A697" s="19" t="n">
        <v>696</v>
      </c>
      <c r="B697" s="19">
        <f>IF(COUNTA(C697:E697)=0,"",B696+1)</f>
        <v/>
      </c>
      <c r="C697" s="19" t="inlineStr"/>
      <c r="D697" s="19" t="n"/>
      <c r="E697" s="19" t="n"/>
      <c r="F697" s="19">
        <f>IF(COUNTA(D697:E697)=0,"",N(D697)-N(E697))</f>
        <v/>
      </c>
      <c r="G697" s="19">
        <f>IFERROR(VLOOKUP($B697,'开奖记录'!$A:$K,2,FALSE),"")</f>
        <v/>
      </c>
      <c r="H697" s="19">
        <f>IFERROR(VLOOKUP($B697,'开奖记录'!$A:$K,9,FALSE),"")</f>
        <v/>
      </c>
      <c r="I697" s="19">
        <f>IFERROR(VLOOKUP($B697,'开奖记录'!$A:$K,11,FALSE),"")</f>
        <v/>
      </c>
      <c r="J697" s="19">
        <f>IF($B697="","",IF(ISNUMBER($D697),"命中",IF(ISNUMBER($E697),"未命中","")))</f>
        <v/>
      </c>
      <c r="K697" s="19" t="inlineStr"/>
      <c r="L697" s="19">
        <f>IFERROR(TEXT(VLOOKUP($B697-1,开奖记录!$A:$L,3,FALSE),"00")&amp;"+5="&amp;VLOOKUP(MOD(VLOOKUP($B697-1,开奖记录!$A:$L,3,FALSE)+4,49)+1,规律参数!$A:$C,3,FALSE),"")</f>
        <v/>
      </c>
      <c r="M697" s="19">
        <f>IF(L697="","",IF(I697="","待开奖",IF(ISNUMBER(SEARCH(I697,L697)),"命中","未命中")))</f>
        <v/>
      </c>
      <c r="N697" s="19">
        <f>IFERROR(VLOOKUP(VLOOKUP($B697-1,开奖记录!$A:$L,11,FALSE),八肖参数!$A:$B,2,FALSE),"")</f>
        <v/>
      </c>
      <c r="O697" s="19">
        <f>IF(N697="","",IF(I697="","待开奖",IF(ISNUMBER(SEARCH(I697,N697)),"命中","未命中")))</f>
        <v/>
      </c>
    </row>
    <row r="698">
      <c r="A698" s="19" t="n">
        <v>697</v>
      </c>
      <c r="B698" s="19">
        <f>IF(COUNTA(C698:E698)=0,"",B697+1)</f>
        <v/>
      </c>
      <c r="C698" s="19" t="inlineStr"/>
      <c r="D698" s="19" t="n"/>
      <c r="E698" s="19" t="n"/>
      <c r="F698" s="19">
        <f>IF(COUNTA(D698:E698)=0,"",N(D698)-N(E698))</f>
        <v/>
      </c>
      <c r="G698" s="19">
        <f>IFERROR(VLOOKUP($B698,'开奖记录'!$A:$K,2,FALSE),"")</f>
        <v/>
      </c>
      <c r="H698" s="19">
        <f>IFERROR(VLOOKUP($B698,'开奖记录'!$A:$K,9,FALSE),"")</f>
        <v/>
      </c>
      <c r="I698" s="19">
        <f>IFERROR(VLOOKUP($B698,'开奖记录'!$A:$K,11,FALSE),"")</f>
        <v/>
      </c>
      <c r="J698" s="19">
        <f>IF($B698="","",IF(ISNUMBER($D698),"命中",IF(ISNUMBER($E698),"未命中","")))</f>
        <v/>
      </c>
      <c r="K698" s="19" t="inlineStr"/>
      <c r="L698" s="19">
        <f>IFERROR(TEXT(VLOOKUP($B698-1,开奖记录!$A:$L,3,FALSE),"00")&amp;"+5="&amp;VLOOKUP(MOD(VLOOKUP($B698-1,开奖记录!$A:$L,3,FALSE)+4,49)+1,规律参数!$A:$C,3,FALSE),"")</f>
        <v/>
      </c>
      <c r="M698" s="19">
        <f>IF(L698="","",IF(I698="","待开奖",IF(ISNUMBER(SEARCH(I698,L698)),"命中","未命中")))</f>
        <v/>
      </c>
      <c r="N698" s="19">
        <f>IFERROR(VLOOKUP(VLOOKUP($B698-1,开奖记录!$A:$L,11,FALSE),八肖参数!$A:$B,2,FALSE),"")</f>
        <v/>
      </c>
      <c r="O698" s="19">
        <f>IF(N698="","",IF(I698="","待开奖",IF(ISNUMBER(SEARCH(I698,N698)),"命中","未命中")))</f>
        <v/>
      </c>
    </row>
    <row r="699">
      <c r="A699" s="19" t="n">
        <v>698</v>
      </c>
      <c r="B699" s="19">
        <f>IF(COUNTA(C699:E699)=0,"",B698+1)</f>
        <v/>
      </c>
      <c r="C699" s="19" t="inlineStr"/>
      <c r="D699" s="19" t="n"/>
      <c r="E699" s="19" t="n"/>
      <c r="F699" s="19">
        <f>IF(COUNTA(D699:E699)=0,"",N(D699)-N(E699))</f>
        <v/>
      </c>
      <c r="G699" s="19">
        <f>IFERROR(VLOOKUP($B699,'开奖记录'!$A:$K,2,FALSE),"")</f>
        <v/>
      </c>
      <c r="H699" s="19">
        <f>IFERROR(VLOOKUP($B699,'开奖记录'!$A:$K,9,FALSE),"")</f>
        <v/>
      </c>
      <c r="I699" s="19">
        <f>IFERROR(VLOOKUP($B699,'开奖记录'!$A:$K,11,FALSE),"")</f>
        <v/>
      </c>
      <c r="J699" s="19">
        <f>IF($B699="","",IF(ISNUMBER($D699),"命中",IF(ISNUMBER($E699),"未命中","")))</f>
        <v/>
      </c>
      <c r="K699" s="19" t="inlineStr"/>
      <c r="L699" s="19">
        <f>IFERROR(TEXT(VLOOKUP($B699-1,开奖记录!$A:$L,3,FALSE),"00")&amp;"+5="&amp;VLOOKUP(MOD(VLOOKUP($B699-1,开奖记录!$A:$L,3,FALSE)+4,49)+1,规律参数!$A:$C,3,FALSE),"")</f>
        <v/>
      </c>
      <c r="M699" s="19">
        <f>IF(L699="","",IF(I699="","待开奖",IF(ISNUMBER(SEARCH(I699,L699)),"命中","未命中")))</f>
        <v/>
      </c>
      <c r="N699" s="19">
        <f>IFERROR(VLOOKUP(VLOOKUP($B699-1,开奖记录!$A:$L,11,FALSE),八肖参数!$A:$B,2,FALSE),"")</f>
        <v/>
      </c>
      <c r="O699" s="19">
        <f>IF(N699="","",IF(I699="","待开奖",IF(ISNUMBER(SEARCH(I699,N699)),"命中","未命中")))</f>
        <v/>
      </c>
    </row>
    <row r="700">
      <c r="A700" s="19" t="n">
        <v>699</v>
      </c>
      <c r="B700" s="19">
        <f>IF(COUNTA(C700:E700)=0,"",B699+1)</f>
        <v/>
      </c>
      <c r="C700" s="19" t="inlineStr"/>
      <c r="D700" s="19" t="n"/>
      <c r="E700" s="19" t="n"/>
      <c r="F700" s="19">
        <f>IF(COUNTA(D700:E700)=0,"",N(D700)-N(E700))</f>
        <v/>
      </c>
      <c r="G700" s="19">
        <f>IFERROR(VLOOKUP($B700,'开奖记录'!$A:$K,2,FALSE),"")</f>
        <v/>
      </c>
      <c r="H700" s="19">
        <f>IFERROR(VLOOKUP($B700,'开奖记录'!$A:$K,9,FALSE),"")</f>
        <v/>
      </c>
      <c r="I700" s="19">
        <f>IFERROR(VLOOKUP($B700,'开奖记录'!$A:$K,11,FALSE),"")</f>
        <v/>
      </c>
      <c r="J700" s="19">
        <f>IF($B700="","",IF(ISNUMBER($D700),"命中",IF(ISNUMBER($E700),"未命中","")))</f>
        <v/>
      </c>
      <c r="K700" s="19" t="inlineStr"/>
      <c r="L700" s="19">
        <f>IFERROR(TEXT(VLOOKUP($B700-1,开奖记录!$A:$L,3,FALSE),"00")&amp;"+5="&amp;VLOOKUP(MOD(VLOOKUP($B700-1,开奖记录!$A:$L,3,FALSE)+4,49)+1,规律参数!$A:$C,3,FALSE),"")</f>
        <v/>
      </c>
      <c r="M700" s="19">
        <f>IF(L700="","",IF(I700="","待开奖",IF(ISNUMBER(SEARCH(I700,L700)),"命中","未命中")))</f>
        <v/>
      </c>
      <c r="N700" s="19">
        <f>IFERROR(VLOOKUP(VLOOKUP($B700-1,开奖记录!$A:$L,11,FALSE),八肖参数!$A:$B,2,FALSE),"")</f>
        <v/>
      </c>
      <c r="O700" s="19">
        <f>IF(N700="","",IF(I700="","待开奖",IF(ISNUMBER(SEARCH(I700,N700)),"命中","未命中")))</f>
        <v/>
      </c>
    </row>
    <row r="701">
      <c r="A701" s="19" t="n">
        <v>700</v>
      </c>
      <c r="B701" s="19">
        <f>IF(COUNTA(C701:E701)=0,"",B700+1)</f>
        <v/>
      </c>
      <c r="C701" s="19" t="inlineStr"/>
      <c r="D701" s="19" t="n"/>
      <c r="E701" s="19" t="n"/>
      <c r="F701" s="19">
        <f>IF(COUNTA(D701:E701)=0,"",N(D701)-N(E701))</f>
        <v/>
      </c>
      <c r="G701" s="19">
        <f>IFERROR(VLOOKUP($B701,'开奖记录'!$A:$K,2,FALSE),"")</f>
        <v/>
      </c>
      <c r="H701" s="19">
        <f>IFERROR(VLOOKUP($B701,'开奖记录'!$A:$K,9,FALSE),"")</f>
        <v/>
      </c>
      <c r="I701" s="19">
        <f>IFERROR(VLOOKUP($B701,'开奖记录'!$A:$K,11,FALSE),"")</f>
        <v/>
      </c>
      <c r="J701" s="19">
        <f>IF($B701="","",IF(ISNUMBER($D701),"命中",IF(ISNUMBER($E701),"未命中","")))</f>
        <v/>
      </c>
      <c r="K701" s="19" t="inlineStr"/>
      <c r="L701" s="19">
        <f>IFERROR(TEXT(VLOOKUP($B701-1,开奖记录!$A:$L,3,FALSE),"00")&amp;"+5="&amp;VLOOKUP(MOD(VLOOKUP($B701-1,开奖记录!$A:$L,3,FALSE)+4,49)+1,规律参数!$A:$C,3,FALSE),"")</f>
        <v/>
      </c>
      <c r="M701" s="19">
        <f>IF(L701="","",IF(I701="","待开奖",IF(ISNUMBER(SEARCH(I701,L701)),"命中","未命中")))</f>
        <v/>
      </c>
      <c r="N701" s="19">
        <f>IFERROR(VLOOKUP(VLOOKUP($B701-1,开奖记录!$A:$L,11,FALSE),八肖参数!$A:$B,2,FALSE),"")</f>
        <v/>
      </c>
      <c r="O701" s="19">
        <f>IF(N701="","",IF(I701="","待开奖",IF(ISNUMBER(SEARCH(I701,N701)),"命中","未命中")))</f>
        <v/>
      </c>
    </row>
    <row r="702">
      <c r="A702" s="19" t="n">
        <v>701</v>
      </c>
      <c r="B702" s="19">
        <f>IF(COUNTA(C702:E702)=0,"",B701+1)</f>
        <v/>
      </c>
      <c r="C702" s="19" t="inlineStr"/>
      <c r="D702" s="19" t="n"/>
      <c r="E702" s="19" t="n"/>
      <c r="F702" s="19">
        <f>IF(COUNTA(D702:E702)=0,"",N(D702)-N(E702))</f>
        <v/>
      </c>
      <c r="G702" s="19">
        <f>IFERROR(VLOOKUP($B702,'开奖记录'!$A:$K,2,FALSE),"")</f>
        <v/>
      </c>
      <c r="H702" s="19">
        <f>IFERROR(VLOOKUP($B702,'开奖记录'!$A:$K,9,FALSE),"")</f>
        <v/>
      </c>
      <c r="I702" s="19">
        <f>IFERROR(VLOOKUP($B702,'开奖记录'!$A:$K,11,FALSE),"")</f>
        <v/>
      </c>
      <c r="J702" s="19">
        <f>IF($B702="","",IF(ISNUMBER($D702),"命中",IF(ISNUMBER($E702),"未命中","")))</f>
        <v/>
      </c>
      <c r="K702" s="19" t="inlineStr"/>
      <c r="L702" s="19">
        <f>IFERROR(TEXT(VLOOKUP($B702-1,开奖记录!$A:$L,3,FALSE),"00")&amp;"+5="&amp;VLOOKUP(MOD(VLOOKUP($B702-1,开奖记录!$A:$L,3,FALSE)+4,49)+1,规律参数!$A:$C,3,FALSE),"")</f>
        <v/>
      </c>
      <c r="M702" s="19">
        <f>IF(L702="","",IF(I702="","待开奖",IF(ISNUMBER(SEARCH(I702,L702)),"命中","未命中")))</f>
        <v/>
      </c>
      <c r="N702" s="19">
        <f>IFERROR(VLOOKUP(VLOOKUP($B702-1,开奖记录!$A:$L,11,FALSE),八肖参数!$A:$B,2,FALSE),"")</f>
        <v/>
      </c>
      <c r="O702" s="19">
        <f>IF(N702="","",IF(I702="","待开奖",IF(ISNUMBER(SEARCH(I702,N702)),"命中","未命中")))</f>
        <v/>
      </c>
    </row>
    <row r="703">
      <c r="A703" s="19" t="n">
        <v>702</v>
      </c>
      <c r="B703" s="19">
        <f>IF(COUNTA(C703:E703)=0,"",B702+1)</f>
        <v/>
      </c>
      <c r="C703" s="19" t="inlineStr"/>
      <c r="D703" s="19" t="n"/>
      <c r="E703" s="19" t="n"/>
      <c r="F703" s="19">
        <f>IF(COUNTA(D703:E703)=0,"",N(D703)-N(E703))</f>
        <v/>
      </c>
      <c r="G703" s="19">
        <f>IFERROR(VLOOKUP($B703,'开奖记录'!$A:$K,2,FALSE),"")</f>
        <v/>
      </c>
      <c r="H703" s="19">
        <f>IFERROR(VLOOKUP($B703,'开奖记录'!$A:$K,9,FALSE),"")</f>
        <v/>
      </c>
      <c r="I703" s="19">
        <f>IFERROR(VLOOKUP($B703,'开奖记录'!$A:$K,11,FALSE),"")</f>
        <v/>
      </c>
      <c r="J703" s="19">
        <f>IF($B703="","",IF(ISNUMBER($D703),"命中",IF(ISNUMBER($E703),"未命中","")))</f>
        <v/>
      </c>
      <c r="K703" s="19" t="inlineStr"/>
      <c r="L703" s="19">
        <f>IFERROR(TEXT(VLOOKUP($B703-1,开奖记录!$A:$L,3,FALSE),"00")&amp;"+5="&amp;VLOOKUP(MOD(VLOOKUP($B703-1,开奖记录!$A:$L,3,FALSE)+4,49)+1,规律参数!$A:$C,3,FALSE),"")</f>
        <v/>
      </c>
      <c r="M703" s="19">
        <f>IF(L703="","",IF(I703="","待开奖",IF(ISNUMBER(SEARCH(I703,L703)),"命中","未命中")))</f>
        <v/>
      </c>
      <c r="N703" s="19">
        <f>IFERROR(VLOOKUP(VLOOKUP($B703-1,开奖记录!$A:$L,11,FALSE),八肖参数!$A:$B,2,FALSE),"")</f>
        <v/>
      </c>
      <c r="O703" s="19">
        <f>IF(N703="","",IF(I703="","待开奖",IF(ISNUMBER(SEARCH(I703,N703)),"命中","未命中")))</f>
        <v/>
      </c>
    </row>
    <row r="704">
      <c r="A704" s="19" t="n">
        <v>703</v>
      </c>
      <c r="B704" s="19">
        <f>IF(COUNTA(C704:E704)=0,"",B703+1)</f>
        <v/>
      </c>
      <c r="C704" s="19" t="inlineStr"/>
      <c r="D704" s="19" t="n"/>
      <c r="E704" s="19" t="n"/>
      <c r="F704" s="19">
        <f>IF(COUNTA(D704:E704)=0,"",N(D704)-N(E704))</f>
        <v/>
      </c>
      <c r="G704" s="19">
        <f>IFERROR(VLOOKUP($B704,'开奖记录'!$A:$K,2,FALSE),"")</f>
        <v/>
      </c>
      <c r="H704" s="19">
        <f>IFERROR(VLOOKUP($B704,'开奖记录'!$A:$K,9,FALSE),"")</f>
        <v/>
      </c>
      <c r="I704" s="19">
        <f>IFERROR(VLOOKUP($B704,'开奖记录'!$A:$K,11,FALSE),"")</f>
        <v/>
      </c>
      <c r="J704" s="19">
        <f>IF($B704="","",IF(ISNUMBER($D704),"命中",IF(ISNUMBER($E704),"未命中","")))</f>
        <v/>
      </c>
      <c r="K704" s="19" t="inlineStr"/>
      <c r="L704" s="19">
        <f>IFERROR(TEXT(VLOOKUP($B704-1,开奖记录!$A:$L,3,FALSE),"00")&amp;"+5="&amp;VLOOKUP(MOD(VLOOKUP($B704-1,开奖记录!$A:$L,3,FALSE)+4,49)+1,规律参数!$A:$C,3,FALSE),"")</f>
        <v/>
      </c>
      <c r="M704" s="19">
        <f>IF(L704="","",IF(I704="","待开奖",IF(ISNUMBER(SEARCH(I704,L704)),"命中","未命中")))</f>
        <v/>
      </c>
      <c r="N704" s="19">
        <f>IFERROR(VLOOKUP(VLOOKUP($B704-1,开奖记录!$A:$L,11,FALSE),八肖参数!$A:$B,2,FALSE),"")</f>
        <v/>
      </c>
      <c r="O704" s="19">
        <f>IF(N704="","",IF(I704="","待开奖",IF(ISNUMBER(SEARCH(I704,N704)),"命中","未命中")))</f>
        <v/>
      </c>
    </row>
    <row r="705">
      <c r="A705" s="19" t="n">
        <v>704</v>
      </c>
      <c r="B705" s="19">
        <f>IF(COUNTA(C705:E705)=0,"",B704+1)</f>
        <v/>
      </c>
      <c r="C705" s="19" t="inlineStr"/>
      <c r="D705" s="19" t="n"/>
      <c r="E705" s="19" t="n"/>
      <c r="F705" s="19">
        <f>IF(COUNTA(D705:E705)=0,"",N(D705)-N(E705))</f>
        <v/>
      </c>
      <c r="G705" s="19">
        <f>IFERROR(VLOOKUP($B705,'开奖记录'!$A:$K,2,FALSE),"")</f>
        <v/>
      </c>
      <c r="H705" s="19">
        <f>IFERROR(VLOOKUP($B705,'开奖记录'!$A:$K,9,FALSE),"")</f>
        <v/>
      </c>
      <c r="I705" s="19">
        <f>IFERROR(VLOOKUP($B705,'开奖记录'!$A:$K,11,FALSE),"")</f>
        <v/>
      </c>
      <c r="J705" s="19">
        <f>IF($B705="","",IF(ISNUMBER($D705),"命中",IF(ISNUMBER($E705),"未命中","")))</f>
        <v/>
      </c>
      <c r="K705" s="19" t="inlineStr"/>
      <c r="L705" s="19">
        <f>IFERROR(TEXT(VLOOKUP($B705-1,开奖记录!$A:$L,3,FALSE),"00")&amp;"+5="&amp;VLOOKUP(MOD(VLOOKUP($B705-1,开奖记录!$A:$L,3,FALSE)+4,49)+1,规律参数!$A:$C,3,FALSE),"")</f>
        <v/>
      </c>
      <c r="M705" s="19">
        <f>IF(L705="","",IF(I705="","待开奖",IF(ISNUMBER(SEARCH(I705,L705)),"命中","未命中")))</f>
        <v/>
      </c>
      <c r="N705" s="19">
        <f>IFERROR(VLOOKUP(VLOOKUP($B705-1,开奖记录!$A:$L,11,FALSE),八肖参数!$A:$B,2,FALSE),"")</f>
        <v/>
      </c>
      <c r="O705" s="19">
        <f>IF(N705="","",IF(I705="","待开奖",IF(ISNUMBER(SEARCH(I705,N705)),"命中","未命中")))</f>
        <v/>
      </c>
    </row>
    <row r="706">
      <c r="A706" s="19" t="n">
        <v>705</v>
      </c>
      <c r="B706" s="19">
        <f>IF(COUNTA(C706:E706)=0,"",B705+1)</f>
        <v/>
      </c>
      <c r="C706" s="19" t="inlineStr"/>
      <c r="D706" s="19" t="n"/>
      <c r="E706" s="19" t="n"/>
      <c r="F706" s="19">
        <f>IF(COUNTA(D706:E706)=0,"",N(D706)-N(E706))</f>
        <v/>
      </c>
      <c r="G706" s="19">
        <f>IFERROR(VLOOKUP($B706,'开奖记录'!$A:$K,2,FALSE),"")</f>
        <v/>
      </c>
      <c r="H706" s="19">
        <f>IFERROR(VLOOKUP($B706,'开奖记录'!$A:$K,9,FALSE),"")</f>
        <v/>
      </c>
      <c r="I706" s="19">
        <f>IFERROR(VLOOKUP($B706,'开奖记录'!$A:$K,11,FALSE),"")</f>
        <v/>
      </c>
      <c r="J706" s="19">
        <f>IF($B706="","",IF(ISNUMBER($D706),"命中",IF(ISNUMBER($E706),"未命中","")))</f>
        <v/>
      </c>
      <c r="K706" s="19" t="inlineStr"/>
      <c r="L706" s="19">
        <f>IFERROR(TEXT(VLOOKUP($B706-1,开奖记录!$A:$L,3,FALSE),"00")&amp;"+5="&amp;VLOOKUP(MOD(VLOOKUP($B706-1,开奖记录!$A:$L,3,FALSE)+4,49)+1,规律参数!$A:$C,3,FALSE),"")</f>
        <v/>
      </c>
      <c r="M706" s="19">
        <f>IF(L706="","",IF(I706="","待开奖",IF(ISNUMBER(SEARCH(I706,L706)),"命中","未命中")))</f>
        <v/>
      </c>
      <c r="N706" s="19">
        <f>IFERROR(VLOOKUP(VLOOKUP($B706-1,开奖记录!$A:$L,11,FALSE),八肖参数!$A:$B,2,FALSE),"")</f>
        <v/>
      </c>
      <c r="O706" s="19">
        <f>IF(N706="","",IF(I706="","待开奖",IF(ISNUMBER(SEARCH(I706,N706)),"命中","未命中")))</f>
        <v/>
      </c>
    </row>
    <row r="707">
      <c r="A707" s="19" t="n">
        <v>706</v>
      </c>
      <c r="B707" s="19">
        <f>IF(COUNTA(C707:E707)=0,"",B706+1)</f>
        <v/>
      </c>
      <c r="C707" s="19" t="inlineStr"/>
      <c r="D707" s="19" t="n"/>
      <c r="E707" s="19" t="n"/>
      <c r="F707" s="19">
        <f>IF(COUNTA(D707:E707)=0,"",N(D707)-N(E707))</f>
        <v/>
      </c>
      <c r="G707" s="19">
        <f>IFERROR(VLOOKUP($B707,'开奖记录'!$A:$K,2,FALSE),"")</f>
        <v/>
      </c>
      <c r="H707" s="19">
        <f>IFERROR(VLOOKUP($B707,'开奖记录'!$A:$K,9,FALSE),"")</f>
        <v/>
      </c>
      <c r="I707" s="19">
        <f>IFERROR(VLOOKUP($B707,'开奖记录'!$A:$K,11,FALSE),"")</f>
        <v/>
      </c>
      <c r="J707" s="19">
        <f>IF($B707="","",IF(ISNUMBER($D707),"命中",IF(ISNUMBER($E707),"未命中","")))</f>
        <v/>
      </c>
      <c r="K707" s="19" t="inlineStr"/>
      <c r="L707" s="19">
        <f>IFERROR(TEXT(VLOOKUP($B707-1,开奖记录!$A:$L,3,FALSE),"00")&amp;"+5="&amp;VLOOKUP(MOD(VLOOKUP($B707-1,开奖记录!$A:$L,3,FALSE)+4,49)+1,规律参数!$A:$C,3,FALSE),"")</f>
        <v/>
      </c>
      <c r="M707" s="19">
        <f>IF(L707="","",IF(I707="","待开奖",IF(ISNUMBER(SEARCH(I707,L707)),"命中","未命中")))</f>
        <v/>
      </c>
      <c r="N707" s="19">
        <f>IFERROR(VLOOKUP(VLOOKUP($B707-1,开奖记录!$A:$L,11,FALSE),八肖参数!$A:$B,2,FALSE),"")</f>
        <v/>
      </c>
      <c r="O707" s="19">
        <f>IF(N707="","",IF(I707="","待开奖",IF(ISNUMBER(SEARCH(I707,N707)),"命中","未命中")))</f>
        <v/>
      </c>
    </row>
    <row r="708">
      <c r="A708" s="19" t="n">
        <v>707</v>
      </c>
      <c r="B708" s="19">
        <f>IF(COUNTA(C708:E708)=0,"",B707+1)</f>
        <v/>
      </c>
      <c r="C708" s="19" t="inlineStr"/>
      <c r="D708" s="19" t="n"/>
      <c r="E708" s="19" t="n"/>
      <c r="F708" s="19">
        <f>IF(COUNTA(D708:E708)=0,"",N(D708)-N(E708))</f>
        <v/>
      </c>
      <c r="G708" s="19">
        <f>IFERROR(VLOOKUP($B708,'开奖记录'!$A:$K,2,FALSE),"")</f>
        <v/>
      </c>
      <c r="H708" s="19">
        <f>IFERROR(VLOOKUP($B708,'开奖记录'!$A:$K,9,FALSE),"")</f>
        <v/>
      </c>
      <c r="I708" s="19">
        <f>IFERROR(VLOOKUP($B708,'开奖记录'!$A:$K,11,FALSE),"")</f>
        <v/>
      </c>
      <c r="J708" s="19">
        <f>IF($B708="","",IF(ISNUMBER($D708),"命中",IF(ISNUMBER($E708),"未命中","")))</f>
        <v/>
      </c>
      <c r="K708" s="19" t="inlineStr"/>
      <c r="L708" s="19">
        <f>IFERROR(TEXT(VLOOKUP($B708-1,开奖记录!$A:$L,3,FALSE),"00")&amp;"+5="&amp;VLOOKUP(MOD(VLOOKUP($B708-1,开奖记录!$A:$L,3,FALSE)+4,49)+1,规律参数!$A:$C,3,FALSE),"")</f>
        <v/>
      </c>
      <c r="M708" s="19">
        <f>IF(L708="","",IF(I708="","待开奖",IF(ISNUMBER(SEARCH(I708,L708)),"命中","未命中")))</f>
        <v/>
      </c>
      <c r="N708" s="19">
        <f>IFERROR(VLOOKUP(VLOOKUP($B708-1,开奖记录!$A:$L,11,FALSE),八肖参数!$A:$B,2,FALSE),"")</f>
        <v/>
      </c>
      <c r="O708" s="19">
        <f>IF(N708="","",IF(I708="","待开奖",IF(ISNUMBER(SEARCH(I708,N708)),"命中","未命中")))</f>
        <v/>
      </c>
    </row>
    <row r="709">
      <c r="A709" s="19" t="n">
        <v>708</v>
      </c>
      <c r="B709" s="19">
        <f>IF(COUNTA(C709:E709)=0,"",B708+1)</f>
        <v/>
      </c>
      <c r="C709" s="19" t="inlineStr"/>
      <c r="D709" s="19" t="n"/>
      <c r="E709" s="19" t="n"/>
      <c r="F709" s="19">
        <f>IF(COUNTA(D709:E709)=0,"",N(D709)-N(E709))</f>
        <v/>
      </c>
      <c r="G709" s="19">
        <f>IFERROR(VLOOKUP($B709,'开奖记录'!$A:$K,2,FALSE),"")</f>
        <v/>
      </c>
      <c r="H709" s="19">
        <f>IFERROR(VLOOKUP($B709,'开奖记录'!$A:$K,9,FALSE),"")</f>
        <v/>
      </c>
      <c r="I709" s="19">
        <f>IFERROR(VLOOKUP($B709,'开奖记录'!$A:$K,11,FALSE),"")</f>
        <v/>
      </c>
      <c r="J709" s="19">
        <f>IF($B709="","",IF(ISNUMBER($D709),"命中",IF(ISNUMBER($E709),"未命中","")))</f>
        <v/>
      </c>
      <c r="K709" s="19" t="inlineStr"/>
      <c r="L709" s="19">
        <f>IFERROR(TEXT(VLOOKUP($B709-1,开奖记录!$A:$L,3,FALSE),"00")&amp;"+5="&amp;VLOOKUP(MOD(VLOOKUP($B709-1,开奖记录!$A:$L,3,FALSE)+4,49)+1,规律参数!$A:$C,3,FALSE),"")</f>
        <v/>
      </c>
      <c r="M709" s="19">
        <f>IF(L709="","",IF(I709="","待开奖",IF(ISNUMBER(SEARCH(I709,L709)),"命中","未命中")))</f>
        <v/>
      </c>
      <c r="N709" s="19">
        <f>IFERROR(VLOOKUP(VLOOKUP($B709-1,开奖记录!$A:$L,11,FALSE),八肖参数!$A:$B,2,FALSE),"")</f>
        <v/>
      </c>
      <c r="O709" s="19">
        <f>IF(N709="","",IF(I709="","待开奖",IF(ISNUMBER(SEARCH(I709,N709)),"命中","未命中")))</f>
        <v/>
      </c>
    </row>
    <row r="710">
      <c r="A710" s="19" t="n">
        <v>709</v>
      </c>
      <c r="B710" s="19">
        <f>IF(COUNTA(C710:E710)=0,"",B709+1)</f>
        <v/>
      </c>
      <c r="C710" s="19" t="inlineStr"/>
      <c r="D710" s="19" t="n"/>
      <c r="E710" s="19" t="n"/>
      <c r="F710" s="19">
        <f>IF(COUNTA(D710:E710)=0,"",N(D710)-N(E710))</f>
        <v/>
      </c>
      <c r="G710" s="19">
        <f>IFERROR(VLOOKUP($B710,'开奖记录'!$A:$K,2,FALSE),"")</f>
        <v/>
      </c>
      <c r="H710" s="19">
        <f>IFERROR(VLOOKUP($B710,'开奖记录'!$A:$K,9,FALSE),"")</f>
        <v/>
      </c>
      <c r="I710" s="19">
        <f>IFERROR(VLOOKUP($B710,'开奖记录'!$A:$K,11,FALSE),"")</f>
        <v/>
      </c>
      <c r="J710" s="19">
        <f>IF($B710="","",IF(ISNUMBER($D710),"命中",IF(ISNUMBER($E710),"未命中","")))</f>
        <v/>
      </c>
      <c r="K710" s="19" t="inlineStr"/>
      <c r="L710" s="19">
        <f>IFERROR(TEXT(VLOOKUP($B710-1,开奖记录!$A:$L,3,FALSE),"00")&amp;"+5="&amp;VLOOKUP(MOD(VLOOKUP($B710-1,开奖记录!$A:$L,3,FALSE)+4,49)+1,规律参数!$A:$C,3,FALSE),"")</f>
        <v/>
      </c>
      <c r="M710" s="19">
        <f>IF(L710="","",IF(I710="","待开奖",IF(ISNUMBER(SEARCH(I710,L710)),"命中","未命中")))</f>
        <v/>
      </c>
      <c r="N710" s="19">
        <f>IFERROR(VLOOKUP(VLOOKUP($B710-1,开奖记录!$A:$L,11,FALSE),八肖参数!$A:$B,2,FALSE),"")</f>
        <v/>
      </c>
      <c r="O710" s="19">
        <f>IF(N710="","",IF(I710="","待开奖",IF(ISNUMBER(SEARCH(I710,N710)),"命中","未命中")))</f>
        <v/>
      </c>
    </row>
    <row r="711">
      <c r="A711" s="19" t="n">
        <v>710</v>
      </c>
      <c r="B711" s="19">
        <f>IF(COUNTA(C711:E711)=0,"",B710+1)</f>
        <v/>
      </c>
      <c r="C711" s="19" t="inlineStr"/>
      <c r="D711" s="19" t="n"/>
      <c r="E711" s="19" t="n"/>
      <c r="F711" s="19">
        <f>IF(COUNTA(D711:E711)=0,"",N(D711)-N(E711))</f>
        <v/>
      </c>
      <c r="G711" s="19">
        <f>IFERROR(VLOOKUP($B711,'开奖记录'!$A:$K,2,FALSE),"")</f>
        <v/>
      </c>
      <c r="H711" s="19">
        <f>IFERROR(VLOOKUP($B711,'开奖记录'!$A:$K,9,FALSE),"")</f>
        <v/>
      </c>
      <c r="I711" s="19">
        <f>IFERROR(VLOOKUP($B711,'开奖记录'!$A:$K,11,FALSE),"")</f>
        <v/>
      </c>
      <c r="J711" s="19">
        <f>IF($B711="","",IF(ISNUMBER($D711),"命中",IF(ISNUMBER($E711),"未命中","")))</f>
        <v/>
      </c>
      <c r="K711" s="19" t="inlineStr"/>
      <c r="L711" s="19">
        <f>IFERROR(TEXT(VLOOKUP($B711-1,开奖记录!$A:$L,3,FALSE),"00")&amp;"+5="&amp;VLOOKUP(MOD(VLOOKUP($B711-1,开奖记录!$A:$L,3,FALSE)+4,49)+1,规律参数!$A:$C,3,FALSE),"")</f>
        <v/>
      </c>
      <c r="M711" s="19">
        <f>IF(L711="","",IF(I711="","待开奖",IF(ISNUMBER(SEARCH(I711,L711)),"命中","未命中")))</f>
        <v/>
      </c>
      <c r="N711" s="19">
        <f>IFERROR(VLOOKUP(VLOOKUP($B711-1,开奖记录!$A:$L,11,FALSE),八肖参数!$A:$B,2,FALSE),"")</f>
        <v/>
      </c>
      <c r="O711" s="19">
        <f>IF(N711="","",IF(I711="","待开奖",IF(ISNUMBER(SEARCH(I711,N711)),"命中","未命中")))</f>
        <v/>
      </c>
    </row>
    <row r="712">
      <c r="A712" s="19" t="n">
        <v>711</v>
      </c>
      <c r="B712" s="19">
        <f>IF(COUNTA(C712:E712)=0,"",B711+1)</f>
        <v/>
      </c>
      <c r="C712" s="19" t="inlineStr"/>
      <c r="D712" s="19" t="n"/>
      <c r="E712" s="19" t="n"/>
      <c r="F712" s="19">
        <f>IF(COUNTA(D712:E712)=0,"",N(D712)-N(E712))</f>
        <v/>
      </c>
      <c r="G712" s="19">
        <f>IFERROR(VLOOKUP($B712,'开奖记录'!$A:$K,2,FALSE),"")</f>
        <v/>
      </c>
      <c r="H712" s="19">
        <f>IFERROR(VLOOKUP($B712,'开奖记录'!$A:$K,9,FALSE),"")</f>
        <v/>
      </c>
      <c r="I712" s="19">
        <f>IFERROR(VLOOKUP($B712,'开奖记录'!$A:$K,11,FALSE),"")</f>
        <v/>
      </c>
      <c r="J712" s="19">
        <f>IF($B712="","",IF(ISNUMBER($D712),"命中",IF(ISNUMBER($E712),"未命中","")))</f>
        <v/>
      </c>
      <c r="K712" s="19" t="inlineStr"/>
      <c r="L712" s="19">
        <f>IFERROR(TEXT(VLOOKUP($B712-1,开奖记录!$A:$L,3,FALSE),"00")&amp;"+5="&amp;VLOOKUP(MOD(VLOOKUP($B712-1,开奖记录!$A:$L,3,FALSE)+4,49)+1,规律参数!$A:$C,3,FALSE),"")</f>
        <v/>
      </c>
      <c r="M712" s="19">
        <f>IF(L712="","",IF(I712="","待开奖",IF(ISNUMBER(SEARCH(I712,L712)),"命中","未命中")))</f>
        <v/>
      </c>
      <c r="N712" s="19">
        <f>IFERROR(VLOOKUP(VLOOKUP($B712-1,开奖记录!$A:$L,11,FALSE),八肖参数!$A:$B,2,FALSE),"")</f>
        <v/>
      </c>
      <c r="O712" s="19">
        <f>IF(N712="","",IF(I712="","待开奖",IF(ISNUMBER(SEARCH(I712,N712)),"命中","未命中")))</f>
        <v/>
      </c>
    </row>
    <row r="713">
      <c r="A713" s="19" t="n">
        <v>712</v>
      </c>
      <c r="B713" s="19">
        <f>IF(COUNTA(C713:E713)=0,"",B712+1)</f>
        <v/>
      </c>
      <c r="C713" s="19" t="inlineStr"/>
      <c r="D713" s="19" t="n"/>
      <c r="E713" s="19" t="n"/>
      <c r="F713" s="19">
        <f>IF(COUNTA(D713:E713)=0,"",N(D713)-N(E713))</f>
        <v/>
      </c>
      <c r="G713" s="19">
        <f>IFERROR(VLOOKUP($B713,'开奖记录'!$A:$K,2,FALSE),"")</f>
        <v/>
      </c>
      <c r="H713" s="19">
        <f>IFERROR(VLOOKUP($B713,'开奖记录'!$A:$K,9,FALSE),"")</f>
        <v/>
      </c>
      <c r="I713" s="19">
        <f>IFERROR(VLOOKUP($B713,'开奖记录'!$A:$K,11,FALSE),"")</f>
        <v/>
      </c>
      <c r="J713" s="19">
        <f>IF($B713="","",IF(ISNUMBER($D713),"命中",IF(ISNUMBER($E713),"未命中","")))</f>
        <v/>
      </c>
      <c r="K713" s="19" t="inlineStr"/>
      <c r="L713" s="19">
        <f>IFERROR(TEXT(VLOOKUP($B713-1,开奖记录!$A:$L,3,FALSE),"00")&amp;"+5="&amp;VLOOKUP(MOD(VLOOKUP($B713-1,开奖记录!$A:$L,3,FALSE)+4,49)+1,规律参数!$A:$C,3,FALSE),"")</f>
        <v/>
      </c>
      <c r="M713" s="19">
        <f>IF(L713="","",IF(I713="","待开奖",IF(ISNUMBER(SEARCH(I713,L713)),"命中","未命中")))</f>
        <v/>
      </c>
      <c r="N713" s="19">
        <f>IFERROR(VLOOKUP(VLOOKUP($B713-1,开奖记录!$A:$L,11,FALSE),八肖参数!$A:$B,2,FALSE),"")</f>
        <v/>
      </c>
      <c r="O713" s="19">
        <f>IF(N713="","",IF(I713="","待开奖",IF(ISNUMBER(SEARCH(I713,N713)),"命中","未命中")))</f>
        <v/>
      </c>
    </row>
    <row r="714">
      <c r="A714" s="19" t="n">
        <v>713</v>
      </c>
      <c r="B714" s="19">
        <f>IF(COUNTA(C714:E714)=0,"",B713+1)</f>
        <v/>
      </c>
      <c r="C714" s="19" t="inlineStr"/>
      <c r="D714" s="19" t="n"/>
      <c r="E714" s="19" t="n"/>
      <c r="F714" s="19">
        <f>IF(COUNTA(D714:E714)=0,"",N(D714)-N(E714))</f>
        <v/>
      </c>
      <c r="G714" s="19">
        <f>IFERROR(VLOOKUP($B714,'开奖记录'!$A:$K,2,FALSE),"")</f>
        <v/>
      </c>
      <c r="H714" s="19">
        <f>IFERROR(VLOOKUP($B714,'开奖记录'!$A:$K,9,FALSE),"")</f>
        <v/>
      </c>
      <c r="I714" s="19">
        <f>IFERROR(VLOOKUP($B714,'开奖记录'!$A:$K,11,FALSE),"")</f>
        <v/>
      </c>
      <c r="J714" s="19">
        <f>IF($B714="","",IF(ISNUMBER($D714),"命中",IF(ISNUMBER($E714),"未命中","")))</f>
        <v/>
      </c>
      <c r="K714" s="19" t="inlineStr"/>
      <c r="L714" s="19">
        <f>IFERROR(TEXT(VLOOKUP($B714-1,开奖记录!$A:$L,3,FALSE),"00")&amp;"+5="&amp;VLOOKUP(MOD(VLOOKUP($B714-1,开奖记录!$A:$L,3,FALSE)+4,49)+1,规律参数!$A:$C,3,FALSE),"")</f>
        <v/>
      </c>
      <c r="M714" s="19">
        <f>IF(L714="","",IF(I714="","待开奖",IF(ISNUMBER(SEARCH(I714,L714)),"命中","未命中")))</f>
        <v/>
      </c>
      <c r="N714" s="19">
        <f>IFERROR(VLOOKUP(VLOOKUP($B714-1,开奖记录!$A:$L,11,FALSE),八肖参数!$A:$B,2,FALSE),"")</f>
        <v/>
      </c>
      <c r="O714" s="19">
        <f>IF(N714="","",IF(I714="","待开奖",IF(ISNUMBER(SEARCH(I714,N714)),"命中","未命中")))</f>
        <v/>
      </c>
    </row>
    <row r="715">
      <c r="A715" s="19" t="n">
        <v>714</v>
      </c>
      <c r="B715" s="19">
        <f>IF(COUNTA(C715:E715)=0,"",B714+1)</f>
        <v/>
      </c>
      <c r="C715" s="19" t="inlineStr"/>
      <c r="D715" s="19" t="n"/>
      <c r="E715" s="19" t="n"/>
      <c r="F715" s="19">
        <f>IF(COUNTA(D715:E715)=0,"",N(D715)-N(E715))</f>
        <v/>
      </c>
      <c r="G715" s="19">
        <f>IFERROR(VLOOKUP($B715,'开奖记录'!$A:$K,2,FALSE),"")</f>
        <v/>
      </c>
      <c r="H715" s="19">
        <f>IFERROR(VLOOKUP($B715,'开奖记录'!$A:$K,9,FALSE),"")</f>
        <v/>
      </c>
      <c r="I715" s="19">
        <f>IFERROR(VLOOKUP($B715,'开奖记录'!$A:$K,11,FALSE),"")</f>
        <v/>
      </c>
      <c r="J715" s="19">
        <f>IF($B715="","",IF(ISNUMBER($D715),"命中",IF(ISNUMBER($E715),"未命中","")))</f>
        <v/>
      </c>
      <c r="K715" s="19" t="inlineStr"/>
      <c r="L715" s="19">
        <f>IFERROR(TEXT(VLOOKUP($B715-1,开奖记录!$A:$L,3,FALSE),"00")&amp;"+5="&amp;VLOOKUP(MOD(VLOOKUP($B715-1,开奖记录!$A:$L,3,FALSE)+4,49)+1,规律参数!$A:$C,3,FALSE),"")</f>
        <v/>
      </c>
      <c r="M715" s="19">
        <f>IF(L715="","",IF(I715="","待开奖",IF(ISNUMBER(SEARCH(I715,L715)),"命中","未命中")))</f>
        <v/>
      </c>
      <c r="N715" s="19">
        <f>IFERROR(VLOOKUP(VLOOKUP($B715-1,开奖记录!$A:$L,11,FALSE),八肖参数!$A:$B,2,FALSE),"")</f>
        <v/>
      </c>
      <c r="O715" s="19">
        <f>IF(N715="","",IF(I715="","待开奖",IF(ISNUMBER(SEARCH(I715,N715)),"命中","未命中")))</f>
        <v/>
      </c>
    </row>
    <row r="716">
      <c r="A716" s="19" t="n">
        <v>715</v>
      </c>
      <c r="B716" s="19">
        <f>IF(COUNTA(C716:E716)=0,"",B715+1)</f>
        <v/>
      </c>
      <c r="C716" s="19" t="inlineStr"/>
      <c r="D716" s="19" t="n"/>
      <c r="E716" s="19" t="n"/>
      <c r="F716" s="19">
        <f>IF(COUNTA(D716:E716)=0,"",N(D716)-N(E716))</f>
        <v/>
      </c>
      <c r="G716" s="19">
        <f>IFERROR(VLOOKUP($B716,'开奖记录'!$A:$K,2,FALSE),"")</f>
        <v/>
      </c>
      <c r="H716" s="19">
        <f>IFERROR(VLOOKUP($B716,'开奖记录'!$A:$K,9,FALSE),"")</f>
        <v/>
      </c>
      <c r="I716" s="19">
        <f>IFERROR(VLOOKUP($B716,'开奖记录'!$A:$K,11,FALSE),"")</f>
        <v/>
      </c>
      <c r="J716" s="19">
        <f>IF($B716="","",IF(ISNUMBER($D716),"命中",IF(ISNUMBER($E716),"未命中","")))</f>
        <v/>
      </c>
      <c r="K716" s="19" t="inlineStr"/>
      <c r="L716" s="19">
        <f>IFERROR(TEXT(VLOOKUP($B716-1,开奖记录!$A:$L,3,FALSE),"00")&amp;"+5="&amp;VLOOKUP(MOD(VLOOKUP($B716-1,开奖记录!$A:$L,3,FALSE)+4,49)+1,规律参数!$A:$C,3,FALSE),"")</f>
        <v/>
      </c>
      <c r="M716" s="19">
        <f>IF(L716="","",IF(I716="","待开奖",IF(ISNUMBER(SEARCH(I716,L716)),"命中","未命中")))</f>
        <v/>
      </c>
      <c r="N716" s="19">
        <f>IFERROR(VLOOKUP(VLOOKUP($B716-1,开奖记录!$A:$L,11,FALSE),八肖参数!$A:$B,2,FALSE),"")</f>
        <v/>
      </c>
      <c r="O716" s="19">
        <f>IF(N716="","",IF(I716="","待开奖",IF(ISNUMBER(SEARCH(I716,N716)),"命中","未命中")))</f>
        <v/>
      </c>
    </row>
    <row r="717">
      <c r="A717" s="19" t="n">
        <v>716</v>
      </c>
      <c r="B717" s="19">
        <f>IF(COUNTA(C717:E717)=0,"",B716+1)</f>
        <v/>
      </c>
      <c r="C717" s="19" t="inlineStr"/>
      <c r="D717" s="19" t="n"/>
      <c r="E717" s="19" t="n"/>
      <c r="F717" s="19">
        <f>IF(COUNTA(D717:E717)=0,"",N(D717)-N(E717))</f>
        <v/>
      </c>
      <c r="G717" s="19">
        <f>IFERROR(VLOOKUP($B717,'开奖记录'!$A:$K,2,FALSE),"")</f>
        <v/>
      </c>
      <c r="H717" s="19">
        <f>IFERROR(VLOOKUP($B717,'开奖记录'!$A:$K,9,FALSE),"")</f>
        <v/>
      </c>
      <c r="I717" s="19">
        <f>IFERROR(VLOOKUP($B717,'开奖记录'!$A:$K,11,FALSE),"")</f>
        <v/>
      </c>
      <c r="J717" s="19">
        <f>IF($B717="","",IF(ISNUMBER($D717),"命中",IF(ISNUMBER($E717),"未命中","")))</f>
        <v/>
      </c>
      <c r="K717" s="19" t="inlineStr"/>
      <c r="L717" s="19">
        <f>IFERROR(TEXT(VLOOKUP($B717-1,开奖记录!$A:$L,3,FALSE),"00")&amp;"+5="&amp;VLOOKUP(MOD(VLOOKUP($B717-1,开奖记录!$A:$L,3,FALSE)+4,49)+1,规律参数!$A:$C,3,FALSE),"")</f>
        <v/>
      </c>
      <c r="M717" s="19">
        <f>IF(L717="","",IF(I717="","待开奖",IF(ISNUMBER(SEARCH(I717,L717)),"命中","未命中")))</f>
        <v/>
      </c>
      <c r="N717" s="19">
        <f>IFERROR(VLOOKUP(VLOOKUP($B717-1,开奖记录!$A:$L,11,FALSE),八肖参数!$A:$B,2,FALSE),"")</f>
        <v/>
      </c>
      <c r="O717" s="19">
        <f>IF(N717="","",IF(I717="","待开奖",IF(ISNUMBER(SEARCH(I717,N717)),"命中","未命中")))</f>
        <v/>
      </c>
    </row>
    <row r="718">
      <c r="A718" s="19" t="n">
        <v>717</v>
      </c>
      <c r="B718" s="19">
        <f>IF(COUNTA(C718:E718)=0,"",B717+1)</f>
        <v/>
      </c>
      <c r="C718" s="19" t="inlineStr"/>
      <c r="D718" s="19" t="n"/>
      <c r="E718" s="19" t="n"/>
      <c r="F718" s="19">
        <f>IF(COUNTA(D718:E718)=0,"",N(D718)-N(E718))</f>
        <v/>
      </c>
      <c r="G718" s="19">
        <f>IFERROR(VLOOKUP($B718,'开奖记录'!$A:$K,2,FALSE),"")</f>
        <v/>
      </c>
      <c r="H718" s="19">
        <f>IFERROR(VLOOKUP($B718,'开奖记录'!$A:$K,9,FALSE),"")</f>
        <v/>
      </c>
      <c r="I718" s="19">
        <f>IFERROR(VLOOKUP($B718,'开奖记录'!$A:$K,11,FALSE),"")</f>
        <v/>
      </c>
      <c r="J718" s="19">
        <f>IF($B718="","",IF(ISNUMBER($D718),"命中",IF(ISNUMBER($E718),"未命中","")))</f>
        <v/>
      </c>
      <c r="K718" s="19" t="inlineStr"/>
      <c r="L718" s="19">
        <f>IFERROR(TEXT(VLOOKUP($B718-1,开奖记录!$A:$L,3,FALSE),"00")&amp;"+5="&amp;VLOOKUP(MOD(VLOOKUP($B718-1,开奖记录!$A:$L,3,FALSE)+4,49)+1,规律参数!$A:$C,3,FALSE),"")</f>
        <v/>
      </c>
      <c r="M718" s="19">
        <f>IF(L718="","",IF(I718="","待开奖",IF(ISNUMBER(SEARCH(I718,L718)),"命中","未命中")))</f>
        <v/>
      </c>
      <c r="N718" s="19">
        <f>IFERROR(VLOOKUP(VLOOKUP($B718-1,开奖记录!$A:$L,11,FALSE),八肖参数!$A:$B,2,FALSE),"")</f>
        <v/>
      </c>
      <c r="O718" s="19">
        <f>IF(N718="","",IF(I718="","待开奖",IF(ISNUMBER(SEARCH(I718,N718)),"命中","未命中")))</f>
        <v/>
      </c>
    </row>
    <row r="719">
      <c r="A719" s="19" t="n">
        <v>718</v>
      </c>
      <c r="B719" s="19">
        <f>IF(COUNTA(C719:E719)=0,"",B718+1)</f>
        <v/>
      </c>
      <c r="C719" s="19" t="inlineStr"/>
      <c r="D719" s="19" t="n"/>
      <c r="E719" s="19" t="n"/>
      <c r="F719" s="19">
        <f>IF(COUNTA(D719:E719)=0,"",N(D719)-N(E719))</f>
        <v/>
      </c>
      <c r="G719" s="19">
        <f>IFERROR(VLOOKUP($B719,'开奖记录'!$A:$K,2,FALSE),"")</f>
        <v/>
      </c>
      <c r="H719" s="19">
        <f>IFERROR(VLOOKUP($B719,'开奖记录'!$A:$K,9,FALSE),"")</f>
        <v/>
      </c>
      <c r="I719" s="19">
        <f>IFERROR(VLOOKUP($B719,'开奖记录'!$A:$K,11,FALSE),"")</f>
        <v/>
      </c>
      <c r="J719" s="19">
        <f>IF($B719="","",IF(ISNUMBER($D719),"命中",IF(ISNUMBER($E719),"未命中","")))</f>
        <v/>
      </c>
      <c r="K719" s="19" t="inlineStr"/>
      <c r="L719" s="19">
        <f>IFERROR(TEXT(VLOOKUP($B719-1,开奖记录!$A:$L,3,FALSE),"00")&amp;"+5="&amp;VLOOKUP(MOD(VLOOKUP($B719-1,开奖记录!$A:$L,3,FALSE)+4,49)+1,规律参数!$A:$C,3,FALSE),"")</f>
        <v/>
      </c>
      <c r="M719" s="19">
        <f>IF(L719="","",IF(I719="","待开奖",IF(ISNUMBER(SEARCH(I719,L719)),"命中","未命中")))</f>
        <v/>
      </c>
      <c r="N719" s="19">
        <f>IFERROR(VLOOKUP(VLOOKUP($B719-1,开奖记录!$A:$L,11,FALSE),八肖参数!$A:$B,2,FALSE),"")</f>
        <v/>
      </c>
      <c r="O719" s="19">
        <f>IF(N719="","",IF(I719="","待开奖",IF(ISNUMBER(SEARCH(I719,N719)),"命中","未命中")))</f>
        <v/>
      </c>
    </row>
    <row r="720">
      <c r="A720" s="19" t="n">
        <v>719</v>
      </c>
      <c r="B720" s="19">
        <f>IF(COUNTA(C720:E720)=0,"",B719+1)</f>
        <v/>
      </c>
      <c r="C720" s="19" t="inlineStr"/>
      <c r="D720" s="19" t="n"/>
      <c r="E720" s="19" t="n"/>
      <c r="F720" s="19">
        <f>IF(COUNTA(D720:E720)=0,"",N(D720)-N(E720))</f>
        <v/>
      </c>
      <c r="G720" s="19">
        <f>IFERROR(VLOOKUP($B720,'开奖记录'!$A:$K,2,FALSE),"")</f>
        <v/>
      </c>
      <c r="H720" s="19">
        <f>IFERROR(VLOOKUP($B720,'开奖记录'!$A:$K,9,FALSE),"")</f>
        <v/>
      </c>
      <c r="I720" s="19">
        <f>IFERROR(VLOOKUP($B720,'开奖记录'!$A:$K,11,FALSE),"")</f>
        <v/>
      </c>
      <c r="J720" s="19">
        <f>IF($B720="","",IF(ISNUMBER($D720),"命中",IF(ISNUMBER($E720),"未命中","")))</f>
        <v/>
      </c>
      <c r="K720" s="19" t="inlineStr"/>
      <c r="L720" s="19">
        <f>IFERROR(TEXT(VLOOKUP($B720-1,开奖记录!$A:$L,3,FALSE),"00")&amp;"+5="&amp;VLOOKUP(MOD(VLOOKUP($B720-1,开奖记录!$A:$L,3,FALSE)+4,49)+1,规律参数!$A:$C,3,FALSE),"")</f>
        <v/>
      </c>
      <c r="M720" s="19">
        <f>IF(L720="","",IF(I720="","待开奖",IF(ISNUMBER(SEARCH(I720,L720)),"命中","未命中")))</f>
        <v/>
      </c>
      <c r="N720" s="19">
        <f>IFERROR(VLOOKUP(VLOOKUP($B720-1,开奖记录!$A:$L,11,FALSE),八肖参数!$A:$B,2,FALSE),"")</f>
        <v/>
      </c>
      <c r="O720" s="19">
        <f>IF(N720="","",IF(I720="","待开奖",IF(ISNUMBER(SEARCH(I720,N720)),"命中","未命中")))</f>
        <v/>
      </c>
    </row>
    <row r="721">
      <c r="A721" s="19" t="n">
        <v>720</v>
      </c>
      <c r="B721" s="19">
        <f>IF(COUNTA(C721:E721)=0,"",B720+1)</f>
        <v/>
      </c>
      <c r="C721" s="19" t="inlineStr"/>
      <c r="D721" s="19" t="n"/>
      <c r="E721" s="19" t="n"/>
      <c r="F721" s="19">
        <f>IF(COUNTA(D721:E721)=0,"",N(D721)-N(E721))</f>
        <v/>
      </c>
      <c r="G721" s="19">
        <f>IFERROR(VLOOKUP($B721,'开奖记录'!$A:$K,2,FALSE),"")</f>
        <v/>
      </c>
      <c r="H721" s="19">
        <f>IFERROR(VLOOKUP($B721,'开奖记录'!$A:$K,9,FALSE),"")</f>
        <v/>
      </c>
      <c r="I721" s="19">
        <f>IFERROR(VLOOKUP($B721,'开奖记录'!$A:$K,11,FALSE),"")</f>
        <v/>
      </c>
      <c r="J721" s="19">
        <f>IF($B721="","",IF(ISNUMBER($D721),"命中",IF(ISNUMBER($E721),"未命中","")))</f>
        <v/>
      </c>
      <c r="K721" s="19" t="inlineStr"/>
      <c r="L721" s="19">
        <f>IFERROR(TEXT(VLOOKUP($B721-1,开奖记录!$A:$L,3,FALSE),"00")&amp;"+5="&amp;VLOOKUP(MOD(VLOOKUP($B721-1,开奖记录!$A:$L,3,FALSE)+4,49)+1,规律参数!$A:$C,3,FALSE),"")</f>
        <v/>
      </c>
      <c r="M721" s="19">
        <f>IF(L721="","",IF(I721="","待开奖",IF(ISNUMBER(SEARCH(I721,L721)),"命中","未命中")))</f>
        <v/>
      </c>
      <c r="N721" s="19">
        <f>IFERROR(VLOOKUP(VLOOKUP($B721-1,开奖记录!$A:$L,11,FALSE),八肖参数!$A:$B,2,FALSE),"")</f>
        <v/>
      </c>
      <c r="O721" s="19">
        <f>IF(N721="","",IF(I721="","待开奖",IF(ISNUMBER(SEARCH(I721,N721)),"命中","未命中")))</f>
        <v/>
      </c>
    </row>
    <row r="722">
      <c r="A722" s="19" t="n">
        <v>721</v>
      </c>
      <c r="B722" s="19">
        <f>IF(COUNTA(C722:E722)=0,"",B721+1)</f>
        <v/>
      </c>
      <c r="C722" s="19" t="inlineStr"/>
      <c r="D722" s="19" t="n"/>
      <c r="E722" s="19" t="n"/>
      <c r="F722" s="19">
        <f>IF(COUNTA(D722:E722)=0,"",N(D722)-N(E722))</f>
        <v/>
      </c>
      <c r="G722" s="19">
        <f>IFERROR(VLOOKUP($B722,'开奖记录'!$A:$K,2,FALSE),"")</f>
        <v/>
      </c>
      <c r="H722" s="19">
        <f>IFERROR(VLOOKUP($B722,'开奖记录'!$A:$K,9,FALSE),"")</f>
        <v/>
      </c>
      <c r="I722" s="19">
        <f>IFERROR(VLOOKUP($B722,'开奖记录'!$A:$K,11,FALSE),"")</f>
        <v/>
      </c>
      <c r="J722" s="19">
        <f>IF($B722="","",IF(ISNUMBER($D722),"命中",IF(ISNUMBER($E722),"未命中","")))</f>
        <v/>
      </c>
      <c r="K722" s="19" t="inlineStr"/>
      <c r="L722" s="19">
        <f>IFERROR(TEXT(VLOOKUP($B722-1,开奖记录!$A:$L,3,FALSE),"00")&amp;"+5="&amp;VLOOKUP(MOD(VLOOKUP($B722-1,开奖记录!$A:$L,3,FALSE)+4,49)+1,规律参数!$A:$C,3,FALSE),"")</f>
        <v/>
      </c>
      <c r="M722" s="19">
        <f>IF(L722="","",IF(I722="","待开奖",IF(ISNUMBER(SEARCH(I722,L722)),"命中","未命中")))</f>
        <v/>
      </c>
      <c r="N722" s="19">
        <f>IFERROR(VLOOKUP(VLOOKUP($B722-1,开奖记录!$A:$L,11,FALSE),八肖参数!$A:$B,2,FALSE),"")</f>
        <v/>
      </c>
      <c r="O722" s="19">
        <f>IF(N722="","",IF(I722="","待开奖",IF(ISNUMBER(SEARCH(I722,N722)),"命中","未命中")))</f>
        <v/>
      </c>
    </row>
    <row r="723">
      <c r="A723" s="19" t="n">
        <v>722</v>
      </c>
      <c r="B723" s="19">
        <f>IF(COUNTA(C723:E723)=0,"",B722+1)</f>
        <v/>
      </c>
      <c r="C723" s="19" t="inlineStr"/>
      <c r="D723" s="19" t="n"/>
      <c r="E723" s="19" t="n"/>
      <c r="F723" s="19">
        <f>IF(COUNTA(D723:E723)=0,"",N(D723)-N(E723))</f>
        <v/>
      </c>
      <c r="G723" s="19">
        <f>IFERROR(VLOOKUP($B723,'开奖记录'!$A:$K,2,FALSE),"")</f>
        <v/>
      </c>
      <c r="H723" s="19">
        <f>IFERROR(VLOOKUP($B723,'开奖记录'!$A:$K,9,FALSE),"")</f>
        <v/>
      </c>
      <c r="I723" s="19">
        <f>IFERROR(VLOOKUP($B723,'开奖记录'!$A:$K,11,FALSE),"")</f>
        <v/>
      </c>
      <c r="J723" s="19">
        <f>IF($B723="","",IF(ISNUMBER($D723),"命中",IF(ISNUMBER($E723),"未命中","")))</f>
        <v/>
      </c>
      <c r="K723" s="19" t="inlineStr"/>
      <c r="L723" s="19">
        <f>IFERROR(TEXT(VLOOKUP($B723-1,开奖记录!$A:$L,3,FALSE),"00")&amp;"+5="&amp;VLOOKUP(MOD(VLOOKUP($B723-1,开奖记录!$A:$L,3,FALSE)+4,49)+1,规律参数!$A:$C,3,FALSE),"")</f>
        <v/>
      </c>
      <c r="M723" s="19">
        <f>IF(L723="","",IF(I723="","待开奖",IF(ISNUMBER(SEARCH(I723,L723)),"命中","未命中")))</f>
        <v/>
      </c>
      <c r="N723" s="19">
        <f>IFERROR(VLOOKUP(VLOOKUP($B723-1,开奖记录!$A:$L,11,FALSE),八肖参数!$A:$B,2,FALSE),"")</f>
        <v/>
      </c>
      <c r="O723" s="19">
        <f>IF(N723="","",IF(I723="","待开奖",IF(ISNUMBER(SEARCH(I723,N723)),"命中","未命中")))</f>
        <v/>
      </c>
    </row>
    <row r="724">
      <c r="A724" s="19" t="n">
        <v>723</v>
      </c>
      <c r="B724" s="19">
        <f>IF(COUNTA(C724:E724)=0,"",B723+1)</f>
        <v/>
      </c>
      <c r="C724" s="19" t="inlineStr"/>
      <c r="D724" s="19" t="n"/>
      <c r="E724" s="19" t="n"/>
      <c r="F724" s="19">
        <f>IF(COUNTA(D724:E724)=0,"",N(D724)-N(E724))</f>
        <v/>
      </c>
      <c r="G724" s="19">
        <f>IFERROR(VLOOKUP($B724,'开奖记录'!$A:$K,2,FALSE),"")</f>
        <v/>
      </c>
      <c r="H724" s="19">
        <f>IFERROR(VLOOKUP($B724,'开奖记录'!$A:$K,9,FALSE),"")</f>
        <v/>
      </c>
      <c r="I724" s="19">
        <f>IFERROR(VLOOKUP($B724,'开奖记录'!$A:$K,11,FALSE),"")</f>
        <v/>
      </c>
      <c r="J724" s="19">
        <f>IF($B724="","",IF(ISNUMBER($D724),"命中",IF(ISNUMBER($E724),"未命中","")))</f>
        <v/>
      </c>
      <c r="K724" s="19" t="inlineStr"/>
      <c r="L724" s="19">
        <f>IFERROR(TEXT(VLOOKUP($B724-1,开奖记录!$A:$L,3,FALSE),"00")&amp;"+5="&amp;VLOOKUP(MOD(VLOOKUP($B724-1,开奖记录!$A:$L,3,FALSE)+4,49)+1,规律参数!$A:$C,3,FALSE),"")</f>
        <v/>
      </c>
      <c r="M724" s="19">
        <f>IF(L724="","",IF(I724="","待开奖",IF(ISNUMBER(SEARCH(I724,L724)),"命中","未命中")))</f>
        <v/>
      </c>
      <c r="N724" s="19">
        <f>IFERROR(VLOOKUP(VLOOKUP($B724-1,开奖记录!$A:$L,11,FALSE),八肖参数!$A:$B,2,FALSE),"")</f>
        <v/>
      </c>
      <c r="O724" s="19">
        <f>IF(N724="","",IF(I724="","待开奖",IF(ISNUMBER(SEARCH(I724,N724)),"命中","未命中")))</f>
        <v/>
      </c>
    </row>
    <row r="725">
      <c r="A725" s="19" t="n">
        <v>724</v>
      </c>
      <c r="B725" s="19">
        <f>IF(COUNTA(C725:E725)=0,"",B724+1)</f>
        <v/>
      </c>
      <c r="C725" s="19" t="inlineStr"/>
      <c r="D725" s="19" t="n"/>
      <c r="E725" s="19" t="n"/>
      <c r="F725" s="19">
        <f>IF(COUNTA(D725:E725)=0,"",N(D725)-N(E725))</f>
        <v/>
      </c>
      <c r="G725" s="19">
        <f>IFERROR(VLOOKUP($B725,'开奖记录'!$A:$K,2,FALSE),"")</f>
        <v/>
      </c>
      <c r="H725" s="19">
        <f>IFERROR(VLOOKUP($B725,'开奖记录'!$A:$K,9,FALSE),"")</f>
        <v/>
      </c>
      <c r="I725" s="19">
        <f>IFERROR(VLOOKUP($B725,'开奖记录'!$A:$K,11,FALSE),"")</f>
        <v/>
      </c>
      <c r="J725" s="19">
        <f>IF($B725="","",IF(ISNUMBER($D725),"命中",IF(ISNUMBER($E725),"未命中","")))</f>
        <v/>
      </c>
      <c r="K725" s="19" t="inlineStr"/>
      <c r="L725" s="19">
        <f>IFERROR(TEXT(VLOOKUP($B725-1,开奖记录!$A:$L,3,FALSE),"00")&amp;"+5="&amp;VLOOKUP(MOD(VLOOKUP($B725-1,开奖记录!$A:$L,3,FALSE)+4,49)+1,规律参数!$A:$C,3,FALSE),"")</f>
        <v/>
      </c>
      <c r="M725" s="19">
        <f>IF(L725="","",IF(I725="","待开奖",IF(ISNUMBER(SEARCH(I725,L725)),"命中","未命中")))</f>
        <v/>
      </c>
      <c r="N725" s="19">
        <f>IFERROR(VLOOKUP(VLOOKUP($B725-1,开奖记录!$A:$L,11,FALSE),八肖参数!$A:$B,2,FALSE),"")</f>
        <v/>
      </c>
      <c r="O725" s="19">
        <f>IF(N725="","",IF(I725="","待开奖",IF(ISNUMBER(SEARCH(I725,N725)),"命中","未命中")))</f>
        <v/>
      </c>
    </row>
    <row r="726">
      <c r="A726" s="19" t="n">
        <v>725</v>
      </c>
      <c r="B726" s="19">
        <f>IF(COUNTA(C726:E726)=0,"",B725+1)</f>
        <v/>
      </c>
      <c r="C726" s="19" t="inlineStr"/>
      <c r="D726" s="19" t="n"/>
      <c r="E726" s="19" t="n"/>
      <c r="F726" s="19">
        <f>IF(COUNTA(D726:E726)=0,"",N(D726)-N(E726))</f>
        <v/>
      </c>
      <c r="G726" s="19">
        <f>IFERROR(VLOOKUP($B726,'开奖记录'!$A:$K,2,FALSE),"")</f>
        <v/>
      </c>
      <c r="H726" s="19">
        <f>IFERROR(VLOOKUP($B726,'开奖记录'!$A:$K,9,FALSE),"")</f>
        <v/>
      </c>
      <c r="I726" s="19">
        <f>IFERROR(VLOOKUP($B726,'开奖记录'!$A:$K,11,FALSE),"")</f>
        <v/>
      </c>
      <c r="J726" s="19">
        <f>IF($B726="","",IF(ISNUMBER($D726),"命中",IF(ISNUMBER($E726),"未命中","")))</f>
        <v/>
      </c>
      <c r="K726" s="19" t="inlineStr"/>
      <c r="L726" s="19">
        <f>IFERROR(TEXT(VLOOKUP($B726-1,开奖记录!$A:$L,3,FALSE),"00")&amp;"+5="&amp;VLOOKUP(MOD(VLOOKUP($B726-1,开奖记录!$A:$L,3,FALSE)+4,49)+1,规律参数!$A:$C,3,FALSE),"")</f>
        <v/>
      </c>
      <c r="M726" s="19">
        <f>IF(L726="","",IF(I726="","待开奖",IF(ISNUMBER(SEARCH(I726,L726)),"命中","未命中")))</f>
        <v/>
      </c>
      <c r="N726" s="19">
        <f>IFERROR(VLOOKUP(VLOOKUP($B726-1,开奖记录!$A:$L,11,FALSE),八肖参数!$A:$B,2,FALSE),"")</f>
        <v/>
      </c>
      <c r="O726" s="19">
        <f>IF(N726="","",IF(I726="","待开奖",IF(ISNUMBER(SEARCH(I726,N726)),"命中","未命中")))</f>
        <v/>
      </c>
    </row>
    <row r="727">
      <c r="A727" s="19" t="n">
        <v>726</v>
      </c>
      <c r="B727" s="19">
        <f>IF(COUNTA(C727:E727)=0,"",B726+1)</f>
        <v/>
      </c>
      <c r="C727" s="19" t="inlineStr"/>
      <c r="D727" s="19" t="n"/>
      <c r="E727" s="19" t="n"/>
      <c r="F727" s="19">
        <f>IF(COUNTA(D727:E727)=0,"",N(D727)-N(E727))</f>
        <v/>
      </c>
      <c r="G727" s="19">
        <f>IFERROR(VLOOKUP($B727,'开奖记录'!$A:$K,2,FALSE),"")</f>
        <v/>
      </c>
      <c r="H727" s="19">
        <f>IFERROR(VLOOKUP($B727,'开奖记录'!$A:$K,9,FALSE),"")</f>
        <v/>
      </c>
      <c r="I727" s="19">
        <f>IFERROR(VLOOKUP($B727,'开奖记录'!$A:$K,11,FALSE),"")</f>
        <v/>
      </c>
      <c r="J727" s="19">
        <f>IF($B727="","",IF(ISNUMBER($D727),"命中",IF(ISNUMBER($E727),"未命中","")))</f>
        <v/>
      </c>
      <c r="K727" s="19" t="inlineStr"/>
      <c r="L727" s="19">
        <f>IFERROR(TEXT(VLOOKUP($B727-1,开奖记录!$A:$L,3,FALSE),"00")&amp;"+5="&amp;VLOOKUP(MOD(VLOOKUP($B727-1,开奖记录!$A:$L,3,FALSE)+4,49)+1,规律参数!$A:$C,3,FALSE),"")</f>
        <v/>
      </c>
      <c r="M727" s="19">
        <f>IF(L727="","",IF(I727="","待开奖",IF(ISNUMBER(SEARCH(I727,L727)),"命中","未命中")))</f>
        <v/>
      </c>
      <c r="N727" s="19">
        <f>IFERROR(VLOOKUP(VLOOKUP($B727-1,开奖记录!$A:$L,11,FALSE),八肖参数!$A:$B,2,FALSE),"")</f>
        <v/>
      </c>
      <c r="O727" s="19">
        <f>IF(N727="","",IF(I727="","待开奖",IF(ISNUMBER(SEARCH(I727,N727)),"命中","未命中")))</f>
        <v/>
      </c>
    </row>
    <row r="728">
      <c r="A728" s="19" t="n">
        <v>727</v>
      </c>
      <c r="B728" s="19">
        <f>IF(COUNTA(C728:E728)=0,"",B727+1)</f>
        <v/>
      </c>
      <c r="C728" s="19" t="inlineStr"/>
      <c r="D728" s="19" t="n"/>
      <c r="E728" s="19" t="n"/>
      <c r="F728" s="19">
        <f>IF(COUNTA(D728:E728)=0,"",N(D728)-N(E728))</f>
        <v/>
      </c>
      <c r="G728" s="19">
        <f>IFERROR(VLOOKUP($B728,'开奖记录'!$A:$K,2,FALSE),"")</f>
        <v/>
      </c>
      <c r="H728" s="19">
        <f>IFERROR(VLOOKUP($B728,'开奖记录'!$A:$K,9,FALSE),"")</f>
        <v/>
      </c>
      <c r="I728" s="19">
        <f>IFERROR(VLOOKUP($B728,'开奖记录'!$A:$K,11,FALSE),"")</f>
        <v/>
      </c>
      <c r="J728" s="19">
        <f>IF($B728="","",IF(ISNUMBER($D728),"命中",IF(ISNUMBER($E728),"未命中","")))</f>
        <v/>
      </c>
      <c r="K728" s="19" t="inlineStr"/>
      <c r="L728" s="19">
        <f>IFERROR(TEXT(VLOOKUP($B728-1,开奖记录!$A:$L,3,FALSE),"00")&amp;"+5="&amp;VLOOKUP(MOD(VLOOKUP($B728-1,开奖记录!$A:$L,3,FALSE)+4,49)+1,规律参数!$A:$C,3,FALSE),"")</f>
        <v/>
      </c>
      <c r="M728" s="19">
        <f>IF(L728="","",IF(I728="","待开奖",IF(ISNUMBER(SEARCH(I728,L728)),"命中","未命中")))</f>
        <v/>
      </c>
      <c r="N728" s="19">
        <f>IFERROR(VLOOKUP(VLOOKUP($B728-1,开奖记录!$A:$L,11,FALSE),八肖参数!$A:$B,2,FALSE),"")</f>
        <v/>
      </c>
      <c r="O728" s="19">
        <f>IF(N728="","",IF(I728="","待开奖",IF(ISNUMBER(SEARCH(I728,N728)),"命中","未命中")))</f>
        <v/>
      </c>
    </row>
    <row r="729">
      <c r="A729" s="19" t="n">
        <v>728</v>
      </c>
      <c r="B729" s="19">
        <f>IF(COUNTA(C729:E729)=0,"",B728+1)</f>
        <v/>
      </c>
      <c r="C729" s="19" t="inlineStr"/>
      <c r="D729" s="19" t="n"/>
      <c r="E729" s="19" t="n"/>
      <c r="F729" s="19">
        <f>IF(COUNTA(D729:E729)=0,"",N(D729)-N(E729))</f>
        <v/>
      </c>
      <c r="G729" s="19">
        <f>IFERROR(VLOOKUP($B729,'开奖记录'!$A:$K,2,FALSE),"")</f>
        <v/>
      </c>
      <c r="H729" s="19">
        <f>IFERROR(VLOOKUP($B729,'开奖记录'!$A:$K,9,FALSE),"")</f>
        <v/>
      </c>
      <c r="I729" s="19">
        <f>IFERROR(VLOOKUP($B729,'开奖记录'!$A:$K,11,FALSE),"")</f>
        <v/>
      </c>
      <c r="J729" s="19">
        <f>IF($B729="","",IF(ISNUMBER($D729),"命中",IF(ISNUMBER($E729),"未命中","")))</f>
        <v/>
      </c>
      <c r="K729" s="19" t="inlineStr"/>
      <c r="L729" s="19">
        <f>IFERROR(TEXT(VLOOKUP($B729-1,开奖记录!$A:$L,3,FALSE),"00")&amp;"+5="&amp;VLOOKUP(MOD(VLOOKUP($B729-1,开奖记录!$A:$L,3,FALSE)+4,49)+1,规律参数!$A:$C,3,FALSE),"")</f>
        <v/>
      </c>
      <c r="M729" s="19">
        <f>IF(L729="","",IF(I729="","待开奖",IF(ISNUMBER(SEARCH(I729,L729)),"命中","未命中")))</f>
        <v/>
      </c>
      <c r="N729" s="19">
        <f>IFERROR(VLOOKUP(VLOOKUP($B729-1,开奖记录!$A:$L,11,FALSE),八肖参数!$A:$B,2,FALSE),"")</f>
        <v/>
      </c>
      <c r="O729" s="19">
        <f>IF(N729="","",IF(I729="","待开奖",IF(ISNUMBER(SEARCH(I729,N729)),"命中","未命中")))</f>
        <v/>
      </c>
    </row>
    <row r="730">
      <c r="A730" s="19" t="n">
        <v>729</v>
      </c>
      <c r="B730" s="19">
        <f>IF(COUNTA(C730:E730)=0,"",B729+1)</f>
        <v/>
      </c>
      <c r="C730" s="19" t="inlineStr"/>
      <c r="D730" s="19" t="n"/>
      <c r="E730" s="19" t="n"/>
      <c r="F730" s="19">
        <f>IF(COUNTA(D730:E730)=0,"",N(D730)-N(E730))</f>
        <v/>
      </c>
      <c r="G730" s="19">
        <f>IFERROR(VLOOKUP($B730,'开奖记录'!$A:$K,2,FALSE),"")</f>
        <v/>
      </c>
      <c r="H730" s="19">
        <f>IFERROR(VLOOKUP($B730,'开奖记录'!$A:$K,9,FALSE),"")</f>
        <v/>
      </c>
      <c r="I730" s="19">
        <f>IFERROR(VLOOKUP($B730,'开奖记录'!$A:$K,11,FALSE),"")</f>
        <v/>
      </c>
      <c r="J730" s="19">
        <f>IF($B730="","",IF(ISNUMBER($D730),"命中",IF(ISNUMBER($E730),"未命中","")))</f>
        <v/>
      </c>
      <c r="K730" s="19" t="inlineStr"/>
      <c r="L730" s="19">
        <f>IFERROR(TEXT(VLOOKUP($B730-1,开奖记录!$A:$L,3,FALSE),"00")&amp;"+5="&amp;VLOOKUP(MOD(VLOOKUP($B730-1,开奖记录!$A:$L,3,FALSE)+4,49)+1,规律参数!$A:$C,3,FALSE),"")</f>
        <v/>
      </c>
      <c r="M730" s="19">
        <f>IF(L730="","",IF(I730="","待开奖",IF(ISNUMBER(SEARCH(I730,L730)),"命中","未命中")))</f>
        <v/>
      </c>
      <c r="N730" s="19">
        <f>IFERROR(VLOOKUP(VLOOKUP($B730-1,开奖记录!$A:$L,11,FALSE),八肖参数!$A:$B,2,FALSE),"")</f>
        <v/>
      </c>
      <c r="O730" s="19">
        <f>IF(N730="","",IF(I730="","待开奖",IF(ISNUMBER(SEARCH(I730,N730)),"命中","未命中")))</f>
        <v/>
      </c>
    </row>
    <row r="731">
      <c r="A731" s="19" t="n">
        <v>730</v>
      </c>
      <c r="B731" s="19">
        <f>IF(COUNTA(C731:E731)=0,"",B730+1)</f>
        <v/>
      </c>
      <c r="C731" s="19" t="inlineStr"/>
      <c r="D731" s="19" t="n"/>
      <c r="E731" s="19" t="n"/>
      <c r="F731" s="19">
        <f>IF(COUNTA(D731:E731)=0,"",N(D731)-N(E731))</f>
        <v/>
      </c>
      <c r="G731" s="19">
        <f>IFERROR(VLOOKUP($B731,'开奖记录'!$A:$K,2,FALSE),"")</f>
        <v/>
      </c>
      <c r="H731" s="19">
        <f>IFERROR(VLOOKUP($B731,'开奖记录'!$A:$K,9,FALSE),"")</f>
        <v/>
      </c>
      <c r="I731" s="19">
        <f>IFERROR(VLOOKUP($B731,'开奖记录'!$A:$K,11,FALSE),"")</f>
        <v/>
      </c>
      <c r="J731" s="19">
        <f>IF($B731="","",IF(ISNUMBER($D731),"命中",IF(ISNUMBER($E731),"未命中","")))</f>
        <v/>
      </c>
      <c r="K731" s="19" t="inlineStr"/>
      <c r="L731" s="19">
        <f>IFERROR(TEXT(VLOOKUP($B731-1,开奖记录!$A:$L,3,FALSE),"00")&amp;"+5="&amp;VLOOKUP(MOD(VLOOKUP($B731-1,开奖记录!$A:$L,3,FALSE)+4,49)+1,规律参数!$A:$C,3,FALSE),"")</f>
        <v/>
      </c>
      <c r="M731" s="19">
        <f>IF(L731="","",IF(I731="","待开奖",IF(ISNUMBER(SEARCH(I731,L731)),"命中","未命中")))</f>
        <v/>
      </c>
      <c r="N731" s="19">
        <f>IFERROR(VLOOKUP(VLOOKUP($B731-1,开奖记录!$A:$L,11,FALSE),八肖参数!$A:$B,2,FALSE),"")</f>
        <v/>
      </c>
      <c r="O731" s="19">
        <f>IF(N731="","",IF(I731="","待开奖",IF(ISNUMBER(SEARCH(I731,N731)),"命中","未命中")))</f>
        <v/>
      </c>
    </row>
    <row r="732">
      <c r="A732" s="19" t="n">
        <v>731</v>
      </c>
      <c r="B732" s="19">
        <f>IF(COUNTA(C732:E732)=0,"",B731+1)</f>
        <v/>
      </c>
      <c r="C732" s="19" t="inlineStr"/>
      <c r="D732" s="19" t="n"/>
      <c r="E732" s="19" t="n"/>
      <c r="F732" s="19">
        <f>IF(COUNTA(D732:E732)=0,"",N(D732)-N(E732))</f>
        <v/>
      </c>
      <c r="G732" s="19">
        <f>IFERROR(VLOOKUP($B732,'开奖记录'!$A:$K,2,FALSE),"")</f>
        <v/>
      </c>
      <c r="H732" s="19">
        <f>IFERROR(VLOOKUP($B732,'开奖记录'!$A:$K,9,FALSE),"")</f>
        <v/>
      </c>
      <c r="I732" s="19">
        <f>IFERROR(VLOOKUP($B732,'开奖记录'!$A:$K,11,FALSE),"")</f>
        <v/>
      </c>
      <c r="J732" s="19">
        <f>IF($B732="","",IF(ISNUMBER($D732),"命中",IF(ISNUMBER($E732),"未命中","")))</f>
        <v/>
      </c>
      <c r="K732" s="19" t="inlineStr"/>
      <c r="L732" s="19">
        <f>IFERROR(TEXT(VLOOKUP($B732-1,开奖记录!$A:$L,3,FALSE),"00")&amp;"+5="&amp;VLOOKUP(MOD(VLOOKUP($B732-1,开奖记录!$A:$L,3,FALSE)+4,49)+1,规律参数!$A:$C,3,FALSE),"")</f>
        <v/>
      </c>
      <c r="M732" s="19">
        <f>IF(L732="","",IF(I732="","待开奖",IF(ISNUMBER(SEARCH(I732,L732)),"命中","未命中")))</f>
        <v/>
      </c>
      <c r="N732" s="19">
        <f>IFERROR(VLOOKUP(VLOOKUP($B732-1,开奖记录!$A:$L,11,FALSE),八肖参数!$A:$B,2,FALSE),"")</f>
        <v/>
      </c>
      <c r="O732" s="19">
        <f>IF(N732="","",IF(I732="","待开奖",IF(ISNUMBER(SEARCH(I732,N732)),"命中","未命中")))</f>
        <v/>
      </c>
    </row>
    <row r="733">
      <c r="A733" s="19" t="n">
        <v>732</v>
      </c>
      <c r="B733" s="19">
        <f>IF(COUNTA(C733:E733)=0,"",B732+1)</f>
        <v/>
      </c>
      <c r="C733" s="19" t="inlineStr"/>
      <c r="D733" s="19" t="n"/>
      <c r="E733" s="19" t="n"/>
      <c r="F733" s="19">
        <f>IF(COUNTA(D733:E733)=0,"",N(D733)-N(E733))</f>
        <v/>
      </c>
      <c r="G733" s="19">
        <f>IFERROR(VLOOKUP($B733,'开奖记录'!$A:$K,2,FALSE),"")</f>
        <v/>
      </c>
      <c r="H733" s="19">
        <f>IFERROR(VLOOKUP($B733,'开奖记录'!$A:$K,9,FALSE),"")</f>
        <v/>
      </c>
      <c r="I733" s="19">
        <f>IFERROR(VLOOKUP($B733,'开奖记录'!$A:$K,11,FALSE),"")</f>
        <v/>
      </c>
      <c r="J733" s="19">
        <f>IF($B733="","",IF(ISNUMBER($D733),"命中",IF(ISNUMBER($E733),"未命中","")))</f>
        <v/>
      </c>
      <c r="K733" s="19" t="inlineStr"/>
      <c r="L733" s="19">
        <f>IFERROR(TEXT(VLOOKUP($B733-1,开奖记录!$A:$L,3,FALSE),"00")&amp;"+5="&amp;VLOOKUP(MOD(VLOOKUP($B733-1,开奖记录!$A:$L,3,FALSE)+4,49)+1,规律参数!$A:$C,3,FALSE),"")</f>
        <v/>
      </c>
      <c r="M733" s="19">
        <f>IF(L733="","",IF(I733="","待开奖",IF(ISNUMBER(SEARCH(I733,L733)),"命中","未命中")))</f>
        <v/>
      </c>
      <c r="N733" s="19">
        <f>IFERROR(VLOOKUP(VLOOKUP($B733-1,开奖记录!$A:$L,11,FALSE),八肖参数!$A:$B,2,FALSE),"")</f>
        <v/>
      </c>
      <c r="O733" s="19">
        <f>IF(N733="","",IF(I733="","待开奖",IF(ISNUMBER(SEARCH(I733,N733)),"命中","未命中")))</f>
        <v/>
      </c>
    </row>
    <row r="734">
      <c r="A734" s="19" t="n">
        <v>733</v>
      </c>
      <c r="B734" s="19">
        <f>IF(COUNTA(C734:E734)=0,"",B733+1)</f>
        <v/>
      </c>
      <c r="C734" s="19" t="inlineStr"/>
      <c r="D734" s="19" t="n"/>
      <c r="E734" s="19" t="n"/>
      <c r="F734" s="19">
        <f>IF(COUNTA(D734:E734)=0,"",N(D734)-N(E734))</f>
        <v/>
      </c>
      <c r="G734" s="19">
        <f>IFERROR(VLOOKUP($B734,'开奖记录'!$A:$K,2,FALSE),"")</f>
        <v/>
      </c>
      <c r="H734" s="19">
        <f>IFERROR(VLOOKUP($B734,'开奖记录'!$A:$K,9,FALSE),"")</f>
        <v/>
      </c>
      <c r="I734" s="19">
        <f>IFERROR(VLOOKUP($B734,'开奖记录'!$A:$K,11,FALSE),"")</f>
        <v/>
      </c>
      <c r="J734" s="19">
        <f>IF($B734="","",IF(ISNUMBER($D734),"命中",IF(ISNUMBER($E734),"未命中","")))</f>
        <v/>
      </c>
      <c r="K734" s="19" t="inlineStr"/>
      <c r="L734" s="19">
        <f>IFERROR(TEXT(VLOOKUP($B734-1,开奖记录!$A:$L,3,FALSE),"00")&amp;"+5="&amp;VLOOKUP(MOD(VLOOKUP($B734-1,开奖记录!$A:$L,3,FALSE)+4,49)+1,规律参数!$A:$C,3,FALSE),"")</f>
        <v/>
      </c>
      <c r="M734" s="19">
        <f>IF(L734="","",IF(I734="","待开奖",IF(ISNUMBER(SEARCH(I734,L734)),"命中","未命中")))</f>
        <v/>
      </c>
      <c r="N734" s="19">
        <f>IFERROR(VLOOKUP(VLOOKUP($B734-1,开奖记录!$A:$L,11,FALSE),八肖参数!$A:$B,2,FALSE),"")</f>
        <v/>
      </c>
      <c r="O734" s="19">
        <f>IF(N734="","",IF(I734="","待开奖",IF(ISNUMBER(SEARCH(I734,N734)),"命中","未命中")))</f>
        <v/>
      </c>
    </row>
    <row r="735">
      <c r="A735" s="19" t="n">
        <v>734</v>
      </c>
      <c r="B735" s="19">
        <f>IF(COUNTA(C735:E735)=0,"",B734+1)</f>
        <v/>
      </c>
      <c r="C735" s="19" t="inlineStr"/>
      <c r="D735" s="19" t="n"/>
      <c r="E735" s="19" t="n"/>
      <c r="F735" s="19">
        <f>IF(COUNTA(D735:E735)=0,"",N(D735)-N(E735))</f>
        <v/>
      </c>
      <c r="G735" s="19">
        <f>IFERROR(VLOOKUP($B735,'开奖记录'!$A:$K,2,FALSE),"")</f>
        <v/>
      </c>
      <c r="H735" s="19">
        <f>IFERROR(VLOOKUP($B735,'开奖记录'!$A:$K,9,FALSE),"")</f>
        <v/>
      </c>
      <c r="I735" s="19">
        <f>IFERROR(VLOOKUP($B735,'开奖记录'!$A:$K,11,FALSE),"")</f>
        <v/>
      </c>
      <c r="J735" s="19">
        <f>IF($B735="","",IF(ISNUMBER($D735),"命中",IF(ISNUMBER($E735),"未命中","")))</f>
        <v/>
      </c>
      <c r="K735" s="19" t="inlineStr"/>
      <c r="L735" s="19">
        <f>IFERROR(TEXT(VLOOKUP($B735-1,开奖记录!$A:$L,3,FALSE),"00")&amp;"+5="&amp;VLOOKUP(MOD(VLOOKUP($B735-1,开奖记录!$A:$L,3,FALSE)+4,49)+1,规律参数!$A:$C,3,FALSE),"")</f>
        <v/>
      </c>
      <c r="M735" s="19">
        <f>IF(L735="","",IF(I735="","待开奖",IF(ISNUMBER(SEARCH(I735,L735)),"命中","未命中")))</f>
        <v/>
      </c>
      <c r="N735" s="19">
        <f>IFERROR(VLOOKUP(VLOOKUP($B735-1,开奖记录!$A:$L,11,FALSE),八肖参数!$A:$B,2,FALSE),"")</f>
        <v/>
      </c>
      <c r="O735" s="19">
        <f>IF(N735="","",IF(I735="","待开奖",IF(ISNUMBER(SEARCH(I735,N735)),"命中","未命中")))</f>
        <v/>
      </c>
    </row>
    <row r="736">
      <c r="A736" s="19" t="n">
        <v>735</v>
      </c>
      <c r="B736" s="19">
        <f>IF(COUNTA(C736:E736)=0,"",B735+1)</f>
        <v/>
      </c>
      <c r="C736" s="19" t="inlineStr"/>
      <c r="D736" s="19" t="n"/>
      <c r="E736" s="19" t="n"/>
      <c r="F736" s="19">
        <f>IF(COUNTA(D736:E736)=0,"",N(D736)-N(E736))</f>
        <v/>
      </c>
      <c r="G736" s="19">
        <f>IFERROR(VLOOKUP($B736,'开奖记录'!$A:$K,2,FALSE),"")</f>
        <v/>
      </c>
      <c r="H736" s="19">
        <f>IFERROR(VLOOKUP($B736,'开奖记录'!$A:$K,9,FALSE),"")</f>
        <v/>
      </c>
      <c r="I736" s="19">
        <f>IFERROR(VLOOKUP($B736,'开奖记录'!$A:$K,11,FALSE),"")</f>
        <v/>
      </c>
      <c r="J736" s="19">
        <f>IF($B736="","",IF(ISNUMBER($D736),"命中",IF(ISNUMBER($E736),"未命中","")))</f>
        <v/>
      </c>
      <c r="K736" s="19" t="inlineStr"/>
      <c r="L736" s="19">
        <f>IFERROR(TEXT(VLOOKUP($B736-1,开奖记录!$A:$L,3,FALSE),"00")&amp;"+5="&amp;VLOOKUP(MOD(VLOOKUP($B736-1,开奖记录!$A:$L,3,FALSE)+4,49)+1,规律参数!$A:$C,3,FALSE),"")</f>
        <v/>
      </c>
      <c r="M736" s="19">
        <f>IF(L736="","",IF(I736="","待开奖",IF(ISNUMBER(SEARCH(I736,L736)),"命中","未命中")))</f>
        <v/>
      </c>
      <c r="N736" s="19">
        <f>IFERROR(VLOOKUP(VLOOKUP($B736-1,开奖记录!$A:$L,11,FALSE),八肖参数!$A:$B,2,FALSE),"")</f>
        <v/>
      </c>
      <c r="O736" s="19">
        <f>IF(N736="","",IF(I736="","待开奖",IF(ISNUMBER(SEARCH(I736,N736)),"命中","未命中")))</f>
        <v/>
      </c>
    </row>
    <row r="737">
      <c r="A737" s="19" t="n">
        <v>736</v>
      </c>
      <c r="B737" s="19">
        <f>IF(COUNTA(C737:E737)=0,"",B736+1)</f>
        <v/>
      </c>
      <c r="C737" s="19" t="inlineStr"/>
      <c r="D737" s="19" t="n"/>
      <c r="E737" s="19" t="n"/>
      <c r="F737" s="19">
        <f>IF(COUNTA(D737:E737)=0,"",N(D737)-N(E737))</f>
        <v/>
      </c>
      <c r="G737" s="19">
        <f>IFERROR(VLOOKUP($B737,'开奖记录'!$A:$K,2,FALSE),"")</f>
        <v/>
      </c>
      <c r="H737" s="19">
        <f>IFERROR(VLOOKUP($B737,'开奖记录'!$A:$K,9,FALSE),"")</f>
        <v/>
      </c>
      <c r="I737" s="19">
        <f>IFERROR(VLOOKUP($B737,'开奖记录'!$A:$K,11,FALSE),"")</f>
        <v/>
      </c>
      <c r="J737" s="19">
        <f>IF($B737="","",IF(ISNUMBER($D737),"命中",IF(ISNUMBER($E737),"未命中","")))</f>
        <v/>
      </c>
      <c r="K737" s="19" t="inlineStr"/>
      <c r="L737" s="19">
        <f>IFERROR(TEXT(VLOOKUP($B737-1,开奖记录!$A:$L,3,FALSE),"00")&amp;"+5="&amp;VLOOKUP(MOD(VLOOKUP($B737-1,开奖记录!$A:$L,3,FALSE)+4,49)+1,规律参数!$A:$C,3,FALSE),"")</f>
        <v/>
      </c>
      <c r="M737" s="19">
        <f>IF(L737="","",IF(I737="","待开奖",IF(ISNUMBER(SEARCH(I737,L737)),"命中","未命中")))</f>
        <v/>
      </c>
      <c r="N737" s="19">
        <f>IFERROR(VLOOKUP(VLOOKUP($B737-1,开奖记录!$A:$L,11,FALSE),八肖参数!$A:$B,2,FALSE),"")</f>
        <v/>
      </c>
      <c r="O737" s="19">
        <f>IF(N737="","",IF(I737="","待开奖",IF(ISNUMBER(SEARCH(I737,N737)),"命中","未命中")))</f>
        <v/>
      </c>
    </row>
    <row r="738">
      <c r="A738" s="19" t="n">
        <v>737</v>
      </c>
      <c r="B738" s="19">
        <f>IF(COUNTA(C738:E738)=0,"",B737+1)</f>
        <v/>
      </c>
      <c r="C738" s="19" t="inlineStr"/>
      <c r="D738" s="19" t="n"/>
      <c r="E738" s="19" t="n"/>
      <c r="F738" s="19">
        <f>IF(COUNTA(D738:E738)=0,"",N(D738)-N(E738))</f>
        <v/>
      </c>
      <c r="G738" s="19">
        <f>IFERROR(VLOOKUP($B738,'开奖记录'!$A:$K,2,FALSE),"")</f>
        <v/>
      </c>
      <c r="H738" s="19">
        <f>IFERROR(VLOOKUP($B738,'开奖记录'!$A:$K,9,FALSE),"")</f>
        <v/>
      </c>
      <c r="I738" s="19">
        <f>IFERROR(VLOOKUP($B738,'开奖记录'!$A:$K,11,FALSE),"")</f>
        <v/>
      </c>
      <c r="J738" s="19">
        <f>IF($B738="","",IF(ISNUMBER($D738),"命中",IF(ISNUMBER($E738),"未命中","")))</f>
        <v/>
      </c>
      <c r="K738" s="19" t="inlineStr"/>
      <c r="L738" s="19">
        <f>IFERROR(TEXT(VLOOKUP($B738-1,开奖记录!$A:$L,3,FALSE),"00")&amp;"+5="&amp;VLOOKUP(MOD(VLOOKUP($B738-1,开奖记录!$A:$L,3,FALSE)+4,49)+1,规律参数!$A:$C,3,FALSE),"")</f>
        <v/>
      </c>
      <c r="M738" s="19">
        <f>IF(L738="","",IF(I738="","待开奖",IF(ISNUMBER(SEARCH(I738,L738)),"命中","未命中")))</f>
        <v/>
      </c>
      <c r="N738" s="19">
        <f>IFERROR(VLOOKUP(VLOOKUP($B738-1,开奖记录!$A:$L,11,FALSE),八肖参数!$A:$B,2,FALSE),"")</f>
        <v/>
      </c>
      <c r="O738" s="19">
        <f>IF(N738="","",IF(I738="","待开奖",IF(ISNUMBER(SEARCH(I738,N738)),"命中","未命中")))</f>
        <v/>
      </c>
    </row>
    <row r="739">
      <c r="A739" s="19" t="n">
        <v>738</v>
      </c>
      <c r="B739" s="19">
        <f>IF(COUNTA(C739:E739)=0,"",B738+1)</f>
        <v/>
      </c>
      <c r="C739" s="19" t="inlineStr"/>
      <c r="D739" s="19" t="n"/>
      <c r="E739" s="19" t="n"/>
      <c r="F739" s="19">
        <f>IF(COUNTA(D739:E739)=0,"",N(D739)-N(E739))</f>
        <v/>
      </c>
      <c r="G739" s="19">
        <f>IFERROR(VLOOKUP($B739,'开奖记录'!$A:$K,2,FALSE),"")</f>
        <v/>
      </c>
      <c r="H739" s="19">
        <f>IFERROR(VLOOKUP($B739,'开奖记录'!$A:$K,9,FALSE),"")</f>
        <v/>
      </c>
      <c r="I739" s="19">
        <f>IFERROR(VLOOKUP($B739,'开奖记录'!$A:$K,11,FALSE),"")</f>
        <v/>
      </c>
      <c r="J739" s="19">
        <f>IF($B739="","",IF(ISNUMBER($D739),"命中",IF(ISNUMBER($E739),"未命中","")))</f>
        <v/>
      </c>
      <c r="K739" s="19" t="inlineStr"/>
      <c r="L739" s="19">
        <f>IFERROR(TEXT(VLOOKUP($B739-1,开奖记录!$A:$L,3,FALSE),"00")&amp;"+5="&amp;VLOOKUP(MOD(VLOOKUP($B739-1,开奖记录!$A:$L,3,FALSE)+4,49)+1,规律参数!$A:$C,3,FALSE),"")</f>
        <v/>
      </c>
      <c r="M739" s="19">
        <f>IF(L739="","",IF(I739="","待开奖",IF(ISNUMBER(SEARCH(I739,L739)),"命中","未命中")))</f>
        <v/>
      </c>
      <c r="N739" s="19">
        <f>IFERROR(VLOOKUP(VLOOKUP($B739-1,开奖记录!$A:$L,11,FALSE),八肖参数!$A:$B,2,FALSE),"")</f>
        <v/>
      </c>
      <c r="O739" s="19">
        <f>IF(N739="","",IF(I739="","待开奖",IF(ISNUMBER(SEARCH(I739,N739)),"命中","未命中")))</f>
        <v/>
      </c>
    </row>
    <row r="740">
      <c r="A740" s="19" t="n">
        <v>739</v>
      </c>
      <c r="B740" s="19">
        <f>IF(COUNTA(C740:E740)=0,"",B739+1)</f>
        <v/>
      </c>
      <c r="C740" s="19" t="inlineStr"/>
      <c r="D740" s="19" t="n"/>
      <c r="E740" s="19" t="n"/>
      <c r="F740" s="19">
        <f>IF(COUNTA(D740:E740)=0,"",N(D740)-N(E740))</f>
        <v/>
      </c>
      <c r="G740" s="19">
        <f>IFERROR(VLOOKUP($B740,'开奖记录'!$A:$K,2,FALSE),"")</f>
        <v/>
      </c>
      <c r="H740" s="19">
        <f>IFERROR(VLOOKUP($B740,'开奖记录'!$A:$K,9,FALSE),"")</f>
        <v/>
      </c>
      <c r="I740" s="19">
        <f>IFERROR(VLOOKUP($B740,'开奖记录'!$A:$K,11,FALSE),"")</f>
        <v/>
      </c>
      <c r="J740" s="19">
        <f>IF($B740="","",IF(ISNUMBER($D740),"命中",IF(ISNUMBER($E740),"未命中","")))</f>
        <v/>
      </c>
      <c r="K740" s="19" t="inlineStr"/>
      <c r="L740" s="19">
        <f>IFERROR(TEXT(VLOOKUP($B740-1,开奖记录!$A:$L,3,FALSE),"00")&amp;"+5="&amp;VLOOKUP(MOD(VLOOKUP($B740-1,开奖记录!$A:$L,3,FALSE)+4,49)+1,规律参数!$A:$C,3,FALSE),"")</f>
        <v/>
      </c>
      <c r="M740" s="19">
        <f>IF(L740="","",IF(I740="","待开奖",IF(ISNUMBER(SEARCH(I740,L740)),"命中","未命中")))</f>
        <v/>
      </c>
      <c r="N740" s="19">
        <f>IFERROR(VLOOKUP(VLOOKUP($B740-1,开奖记录!$A:$L,11,FALSE),八肖参数!$A:$B,2,FALSE),"")</f>
        <v/>
      </c>
      <c r="O740" s="19">
        <f>IF(N740="","",IF(I740="","待开奖",IF(ISNUMBER(SEARCH(I740,N740)),"命中","未命中")))</f>
        <v/>
      </c>
    </row>
    <row r="741">
      <c r="A741" s="19" t="n">
        <v>740</v>
      </c>
      <c r="B741" s="19">
        <f>IF(COUNTA(C741:E741)=0,"",B740+1)</f>
        <v/>
      </c>
      <c r="C741" s="19" t="inlineStr"/>
      <c r="D741" s="19" t="n"/>
      <c r="E741" s="19" t="n"/>
      <c r="F741" s="19">
        <f>IF(COUNTA(D741:E741)=0,"",N(D741)-N(E741))</f>
        <v/>
      </c>
      <c r="G741" s="19">
        <f>IFERROR(VLOOKUP($B741,'开奖记录'!$A:$K,2,FALSE),"")</f>
        <v/>
      </c>
      <c r="H741" s="19">
        <f>IFERROR(VLOOKUP($B741,'开奖记录'!$A:$K,9,FALSE),"")</f>
        <v/>
      </c>
      <c r="I741" s="19">
        <f>IFERROR(VLOOKUP($B741,'开奖记录'!$A:$K,11,FALSE),"")</f>
        <v/>
      </c>
      <c r="J741" s="19">
        <f>IF($B741="","",IF(ISNUMBER($D741),"命中",IF(ISNUMBER($E741),"未命中","")))</f>
        <v/>
      </c>
      <c r="K741" s="19" t="inlineStr"/>
      <c r="L741" s="19">
        <f>IFERROR(TEXT(VLOOKUP($B741-1,开奖记录!$A:$L,3,FALSE),"00")&amp;"+5="&amp;VLOOKUP(MOD(VLOOKUP($B741-1,开奖记录!$A:$L,3,FALSE)+4,49)+1,规律参数!$A:$C,3,FALSE),"")</f>
        <v/>
      </c>
      <c r="M741" s="19">
        <f>IF(L741="","",IF(I741="","待开奖",IF(ISNUMBER(SEARCH(I741,L741)),"命中","未命中")))</f>
        <v/>
      </c>
      <c r="N741" s="19">
        <f>IFERROR(VLOOKUP(VLOOKUP($B741-1,开奖记录!$A:$L,11,FALSE),八肖参数!$A:$B,2,FALSE),"")</f>
        <v/>
      </c>
      <c r="O741" s="19">
        <f>IF(N741="","",IF(I741="","待开奖",IF(ISNUMBER(SEARCH(I741,N741)),"命中","未命中")))</f>
        <v/>
      </c>
    </row>
    <row r="742">
      <c r="A742" s="19" t="n">
        <v>741</v>
      </c>
      <c r="B742" s="19">
        <f>IF(COUNTA(C742:E742)=0,"",B741+1)</f>
        <v/>
      </c>
      <c r="C742" s="19" t="inlineStr"/>
      <c r="D742" s="19" t="n"/>
      <c r="E742" s="19" t="n"/>
      <c r="F742" s="19">
        <f>IF(COUNTA(D742:E742)=0,"",N(D742)-N(E742))</f>
        <v/>
      </c>
      <c r="G742" s="19">
        <f>IFERROR(VLOOKUP($B742,'开奖记录'!$A:$K,2,FALSE),"")</f>
        <v/>
      </c>
      <c r="H742" s="19">
        <f>IFERROR(VLOOKUP($B742,'开奖记录'!$A:$K,9,FALSE),"")</f>
        <v/>
      </c>
      <c r="I742" s="19">
        <f>IFERROR(VLOOKUP($B742,'开奖记录'!$A:$K,11,FALSE),"")</f>
        <v/>
      </c>
      <c r="J742" s="19">
        <f>IF($B742="","",IF(ISNUMBER($D742),"命中",IF(ISNUMBER($E742),"未命中","")))</f>
        <v/>
      </c>
      <c r="K742" s="19" t="inlineStr"/>
      <c r="L742" s="19">
        <f>IFERROR(TEXT(VLOOKUP($B742-1,开奖记录!$A:$L,3,FALSE),"00")&amp;"+5="&amp;VLOOKUP(MOD(VLOOKUP($B742-1,开奖记录!$A:$L,3,FALSE)+4,49)+1,规律参数!$A:$C,3,FALSE),"")</f>
        <v/>
      </c>
      <c r="M742" s="19">
        <f>IF(L742="","",IF(I742="","待开奖",IF(ISNUMBER(SEARCH(I742,L742)),"命中","未命中")))</f>
        <v/>
      </c>
      <c r="N742" s="19">
        <f>IFERROR(VLOOKUP(VLOOKUP($B742-1,开奖记录!$A:$L,11,FALSE),八肖参数!$A:$B,2,FALSE),"")</f>
        <v/>
      </c>
      <c r="O742" s="19">
        <f>IF(N742="","",IF(I742="","待开奖",IF(ISNUMBER(SEARCH(I742,N742)),"命中","未命中")))</f>
        <v/>
      </c>
    </row>
    <row r="743">
      <c r="A743" s="19" t="n">
        <v>742</v>
      </c>
      <c r="B743" s="19">
        <f>IF(COUNTA(C743:E743)=0,"",B742+1)</f>
        <v/>
      </c>
      <c r="C743" s="19" t="inlineStr"/>
      <c r="D743" s="19" t="n"/>
      <c r="E743" s="19" t="n"/>
      <c r="F743" s="19">
        <f>IF(COUNTA(D743:E743)=0,"",N(D743)-N(E743))</f>
        <v/>
      </c>
      <c r="G743" s="19">
        <f>IFERROR(VLOOKUP($B743,'开奖记录'!$A:$K,2,FALSE),"")</f>
        <v/>
      </c>
      <c r="H743" s="19">
        <f>IFERROR(VLOOKUP($B743,'开奖记录'!$A:$K,9,FALSE),"")</f>
        <v/>
      </c>
      <c r="I743" s="19">
        <f>IFERROR(VLOOKUP($B743,'开奖记录'!$A:$K,11,FALSE),"")</f>
        <v/>
      </c>
      <c r="J743" s="19">
        <f>IF($B743="","",IF(ISNUMBER($D743),"命中",IF(ISNUMBER($E743),"未命中","")))</f>
        <v/>
      </c>
      <c r="K743" s="19" t="inlineStr"/>
      <c r="L743" s="19">
        <f>IFERROR(TEXT(VLOOKUP($B743-1,开奖记录!$A:$L,3,FALSE),"00")&amp;"+5="&amp;VLOOKUP(MOD(VLOOKUP($B743-1,开奖记录!$A:$L,3,FALSE)+4,49)+1,规律参数!$A:$C,3,FALSE),"")</f>
        <v/>
      </c>
      <c r="M743" s="19">
        <f>IF(L743="","",IF(I743="","待开奖",IF(ISNUMBER(SEARCH(I743,L743)),"命中","未命中")))</f>
        <v/>
      </c>
      <c r="N743" s="19">
        <f>IFERROR(VLOOKUP(VLOOKUP($B743-1,开奖记录!$A:$L,11,FALSE),八肖参数!$A:$B,2,FALSE),"")</f>
        <v/>
      </c>
      <c r="O743" s="19">
        <f>IF(N743="","",IF(I743="","待开奖",IF(ISNUMBER(SEARCH(I743,N743)),"命中","未命中")))</f>
        <v/>
      </c>
    </row>
    <row r="744">
      <c r="A744" s="19" t="n">
        <v>743</v>
      </c>
      <c r="B744" s="19">
        <f>IF(COUNTA(C744:E744)=0,"",B743+1)</f>
        <v/>
      </c>
      <c r="C744" s="19" t="inlineStr"/>
      <c r="D744" s="19" t="n"/>
      <c r="E744" s="19" t="n"/>
      <c r="F744" s="19">
        <f>IF(COUNTA(D744:E744)=0,"",N(D744)-N(E744))</f>
        <v/>
      </c>
      <c r="G744" s="19">
        <f>IFERROR(VLOOKUP($B744,'开奖记录'!$A:$K,2,FALSE),"")</f>
        <v/>
      </c>
      <c r="H744" s="19">
        <f>IFERROR(VLOOKUP($B744,'开奖记录'!$A:$K,9,FALSE),"")</f>
        <v/>
      </c>
      <c r="I744" s="19">
        <f>IFERROR(VLOOKUP($B744,'开奖记录'!$A:$K,11,FALSE),"")</f>
        <v/>
      </c>
      <c r="J744" s="19">
        <f>IF($B744="","",IF(ISNUMBER($D744),"命中",IF(ISNUMBER($E744),"未命中","")))</f>
        <v/>
      </c>
      <c r="K744" s="19" t="inlineStr"/>
      <c r="L744" s="19">
        <f>IFERROR(TEXT(VLOOKUP($B744-1,开奖记录!$A:$L,3,FALSE),"00")&amp;"+5="&amp;VLOOKUP(MOD(VLOOKUP($B744-1,开奖记录!$A:$L,3,FALSE)+4,49)+1,规律参数!$A:$C,3,FALSE),"")</f>
        <v/>
      </c>
      <c r="M744" s="19">
        <f>IF(L744="","",IF(I744="","待开奖",IF(ISNUMBER(SEARCH(I744,L744)),"命中","未命中")))</f>
        <v/>
      </c>
      <c r="N744" s="19">
        <f>IFERROR(VLOOKUP(VLOOKUP($B744-1,开奖记录!$A:$L,11,FALSE),八肖参数!$A:$B,2,FALSE),"")</f>
        <v/>
      </c>
      <c r="O744" s="19">
        <f>IF(N744="","",IF(I744="","待开奖",IF(ISNUMBER(SEARCH(I744,N744)),"命中","未命中")))</f>
        <v/>
      </c>
    </row>
    <row r="745">
      <c r="A745" s="19" t="n">
        <v>744</v>
      </c>
      <c r="B745" s="19">
        <f>IF(COUNTA(C745:E745)=0,"",B744+1)</f>
        <v/>
      </c>
      <c r="C745" s="19" t="inlineStr"/>
      <c r="D745" s="19" t="n"/>
      <c r="E745" s="19" t="n"/>
      <c r="F745" s="19">
        <f>IF(COUNTA(D745:E745)=0,"",N(D745)-N(E745))</f>
        <v/>
      </c>
      <c r="G745" s="19">
        <f>IFERROR(VLOOKUP($B745,'开奖记录'!$A:$K,2,FALSE),"")</f>
        <v/>
      </c>
      <c r="H745" s="19">
        <f>IFERROR(VLOOKUP($B745,'开奖记录'!$A:$K,9,FALSE),"")</f>
        <v/>
      </c>
      <c r="I745" s="19">
        <f>IFERROR(VLOOKUP($B745,'开奖记录'!$A:$K,11,FALSE),"")</f>
        <v/>
      </c>
      <c r="J745" s="19">
        <f>IF($B745="","",IF(ISNUMBER($D745),"命中",IF(ISNUMBER($E745),"未命中","")))</f>
        <v/>
      </c>
      <c r="K745" s="19" t="inlineStr"/>
      <c r="L745" s="19">
        <f>IFERROR(TEXT(VLOOKUP($B745-1,开奖记录!$A:$L,3,FALSE),"00")&amp;"+5="&amp;VLOOKUP(MOD(VLOOKUP($B745-1,开奖记录!$A:$L,3,FALSE)+4,49)+1,规律参数!$A:$C,3,FALSE),"")</f>
        <v/>
      </c>
      <c r="M745" s="19">
        <f>IF(L745="","",IF(I745="","待开奖",IF(ISNUMBER(SEARCH(I745,L745)),"命中","未命中")))</f>
        <v/>
      </c>
      <c r="N745" s="19">
        <f>IFERROR(VLOOKUP(VLOOKUP($B745-1,开奖记录!$A:$L,11,FALSE),八肖参数!$A:$B,2,FALSE),"")</f>
        <v/>
      </c>
      <c r="O745" s="19">
        <f>IF(N745="","",IF(I745="","待开奖",IF(ISNUMBER(SEARCH(I745,N745)),"命中","未命中")))</f>
        <v/>
      </c>
    </row>
    <row r="746">
      <c r="A746" s="19" t="n">
        <v>745</v>
      </c>
      <c r="B746" s="19">
        <f>IF(COUNTA(C746:E746)=0,"",B745+1)</f>
        <v/>
      </c>
      <c r="C746" s="19" t="inlineStr"/>
      <c r="D746" s="19" t="n"/>
      <c r="E746" s="19" t="n"/>
      <c r="F746" s="19">
        <f>IF(COUNTA(D746:E746)=0,"",N(D746)-N(E746))</f>
        <v/>
      </c>
      <c r="G746" s="19">
        <f>IFERROR(VLOOKUP($B746,'开奖记录'!$A:$K,2,FALSE),"")</f>
        <v/>
      </c>
      <c r="H746" s="19">
        <f>IFERROR(VLOOKUP($B746,'开奖记录'!$A:$K,9,FALSE),"")</f>
        <v/>
      </c>
      <c r="I746" s="19">
        <f>IFERROR(VLOOKUP($B746,'开奖记录'!$A:$K,11,FALSE),"")</f>
        <v/>
      </c>
      <c r="J746" s="19">
        <f>IF($B746="","",IF(ISNUMBER($D746),"命中",IF(ISNUMBER($E746),"未命中","")))</f>
        <v/>
      </c>
      <c r="K746" s="19" t="inlineStr"/>
      <c r="L746" s="19">
        <f>IFERROR(TEXT(VLOOKUP($B746-1,开奖记录!$A:$L,3,FALSE),"00")&amp;"+5="&amp;VLOOKUP(MOD(VLOOKUP($B746-1,开奖记录!$A:$L,3,FALSE)+4,49)+1,规律参数!$A:$C,3,FALSE),"")</f>
        <v/>
      </c>
      <c r="M746" s="19">
        <f>IF(L746="","",IF(I746="","待开奖",IF(ISNUMBER(SEARCH(I746,L746)),"命中","未命中")))</f>
        <v/>
      </c>
      <c r="N746" s="19">
        <f>IFERROR(VLOOKUP(VLOOKUP($B746-1,开奖记录!$A:$L,11,FALSE),八肖参数!$A:$B,2,FALSE),"")</f>
        <v/>
      </c>
      <c r="O746" s="19">
        <f>IF(N746="","",IF(I746="","待开奖",IF(ISNUMBER(SEARCH(I746,N746)),"命中","未命中")))</f>
        <v/>
      </c>
    </row>
    <row r="747">
      <c r="A747" s="19" t="n">
        <v>746</v>
      </c>
      <c r="B747" s="19">
        <f>IF(COUNTA(C747:E747)=0,"",B746+1)</f>
        <v/>
      </c>
      <c r="C747" s="19" t="inlineStr"/>
      <c r="D747" s="19" t="n"/>
      <c r="E747" s="19" t="n"/>
      <c r="F747" s="19">
        <f>IF(COUNTA(D747:E747)=0,"",N(D747)-N(E747))</f>
        <v/>
      </c>
      <c r="G747" s="19">
        <f>IFERROR(VLOOKUP($B747,'开奖记录'!$A:$K,2,FALSE),"")</f>
        <v/>
      </c>
      <c r="H747" s="19">
        <f>IFERROR(VLOOKUP($B747,'开奖记录'!$A:$K,9,FALSE),"")</f>
        <v/>
      </c>
      <c r="I747" s="19">
        <f>IFERROR(VLOOKUP($B747,'开奖记录'!$A:$K,11,FALSE),"")</f>
        <v/>
      </c>
      <c r="J747" s="19">
        <f>IF($B747="","",IF(ISNUMBER($D747),"命中",IF(ISNUMBER($E747),"未命中","")))</f>
        <v/>
      </c>
      <c r="K747" s="19" t="inlineStr"/>
      <c r="L747" s="19">
        <f>IFERROR(TEXT(VLOOKUP($B747-1,开奖记录!$A:$L,3,FALSE),"00")&amp;"+5="&amp;VLOOKUP(MOD(VLOOKUP($B747-1,开奖记录!$A:$L,3,FALSE)+4,49)+1,规律参数!$A:$C,3,FALSE),"")</f>
        <v/>
      </c>
      <c r="M747" s="19">
        <f>IF(L747="","",IF(I747="","待开奖",IF(ISNUMBER(SEARCH(I747,L747)),"命中","未命中")))</f>
        <v/>
      </c>
      <c r="N747" s="19">
        <f>IFERROR(VLOOKUP(VLOOKUP($B747-1,开奖记录!$A:$L,11,FALSE),八肖参数!$A:$B,2,FALSE),"")</f>
        <v/>
      </c>
      <c r="O747" s="19">
        <f>IF(N747="","",IF(I747="","待开奖",IF(ISNUMBER(SEARCH(I747,N747)),"命中","未命中")))</f>
        <v/>
      </c>
    </row>
    <row r="748">
      <c r="A748" s="19" t="n">
        <v>747</v>
      </c>
      <c r="B748" s="19">
        <f>IF(COUNTA(C748:E748)=0,"",B747+1)</f>
        <v/>
      </c>
      <c r="C748" s="19" t="inlineStr"/>
      <c r="D748" s="19" t="n"/>
      <c r="E748" s="19" t="n"/>
      <c r="F748" s="19">
        <f>IF(COUNTA(D748:E748)=0,"",N(D748)-N(E748))</f>
        <v/>
      </c>
      <c r="G748" s="19">
        <f>IFERROR(VLOOKUP($B748,'开奖记录'!$A:$K,2,FALSE),"")</f>
        <v/>
      </c>
      <c r="H748" s="19">
        <f>IFERROR(VLOOKUP($B748,'开奖记录'!$A:$K,9,FALSE),"")</f>
        <v/>
      </c>
      <c r="I748" s="19">
        <f>IFERROR(VLOOKUP($B748,'开奖记录'!$A:$K,11,FALSE),"")</f>
        <v/>
      </c>
      <c r="J748" s="19">
        <f>IF($B748="","",IF(ISNUMBER($D748),"命中",IF(ISNUMBER($E748),"未命中","")))</f>
        <v/>
      </c>
      <c r="K748" s="19" t="inlineStr"/>
      <c r="L748" s="19">
        <f>IFERROR(TEXT(VLOOKUP($B748-1,开奖记录!$A:$L,3,FALSE),"00")&amp;"+5="&amp;VLOOKUP(MOD(VLOOKUP($B748-1,开奖记录!$A:$L,3,FALSE)+4,49)+1,规律参数!$A:$C,3,FALSE),"")</f>
        <v/>
      </c>
      <c r="M748" s="19">
        <f>IF(L748="","",IF(I748="","待开奖",IF(ISNUMBER(SEARCH(I748,L748)),"命中","未命中")))</f>
        <v/>
      </c>
      <c r="N748" s="19">
        <f>IFERROR(VLOOKUP(VLOOKUP($B748-1,开奖记录!$A:$L,11,FALSE),八肖参数!$A:$B,2,FALSE),"")</f>
        <v/>
      </c>
      <c r="O748" s="19">
        <f>IF(N748="","",IF(I748="","待开奖",IF(ISNUMBER(SEARCH(I748,N748)),"命中","未命中")))</f>
        <v/>
      </c>
    </row>
    <row r="749">
      <c r="A749" s="19" t="n">
        <v>748</v>
      </c>
      <c r="B749" s="19">
        <f>IF(COUNTA(C749:E749)=0,"",B748+1)</f>
        <v/>
      </c>
      <c r="C749" s="19" t="inlineStr"/>
      <c r="D749" s="19" t="n"/>
      <c r="E749" s="19" t="n"/>
      <c r="F749" s="19">
        <f>IF(COUNTA(D749:E749)=0,"",N(D749)-N(E749))</f>
        <v/>
      </c>
      <c r="G749" s="19">
        <f>IFERROR(VLOOKUP($B749,'开奖记录'!$A:$K,2,FALSE),"")</f>
        <v/>
      </c>
      <c r="H749" s="19">
        <f>IFERROR(VLOOKUP($B749,'开奖记录'!$A:$K,9,FALSE),"")</f>
        <v/>
      </c>
      <c r="I749" s="19">
        <f>IFERROR(VLOOKUP($B749,'开奖记录'!$A:$K,11,FALSE),"")</f>
        <v/>
      </c>
      <c r="J749" s="19">
        <f>IF($B749="","",IF(ISNUMBER($D749),"命中",IF(ISNUMBER($E749),"未命中","")))</f>
        <v/>
      </c>
      <c r="K749" s="19" t="inlineStr"/>
      <c r="L749" s="19">
        <f>IFERROR(TEXT(VLOOKUP($B749-1,开奖记录!$A:$L,3,FALSE),"00")&amp;"+5="&amp;VLOOKUP(MOD(VLOOKUP($B749-1,开奖记录!$A:$L,3,FALSE)+4,49)+1,规律参数!$A:$C,3,FALSE),"")</f>
        <v/>
      </c>
      <c r="M749" s="19">
        <f>IF(L749="","",IF(I749="","待开奖",IF(ISNUMBER(SEARCH(I749,L749)),"命中","未命中")))</f>
        <v/>
      </c>
      <c r="N749" s="19">
        <f>IFERROR(VLOOKUP(VLOOKUP($B749-1,开奖记录!$A:$L,11,FALSE),八肖参数!$A:$B,2,FALSE),"")</f>
        <v/>
      </c>
      <c r="O749" s="19">
        <f>IF(N749="","",IF(I749="","待开奖",IF(ISNUMBER(SEARCH(I749,N749)),"命中","未命中")))</f>
        <v/>
      </c>
    </row>
    <row r="750">
      <c r="A750" s="19" t="n">
        <v>749</v>
      </c>
      <c r="B750" s="19">
        <f>IF(COUNTA(C750:E750)=0,"",B749+1)</f>
        <v/>
      </c>
      <c r="C750" s="19" t="inlineStr"/>
      <c r="D750" s="19" t="n"/>
      <c r="E750" s="19" t="n"/>
      <c r="F750" s="19">
        <f>IF(COUNTA(D750:E750)=0,"",N(D750)-N(E750))</f>
        <v/>
      </c>
      <c r="G750" s="19">
        <f>IFERROR(VLOOKUP($B750,'开奖记录'!$A:$K,2,FALSE),"")</f>
        <v/>
      </c>
      <c r="H750" s="19">
        <f>IFERROR(VLOOKUP($B750,'开奖记录'!$A:$K,9,FALSE),"")</f>
        <v/>
      </c>
      <c r="I750" s="19">
        <f>IFERROR(VLOOKUP($B750,'开奖记录'!$A:$K,11,FALSE),"")</f>
        <v/>
      </c>
      <c r="J750" s="19">
        <f>IF($B750="","",IF(ISNUMBER($D750),"命中",IF(ISNUMBER($E750),"未命中","")))</f>
        <v/>
      </c>
      <c r="K750" s="19" t="inlineStr"/>
      <c r="L750" s="19">
        <f>IFERROR(TEXT(VLOOKUP($B750-1,开奖记录!$A:$L,3,FALSE),"00")&amp;"+5="&amp;VLOOKUP(MOD(VLOOKUP($B750-1,开奖记录!$A:$L,3,FALSE)+4,49)+1,规律参数!$A:$C,3,FALSE),"")</f>
        <v/>
      </c>
      <c r="M750" s="19">
        <f>IF(L750="","",IF(I750="","待开奖",IF(ISNUMBER(SEARCH(I750,L750)),"命中","未命中")))</f>
        <v/>
      </c>
      <c r="N750" s="19">
        <f>IFERROR(VLOOKUP(VLOOKUP($B750-1,开奖记录!$A:$L,11,FALSE),八肖参数!$A:$B,2,FALSE),"")</f>
        <v/>
      </c>
      <c r="O750" s="19">
        <f>IF(N750="","",IF(I750="","待开奖",IF(ISNUMBER(SEARCH(I750,N750)),"命中","未命中")))</f>
        <v/>
      </c>
    </row>
    <row r="751">
      <c r="A751" s="19" t="n">
        <v>750</v>
      </c>
      <c r="B751" s="19">
        <f>IF(COUNTA(C751:E751)=0,"",B750+1)</f>
        <v/>
      </c>
      <c r="C751" s="19" t="inlineStr"/>
      <c r="D751" s="19" t="n"/>
      <c r="E751" s="19" t="n"/>
      <c r="F751" s="19">
        <f>IF(COUNTA(D751:E751)=0,"",N(D751)-N(E751))</f>
        <v/>
      </c>
      <c r="G751" s="19">
        <f>IFERROR(VLOOKUP($B751,'开奖记录'!$A:$K,2,FALSE),"")</f>
        <v/>
      </c>
      <c r="H751" s="19">
        <f>IFERROR(VLOOKUP($B751,'开奖记录'!$A:$K,9,FALSE),"")</f>
        <v/>
      </c>
      <c r="I751" s="19">
        <f>IFERROR(VLOOKUP($B751,'开奖记录'!$A:$K,11,FALSE),"")</f>
        <v/>
      </c>
      <c r="J751" s="19">
        <f>IF($B751="","",IF(ISNUMBER($D751),"命中",IF(ISNUMBER($E751),"未命中","")))</f>
        <v/>
      </c>
      <c r="K751" s="19" t="inlineStr"/>
      <c r="L751" s="19">
        <f>IFERROR(TEXT(VLOOKUP($B751-1,开奖记录!$A:$L,3,FALSE),"00")&amp;"+5="&amp;VLOOKUP(MOD(VLOOKUP($B751-1,开奖记录!$A:$L,3,FALSE)+4,49)+1,规律参数!$A:$C,3,FALSE),"")</f>
        <v/>
      </c>
      <c r="M751" s="19">
        <f>IF(L751="","",IF(I751="","待开奖",IF(ISNUMBER(SEARCH(I751,L751)),"命中","未命中")))</f>
        <v/>
      </c>
      <c r="N751" s="19">
        <f>IFERROR(VLOOKUP(VLOOKUP($B751-1,开奖记录!$A:$L,11,FALSE),八肖参数!$A:$B,2,FALSE),"")</f>
        <v/>
      </c>
      <c r="O751" s="19">
        <f>IF(N751="","",IF(I751="","待开奖",IF(ISNUMBER(SEARCH(I751,N751)),"命中","未命中")))</f>
        <v/>
      </c>
    </row>
    <row r="752">
      <c r="A752" s="19" t="n">
        <v>751</v>
      </c>
      <c r="B752" s="19">
        <f>IF(COUNTA(C752:E752)=0,"",B751+1)</f>
        <v/>
      </c>
      <c r="C752" s="19" t="inlineStr"/>
      <c r="D752" s="19" t="n"/>
      <c r="E752" s="19" t="n"/>
      <c r="F752" s="19">
        <f>IF(COUNTA(D752:E752)=0,"",N(D752)-N(E752))</f>
        <v/>
      </c>
      <c r="G752" s="19">
        <f>IFERROR(VLOOKUP($B752,'开奖记录'!$A:$K,2,FALSE),"")</f>
        <v/>
      </c>
      <c r="H752" s="19">
        <f>IFERROR(VLOOKUP($B752,'开奖记录'!$A:$K,9,FALSE),"")</f>
        <v/>
      </c>
      <c r="I752" s="19">
        <f>IFERROR(VLOOKUP($B752,'开奖记录'!$A:$K,11,FALSE),"")</f>
        <v/>
      </c>
      <c r="J752" s="19">
        <f>IF($B752="","",IF(ISNUMBER($D752),"命中",IF(ISNUMBER($E752),"未命中","")))</f>
        <v/>
      </c>
      <c r="K752" s="19" t="inlineStr"/>
      <c r="L752" s="19">
        <f>IFERROR(TEXT(VLOOKUP($B752-1,开奖记录!$A:$L,3,FALSE),"00")&amp;"+5="&amp;VLOOKUP(MOD(VLOOKUP($B752-1,开奖记录!$A:$L,3,FALSE)+4,49)+1,规律参数!$A:$C,3,FALSE),"")</f>
        <v/>
      </c>
      <c r="M752" s="19">
        <f>IF(L752="","",IF(I752="","待开奖",IF(ISNUMBER(SEARCH(I752,L752)),"命中","未命中")))</f>
        <v/>
      </c>
      <c r="N752" s="19">
        <f>IFERROR(VLOOKUP(VLOOKUP($B752-1,开奖记录!$A:$L,11,FALSE),八肖参数!$A:$B,2,FALSE),"")</f>
        <v/>
      </c>
      <c r="O752" s="19">
        <f>IF(N752="","",IF(I752="","待开奖",IF(ISNUMBER(SEARCH(I752,N752)),"命中","未命中")))</f>
        <v/>
      </c>
    </row>
    <row r="753">
      <c r="A753" s="19" t="n">
        <v>752</v>
      </c>
      <c r="B753" s="19">
        <f>IF(COUNTA(C753:E753)=0,"",B752+1)</f>
        <v/>
      </c>
      <c r="C753" s="19" t="inlineStr"/>
      <c r="D753" s="19" t="n"/>
      <c r="E753" s="19" t="n"/>
      <c r="F753" s="19">
        <f>IF(COUNTA(D753:E753)=0,"",N(D753)-N(E753))</f>
        <v/>
      </c>
      <c r="G753" s="19">
        <f>IFERROR(VLOOKUP($B753,'开奖记录'!$A:$K,2,FALSE),"")</f>
        <v/>
      </c>
      <c r="H753" s="19">
        <f>IFERROR(VLOOKUP($B753,'开奖记录'!$A:$K,9,FALSE),"")</f>
        <v/>
      </c>
      <c r="I753" s="19">
        <f>IFERROR(VLOOKUP($B753,'开奖记录'!$A:$K,11,FALSE),"")</f>
        <v/>
      </c>
      <c r="J753" s="19">
        <f>IF($B753="","",IF(ISNUMBER($D753),"命中",IF(ISNUMBER($E753),"未命中","")))</f>
        <v/>
      </c>
      <c r="K753" s="19" t="inlineStr"/>
      <c r="L753" s="19">
        <f>IFERROR(TEXT(VLOOKUP($B753-1,开奖记录!$A:$L,3,FALSE),"00")&amp;"+5="&amp;VLOOKUP(MOD(VLOOKUP($B753-1,开奖记录!$A:$L,3,FALSE)+4,49)+1,规律参数!$A:$C,3,FALSE),"")</f>
        <v/>
      </c>
      <c r="M753" s="19">
        <f>IF(L753="","",IF(I753="","待开奖",IF(ISNUMBER(SEARCH(I753,L753)),"命中","未命中")))</f>
        <v/>
      </c>
      <c r="N753" s="19">
        <f>IFERROR(VLOOKUP(VLOOKUP($B753-1,开奖记录!$A:$L,11,FALSE),八肖参数!$A:$B,2,FALSE),"")</f>
        <v/>
      </c>
      <c r="O753" s="19">
        <f>IF(N753="","",IF(I753="","待开奖",IF(ISNUMBER(SEARCH(I753,N753)),"命中","未命中")))</f>
        <v/>
      </c>
    </row>
    <row r="754">
      <c r="A754" s="19" t="n">
        <v>753</v>
      </c>
      <c r="B754" s="19">
        <f>IF(COUNTA(C754:E754)=0,"",B753+1)</f>
        <v/>
      </c>
      <c r="C754" s="19" t="inlineStr"/>
      <c r="D754" s="19" t="n"/>
      <c r="E754" s="19" t="n"/>
      <c r="F754" s="19">
        <f>IF(COUNTA(D754:E754)=0,"",N(D754)-N(E754))</f>
        <v/>
      </c>
      <c r="G754" s="19">
        <f>IFERROR(VLOOKUP($B754,'开奖记录'!$A:$K,2,FALSE),"")</f>
        <v/>
      </c>
      <c r="H754" s="19">
        <f>IFERROR(VLOOKUP($B754,'开奖记录'!$A:$K,9,FALSE),"")</f>
        <v/>
      </c>
      <c r="I754" s="19">
        <f>IFERROR(VLOOKUP($B754,'开奖记录'!$A:$K,11,FALSE),"")</f>
        <v/>
      </c>
      <c r="J754" s="19">
        <f>IF($B754="","",IF(ISNUMBER($D754),"命中",IF(ISNUMBER($E754),"未命中","")))</f>
        <v/>
      </c>
      <c r="K754" s="19" t="inlineStr"/>
      <c r="L754" s="19">
        <f>IFERROR(TEXT(VLOOKUP($B754-1,开奖记录!$A:$L,3,FALSE),"00")&amp;"+5="&amp;VLOOKUP(MOD(VLOOKUP($B754-1,开奖记录!$A:$L,3,FALSE)+4,49)+1,规律参数!$A:$C,3,FALSE),"")</f>
        <v/>
      </c>
      <c r="M754" s="19">
        <f>IF(L754="","",IF(I754="","待开奖",IF(ISNUMBER(SEARCH(I754,L754)),"命中","未命中")))</f>
        <v/>
      </c>
      <c r="N754" s="19">
        <f>IFERROR(VLOOKUP(VLOOKUP($B754-1,开奖记录!$A:$L,11,FALSE),八肖参数!$A:$B,2,FALSE),"")</f>
        <v/>
      </c>
      <c r="O754" s="19">
        <f>IF(N754="","",IF(I754="","待开奖",IF(ISNUMBER(SEARCH(I754,N754)),"命中","未命中")))</f>
        <v/>
      </c>
    </row>
    <row r="755">
      <c r="A755" s="19" t="n">
        <v>754</v>
      </c>
      <c r="B755" s="19">
        <f>IF(COUNTA(C755:E755)=0,"",B754+1)</f>
        <v/>
      </c>
      <c r="C755" s="19" t="inlineStr"/>
      <c r="D755" s="19" t="n"/>
      <c r="E755" s="19" t="n"/>
      <c r="F755" s="19">
        <f>IF(COUNTA(D755:E755)=0,"",N(D755)-N(E755))</f>
        <v/>
      </c>
      <c r="G755" s="19">
        <f>IFERROR(VLOOKUP($B755,'开奖记录'!$A:$K,2,FALSE),"")</f>
        <v/>
      </c>
      <c r="H755" s="19">
        <f>IFERROR(VLOOKUP($B755,'开奖记录'!$A:$K,9,FALSE),"")</f>
        <v/>
      </c>
      <c r="I755" s="19">
        <f>IFERROR(VLOOKUP($B755,'开奖记录'!$A:$K,11,FALSE),"")</f>
        <v/>
      </c>
      <c r="J755" s="19">
        <f>IF($B755="","",IF(ISNUMBER($D755),"命中",IF(ISNUMBER($E755),"未命中","")))</f>
        <v/>
      </c>
      <c r="K755" s="19" t="inlineStr"/>
      <c r="L755" s="19">
        <f>IFERROR(TEXT(VLOOKUP($B755-1,开奖记录!$A:$L,3,FALSE),"00")&amp;"+5="&amp;VLOOKUP(MOD(VLOOKUP($B755-1,开奖记录!$A:$L,3,FALSE)+4,49)+1,规律参数!$A:$C,3,FALSE),"")</f>
        <v/>
      </c>
      <c r="M755" s="19">
        <f>IF(L755="","",IF(I755="","待开奖",IF(ISNUMBER(SEARCH(I755,L755)),"命中","未命中")))</f>
        <v/>
      </c>
      <c r="N755" s="19">
        <f>IFERROR(VLOOKUP(VLOOKUP($B755-1,开奖记录!$A:$L,11,FALSE),八肖参数!$A:$B,2,FALSE),"")</f>
        <v/>
      </c>
      <c r="O755" s="19">
        <f>IF(N755="","",IF(I755="","待开奖",IF(ISNUMBER(SEARCH(I755,N755)),"命中","未命中")))</f>
        <v/>
      </c>
    </row>
    <row r="756">
      <c r="A756" s="19" t="n">
        <v>755</v>
      </c>
      <c r="B756" s="19">
        <f>IF(COUNTA(C756:E756)=0,"",B755+1)</f>
        <v/>
      </c>
      <c r="C756" s="19" t="inlineStr"/>
      <c r="D756" s="19" t="n"/>
      <c r="E756" s="19" t="n"/>
      <c r="F756" s="19">
        <f>IF(COUNTA(D756:E756)=0,"",N(D756)-N(E756))</f>
        <v/>
      </c>
      <c r="G756" s="19">
        <f>IFERROR(VLOOKUP($B756,'开奖记录'!$A:$K,2,FALSE),"")</f>
        <v/>
      </c>
      <c r="H756" s="19">
        <f>IFERROR(VLOOKUP($B756,'开奖记录'!$A:$K,9,FALSE),"")</f>
        <v/>
      </c>
      <c r="I756" s="19">
        <f>IFERROR(VLOOKUP($B756,'开奖记录'!$A:$K,11,FALSE),"")</f>
        <v/>
      </c>
      <c r="J756" s="19">
        <f>IF($B756="","",IF(ISNUMBER($D756),"命中",IF(ISNUMBER($E756),"未命中","")))</f>
        <v/>
      </c>
      <c r="K756" s="19" t="inlineStr"/>
      <c r="L756" s="19">
        <f>IFERROR(TEXT(VLOOKUP($B756-1,开奖记录!$A:$L,3,FALSE),"00")&amp;"+5="&amp;VLOOKUP(MOD(VLOOKUP($B756-1,开奖记录!$A:$L,3,FALSE)+4,49)+1,规律参数!$A:$C,3,FALSE),"")</f>
        <v/>
      </c>
      <c r="M756" s="19">
        <f>IF(L756="","",IF(I756="","待开奖",IF(ISNUMBER(SEARCH(I756,L756)),"命中","未命中")))</f>
        <v/>
      </c>
      <c r="N756" s="19">
        <f>IFERROR(VLOOKUP(VLOOKUP($B756-1,开奖记录!$A:$L,11,FALSE),八肖参数!$A:$B,2,FALSE),"")</f>
        <v/>
      </c>
      <c r="O756" s="19">
        <f>IF(N756="","",IF(I756="","待开奖",IF(ISNUMBER(SEARCH(I756,N756)),"命中","未命中")))</f>
        <v/>
      </c>
    </row>
    <row r="757">
      <c r="A757" s="19" t="n">
        <v>756</v>
      </c>
      <c r="B757" s="19">
        <f>IF(COUNTA(C757:E757)=0,"",B756+1)</f>
        <v/>
      </c>
      <c r="C757" s="19" t="inlineStr"/>
      <c r="D757" s="19" t="n"/>
      <c r="E757" s="19" t="n"/>
      <c r="F757" s="19">
        <f>IF(COUNTA(D757:E757)=0,"",N(D757)-N(E757))</f>
        <v/>
      </c>
      <c r="G757" s="19">
        <f>IFERROR(VLOOKUP($B757,'开奖记录'!$A:$K,2,FALSE),"")</f>
        <v/>
      </c>
      <c r="H757" s="19">
        <f>IFERROR(VLOOKUP($B757,'开奖记录'!$A:$K,9,FALSE),"")</f>
        <v/>
      </c>
      <c r="I757" s="19">
        <f>IFERROR(VLOOKUP($B757,'开奖记录'!$A:$K,11,FALSE),"")</f>
        <v/>
      </c>
      <c r="J757" s="19">
        <f>IF($B757="","",IF(ISNUMBER($D757),"命中",IF(ISNUMBER($E757),"未命中","")))</f>
        <v/>
      </c>
      <c r="K757" s="19" t="inlineStr"/>
      <c r="L757" s="19">
        <f>IFERROR(TEXT(VLOOKUP($B757-1,开奖记录!$A:$L,3,FALSE),"00")&amp;"+5="&amp;VLOOKUP(MOD(VLOOKUP($B757-1,开奖记录!$A:$L,3,FALSE)+4,49)+1,规律参数!$A:$C,3,FALSE),"")</f>
        <v/>
      </c>
      <c r="M757" s="19">
        <f>IF(L757="","",IF(I757="","待开奖",IF(ISNUMBER(SEARCH(I757,L757)),"命中","未命中")))</f>
        <v/>
      </c>
      <c r="N757" s="19">
        <f>IFERROR(VLOOKUP(VLOOKUP($B757-1,开奖记录!$A:$L,11,FALSE),八肖参数!$A:$B,2,FALSE),"")</f>
        <v/>
      </c>
      <c r="O757" s="19">
        <f>IF(N757="","",IF(I757="","待开奖",IF(ISNUMBER(SEARCH(I757,N757)),"命中","未命中")))</f>
        <v/>
      </c>
    </row>
    <row r="758">
      <c r="A758" s="19" t="n">
        <v>757</v>
      </c>
      <c r="B758" s="19">
        <f>IF(COUNTA(C758:E758)=0,"",B757+1)</f>
        <v/>
      </c>
      <c r="C758" s="19" t="inlineStr"/>
      <c r="D758" s="19" t="n"/>
      <c r="E758" s="19" t="n"/>
      <c r="F758" s="19">
        <f>IF(COUNTA(D758:E758)=0,"",N(D758)-N(E758))</f>
        <v/>
      </c>
      <c r="G758" s="19">
        <f>IFERROR(VLOOKUP($B758,'开奖记录'!$A:$K,2,FALSE),"")</f>
        <v/>
      </c>
      <c r="H758" s="19">
        <f>IFERROR(VLOOKUP($B758,'开奖记录'!$A:$K,9,FALSE),"")</f>
        <v/>
      </c>
      <c r="I758" s="19">
        <f>IFERROR(VLOOKUP($B758,'开奖记录'!$A:$K,11,FALSE),"")</f>
        <v/>
      </c>
      <c r="J758" s="19">
        <f>IF($B758="","",IF(ISNUMBER($D758),"命中",IF(ISNUMBER($E758),"未命中","")))</f>
        <v/>
      </c>
      <c r="K758" s="19" t="inlineStr"/>
      <c r="L758" s="19">
        <f>IFERROR(TEXT(VLOOKUP($B758-1,开奖记录!$A:$L,3,FALSE),"00")&amp;"+5="&amp;VLOOKUP(MOD(VLOOKUP($B758-1,开奖记录!$A:$L,3,FALSE)+4,49)+1,规律参数!$A:$C,3,FALSE),"")</f>
        <v/>
      </c>
      <c r="M758" s="19">
        <f>IF(L758="","",IF(I758="","待开奖",IF(ISNUMBER(SEARCH(I758,L758)),"命中","未命中")))</f>
        <v/>
      </c>
      <c r="N758" s="19">
        <f>IFERROR(VLOOKUP(VLOOKUP($B758-1,开奖记录!$A:$L,11,FALSE),八肖参数!$A:$B,2,FALSE),"")</f>
        <v/>
      </c>
      <c r="O758" s="19">
        <f>IF(N758="","",IF(I758="","待开奖",IF(ISNUMBER(SEARCH(I758,N758)),"命中","未命中")))</f>
        <v/>
      </c>
    </row>
    <row r="759">
      <c r="A759" s="19" t="n">
        <v>758</v>
      </c>
      <c r="B759" s="19">
        <f>IF(COUNTA(C759:E759)=0,"",B758+1)</f>
        <v/>
      </c>
      <c r="C759" s="19" t="inlineStr"/>
      <c r="D759" s="19" t="n"/>
      <c r="E759" s="19" t="n"/>
      <c r="F759" s="19">
        <f>IF(COUNTA(D759:E759)=0,"",N(D759)-N(E759))</f>
        <v/>
      </c>
      <c r="G759" s="19">
        <f>IFERROR(VLOOKUP($B759,'开奖记录'!$A:$K,2,FALSE),"")</f>
        <v/>
      </c>
      <c r="H759" s="19">
        <f>IFERROR(VLOOKUP($B759,'开奖记录'!$A:$K,9,FALSE),"")</f>
        <v/>
      </c>
      <c r="I759" s="19">
        <f>IFERROR(VLOOKUP($B759,'开奖记录'!$A:$K,11,FALSE),"")</f>
        <v/>
      </c>
      <c r="J759" s="19">
        <f>IF($B759="","",IF(ISNUMBER($D759),"命中",IF(ISNUMBER($E759),"未命中","")))</f>
        <v/>
      </c>
      <c r="K759" s="19" t="inlineStr"/>
      <c r="L759" s="19">
        <f>IFERROR(TEXT(VLOOKUP($B759-1,开奖记录!$A:$L,3,FALSE),"00")&amp;"+5="&amp;VLOOKUP(MOD(VLOOKUP($B759-1,开奖记录!$A:$L,3,FALSE)+4,49)+1,规律参数!$A:$C,3,FALSE),"")</f>
        <v/>
      </c>
      <c r="M759" s="19">
        <f>IF(L759="","",IF(I759="","待开奖",IF(ISNUMBER(SEARCH(I759,L759)),"命中","未命中")))</f>
        <v/>
      </c>
      <c r="N759" s="19">
        <f>IFERROR(VLOOKUP(VLOOKUP($B759-1,开奖记录!$A:$L,11,FALSE),八肖参数!$A:$B,2,FALSE),"")</f>
        <v/>
      </c>
      <c r="O759" s="19">
        <f>IF(N759="","",IF(I759="","待开奖",IF(ISNUMBER(SEARCH(I759,N759)),"命中","未命中")))</f>
        <v/>
      </c>
    </row>
    <row r="760">
      <c r="A760" s="19" t="n">
        <v>759</v>
      </c>
      <c r="B760" s="19">
        <f>IF(COUNTA(C760:E760)=0,"",B759+1)</f>
        <v/>
      </c>
      <c r="C760" s="19" t="inlineStr"/>
      <c r="D760" s="19" t="n"/>
      <c r="E760" s="19" t="n"/>
      <c r="F760" s="19">
        <f>IF(COUNTA(D760:E760)=0,"",N(D760)-N(E760))</f>
        <v/>
      </c>
      <c r="G760" s="19">
        <f>IFERROR(VLOOKUP($B760,'开奖记录'!$A:$K,2,FALSE),"")</f>
        <v/>
      </c>
      <c r="H760" s="19">
        <f>IFERROR(VLOOKUP($B760,'开奖记录'!$A:$K,9,FALSE),"")</f>
        <v/>
      </c>
      <c r="I760" s="19">
        <f>IFERROR(VLOOKUP($B760,'开奖记录'!$A:$K,11,FALSE),"")</f>
        <v/>
      </c>
      <c r="J760" s="19">
        <f>IF($B760="","",IF(ISNUMBER($D760),"命中",IF(ISNUMBER($E760),"未命中","")))</f>
        <v/>
      </c>
      <c r="K760" s="19" t="inlineStr"/>
      <c r="L760" s="19">
        <f>IFERROR(TEXT(VLOOKUP($B760-1,开奖记录!$A:$L,3,FALSE),"00")&amp;"+5="&amp;VLOOKUP(MOD(VLOOKUP($B760-1,开奖记录!$A:$L,3,FALSE)+4,49)+1,规律参数!$A:$C,3,FALSE),"")</f>
        <v/>
      </c>
      <c r="M760" s="19">
        <f>IF(L760="","",IF(I760="","待开奖",IF(ISNUMBER(SEARCH(I760,L760)),"命中","未命中")))</f>
        <v/>
      </c>
      <c r="N760" s="19">
        <f>IFERROR(VLOOKUP(VLOOKUP($B760-1,开奖记录!$A:$L,11,FALSE),八肖参数!$A:$B,2,FALSE),"")</f>
        <v/>
      </c>
      <c r="O760" s="19">
        <f>IF(N760="","",IF(I760="","待开奖",IF(ISNUMBER(SEARCH(I760,N760)),"命中","未命中")))</f>
        <v/>
      </c>
    </row>
    <row r="761">
      <c r="A761" s="19" t="n">
        <v>760</v>
      </c>
      <c r="B761" s="19">
        <f>IF(COUNTA(C761:E761)=0,"",B760+1)</f>
        <v/>
      </c>
      <c r="C761" s="19" t="inlineStr"/>
      <c r="D761" s="19" t="n"/>
      <c r="E761" s="19" t="n"/>
      <c r="F761" s="19">
        <f>IF(COUNTA(D761:E761)=0,"",N(D761)-N(E761))</f>
        <v/>
      </c>
      <c r="G761" s="19">
        <f>IFERROR(VLOOKUP($B761,'开奖记录'!$A:$K,2,FALSE),"")</f>
        <v/>
      </c>
      <c r="H761" s="19">
        <f>IFERROR(VLOOKUP($B761,'开奖记录'!$A:$K,9,FALSE),"")</f>
        <v/>
      </c>
      <c r="I761" s="19">
        <f>IFERROR(VLOOKUP($B761,'开奖记录'!$A:$K,11,FALSE),"")</f>
        <v/>
      </c>
      <c r="J761" s="19">
        <f>IF($B761="","",IF(ISNUMBER($D761),"命中",IF(ISNUMBER($E761),"未命中","")))</f>
        <v/>
      </c>
      <c r="K761" s="19" t="inlineStr"/>
      <c r="L761" s="19">
        <f>IFERROR(TEXT(VLOOKUP($B761-1,开奖记录!$A:$L,3,FALSE),"00")&amp;"+5="&amp;VLOOKUP(MOD(VLOOKUP($B761-1,开奖记录!$A:$L,3,FALSE)+4,49)+1,规律参数!$A:$C,3,FALSE),"")</f>
        <v/>
      </c>
      <c r="M761" s="19">
        <f>IF(L761="","",IF(I761="","待开奖",IF(ISNUMBER(SEARCH(I761,L761)),"命中","未命中")))</f>
        <v/>
      </c>
      <c r="N761" s="19">
        <f>IFERROR(VLOOKUP(VLOOKUP($B761-1,开奖记录!$A:$L,11,FALSE),八肖参数!$A:$B,2,FALSE),"")</f>
        <v/>
      </c>
      <c r="O761" s="19">
        <f>IF(N761="","",IF(I761="","待开奖",IF(ISNUMBER(SEARCH(I761,N761)),"命中","未命中")))</f>
        <v/>
      </c>
    </row>
    <row r="762">
      <c r="A762" s="19" t="n">
        <v>761</v>
      </c>
      <c r="B762" s="19">
        <f>IF(COUNTA(C762:E762)=0,"",B761+1)</f>
        <v/>
      </c>
      <c r="C762" s="19" t="inlineStr"/>
      <c r="D762" s="19" t="n"/>
      <c r="E762" s="19" t="n"/>
      <c r="F762" s="19">
        <f>IF(COUNTA(D762:E762)=0,"",N(D762)-N(E762))</f>
        <v/>
      </c>
      <c r="G762" s="19">
        <f>IFERROR(VLOOKUP($B762,'开奖记录'!$A:$K,2,FALSE),"")</f>
        <v/>
      </c>
      <c r="H762" s="19">
        <f>IFERROR(VLOOKUP($B762,'开奖记录'!$A:$K,9,FALSE),"")</f>
        <v/>
      </c>
      <c r="I762" s="19">
        <f>IFERROR(VLOOKUP($B762,'开奖记录'!$A:$K,11,FALSE),"")</f>
        <v/>
      </c>
      <c r="J762" s="19">
        <f>IF($B762="","",IF(ISNUMBER($D762),"命中",IF(ISNUMBER($E762),"未命中","")))</f>
        <v/>
      </c>
      <c r="K762" s="19" t="inlineStr"/>
      <c r="L762" s="19">
        <f>IFERROR(TEXT(VLOOKUP($B762-1,开奖记录!$A:$L,3,FALSE),"00")&amp;"+5="&amp;VLOOKUP(MOD(VLOOKUP($B762-1,开奖记录!$A:$L,3,FALSE)+4,49)+1,规律参数!$A:$C,3,FALSE),"")</f>
        <v/>
      </c>
      <c r="M762" s="19">
        <f>IF(L762="","",IF(I762="","待开奖",IF(ISNUMBER(SEARCH(I762,L762)),"命中","未命中")))</f>
        <v/>
      </c>
      <c r="N762" s="19">
        <f>IFERROR(VLOOKUP(VLOOKUP($B762-1,开奖记录!$A:$L,11,FALSE),八肖参数!$A:$B,2,FALSE),"")</f>
        <v/>
      </c>
      <c r="O762" s="19">
        <f>IF(N762="","",IF(I762="","待开奖",IF(ISNUMBER(SEARCH(I762,N762)),"命中","未命中")))</f>
        <v/>
      </c>
    </row>
    <row r="763">
      <c r="A763" s="19" t="n">
        <v>762</v>
      </c>
      <c r="B763" s="19">
        <f>IF(COUNTA(C763:E763)=0,"",B762+1)</f>
        <v/>
      </c>
      <c r="C763" s="19" t="inlineStr"/>
      <c r="D763" s="19" t="n"/>
      <c r="E763" s="19" t="n"/>
      <c r="F763" s="19">
        <f>IF(COUNTA(D763:E763)=0,"",N(D763)-N(E763))</f>
        <v/>
      </c>
      <c r="G763" s="19">
        <f>IFERROR(VLOOKUP($B763,'开奖记录'!$A:$K,2,FALSE),"")</f>
        <v/>
      </c>
      <c r="H763" s="19">
        <f>IFERROR(VLOOKUP($B763,'开奖记录'!$A:$K,9,FALSE),"")</f>
        <v/>
      </c>
      <c r="I763" s="19">
        <f>IFERROR(VLOOKUP($B763,'开奖记录'!$A:$K,11,FALSE),"")</f>
        <v/>
      </c>
      <c r="J763" s="19">
        <f>IF($B763="","",IF(ISNUMBER($D763),"命中",IF(ISNUMBER($E763),"未命中","")))</f>
        <v/>
      </c>
      <c r="K763" s="19" t="inlineStr"/>
      <c r="L763" s="19">
        <f>IFERROR(TEXT(VLOOKUP($B763-1,开奖记录!$A:$L,3,FALSE),"00")&amp;"+5="&amp;VLOOKUP(MOD(VLOOKUP($B763-1,开奖记录!$A:$L,3,FALSE)+4,49)+1,规律参数!$A:$C,3,FALSE),"")</f>
        <v/>
      </c>
      <c r="M763" s="19">
        <f>IF(L763="","",IF(I763="","待开奖",IF(ISNUMBER(SEARCH(I763,L763)),"命中","未命中")))</f>
        <v/>
      </c>
      <c r="N763" s="19">
        <f>IFERROR(VLOOKUP(VLOOKUP($B763-1,开奖记录!$A:$L,11,FALSE),八肖参数!$A:$B,2,FALSE),"")</f>
        <v/>
      </c>
      <c r="O763" s="19">
        <f>IF(N763="","",IF(I763="","待开奖",IF(ISNUMBER(SEARCH(I763,N763)),"命中","未命中")))</f>
        <v/>
      </c>
    </row>
    <row r="764">
      <c r="A764" s="19" t="n">
        <v>763</v>
      </c>
      <c r="B764" s="19">
        <f>IF(COUNTA(C764:E764)=0,"",B763+1)</f>
        <v/>
      </c>
      <c r="C764" s="19" t="inlineStr"/>
      <c r="D764" s="19" t="n"/>
      <c r="E764" s="19" t="n"/>
      <c r="F764" s="19">
        <f>IF(COUNTA(D764:E764)=0,"",N(D764)-N(E764))</f>
        <v/>
      </c>
      <c r="G764" s="19">
        <f>IFERROR(VLOOKUP($B764,'开奖记录'!$A:$K,2,FALSE),"")</f>
        <v/>
      </c>
      <c r="H764" s="19">
        <f>IFERROR(VLOOKUP($B764,'开奖记录'!$A:$K,9,FALSE),"")</f>
        <v/>
      </c>
      <c r="I764" s="19">
        <f>IFERROR(VLOOKUP($B764,'开奖记录'!$A:$K,11,FALSE),"")</f>
        <v/>
      </c>
      <c r="J764" s="19">
        <f>IF($B764="","",IF(ISNUMBER($D764),"命中",IF(ISNUMBER($E764),"未命中","")))</f>
        <v/>
      </c>
      <c r="K764" s="19" t="inlineStr"/>
      <c r="L764" s="19">
        <f>IFERROR(TEXT(VLOOKUP($B764-1,开奖记录!$A:$L,3,FALSE),"00")&amp;"+5="&amp;VLOOKUP(MOD(VLOOKUP($B764-1,开奖记录!$A:$L,3,FALSE)+4,49)+1,规律参数!$A:$C,3,FALSE),"")</f>
        <v/>
      </c>
      <c r="M764" s="19">
        <f>IF(L764="","",IF(I764="","待开奖",IF(ISNUMBER(SEARCH(I764,L764)),"命中","未命中")))</f>
        <v/>
      </c>
      <c r="N764" s="19">
        <f>IFERROR(VLOOKUP(VLOOKUP($B764-1,开奖记录!$A:$L,11,FALSE),八肖参数!$A:$B,2,FALSE),"")</f>
        <v/>
      </c>
      <c r="O764" s="19">
        <f>IF(N764="","",IF(I764="","待开奖",IF(ISNUMBER(SEARCH(I764,N764)),"命中","未命中")))</f>
        <v/>
      </c>
    </row>
    <row r="765">
      <c r="A765" s="19" t="n">
        <v>764</v>
      </c>
      <c r="B765" s="19">
        <f>IF(COUNTA(C765:E765)=0,"",B764+1)</f>
        <v/>
      </c>
      <c r="C765" s="19" t="inlineStr"/>
      <c r="D765" s="19" t="n"/>
      <c r="E765" s="19" t="n"/>
      <c r="F765" s="19">
        <f>IF(COUNTA(D765:E765)=0,"",N(D765)-N(E765))</f>
        <v/>
      </c>
      <c r="G765" s="19">
        <f>IFERROR(VLOOKUP($B765,'开奖记录'!$A:$K,2,FALSE),"")</f>
        <v/>
      </c>
      <c r="H765" s="19">
        <f>IFERROR(VLOOKUP($B765,'开奖记录'!$A:$K,9,FALSE),"")</f>
        <v/>
      </c>
      <c r="I765" s="19">
        <f>IFERROR(VLOOKUP($B765,'开奖记录'!$A:$K,11,FALSE),"")</f>
        <v/>
      </c>
      <c r="J765" s="19">
        <f>IF($B765="","",IF(ISNUMBER($D765),"命中",IF(ISNUMBER($E765),"未命中","")))</f>
        <v/>
      </c>
      <c r="K765" s="19" t="inlineStr"/>
      <c r="L765" s="19">
        <f>IFERROR(TEXT(VLOOKUP($B765-1,开奖记录!$A:$L,3,FALSE),"00")&amp;"+5="&amp;VLOOKUP(MOD(VLOOKUP($B765-1,开奖记录!$A:$L,3,FALSE)+4,49)+1,规律参数!$A:$C,3,FALSE),"")</f>
        <v/>
      </c>
      <c r="M765" s="19">
        <f>IF(L765="","",IF(I765="","待开奖",IF(ISNUMBER(SEARCH(I765,L765)),"命中","未命中")))</f>
        <v/>
      </c>
      <c r="N765" s="19">
        <f>IFERROR(VLOOKUP(VLOOKUP($B765-1,开奖记录!$A:$L,11,FALSE),八肖参数!$A:$B,2,FALSE),"")</f>
        <v/>
      </c>
      <c r="O765" s="19">
        <f>IF(N765="","",IF(I765="","待开奖",IF(ISNUMBER(SEARCH(I765,N765)),"命中","未命中")))</f>
        <v/>
      </c>
    </row>
    <row r="766">
      <c r="A766" s="19" t="n">
        <v>765</v>
      </c>
      <c r="B766" s="19">
        <f>IF(COUNTA(C766:E766)=0,"",B765+1)</f>
        <v/>
      </c>
      <c r="C766" s="19" t="inlineStr"/>
      <c r="D766" s="19" t="n"/>
      <c r="E766" s="19" t="n"/>
      <c r="F766" s="19">
        <f>IF(COUNTA(D766:E766)=0,"",N(D766)-N(E766))</f>
        <v/>
      </c>
      <c r="G766" s="19">
        <f>IFERROR(VLOOKUP($B766,'开奖记录'!$A:$K,2,FALSE),"")</f>
        <v/>
      </c>
      <c r="H766" s="19">
        <f>IFERROR(VLOOKUP($B766,'开奖记录'!$A:$K,9,FALSE),"")</f>
        <v/>
      </c>
      <c r="I766" s="19">
        <f>IFERROR(VLOOKUP($B766,'开奖记录'!$A:$K,11,FALSE),"")</f>
        <v/>
      </c>
      <c r="J766" s="19">
        <f>IF($B766="","",IF(ISNUMBER($D766),"命中",IF(ISNUMBER($E766),"未命中","")))</f>
        <v/>
      </c>
      <c r="K766" s="19" t="inlineStr"/>
      <c r="L766" s="19">
        <f>IFERROR(TEXT(VLOOKUP($B766-1,开奖记录!$A:$L,3,FALSE),"00")&amp;"+5="&amp;VLOOKUP(MOD(VLOOKUP($B766-1,开奖记录!$A:$L,3,FALSE)+4,49)+1,规律参数!$A:$C,3,FALSE),"")</f>
        <v/>
      </c>
      <c r="M766" s="19">
        <f>IF(L766="","",IF(I766="","待开奖",IF(ISNUMBER(SEARCH(I766,L766)),"命中","未命中")))</f>
        <v/>
      </c>
      <c r="N766" s="19">
        <f>IFERROR(VLOOKUP(VLOOKUP($B766-1,开奖记录!$A:$L,11,FALSE),八肖参数!$A:$B,2,FALSE),"")</f>
        <v/>
      </c>
      <c r="O766" s="19">
        <f>IF(N766="","",IF(I766="","待开奖",IF(ISNUMBER(SEARCH(I766,N766)),"命中","未命中")))</f>
        <v/>
      </c>
    </row>
    <row r="767">
      <c r="A767" s="19" t="n">
        <v>766</v>
      </c>
      <c r="B767" s="19">
        <f>IF(COUNTA(C767:E767)=0,"",B766+1)</f>
        <v/>
      </c>
      <c r="C767" s="19" t="inlineStr"/>
      <c r="D767" s="19" t="n"/>
      <c r="E767" s="19" t="n"/>
      <c r="F767" s="19">
        <f>IF(COUNTA(D767:E767)=0,"",N(D767)-N(E767))</f>
        <v/>
      </c>
      <c r="G767" s="19">
        <f>IFERROR(VLOOKUP($B767,'开奖记录'!$A:$K,2,FALSE),"")</f>
        <v/>
      </c>
      <c r="H767" s="19">
        <f>IFERROR(VLOOKUP($B767,'开奖记录'!$A:$K,9,FALSE),"")</f>
        <v/>
      </c>
      <c r="I767" s="19">
        <f>IFERROR(VLOOKUP($B767,'开奖记录'!$A:$K,11,FALSE),"")</f>
        <v/>
      </c>
      <c r="J767" s="19">
        <f>IF($B767="","",IF(ISNUMBER($D767),"命中",IF(ISNUMBER($E767),"未命中","")))</f>
        <v/>
      </c>
      <c r="K767" s="19" t="inlineStr"/>
      <c r="L767" s="19">
        <f>IFERROR(TEXT(VLOOKUP($B767-1,开奖记录!$A:$L,3,FALSE),"00")&amp;"+5="&amp;VLOOKUP(MOD(VLOOKUP($B767-1,开奖记录!$A:$L,3,FALSE)+4,49)+1,规律参数!$A:$C,3,FALSE),"")</f>
        <v/>
      </c>
      <c r="M767" s="19">
        <f>IF(L767="","",IF(I767="","待开奖",IF(ISNUMBER(SEARCH(I767,L767)),"命中","未命中")))</f>
        <v/>
      </c>
      <c r="N767" s="19">
        <f>IFERROR(VLOOKUP(VLOOKUP($B767-1,开奖记录!$A:$L,11,FALSE),八肖参数!$A:$B,2,FALSE),"")</f>
        <v/>
      </c>
      <c r="O767" s="19">
        <f>IF(N767="","",IF(I767="","待开奖",IF(ISNUMBER(SEARCH(I767,N767)),"命中","未命中")))</f>
        <v/>
      </c>
    </row>
    <row r="768">
      <c r="A768" s="19" t="n">
        <v>767</v>
      </c>
      <c r="B768" s="19">
        <f>IF(COUNTA(C768:E768)=0,"",B767+1)</f>
        <v/>
      </c>
      <c r="C768" s="19" t="inlineStr"/>
      <c r="D768" s="19" t="n"/>
      <c r="E768" s="19" t="n"/>
      <c r="F768" s="19">
        <f>IF(COUNTA(D768:E768)=0,"",N(D768)-N(E768))</f>
        <v/>
      </c>
      <c r="G768" s="19">
        <f>IFERROR(VLOOKUP($B768,'开奖记录'!$A:$K,2,FALSE),"")</f>
        <v/>
      </c>
      <c r="H768" s="19">
        <f>IFERROR(VLOOKUP($B768,'开奖记录'!$A:$K,9,FALSE),"")</f>
        <v/>
      </c>
      <c r="I768" s="19">
        <f>IFERROR(VLOOKUP($B768,'开奖记录'!$A:$K,11,FALSE),"")</f>
        <v/>
      </c>
      <c r="J768" s="19">
        <f>IF($B768="","",IF(ISNUMBER($D768),"命中",IF(ISNUMBER($E768),"未命中","")))</f>
        <v/>
      </c>
      <c r="K768" s="19" t="inlineStr"/>
      <c r="L768" s="19">
        <f>IFERROR(TEXT(VLOOKUP($B768-1,开奖记录!$A:$L,3,FALSE),"00")&amp;"+5="&amp;VLOOKUP(MOD(VLOOKUP($B768-1,开奖记录!$A:$L,3,FALSE)+4,49)+1,规律参数!$A:$C,3,FALSE),"")</f>
        <v/>
      </c>
      <c r="M768" s="19">
        <f>IF(L768="","",IF(I768="","待开奖",IF(ISNUMBER(SEARCH(I768,L768)),"命中","未命中")))</f>
        <v/>
      </c>
      <c r="N768" s="19">
        <f>IFERROR(VLOOKUP(VLOOKUP($B768-1,开奖记录!$A:$L,11,FALSE),八肖参数!$A:$B,2,FALSE),"")</f>
        <v/>
      </c>
      <c r="O768" s="19">
        <f>IF(N768="","",IF(I768="","待开奖",IF(ISNUMBER(SEARCH(I768,N768)),"命中","未命中")))</f>
        <v/>
      </c>
    </row>
    <row r="769">
      <c r="A769" s="19" t="n">
        <v>768</v>
      </c>
      <c r="B769" s="19">
        <f>IF(COUNTA(C769:E769)=0,"",B768+1)</f>
        <v/>
      </c>
      <c r="C769" s="19" t="inlineStr"/>
      <c r="D769" s="19" t="n"/>
      <c r="E769" s="19" t="n"/>
      <c r="F769" s="19">
        <f>IF(COUNTA(D769:E769)=0,"",N(D769)-N(E769))</f>
        <v/>
      </c>
      <c r="G769" s="19">
        <f>IFERROR(VLOOKUP($B769,'开奖记录'!$A:$K,2,FALSE),"")</f>
        <v/>
      </c>
      <c r="H769" s="19">
        <f>IFERROR(VLOOKUP($B769,'开奖记录'!$A:$K,9,FALSE),"")</f>
        <v/>
      </c>
      <c r="I769" s="19">
        <f>IFERROR(VLOOKUP($B769,'开奖记录'!$A:$K,11,FALSE),"")</f>
        <v/>
      </c>
      <c r="J769" s="19">
        <f>IF($B769="","",IF(ISNUMBER($D769),"命中",IF(ISNUMBER($E769),"未命中","")))</f>
        <v/>
      </c>
      <c r="K769" s="19" t="inlineStr"/>
      <c r="L769" s="19">
        <f>IFERROR(TEXT(VLOOKUP($B769-1,开奖记录!$A:$L,3,FALSE),"00")&amp;"+5="&amp;VLOOKUP(MOD(VLOOKUP($B769-1,开奖记录!$A:$L,3,FALSE)+4,49)+1,规律参数!$A:$C,3,FALSE),"")</f>
        <v/>
      </c>
      <c r="M769" s="19">
        <f>IF(L769="","",IF(I769="","待开奖",IF(ISNUMBER(SEARCH(I769,L769)),"命中","未命中")))</f>
        <v/>
      </c>
      <c r="N769" s="19">
        <f>IFERROR(VLOOKUP(VLOOKUP($B769-1,开奖记录!$A:$L,11,FALSE),八肖参数!$A:$B,2,FALSE),"")</f>
        <v/>
      </c>
      <c r="O769" s="19">
        <f>IF(N769="","",IF(I769="","待开奖",IF(ISNUMBER(SEARCH(I769,N769)),"命中","未命中")))</f>
        <v/>
      </c>
    </row>
    <row r="770">
      <c r="A770" s="19" t="n">
        <v>769</v>
      </c>
      <c r="B770" s="19">
        <f>IF(COUNTA(C770:E770)=0,"",B769+1)</f>
        <v/>
      </c>
      <c r="C770" s="19" t="inlineStr"/>
      <c r="D770" s="19" t="n"/>
      <c r="E770" s="19" t="n"/>
      <c r="F770" s="19">
        <f>IF(COUNTA(D770:E770)=0,"",N(D770)-N(E770))</f>
        <v/>
      </c>
      <c r="G770" s="19">
        <f>IFERROR(VLOOKUP($B770,'开奖记录'!$A:$K,2,FALSE),"")</f>
        <v/>
      </c>
      <c r="H770" s="19">
        <f>IFERROR(VLOOKUP($B770,'开奖记录'!$A:$K,9,FALSE),"")</f>
        <v/>
      </c>
      <c r="I770" s="19">
        <f>IFERROR(VLOOKUP($B770,'开奖记录'!$A:$K,11,FALSE),"")</f>
        <v/>
      </c>
      <c r="J770" s="19">
        <f>IF($B770="","",IF(ISNUMBER($D770),"命中",IF(ISNUMBER($E770),"未命中","")))</f>
        <v/>
      </c>
      <c r="K770" s="19" t="inlineStr"/>
      <c r="L770" s="19">
        <f>IFERROR(TEXT(VLOOKUP($B770-1,开奖记录!$A:$L,3,FALSE),"00")&amp;"+5="&amp;VLOOKUP(MOD(VLOOKUP($B770-1,开奖记录!$A:$L,3,FALSE)+4,49)+1,规律参数!$A:$C,3,FALSE),"")</f>
        <v/>
      </c>
      <c r="M770" s="19">
        <f>IF(L770="","",IF(I770="","待开奖",IF(ISNUMBER(SEARCH(I770,L770)),"命中","未命中")))</f>
        <v/>
      </c>
      <c r="N770" s="19">
        <f>IFERROR(VLOOKUP(VLOOKUP($B770-1,开奖记录!$A:$L,11,FALSE),八肖参数!$A:$B,2,FALSE),"")</f>
        <v/>
      </c>
      <c r="O770" s="19">
        <f>IF(N770="","",IF(I770="","待开奖",IF(ISNUMBER(SEARCH(I770,N770)),"命中","未命中")))</f>
        <v/>
      </c>
    </row>
    <row r="771">
      <c r="A771" s="19" t="n">
        <v>770</v>
      </c>
      <c r="B771" s="19">
        <f>IF(COUNTA(C771:E771)=0,"",B770+1)</f>
        <v/>
      </c>
      <c r="C771" s="19" t="inlineStr"/>
      <c r="D771" s="19" t="n"/>
      <c r="E771" s="19" t="n"/>
      <c r="F771" s="19">
        <f>IF(COUNTA(D771:E771)=0,"",N(D771)-N(E771))</f>
        <v/>
      </c>
      <c r="G771" s="19">
        <f>IFERROR(VLOOKUP($B771,'开奖记录'!$A:$K,2,FALSE),"")</f>
        <v/>
      </c>
      <c r="H771" s="19">
        <f>IFERROR(VLOOKUP($B771,'开奖记录'!$A:$K,9,FALSE),"")</f>
        <v/>
      </c>
      <c r="I771" s="19">
        <f>IFERROR(VLOOKUP($B771,'开奖记录'!$A:$K,11,FALSE),"")</f>
        <v/>
      </c>
      <c r="J771" s="19">
        <f>IF($B771="","",IF(ISNUMBER($D771),"命中",IF(ISNUMBER($E771),"未命中","")))</f>
        <v/>
      </c>
      <c r="K771" s="19" t="inlineStr"/>
      <c r="L771" s="19">
        <f>IFERROR(TEXT(VLOOKUP($B771-1,开奖记录!$A:$L,3,FALSE),"00")&amp;"+5="&amp;VLOOKUP(MOD(VLOOKUP($B771-1,开奖记录!$A:$L,3,FALSE)+4,49)+1,规律参数!$A:$C,3,FALSE),"")</f>
        <v/>
      </c>
      <c r="M771" s="19">
        <f>IF(L771="","",IF(I771="","待开奖",IF(ISNUMBER(SEARCH(I771,L771)),"命中","未命中")))</f>
        <v/>
      </c>
      <c r="N771" s="19">
        <f>IFERROR(VLOOKUP(VLOOKUP($B771-1,开奖记录!$A:$L,11,FALSE),八肖参数!$A:$B,2,FALSE),"")</f>
        <v/>
      </c>
      <c r="O771" s="19">
        <f>IF(N771="","",IF(I771="","待开奖",IF(ISNUMBER(SEARCH(I771,N771)),"命中","未命中")))</f>
        <v/>
      </c>
    </row>
    <row r="772">
      <c r="A772" s="19" t="n">
        <v>771</v>
      </c>
      <c r="B772" s="19">
        <f>IF(COUNTA(C772:E772)=0,"",B771+1)</f>
        <v/>
      </c>
      <c r="C772" s="19" t="inlineStr"/>
      <c r="D772" s="19" t="n"/>
      <c r="E772" s="19" t="n"/>
      <c r="F772" s="19">
        <f>IF(COUNTA(D772:E772)=0,"",N(D772)-N(E772))</f>
        <v/>
      </c>
      <c r="G772" s="19">
        <f>IFERROR(VLOOKUP($B772,'开奖记录'!$A:$K,2,FALSE),"")</f>
        <v/>
      </c>
      <c r="H772" s="19">
        <f>IFERROR(VLOOKUP($B772,'开奖记录'!$A:$K,9,FALSE),"")</f>
        <v/>
      </c>
      <c r="I772" s="19">
        <f>IFERROR(VLOOKUP($B772,'开奖记录'!$A:$K,11,FALSE),"")</f>
        <v/>
      </c>
      <c r="J772" s="19">
        <f>IF($B772="","",IF(ISNUMBER($D772),"命中",IF(ISNUMBER($E772),"未命中","")))</f>
        <v/>
      </c>
      <c r="K772" s="19" t="inlineStr"/>
      <c r="L772" s="19">
        <f>IFERROR(TEXT(VLOOKUP($B772-1,开奖记录!$A:$L,3,FALSE),"00")&amp;"+5="&amp;VLOOKUP(MOD(VLOOKUP($B772-1,开奖记录!$A:$L,3,FALSE)+4,49)+1,规律参数!$A:$C,3,FALSE),"")</f>
        <v/>
      </c>
      <c r="M772" s="19">
        <f>IF(L772="","",IF(I772="","待开奖",IF(ISNUMBER(SEARCH(I772,L772)),"命中","未命中")))</f>
        <v/>
      </c>
      <c r="N772" s="19">
        <f>IFERROR(VLOOKUP(VLOOKUP($B772-1,开奖记录!$A:$L,11,FALSE),八肖参数!$A:$B,2,FALSE),"")</f>
        <v/>
      </c>
      <c r="O772" s="19">
        <f>IF(N772="","",IF(I772="","待开奖",IF(ISNUMBER(SEARCH(I772,N772)),"命中","未命中")))</f>
        <v/>
      </c>
    </row>
    <row r="773">
      <c r="A773" s="19" t="n">
        <v>772</v>
      </c>
      <c r="B773" s="19">
        <f>IF(COUNTA(C773:E773)=0,"",B772+1)</f>
        <v/>
      </c>
      <c r="C773" s="19" t="inlineStr"/>
      <c r="D773" s="19" t="n"/>
      <c r="E773" s="19" t="n"/>
      <c r="F773" s="19">
        <f>IF(COUNTA(D773:E773)=0,"",N(D773)-N(E773))</f>
        <v/>
      </c>
      <c r="G773" s="19">
        <f>IFERROR(VLOOKUP($B773,'开奖记录'!$A:$K,2,FALSE),"")</f>
        <v/>
      </c>
      <c r="H773" s="19">
        <f>IFERROR(VLOOKUP($B773,'开奖记录'!$A:$K,9,FALSE),"")</f>
        <v/>
      </c>
      <c r="I773" s="19">
        <f>IFERROR(VLOOKUP($B773,'开奖记录'!$A:$K,11,FALSE),"")</f>
        <v/>
      </c>
      <c r="J773" s="19">
        <f>IF($B773="","",IF(ISNUMBER($D773),"命中",IF(ISNUMBER($E773),"未命中","")))</f>
        <v/>
      </c>
      <c r="K773" s="19" t="inlineStr"/>
      <c r="L773" s="19">
        <f>IFERROR(TEXT(VLOOKUP($B773-1,开奖记录!$A:$L,3,FALSE),"00")&amp;"+5="&amp;VLOOKUP(MOD(VLOOKUP($B773-1,开奖记录!$A:$L,3,FALSE)+4,49)+1,规律参数!$A:$C,3,FALSE),"")</f>
        <v/>
      </c>
      <c r="M773" s="19">
        <f>IF(L773="","",IF(I773="","待开奖",IF(ISNUMBER(SEARCH(I773,L773)),"命中","未命中")))</f>
        <v/>
      </c>
      <c r="N773" s="19">
        <f>IFERROR(VLOOKUP(VLOOKUP($B773-1,开奖记录!$A:$L,11,FALSE),八肖参数!$A:$B,2,FALSE),"")</f>
        <v/>
      </c>
      <c r="O773" s="19">
        <f>IF(N773="","",IF(I773="","待开奖",IF(ISNUMBER(SEARCH(I773,N773)),"命中","未命中")))</f>
        <v/>
      </c>
    </row>
    <row r="774">
      <c r="A774" s="19" t="n">
        <v>773</v>
      </c>
      <c r="B774" s="19">
        <f>IF(COUNTA(C774:E774)=0,"",B773+1)</f>
        <v/>
      </c>
      <c r="C774" s="19" t="inlineStr"/>
      <c r="D774" s="19" t="n"/>
      <c r="E774" s="19" t="n"/>
      <c r="F774" s="19">
        <f>IF(COUNTA(D774:E774)=0,"",N(D774)-N(E774))</f>
        <v/>
      </c>
      <c r="G774" s="19">
        <f>IFERROR(VLOOKUP($B774,'开奖记录'!$A:$K,2,FALSE),"")</f>
        <v/>
      </c>
      <c r="H774" s="19">
        <f>IFERROR(VLOOKUP($B774,'开奖记录'!$A:$K,9,FALSE),"")</f>
        <v/>
      </c>
      <c r="I774" s="19">
        <f>IFERROR(VLOOKUP($B774,'开奖记录'!$A:$K,11,FALSE),"")</f>
        <v/>
      </c>
      <c r="J774" s="19">
        <f>IF($B774="","",IF(ISNUMBER($D774),"命中",IF(ISNUMBER($E774),"未命中","")))</f>
        <v/>
      </c>
      <c r="K774" s="19" t="inlineStr"/>
      <c r="L774" s="19">
        <f>IFERROR(TEXT(VLOOKUP($B774-1,开奖记录!$A:$L,3,FALSE),"00")&amp;"+5="&amp;VLOOKUP(MOD(VLOOKUP($B774-1,开奖记录!$A:$L,3,FALSE)+4,49)+1,规律参数!$A:$C,3,FALSE),"")</f>
        <v/>
      </c>
      <c r="M774" s="19">
        <f>IF(L774="","",IF(I774="","待开奖",IF(ISNUMBER(SEARCH(I774,L774)),"命中","未命中")))</f>
        <v/>
      </c>
      <c r="N774" s="19">
        <f>IFERROR(VLOOKUP(VLOOKUP($B774-1,开奖记录!$A:$L,11,FALSE),八肖参数!$A:$B,2,FALSE),"")</f>
        <v/>
      </c>
      <c r="O774" s="19">
        <f>IF(N774="","",IF(I774="","待开奖",IF(ISNUMBER(SEARCH(I774,N774)),"命中","未命中")))</f>
        <v/>
      </c>
    </row>
    <row r="775">
      <c r="A775" s="19" t="n">
        <v>774</v>
      </c>
      <c r="B775" s="19">
        <f>IF(COUNTA(C775:E775)=0,"",B774+1)</f>
        <v/>
      </c>
      <c r="C775" s="19" t="inlineStr"/>
      <c r="D775" s="19" t="n"/>
      <c r="E775" s="19" t="n"/>
      <c r="F775" s="19">
        <f>IF(COUNTA(D775:E775)=0,"",N(D775)-N(E775))</f>
        <v/>
      </c>
      <c r="G775" s="19">
        <f>IFERROR(VLOOKUP($B775,'开奖记录'!$A:$K,2,FALSE),"")</f>
        <v/>
      </c>
      <c r="H775" s="19">
        <f>IFERROR(VLOOKUP($B775,'开奖记录'!$A:$K,9,FALSE),"")</f>
        <v/>
      </c>
      <c r="I775" s="19">
        <f>IFERROR(VLOOKUP($B775,'开奖记录'!$A:$K,11,FALSE),"")</f>
        <v/>
      </c>
      <c r="J775" s="19">
        <f>IF($B775="","",IF(ISNUMBER($D775),"命中",IF(ISNUMBER($E775),"未命中","")))</f>
        <v/>
      </c>
      <c r="K775" s="19" t="inlineStr"/>
      <c r="L775" s="19">
        <f>IFERROR(TEXT(VLOOKUP($B775-1,开奖记录!$A:$L,3,FALSE),"00")&amp;"+5="&amp;VLOOKUP(MOD(VLOOKUP($B775-1,开奖记录!$A:$L,3,FALSE)+4,49)+1,规律参数!$A:$C,3,FALSE),"")</f>
        <v/>
      </c>
      <c r="M775" s="19">
        <f>IF(L775="","",IF(I775="","待开奖",IF(ISNUMBER(SEARCH(I775,L775)),"命中","未命中")))</f>
        <v/>
      </c>
      <c r="N775" s="19">
        <f>IFERROR(VLOOKUP(VLOOKUP($B775-1,开奖记录!$A:$L,11,FALSE),八肖参数!$A:$B,2,FALSE),"")</f>
        <v/>
      </c>
      <c r="O775" s="19">
        <f>IF(N775="","",IF(I775="","待开奖",IF(ISNUMBER(SEARCH(I775,N775)),"命中","未命中")))</f>
        <v/>
      </c>
    </row>
    <row r="776">
      <c r="A776" s="19" t="n">
        <v>775</v>
      </c>
      <c r="B776" s="19">
        <f>IF(COUNTA(C776:E776)=0,"",B775+1)</f>
        <v/>
      </c>
      <c r="C776" s="19" t="inlineStr"/>
      <c r="D776" s="19" t="n"/>
      <c r="E776" s="19" t="n"/>
      <c r="F776" s="19">
        <f>IF(COUNTA(D776:E776)=0,"",N(D776)-N(E776))</f>
        <v/>
      </c>
      <c r="G776" s="19">
        <f>IFERROR(VLOOKUP($B776,'开奖记录'!$A:$K,2,FALSE),"")</f>
        <v/>
      </c>
      <c r="H776" s="19">
        <f>IFERROR(VLOOKUP($B776,'开奖记录'!$A:$K,9,FALSE),"")</f>
        <v/>
      </c>
      <c r="I776" s="19">
        <f>IFERROR(VLOOKUP($B776,'开奖记录'!$A:$K,11,FALSE),"")</f>
        <v/>
      </c>
      <c r="J776" s="19">
        <f>IF($B776="","",IF(ISNUMBER($D776),"命中",IF(ISNUMBER($E776),"未命中","")))</f>
        <v/>
      </c>
      <c r="K776" s="19" t="inlineStr"/>
      <c r="L776" s="19">
        <f>IFERROR(TEXT(VLOOKUP($B776-1,开奖记录!$A:$L,3,FALSE),"00")&amp;"+5="&amp;VLOOKUP(MOD(VLOOKUP($B776-1,开奖记录!$A:$L,3,FALSE)+4,49)+1,规律参数!$A:$C,3,FALSE),"")</f>
        <v/>
      </c>
      <c r="M776" s="19">
        <f>IF(L776="","",IF(I776="","待开奖",IF(ISNUMBER(SEARCH(I776,L776)),"命中","未命中")))</f>
        <v/>
      </c>
      <c r="N776" s="19">
        <f>IFERROR(VLOOKUP(VLOOKUP($B776-1,开奖记录!$A:$L,11,FALSE),八肖参数!$A:$B,2,FALSE),"")</f>
        <v/>
      </c>
      <c r="O776" s="19">
        <f>IF(N776="","",IF(I776="","待开奖",IF(ISNUMBER(SEARCH(I776,N776)),"命中","未命中")))</f>
        <v/>
      </c>
    </row>
    <row r="777">
      <c r="A777" s="19" t="n">
        <v>776</v>
      </c>
      <c r="B777" s="19">
        <f>IF(COUNTA(C777:E777)=0,"",B776+1)</f>
        <v/>
      </c>
      <c r="C777" s="19" t="inlineStr"/>
      <c r="D777" s="19" t="n"/>
      <c r="E777" s="19" t="n"/>
      <c r="F777" s="19">
        <f>IF(COUNTA(D777:E777)=0,"",N(D777)-N(E777))</f>
        <v/>
      </c>
      <c r="G777" s="19">
        <f>IFERROR(VLOOKUP($B777,'开奖记录'!$A:$K,2,FALSE),"")</f>
        <v/>
      </c>
      <c r="H777" s="19">
        <f>IFERROR(VLOOKUP($B777,'开奖记录'!$A:$K,9,FALSE),"")</f>
        <v/>
      </c>
      <c r="I777" s="19">
        <f>IFERROR(VLOOKUP($B777,'开奖记录'!$A:$K,11,FALSE),"")</f>
        <v/>
      </c>
      <c r="J777" s="19">
        <f>IF($B777="","",IF(ISNUMBER($D777),"命中",IF(ISNUMBER($E777),"未命中","")))</f>
        <v/>
      </c>
      <c r="K777" s="19" t="inlineStr"/>
      <c r="L777" s="19">
        <f>IFERROR(TEXT(VLOOKUP($B777-1,开奖记录!$A:$L,3,FALSE),"00")&amp;"+5="&amp;VLOOKUP(MOD(VLOOKUP($B777-1,开奖记录!$A:$L,3,FALSE)+4,49)+1,规律参数!$A:$C,3,FALSE),"")</f>
        <v/>
      </c>
      <c r="M777" s="19">
        <f>IF(L777="","",IF(I777="","待开奖",IF(ISNUMBER(SEARCH(I777,L777)),"命中","未命中")))</f>
        <v/>
      </c>
      <c r="N777" s="19">
        <f>IFERROR(VLOOKUP(VLOOKUP($B777-1,开奖记录!$A:$L,11,FALSE),八肖参数!$A:$B,2,FALSE),"")</f>
        <v/>
      </c>
      <c r="O777" s="19">
        <f>IF(N777="","",IF(I777="","待开奖",IF(ISNUMBER(SEARCH(I777,N777)),"命中","未命中")))</f>
        <v/>
      </c>
    </row>
    <row r="778">
      <c r="A778" s="19" t="n">
        <v>777</v>
      </c>
      <c r="B778" s="19">
        <f>IF(COUNTA(C778:E778)=0,"",B777+1)</f>
        <v/>
      </c>
      <c r="C778" s="19" t="inlineStr"/>
      <c r="D778" s="19" t="n"/>
      <c r="E778" s="19" t="n"/>
      <c r="F778" s="19">
        <f>IF(COUNTA(D778:E778)=0,"",N(D778)-N(E778))</f>
        <v/>
      </c>
      <c r="G778" s="19">
        <f>IFERROR(VLOOKUP($B778,'开奖记录'!$A:$K,2,FALSE),"")</f>
        <v/>
      </c>
      <c r="H778" s="19">
        <f>IFERROR(VLOOKUP($B778,'开奖记录'!$A:$K,9,FALSE),"")</f>
        <v/>
      </c>
      <c r="I778" s="19">
        <f>IFERROR(VLOOKUP($B778,'开奖记录'!$A:$K,11,FALSE),"")</f>
        <v/>
      </c>
      <c r="J778" s="19">
        <f>IF($B778="","",IF(ISNUMBER($D778),"命中",IF(ISNUMBER($E778),"未命中","")))</f>
        <v/>
      </c>
      <c r="K778" s="19" t="inlineStr"/>
      <c r="L778" s="19">
        <f>IFERROR(TEXT(VLOOKUP($B778-1,开奖记录!$A:$L,3,FALSE),"00")&amp;"+5="&amp;VLOOKUP(MOD(VLOOKUP($B778-1,开奖记录!$A:$L,3,FALSE)+4,49)+1,规律参数!$A:$C,3,FALSE),"")</f>
        <v/>
      </c>
      <c r="M778" s="19">
        <f>IF(L778="","",IF(I778="","待开奖",IF(ISNUMBER(SEARCH(I778,L778)),"命中","未命中")))</f>
        <v/>
      </c>
      <c r="N778" s="19">
        <f>IFERROR(VLOOKUP(VLOOKUP($B778-1,开奖记录!$A:$L,11,FALSE),八肖参数!$A:$B,2,FALSE),"")</f>
        <v/>
      </c>
      <c r="O778" s="19">
        <f>IF(N778="","",IF(I778="","待开奖",IF(ISNUMBER(SEARCH(I778,N778)),"命中","未命中")))</f>
        <v/>
      </c>
    </row>
    <row r="779">
      <c r="A779" s="19" t="n">
        <v>778</v>
      </c>
      <c r="B779" s="19">
        <f>IF(COUNTA(C779:E779)=0,"",B778+1)</f>
        <v/>
      </c>
      <c r="C779" s="19" t="inlineStr"/>
      <c r="D779" s="19" t="n"/>
      <c r="E779" s="19" t="n"/>
      <c r="F779" s="19">
        <f>IF(COUNTA(D779:E779)=0,"",N(D779)-N(E779))</f>
        <v/>
      </c>
      <c r="G779" s="19">
        <f>IFERROR(VLOOKUP($B779,'开奖记录'!$A:$K,2,FALSE),"")</f>
        <v/>
      </c>
      <c r="H779" s="19">
        <f>IFERROR(VLOOKUP($B779,'开奖记录'!$A:$K,9,FALSE),"")</f>
        <v/>
      </c>
      <c r="I779" s="19">
        <f>IFERROR(VLOOKUP($B779,'开奖记录'!$A:$K,11,FALSE),"")</f>
        <v/>
      </c>
      <c r="J779" s="19">
        <f>IF($B779="","",IF(ISNUMBER($D779),"命中",IF(ISNUMBER($E779),"未命中","")))</f>
        <v/>
      </c>
      <c r="K779" s="19" t="inlineStr"/>
      <c r="L779" s="19">
        <f>IFERROR(TEXT(VLOOKUP($B779-1,开奖记录!$A:$L,3,FALSE),"00")&amp;"+5="&amp;VLOOKUP(MOD(VLOOKUP($B779-1,开奖记录!$A:$L,3,FALSE)+4,49)+1,规律参数!$A:$C,3,FALSE),"")</f>
        <v/>
      </c>
      <c r="M779" s="19">
        <f>IF(L779="","",IF(I779="","待开奖",IF(ISNUMBER(SEARCH(I779,L779)),"命中","未命中")))</f>
        <v/>
      </c>
      <c r="N779" s="19">
        <f>IFERROR(VLOOKUP(VLOOKUP($B779-1,开奖记录!$A:$L,11,FALSE),八肖参数!$A:$B,2,FALSE),"")</f>
        <v/>
      </c>
      <c r="O779" s="19">
        <f>IF(N779="","",IF(I779="","待开奖",IF(ISNUMBER(SEARCH(I779,N779)),"命中","未命中")))</f>
        <v/>
      </c>
    </row>
    <row r="780">
      <c r="A780" s="19" t="n">
        <v>779</v>
      </c>
      <c r="B780" s="19">
        <f>IF(COUNTA(C780:E780)=0,"",B779+1)</f>
        <v/>
      </c>
      <c r="C780" s="19" t="inlineStr"/>
      <c r="D780" s="19" t="n"/>
      <c r="E780" s="19" t="n"/>
      <c r="F780" s="19">
        <f>IF(COUNTA(D780:E780)=0,"",N(D780)-N(E780))</f>
        <v/>
      </c>
      <c r="G780" s="19">
        <f>IFERROR(VLOOKUP($B780,'开奖记录'!$A:$K,2,FALSE),"")</f>
        <v/>
      </c>
      <c r="H780" s="19">
        <f>IFERROR(VLOOKUP($B780,'开奖记录'!$A:$K,9,FALSE),"")</f>
        <v/>
      </c>
      <c r="I780" s="19">
        <f>IFERROR(VLOOKUP($B780,'开奖记录'!$A:$K,11,FALSE),"")</f>
        <v/>
      </c>
      <c r="J780" s="19">
        <f>IF($B780="","",IF(ISNUMBER($D780),"命中",IF(ISNUMBER($E780),"未命中","")))</f>
        <v/>
      </c>
      <c r="K780" s="19" t="inlineStr"/>
      <c r="L780" s="19">
        <f>IFERROR(TEXT(VLOOKUP($B780-1,开奖记录!$A:$L,3,FALSE),"00")&amp;"+5="&amp;VLOOKUP(MOD(VLOOKUP($B780-1,开奖记录!$A:$L,3,FALSE)+4,49)+1,规律参数!$A:$C,3,FALSE),"")</f>
        <v/>
      </c>
      <c r="M780" s="19">
        <f>IF(L780="","",IF(I780="","待开奖",IF(ISNUMBER(SEARCH(I780,L780)),"命中","未命中")))</f>
        <v/>
      </c>
      <c r="N780" s="19">
        <f>IFERROR(VLOOKUP(VLOOKUP($B780-1,开奖记录!$A:$L,11,FALSE),八肖参数!$A:$B,2,FALSE),"")</f>
        <v/>
      </c>
      <c r="O780" s="19">
        <f>IF(N780="","",IF(I780="","待开奖",IF(ISNUMBER(SEARCH(I780,N780)),"命中","未命中")))</f>
        <v/>
      </c>
    </row>
    <row r="781">
      <c r="A781" s="19" t="n">
        <v>780</v>
      </c>
      <c r="B781" s="19">
        <f>IF(COUNTA(C781:E781)=0,"",B780+1)</f>
        <v/>
      </c>
      <c r="C781" s="19" t="inlineStr"/>
      <c r="D781" s="19" t="n"/>
      <c r="E781" s="19" t="n"/>
      <c r="F781" s="19">
        <f>IF(COUNTA(D781:E781)=0,"",N(D781)-N(E781))</f>
        <v/>
      </c>
      <c r="G781" s="19">
        <f>IFERROR(VLOOKUP($B781,'开奖记录'!$A:$K,2,FALSE),"")</f>
        <v/>
      </c>
      <c r="H781" s="19">
        <f>IFERROR(VLOOKUP($B781,'开奖记录'!$A:$K,9,FALSE),"")</f>
        <v/>
      </c>
      <c r="I781" s="19">
        <f>IFERROR(VLOOKUP($B781,'开奖记录'!$A:$K,11,FALSE),"")</f>
        <v/>
      </c>
      <c r="J781" s="19">
        <f>IF($B781="","",IF(ISNUMBER($D781),"命中",IF(ISNUMBER($E781),"未命中","")))</f>
        <v/>
      </c>
      <c r="K781" s="19" t="inlineStr"/>
      <c r="L781" s="19">
        <f>IFERROR(TEXT(VLOOKUP($B781-1,开奖记录!$A:$L,3,FALSE),"00")&amp;"+5="&amp;VLOOKUP(MOD(VLOOKUP($B781-1,开奖记录!$A:$L,3,FALSE)+4,49)+1,规律参数!$A:$C,3,FALSE),"")</f>
        <v/>
      </c>
      <c r="M781" s="19">
        <f>IF(L781="","",IF(I781="","待开奖",IF(ISNUMBER(SEARCH(I781,L781)),"命中","未命中")))</f>
        <v/>
      </c>
      <c r="N781" s="19">
        <f>IFERROR(VLOOKUP(VLOOKUP($B781-1,开奖记录!$A:$L,11,FALSE),八肖参数!$A:$B,2,FALSE),"")</f>
        <v/>
      </c>
      <c r="O781" s="19">
        <f>IF(N781="","",IF(I781="","待开奖",IF(ISNUMBER(SEARCH(I781,N781)),"命中","未命中")))</f>
        <v/>
      </c>
    </row>
    <row r="782">
      <c r="A782" s="19" t="n">
        <v>781</v>
      </c>
      <c r="B782" s="19">
        <f>IF(COUNTA(C782:E782)=0,"",B781+1)</f>
        <v/>
      </c>
      <c r="C782" s="19" t="inlineStr"/>
      <c r="D782" s="19" t="n"/>
      <c r="E782" s="19" t="n"/>
      <c r="F782" s="19">
        <f>IF(COUNTA(D782:E782)=0,"",N(D782)-N(E782))</f>
        <v/>
      </c>
      <c r="G782" s="19">
        <f>IFERROR(VLOOKUP($B782,'开奖记录'!$A:$K,2,FALSE),"")</f>
        <v/>
      </c>
      <c r="H782" s="19">
        <f>IFERROR(VLOOKUP($B782,'开奖记录'!$A:$K,9,FALSE),"")</f>
        <v/>
      </c>
      <c r="I782" s="19">
        <f>IFERROR(VLOOKUP($B782,'开奖记录'!$A:$K,11,FALSE),"")</f>
        <v/>
      </c>
      <c r="J782" s="19">
        <f>IF($B782="","",IF(ISNUMBER($D782),"命中",IF(ISNUMBER($E782),"未命中","")))</f>
        <v/>
      </c>
      <c r="K782" s="19" t="inlineStr"/>
      <c r="L782" s="19">
        <f>IFERROR(TEXT(VLOOKUP($B782-1,开奖记录!$A:$L,3,FALSE),"00")&amp;"+5="&amp;VLOOKUP(MOD(VLOOKUP($B782-1,开奖记录!$A:$L,3,FALSE)+4,49)+1,规律参数!$A:$C,3,FALSE),"")</f>
        <v/>
      </c>
      <c r="M782" s="19">
        <f>IF(L782="","",IF(I782="","待开奖",IF(ISNUMBER(SEARCH(I782,L782)),"命中","未命中")))</f>
        <v/>
      </c>
      <c r="N782" s="19">
        <f>IFERROR(VLOOKUP(VLOOKUP($B782-1,开奖记录!$A:$L,11,FALSE),八肖参数!$A:$B,2,FALSE),"")</f>
        <v/>
      </c>
      <c r="O782" s="19">
        <f>IF(N782="","",IF(I782="","待开奖",IF(ISNUMBER(SEARCH(I782,N782)),"命中","未命中")))</f>
        <v/>
      </c>
    </row>
    <row r="783">
      <c r="A783" s="19" t="n">
        <v>782</v>
      </c>
      <c r="B783" s="19">
        <f>IF(COUNTA(C783:E783)=0,"",B782+1)</f>
        <v/>
      </c>
      <c r="C783" s="19" t="inlineStr"/>
      <c r="D783" s="19" t="n"/>
      <c r="E783" s="19" t="n"/>
      <c r="F783" s="19">
        <f>IF(COUNTA(D783:E783)=0,"",N(D783)-N(E783))</f>
        <v/>
      </c>
      <c r="G783" s="19">
        <f>IFERROR(VLOOKUP($B783,'开奖记录'!$A:$K,2,FALSE),"")</f>
        <v/>
      </c>
      <c r="H783" s="19">
        <f>IFERROR(VLOOKUP($B783,'开奖记录'!$A:$K,9,FALSE),"")</f>
        <v/>
      </c>
      <c r="I783" s="19">
        <f>IFERROR(VLOOKUP($B783,'开奖记录'!$A:$K,11,FALSE),"")</f>
        <v/>
      </c>
      <c r="J783" s="19">
        <f>IF($B783="","",IF(ISNUMBER($D783),"命中",IF(ISNUMBER($E783),"未命中","")))</f>
        <v/>
      </c>
      <c r="K783" s="19" t="inlineStr"/>
      <c r="L783" s="19">
        <f>IFERROR(TEXT(VLOOKUP($B783-1,开奖记录!$A:$L,3,FALSE),"00")&amp;"+5="&amp;VLOOKUP(MOD(VLOOKUP($B783-1,开奖记录!$A:$L,3,FALSE)+4,49)+1,规律参数!$A:$C,3,FALSE),"")</f>
        <v/>
      </c>
      <c r="M783" s="19">
        <f>IF(L783="","",IF(I783="","待开奖",IF(ISNUMBER(SEARCH(I783,L783)),"命中","未命中")))</f>
        <v/>
      </c>
      <c r="N783" s="19">
        <f>IFERROR(VLOOKUP(VLOOKUP($B783-1,开奖记录!$A:$L,11,FALSE),八肖参数!$A:$B,2,FALSE),"")</f>
        <v/>
      </c>
      <c r="O783" s="19">
        <f>IF(N783="","",IF(I783="","待开奖",IF(ISNUMBER(SEARCH(I783,N783)),"命中","未命中")))</f>
        <v/>
      </c>
    </row>
    <row r="784">
      <c r="A784" s="19" t="n">
        <v>783</v>
      </c>
      <c r="B784" s="19">
        <f>IF(COUNTA(C784:E784)=0,"",B783+1)</f>
        <v/>
      </c>
      <c r="C784" s="19" t="inlineStr"/>
      <c r="D784" s="19" t="n"/>
      <c r="E784" s="19" t="n"/>
      <c r="F784" s="19">
        <f>IF(COUNTA(D784:E784)=0,"",N(D784)-N(E784))</f>
        <v/>
      </c>
      <c r="G784" s="19">
        <f>IFERROR(VLOOKUP($B784,'开奖记录'!$A:$K,2,FALSE),"")</f>
        <v/>
      </c>
      <c r="H784" s="19">
        <f>IFERROR(VLOOKUP($B784,'开奖记录'!$A:$K,9,FALSE),"")</f>
        <v/>
      </c>
      <c r="I784" s="19">
        <f>IFERROR(VLOOKUP($B784,'开奖记录'!$A:$K,11,FALSE),"")</f>
        <v/>
      </c>
      <c r="J784" s="19">
        <f>IF($B784="","",IF(ISNUMBER($D784),"命中",IF(ISNUMBER($E784),"未命中","")))</f>
        <v/>
      </c>
      <c r="K784" s="19" t="inlineStr"/>
      <c r="L784" s="19">
        <f>IFERROR(TEXT(VLOOKUP($B784-1,开奖记录!$A:$L,3,FALSE),"00")&amp;"+5="&amp;VLOOKUP(MOD(VLOOKUP($B784-1,开奖记录!$A:$L,3,FALSE)+4,49)+1,规律参数!$A:$C,3,FALSE),"")</f>
        <v/>
      </c>
      <c r="M784" s="19">
        <f>IF(L784="","",IF(I784="","待开奖",IF(ISNUMBER(SEARCH(I784,L784)),"命中","未命中")))</f>
        <v/>
      </c>
      <c r="N784" s="19">
        <f>IFERROR(VLOOKUP(VLOOKUP($B784-1,开奖记录!$A:$L,11,FALSE),八肖参数!$A:$B,2,FALSE),"")</f>
        <v/>
      </c>
      <c r="O784" s="19">
        <f>IF(N784="","",IF(I784="","待开奖",IF(ISNUMBER(SEARCH(I784,N784)),"命中","未命中")))</f>
        <v/>
      </c>
    </row>
    <row r="785">
      <c r="A785" s="19" t="n">
        <v>784</v>
      </c>
      <c r="B785" s="19">
        <f>IF(COUNTA(C785:E785)=0,"",B784+1)</f>
        <v/>
      </c>
      <c r="C785" s="19" t="inlineStr"/>
      <c r="D785" s="19" t="n"/>
      <c r="E785" s="19" t="n"/>
      <c r="F785" s="19">
        <f>IF(COUNTA(D785:E785)=0,"",N(D785)-N(E785))</f>
        <v/>
      </c>
      <c r="G785" s="19">
        <f>IFERROR(VLOOKUP($B785,'开奖记录'!$A:$K,2,FALSE),"")</f>
        <v/>
      </c>
      <c r="H785" s="19">
        <f>IFERROR(VLOOKUP($B785,'开奖记录'!$A:$K,9,FALSE),"")</f>
        <v/>
      </c>
      <c r="I785" s="19">
        <f>IFERROR(VLOOKUP($B785,'开奖记录'!$A:$K,11,FALSE),"")</f>
        <v/>
      </c>
      <c r="J785" s="19">
        <f>IF($B785="","",IF(ISNUMBER($D785),"命中",IF(ISNUMBER($E785),"未命中","")))</f>
        <v/>
      </c>
      <c r="K785" s="19" t="inlineStr"/>
      <c r="L785" s="19">
        <f>IFERROR(TEXT(VLOOKUP($B785-1,开奖记录!$A:$L,3,FALSE),"00")&amp;"+5="&amp;VLOOKUP(MOD(VLOOKUP($B785-1,开奖记录!$A:$L,3,FALSE)+4,49)+1,规律参数!$A:$C,3,FALSE),"")</f>
        <v/>
      </c>
      <c r="M785" s="19">
        <f>IF(L785="","",IF(I785="","待开奖",IF(ISNUMBER(SEARCH(I785,L785)),"命中","未命中")))</f>
        <v/>
      </c>
      <c r="N785" s="19">
        <f>IFERROR(VLOOKUP(VLOOKUP($B785-1,开奖记录!$A:$L,11,FALSE),八肖参数!$A:$B,2,FALSE),"")</f>
        <v/>
      </c>
      <c r="O785" s="19">
        <f>IF(N785="","",IF(I785="","待开奖",IF(ISNUMBER(SEARCH(I785,N785)),"命中","未命中")))</f>
        <v/>
      </c>
    </row>
    <row r="786">
      <c r="A786" s="19" t="n">
        <v>785</v>
      </c>
      <c r="B786" s="19">
        <f>IF(COUNTA(C786:E786)=0,"",B785+1)</f>
        <v/>
      </c>
      <c r="C786" s="19" t="inlineStr"/>
      <c r="D786" s="19" t="n"/>
      <c r="E786" s="19" t="n"/>
      <c r="F786" s="19">
        <f>IF(COUNTA(D786:E786)=0,"",N(D786)-N(E786))</f>
        <v/>
      </c>
      <c r="G786" s="19">
        <f>IFERROR(VLOOKUP($B786,'开奖记录'!$A:$K,2,FALSE),"")</f>
        <v/>
      </c>
      <c r="H786" s="19">
        <f>IFERROR(VLOOKUP($B786,'开奖记录'!$A:$K,9,FALSE),"")</f>
        <v/>
      </c>
      <c r="I786" s="19">
        <f>IFERROR(VLOOKUP($B786,'开奖记录'!$A:$K,11,FALSE),"")</f>
        <v/>
      </c>
      <c r="J786" s="19">
        <f>IF($B786="","",IF(ISNUMBER($D786),"命中",IF(ISNUMBER($E786),"未命中","")))</f>
        <v/>
      </c>
      <c r="K786" s="19" t="inlineStr"/>
      <c r="L786" s="19">
        <f>IFERROR(TEXT(VLOOKUP($B786-1,开奖记录!$A:$L,3,FALSE),"00")&amp;"+5="&amp;VLOOKUP(MOD(VLOOKUP($B786-1,开奖记录!$A:$L,3,FALSE)+4,49)+1,规律参数!$A:$C,3,FALSE),"")</f>
        <v/>
      </c>
      <c r="M786" s="19">
        <f>IF(L786="","",IF(I786="","待开奖",IF(ISNUMBER(SEARCH(I786,L786)),"命中","未命中")))</f>
        <v/>
      </c>
      <c r="N786" s="19">
        <f>IFERROR(VLOOKUP(VLOOKUP($B786-1,开奖记录!$A:$L,11,FALSE),八肖参数!$A:$B,2,FALSE),"")</f>
        <v/>
      </c>
      <c r="O786" s="19">
        <f>IF(N786="","",IF(I786="","待开奖",IF(ISNUMBER(SEARCH(I786,N786)),"命中","未命中")))</f>
        <v/>
      </c>
    </row>
    <row r="787">
      <c r="A787" s="19" t="n">
        <v>786</v>
      </c>
      <c r="B787" s="19">
        <f>IF(COUNTA(C787:E787)=0,"",B786+1)</f>
        <v/>
      </c>
      <c r="C787" s="19" t="inlineStr"/>
      <c r="D787" s="19" t="n"/>
      <c r="E787" s="19" t="n"/>
      <c r="F787" s="19">
        <f>IF(COUNTA(D787:E787)=0,"",N(D787)-N(E787))</f>
        <v/>
      </c>
      <c r="G787" s="19">
        <f>IFERROR(VLOOKUP($B787,'开奖记录'!$A:$K,2,FALSE),"")</f>
        <v/>
      </c>
      <c r="H787" s="19">
        <f>IFERROR(VLOOKUP($B787,'开奖记录'!$A:$K,9,FALSE),"")</f>
        <v/>
      </c>
      <c r="I787" s="19">
        <f>IFERROR(VLOOKUP($B787,'开奖记录'!$A:$K,11,FALSE),"")</f>
        <v/>
      </c>
      <c r="J787" s="19">
        <f>IF($B787="","",IF(ISNUMBER($D787),"命中",IF(ISNUMBER($E787),"未命中","")))</f>
        <v/>
      </c>
      <c r="K787" s="19" t="inlineStr"/>
      <c r="L787" s="19">
        <f>IFERROR(TEXT(VLOOKUP($B787-1,开奖记录!$A:$L,3,FALSE),"00")&amp;"+5="&amp;VLOOKUP(MOD(VLOOKUP($B787-1,开奖记录!$A:$L,3,FALSE)+4,49)+1,规律参数!$A:$C,3,FALSE),"")</f>
        <v/>
      </c>
      <c r="M787" s="19">
        <f>IF(L787="","",IF(I787="","待开奖",IF(ISNUMBER(SEARCH(I787,L787)),"命中","未命中")))</f>
        <v/>
      </c>
      <c r="N787" s="19">
        <f>IFERROR(VLOOKUP(VLOOKUP($B787-1,开奖记录!$A:$L,11,FALSE),八肖参数!$A:$B,2,FALSE),"")</f>
        <v/>
      </c>
      <c r="O787" s="19">
        <f>IF(N787="","",IF(I787="","待开奖",IF(ISNUMBER(SEARCH(I787,N787)),"命中","未命中")))</f>
        <v/>
      </c>
    </row>
    <row r="788">
      <c r="A788" s="19" t="n">
        <v>787</v>
      </c>
      <c r="B788" s="19">
        <f>IF(COUNTA(C788:E788)=0,"",B787+1)</f>
        <v/>
      </c>
      <c r="C788" s="19" t="inlineStr"/>
      <c r="D788" s="19" t="n"/>
      <c r="E788" s="19" t="n"/>
      <c r="F788" s="19">
        <f>IF(COUNTA(D788:E788)=0,"",N(D788)-N(E788))</f>
        <v/>
      </c>
      <c r="G788" s="19">
        <f>IFERROR(VLOOKUP($B788,'开奖记录'!$A:$K,2,FALSE),"")</f>
        <v/>
      </c>
      <c r="H788" s="19">
        <f>IFERROR(VLOOKUP($B788,'开奖记录'!$A:$K,9,FALSE),"")</f>
        <v/>
      </c>
      <c r="I788" s="19">
        <f>IFERROR(VLOOKUP($B788,'开奖记录'!$A:$K,11,FALSE),"")</f>
        <v/>
      </c>
      <c r="J788" s="19">
        <f>IF($B788="","",IF(ISNUMBER($D788),"命中",IF(ISNUMBER($E788),"未命中","")))</f>
        <v/>
      </c>
      <c r="K788" s="19" t="inlineStr"/>
      <c r="L788" s="19">
        <f>IFERROR(TEXT(VLOOKUP($B788-1,开奖记录!$A:$L,3,FALSE),"00")&amp;"+5="&amp;VLOOKUP(MOD(VLOOKUP($B788-1,开奖记录!$A:$L,3,FALSE)+4,49)+1,规律参数!$A:$C,3,FALSE),"")</f>
        <v/>
      </c>
      <c r="M788" s="19">
        <f>IF(L788="","",IF(I788="","待开奖",IF(ISNUMBER(SEARCH(I788,L788)),"命中","未命中")))</f>
        <v/>
      </c>
      <c r="N788" s="19">
        <f>IFERROR(VLOOKUP(VLOOKUP($B788-1,开奖记录!$A:$L,11,FALSE),八肖参数!$A:$B,2,FALSE),"")</f>
        <v/>
      </c>
      <c r="O788" s="19">
        <f>IF(N788="","",IF(I788="","待开奖",IF(ISNUMBER(SEARCH(I788,N788)),"命中","未命中")))</f>
        <v/>
      </c>
    </row>
    <row r="789">
      <c r="A789" s="19" t="n">
        <v>788</v>
      </c>
      <c r="B789" s="19">
        <f>IF(COUNTA(C789:E789)=0,"",B788+1)</f>
        <v/>
      </c>
      <c r="C789" s="19" t="inlineStr"/>
      <c r="D789" s="19" t="n"/>
      <c r="E789" s="19" t="n"/>
      <c r="F789" s="19">
        <f>IF(COUNTA(D789:E789)=0,"",N(D789)-N(E789))</f>
        <v/>
      </c>
      <c r="G789" s="19">
        <f>IFERROR(VLOOKUP($B789,'开奖记录'!$A:$K,2,FALSE),"")</f>
        <v/>
      </c>
      <c r="H789" s="19">
        <f>IFERROR(VLOOKUP($B789,'开奖记录'!$A:$K,9,FALSE),"")</f>
        <v/>
      </c>
      <c r="I789" s="19">
        <f>IFERROR(VLOOKUP($B789,'开奖记录'!$A:$K,11,FALSE),"")</f>
        <v/>
      </c>
      <c r="J789" s="19">
        <f>IF($B789="","",IF(ISNUMBER($D789),"命中",IF(ISNUMBER($E789),"未命中","")))</f>
        <v/>
      </c>
      <c r="K789" s="19" t="inlineStr"/>
      <c r="L789" s="19">
        <f>IFERROR(TEXT(VLOOKUP($B789-1,开奖记录!$A:$L,3,FALSE),"00")&amp;"+5="&amp;VLOOKUP(MOD(VLOOKUP($B789-1,开奖记录!$A:$L,3,FALSE)+4,49)+1,规律参数!$A:$C,3,FALSE),"")</f>
        <v/>
      </c>
      <c r="M789" s="19">
        <f>IF(L789="","",IF(I789="","待开奖",IF(ISNUMBER(SEARCH(I789,L789)),"命中","未命中")))</f>
        <v/>
      </c>
      <c r="N789" s="19">
        <f>IFERROR(VLOOKUP(VLOOKUP($B789-1,开奖记录!$A:$L,11,FALSE),八肖参数!$A:$B,2,FALSE),"")</f>
        <v/>
      </c>
      <c r="O789" s="19">
        <f>IF(N789="","",IF(I789="","待开奖",IF(ISNUMBER(SEARCH(I789,N789)),"命中","未命中")))</f>
        <v/>
      </c>
    </row>
    <row r="790">
      <c r="A790" s="19" t="n">
        <v>789</v>
      </c>
      <c r="B790" s="19">
        <f>IF(COUNTA(C790:E790)=0,"",B789+1)</f>
        <v/>
      </c>
      <c r="C790" s="19" t="inlineStr"/>
      <c r="D790" s="19" t="n"/>
      <c r="E790" s="19" t="n"/>
      <c r="F790" s="19">
        <f>IF(COUNTA(D790:E790)=0,"",N(D790)-N(E790))</f>
        <v/>
      </c>
      <c r="G790" s="19">
        <f>IFERROR(VLOOKUP($B790,'开奖记录'!$A:$K,2,FALSE),"")</f>
        <v/>
      </c>
      <c r="H790" s="19">
        <f>IFERROR(VLOOKUP($B790,'开奖记录'!$A:$K,9,FALSE),"")</f>
        <v/>
      </c>
      <c r="I790" s="19">
        <f>IFERROR(VLOOKUP($B790,'开奖记录'!$A:$K,11,FALSE),"")</f>
        <v/>
      </c>
      <c r="J790" s="19">
        <f>IF($B790="","",IF(ISNUMBER($D790),"命中",IF(ISNUMBER($E790),"未命中","")))</f>
        <v/>
      </c>
      <c r="K790" s="19" t="inlineStr"/>
      <c r="L790" s="19">
        <f>IFERROR(TEXT(VLOOKUP($B790-1,开奖记录!$A:$L,3,FALSE),"00")&amp;"+5="&amp;VLOOKUP(MOD(VLOOKUP($B790-1,开奖记录!$A:$L,3,FALSE)+4,49)+1,规律参数!$A:$C,3,FALSE),"")</f>
        <v/>
      </c>
      <c r="M790" s="19">
        <f>IF(L790="","",IF(I790="","待开奖",IF(ISNUMBER(SEARCH(I790,L790)),"命中","未命中")))</f>
        <v/>
      </c>
      <c r="N790" s="19">
        <f>IFERROR(VLOOKUP(VLOOKUP($B790-1,开奖记录!$A:$L,11,FALSE),八肖参数!$A:$B,2,FALSE),"")</f>
        <v/>
      </c>
      <c r="O790" s="19">
        <f>IF(N790="","",IF(I790="","待开奖",IF(ISNUMBER(SEARCH(I790,N790)),"命中","未命中")))</f>
        <v/>
      </c>
    </row>
    <row r="791">
      <c r="A791" s="19" t="n">
        <v>790</v>
      </c>
      <c r="B791" s="19">
        <f>IF(COUNTA(C791:E791)=0,"",B790+1)</f>
        <v/>
      </c>
      <c r="C791" s="19" t="inlineStr"/>
      <c r="D791" s="19" t="n"/>
      <c r="E791" s="19" t="n"/>
      <c r="F791" s="19">
        <f>IF(COUNTA(D791:E791)=0,"",N(D791)-N(E791))</f>
        <v/>
      </c>
      <c r="G791" s="19">
        <f>IFERROR(VLOOKUP($B791,'开奖记录'!$A:$K,2,FALSE),"")</f>
        <v/>
      </c>
      <c r="H791" s="19">
        <f>IFERROR(VLOOKUP($B791,'开奖记录'!$A:$K,9,FALSE),"")</f>
        <v/>
      </c>
      <c r="I791" s="19">
        <f>IFERROR(VLOOKUP($B791,'开奖记录'!$A:$K,11,FALSE),"")</f>
        <v/>
      </c>
      <c r="J791" s="19">
        <f>IF($B791="","",IF(ISNUMBER($D791),"命中",IF(ISNUMBER($E791),"未命中","")))</f>
        <v/>
      </c>
      <c r="K791" s="19" t="inlineStr"/>
      <c r="L791" s="19">
        <f>IFERROR(TEXT(VLOOKUP($B791-1,开奖记录!$A:$L,3,FALSE),"00")&amp;"+5="&amp;VLOOKUP(MOD(VLOOKUP($B791-1,开奖记录!$A:$L,3,FALSE)+4,49)+1,规律参数!$A:$C,3,FALSE),"")</f>
        <v/>
      </c>
      <c r="M791" s="19">
        <f>IF(L791="","",IF(I791="","待开奖",IF(ISNUMBER(SEARCH(I791,L791)),"命中","未命中")))</f>
        <v/>
      </c>
      <c r="N791" s="19">
        <f>IFERROR(VLOOKUP(VLOOKUP($B791-1,开奖记录!$A:$L,11,FALSE),八肖参数!$A:$B,2,FALSE),"")</f>
        <v/>
      </c>
      <c r="O791" s="19">
        <f>IF(N791="","",IF(I791="","待开奖",IF(ISNUMBER(SEARCH(I791,N791)),"命中","未命中")))</f>
        <v/>
      </c>
    </row>
    <row r="792">
      <c r="A792" s="19" t="n">
        <v>791</v>
      </c>
      <c r="B792" s="19">
        <f>IF(COUNTA(C792:E792)=0,"",B791+1)</f>
        <v/>
      </c>
      <c r="C792" s="19" t="inlineStr"/>
      <c r="D792" s="19" t="n"/>
      <c r="E792" s="19" t="n"/>
      <c r="F792" s="19">
        <f>IF(COUNTA(D792:E792)=0,"",N(D792)-N(E792))</f>
        <v/>
      </c>
      <c r="G792" s="19">
        <f>IFERROR(VLOOKUP($B792,'开奖记录'!$A:$K,2,FALSE),"")</f>
        <v/>
      </c>
      <c r="H792" s="19">
        <f>IFERROR(VLOOKUP($B792,'开奖记录'!$A:$K,9,FALSE),"")</f>
        <v/>
      </c>
      <c r="I792" s="19">
        <f>IFERROR(VLOOKUP($B792,'开奖记录'!$A:$K,11,FALSE),"")</f>
        <v/>
      </c>
      <c r="J792" s="19">
        <f>IF($B792="","",IF(ISNUMBER($D792),"命中",IF(ISNUMBER($E792),"未命中","")))</f>
        <v/>
      </c>
      <c r="K792" s="19" t="inlineStr"/>
      <c r="L792" s="19">
        <f>IFERROR(TEXT(VLOOKUP($B792-1,开奖记录!$A:$L,3,FALSE),"00")&amp;"+5="&amp;VLOOKUP(MOD(VLOOKUP($B792-1,开奖记录!$A:$L,3,FALSE)+4,49)+1,规律参数!$A:$C,3,FALSE),"")</f>
        <v/>
      </c>
      <c r="M792" s="19">
        <f>IF(L792="","",IF(I792="","待开奖",IF(ISNUMBER(SEARCH(I792,L792)),"命中","未命中")))</f>
        <v/>
      </c>
      <c r="N792" s="19">
        <f>IFERROR(VLOOKUP(VLOOKUP($B792-1,开奖记录!$A:$L,11,FALSE),八肖参数!$A:$B,2,FALSE),"")</f>
        <v/>
      </c>
      <c r="O792" s="19">
        <f>IF(N792="","",IF(I792="","待开奖",IF(ISNUMBER(SEARCH(I792,N792)),"命中","未命中")))</f>
        <v/>
      </c>
    </row>
    <row r="793">
      <c r="A793" s="19" t="n">
        <v>792</v>
      </c>
      <c r="B793" s="19">
        <f>IF(COUNTA(C793:E793)=0,"",B792+1)</f>
        <v/>
      </c>
      <c r="C793" s="19" t="inlineStr"/>
      <c r="D793" s="19" t="n"/>
      <c r="E793" s="19" t="n"/>
      <c r="F793" s="19">
        <f>IF(COUNTA(D793:E793)=0,"",N(D793)-N(E793))</f>
        <v/>
      </c>
      <c r="G793" s="19">
        <f>IFERROR(VLOOKUP($B793,'开奖记录'!$A:$K,2,FALSE),"")</f>
        <v/>
      </c>
      <c r="H793" s="19">
        <f>IFERROR(VLOOKUP($B793,'开奖记录'!$A:$K,9,FALSE),"")</f>
        <v/>
      </c>
      <c r="I793" s="19">
        <f>IFERROR(VLOOKUP($B793,'开奖记录'!$A:$K,11,FALSE),"")</f>
        <v/>
      </c>
      <c r="J793" s="19">
        <f>IF($B793="","",IF(ISNUMBER($D793),"命中",IF(ISNUMBER($E793),"未命中","")))</f>
        <v/>
      </c>
      <c r="K793" s="19" t="inlineStr"/>
      <c r="L793" s="19">
        <f>IFERROR(TEXT(VLOOKUP($B793-1,开奖记录!$A:$L,3,FALSE),"00")&amp;"+5="&amp;VLOOKUP(MOD(VLOOKUP($B793-1,开奖记录!$A:$L,3,FALSE)+4,49)+1,规律参数!$A:$C,3,FALSE),"")</f>
        <v/>
      </c>
      <c r="M793" s="19">
        <f>IF(L793="","",IF(I793="","待开奖",IF(ISNUMBER(SEARCH(I793,L793)),"命中","未命中")))</f>
        <v/>
      </c>
      <c r="N793" s="19">
        <f>IFERROR(VLOOKUP(VLOOKUP($B793-1,开奖记录!$A:$L,11,FALSE),八肖参数!$A:$B,2,FALSE),"")</f>
        <v/>
      </c>
      <c r="O793" s="19">
        <f>IF(N793="","",IF(I793="","待开奖",IF(ISNUMBER(SEARCH(I793,N793)),"命中","未命中")))</f>
        <v/>
      </c>
    </row>
    <row r="794">
      <c r="A794" s="19" t="n">
        <v>793</v>
      </c>
      <c r="B794" s="19">
        <f>IF(COUNTA(C794:E794)=0,"",B793+1)</f>
        <v/>
      </c>
      <c r="C794" s="19" t="inlineStr"/>
      <c r="D794" s="19" t="n"/>
      <c r="E794" s="19" t="n"/>
      <c r="F794" s="19">
        <f>IF(COUNTA(D794:E794)=0,"",N(D794)-N(E794))</f>
        <v/>
      </c>
      <c r="G794" s="19">
        <f>IFERROR(VLOOKUP($B794,'开奖记录'!$A:$K,2,FALSE),"")</f>
        <v/>
      </c>
      <c r="H794" s="19">
        <f>IFERROR(VLOOKUP($B794,'开奖记录'!$A:$K,9,FALSE),"")</f>
        <v/>
      </c>
      <c r="I794" s="19">
        <f>IFERROR(VLOOKUP($B794,'开奖记录'!$A:$K,11,FALSE),"")</f>
        <v/>
      </c>
      <c r="J794" s="19">
        <f>IF($B794="","",IF(ISNUMBER($D794),"命中",IF(ISNUMBER($E794),"未命中","")))</f>
        <v/>
      </c>
      <c r="K794" s="19" t="inlineStr"/>
      <c r="L794" s="19">
        <f>IFERROR(TEXT(VLOOKUP($B794-1,开奖记录!$A:$L,3,FALSE),"00")&amp;"+5="&amp;VLOOKUP(MOD(VLOOKUP($B794-1,开奖记录!$A:$L,3,FALSE)+4,49)+1,规律参数!$A:$C,3,FALSE),"")</f>
        <v/>
      </c>
      <c r="M794" s="19">
        <f>IF(L794="","",IF(I794="","待开奖",IF(ISNUMBER(SEARCH(I794,L794)),"命中","未命中")))</f>
        <v/>
      </c>
      <c r="N794" s="19">
        <f>IFERROR(VLOOKUP(VLOOKUP($B794-1,开奖记录!$A:$L,11,FALSE),八肖参数!$A:$B,2,FALSE),"")</f>
        <v/>
      </c>
      <c r="O794" s="19">
        <f>IF(N794="","",IF(I794="","待开奖",IF(ISNUMBER(SEARCH(I794,N794)),"命中","未命中")))</f>
        <v/>
      </c>
    </row>
    <row r="795">
      <c r="A795" s="19" t="n">
        <v>794</v>
      </c>
      <c r="B795" s="19">
        <f>IF(COUNTA(C795:E795)=0,"",B794+1)</f>
        <v/>
      </c>
      <c r="C795" s="19" t="inlineStr"/>
      <c r="D795" s="19" t="n"/>
      <c r="E795" s="19" t="n"/>
      <c r="F795" s="19">
        <f>IF(COUNTA(D795:E795)=0,"",N(D795)-N(E795))</f>
        <v/>
      </c>
      <c r="G795" s="19">
        <f>IFERROR(VLOOKUP($B795,'开奖记录'!$A:$K,2,FALSE),"")</f>
        <v/>
      </c>
      <c r="H795" s="19">
        <f>IFERROR(VLOOKUP($B795,'开奖记录'!$A:$K,9,FALSE),"")</f>
        <v/>
      </c>
      <c r="I795" s="19">
        <f>IFERROR(VLOOKUP($B795,'开奖记录'!$A:$K,11,FALSE),"")</f>
        <v/>
      </c>
      <c r="J795" s="19">
        <f>IF($B795="","",IF(ISNUMBER($D795),"命中",IF(ISNUMBER($E795),"未命中","")))</f>
        <v/>
      </c>
      <c r="K795" s="19" t="inlineStr"/>
      <c r="L795" s="19">
        <f>IFERROR(TEXT(VLOOKUP($B795-1,开奖记录!$A:$L,3,FALSE),"00")&amp;"+5="&amp;VLOOKUP(MOD(VLOOKUP($B795-1,开奖记录!$A:$L,3,FALSE)+4,49)+1,规律参数!$A:$C,3,FALSE),"")</f>
        <v/>
      </c>
      <c r="M795" s="19">
        <f>IF(L795="","",IF(I795="","待开奖",IF(ISNUMBER(SEARCH(I795,L795)),"命中","未命中")))</f>
        <v/>
      </c>
      <c r="N795" s="19">
        <f>IFERROR(VLOOKUP(VLOOKUP($B795-1,开奖记录!$A:$L,11,FALSE),八肖参数!$A:$B,2,FALSE),"")</f>
        <v/>
      </c>
      <c r="O795" s="19">
        <f>IF(N795="","",IF(I795="","待开奖",IF(ISNUMBER(SEARCH(I795,N795)),"命中","未命中")))</f>
        <v/>
      </c>
    </row>
    <row r="796">
      <c r="A796" s="19" t="n">
        <v>795</v>
      </c>
      <c r="B796" s="19">
        <f>IF(COUNTA(C796:E796)=0,"",B795+1)</f>
        <v/>
      </c>
      <c r="C796" s="19" t="inlineStr"/>
      <c r="D796" s="19" t="n"/>
      <c r="E796" s="19" t="n"/>
      <c r="F796" s="19">
        <f>IF(COUNTA(D796:E796)=0,"",N(D796)-N(E796))</f>
        <v/>
      </c>
      <c r="G796" s="19">
        <f>IFERROR(VLOOKUP($B796,'开奖记录'!$A:$K,2,FALSE),"")</f>
        <v/>
      </c>
      <c r="H796" s="19">
        <f>IFERROR(VLOOKUP($B796,'开奖记录'!$A:$K,9,FALSE),"")</f>
        <v/>
      </c>
      <c r="I796" s="19">
        <f>IFERROR(VLOOKUP($B796,'开奖记录'!$A:$K,11,FALSE),"")</f>
        <v/>
      </c>
      <c r="J796" s="19">
        <f>IF($B796="","",IF(ISNUMBER($D796),"命中",IF(ISNUMBER($E796),"未命中","")))</f>
        <v/>
      </c>
      <c r="K796" s="19" t="inlineStr"/>
      <c r="L796" s="19">
        <f>IFERROR(TEXT(VLOOKUP($B796-1,开奖记录!$A:$L,3,FALSE),"00")&amp;"+5="&amp;VLOOKUP(MOD(VLOOKUP($B796-1,开奖记录!$A:$L,3,FALSE)+4,49)+1,规律参数!$A:$C,3,FALSE),"")</f>
        <v/>
      </c>
      <c r="M796" s="19">
        <f>IF(L796="","",IF(I796="","待开奖",IF(ISNUMBER(SEARCH(I796,L796)),"命中","未命中")))</f>
        <v/>
      </c>
      <c r="N796" s="19">
        <f>IFERROR(VLOOKUP(VLOOKUP($B796-1,开奖记录!$A:$L,11,FALSE),八肖参数!$A:$B,2,FALSE),"")</f>
        <v/>
      </c>
      <c r="O796" s="19">
        <f>IF(N796="","",IF(I796="","待开奖",IF(ISNUMBER(SEARCH(I796,N796)),"命中","未命中")))</f>
        <v/>
      </c>
    </row>
    <row r="797">
      <c r="A797" s="19" t="n">
        <v>796</v>
      </c>
      <c r="B797" s="19">
        <f>IF(COUNTA(C797:E797)=0,"",B796+1)</f>
        <v/>
      </c>
      <c r="C797" s="19" t="inlineStr"/>
      <c r="D797" s="19" t="n"/>
      <c r="E797" s="19" t="n"/>
      <c r="F797" s="19">
        <f>IF(COUNTA(D797:E797)=0,"",N(D797)-N(E797))</f>
        <v/>
      </c>
      <c r="G797" s="19">
        <f>IFERROR(VLOOKUP($B797,'开奖记录'!$A:$K,2,FALSE),"")</f>
        <v/>
      </c>
      <c r="H797" s="19">
        <f>IFERROR(VLOOKUP($B797,'开奖记录'!$A:$K,9,FALSE),"")</f>
        <v/>
      </c>
      <c r="I797" s="19">
        <f>IFERROR(VLOOKUP($B797,'开奖记录'!$A:$K,11,FALSE),"")</f>
        <v/>
      </c>
      <c r="J797" s="19">
        <f>IF($B797="","",IF(ISNUMBER($D797),"命中",IF(ISNUMBER($E797),"未命中","")))</f>
        <v/>
      </c>
      <c r="K797" s="19" t="inlineStr"/>
      <c r="L797" s="19">
        <f>IFERROR(TEXT(VLOOKUP($B797-1,开奖记录!$A:$L,3,FALSE),"00")&amp;"+5="&amp;VLOOKUP(MOD(VLOOKUP($B797-1,开奖记录!$A:$L,3,FALSE)+4,49)+1,规律参数!$A:$C,3,FALSE),"")</f>
        <v/>
      </c>
      <c r="M797" s="19">
        <f>IF(L797="","",IF(I797="","待开奖",IF(ISNUMBER(SEARCH(I797,L797)),"命中","未命中")))</f>
        <v/>
      </c>
      <c r="N797" s="19">
        <f>IFERROR(VLOOKUP(VLOOKUP($B797-1,开奖记录!$A:$L,11,FALSE),八肖参数!$A:$B,2,FALSE),"")</f>
        <v/>
      </c>
      <c r="O797" s="19">
        <f>IF(N797="","",IF(I797="","待开奖",IF(ISNUMBER(SEARCH(I797,N797)),"命中","未命中")))</f>
        <v/>
      </c>
    </row>
    <row r="798">
      <c r="A798" s="19" t="n">
        <v>797</v>
      </c>
      <c r="B798" s="19">
        <f>IF(COUNTA(C798:E798)=0,"",B797+1)</f>
        <v/>
      </c>
      <c r="C798" s="19" t="inlineStr"/>
      <c r="D798" s="19" t="n"/>
      <c r="E798" s="19" t="n"/>
      <c r="F798" s="19">
        <f>IF(COUNTA(D798:E798)=0,"",N(D798)-N(E798))</f>
        <v/>
      </c>
      <c r="G798" s="19">
        <f>IFERROR(VLOOKUP($B798,'开奖记录'!$A:$K,2,FALSE),"")</f>
        <v/>
      </c>
      <c r="H798" s="19">
        <f>IFERROR(VLOOKUP($B798,'开奖记录'!$A:$K,9,FALSE),"")</f>
        <v/>
      </c>
      <c r="I798" s="19">
        <f>IFERROR(VLOOKUP($B798,'开奖记录'!$A:$K,11,FALSE),"")</f>
        <v/>
      </c>
      <c r="J798" s="19">
        <f>IF($B798="","",IF(ISNUMBER($D798),"命中",IF(ISNUMBER($E798),"未命中","")))</f>
        <v/>
      </c>
      <c r="K798" s="19" t="inlineStr"/>
      <c r="L798" s="19">
        <f>IFERROR(TEXT(VLOOKUP($B798-1,开奖记录!$A:$L,3,FALSE),"00")&amp;"+5="&amp;VLOOKUP(MOD(VLOOKUP($B798-1,开奖记录!$A:$L,3,FALSE)+4,49)+1,规律参数!$A:$C,3,FALSE),"")</f>
        <v/>
      </c>
      <c r="M798" s="19">
        <f>IF(L798="","",IF(I798="","待开奖",IF(ISNUMBER(SEARCH(I798,L798)),"命中","未命中")))</f>
        <v/>
      </c>
      <c r="N798" s="19">
        <f>IFERROR(VLOOKUP(VLOOKUP($B798-1,开奖记录!$A:$L,11,FALSE),八肖参数!$A:$B,2,FALSE),"")</f>
        <v/>
      </c>
      <c r="O798" s="19">
        <f>IF(N798="","",IF(I798="","待开奖",IF(ISNUMBER(SEARCH(I798,N798)),"命中","未命中")))</f>
        <v/>
      </c>
    </row>
    <row r="799">
      <c r="A799" s="19" t="n">
        <v>798</v>
      </c>
      <c r="B799" s="19">
        <f>IF(COUNTA(C799:E799)=0,"",B798+1)</f>
        <v/>
      </c>
      <c r="C799" s="19" t="inlineStr"/>
      <c r="D799" s="19" t="n"/>
      <c r="E799" s="19" t="n"/>
      <c r="F799" s="19">
        <f>IF(COUNTA(D799:E799)=0,"",N(D799)-N(E799))</f>
        <v/>
      </c>
      <c r="G799" s="19">
        <f>IFERROR(VLOOKUP($B799,'开奖记录'!$A:$K,2,FALSE),"")</f>
        <v/>
      </c>
      <c r="H799" s="19">
        <f>IFERROR(VLOOKUP($B799,'开奖记录'!$A:$K,9,FALSE),"")</f>
        <v/>
      </c>
      <c r="I799" s="19">
        <f>IFERROR(VLOOKUP($B799,'开奖记录'!$A:$K,11,FALSE),"")</f>
        <v/>
      </c>
      <c r="J799" s="19">
        <f>IF($B799="","",IF(ISNUMBER($D799),"命中",IF(ISNUMBER($E799),"未命中","")))</f>
        <v/>
      </c>
      <c r="K799" s="19" t="inlineStr"/>
      <c r="L799" s="19">
        <f>IFERROR(TEXT(VLOOKUP($B799-1,开奖记录!$A:$L,3,FALSE),"00")&amp;"+5="&amp;VLOOKUP(MOD(VLOOKUP($B799-1,开奖记录!$A:$L,3,FALSE)+4,49)+1,规律参数!$A:$C,3,FALSE),"")</f>
        <v/>
      </c>
      <c r="M799" s="19">
        <f>IF(L799="","",IF(I799="","待开奖",IF(ISNUMBER(SEARCH(I799,L799)),"命中","未命中")))</f>
        <v/>
      </c>
      <c r="N799" s="19">
        <f>IFERROR(VLOOKUP(VLOOKUP($B799-1,开奖记录!$A:$L,11,FALSE),八肖参数!$A:$B,2,FALSE),"")</f>
        <v/>
      </c>
      <c r="O799" s="19">
        <f>IF(N799="","",IF(I799="","待开奖",IF(ISNUMBER(SEARCH(I799,N799)),"命中","未命中")))</f>
        <v/>
      </c>
    </row>
    <row r="800">
      <c r="A800" s="19" t="n">
        <v>799</v>
      </c>
      <c r="B800" s="19">
        <f>IF(COUNTA(C800:E800)=0,"",B799+1)</f>
        <v/>
      </c>
      <c r="C800" s="19" t="inlineStr"/>
      <c r="D800" s="19" t="n"/>
      <c r="E800" s="19" t="n"/>
      <c r="F800" s="19">
        <f>IF(COUNTA(D800:E800)=0,"",N(D800)-N(E800))</f>
        <v/>
      </c>
      <c r="G800" s="19">
        <f>IFERROR(VLOOKUP($B800,'开奖记录'!$A:$K,2,FALSE),"")</f>
        <v/>
      </c>
      <c r="H800" s="19">
        <f>IFERROR(VLOOKUP($B800,'开奖记录'!$A:$K,9,FALSE),"")</f>
        <v/>
      </c>
      <c r="I800" s="19">
        <f>IFERROR(VLOOKUP($B800,'开奖记录'!$A:$K,11,FALSE),"")</f>
        <v/>
      </c>
      <c r="J800" s="19">
        <f>IF($B800="","",IF(ISNUMBER($D800),"命中",IF(ISNUMBER($E800),"未命中","")))</f>
        <v/>
      </c>
      <c r="K800" s="19" t="inlineStr"/>
      <c r="L800" s="19">
        <f>IFERROR(TEXT(VLOOKUP($B800-1,开奖记录!$A:$L,3,FALSE),"00")&amp;"+5="&amp;VLOOKUP(MOD(VLOOKUP($B800-1,开奖记录!$A:$L,3,FALSE)+4,49)+1,规律参数!$A:$C,3,FALSE),"")</f>
        <v/>
      </c>
      <c r="M800" s="19">
        <f>IF(L800="","",IF(I800="","待开奖",IF(ISNUMBER(SEARCH(I800,L800)),"命中","未命中")))</f>
        <v/>
      </c>
      <c r="N800" s="19">
        <f>IFERROR(VLOOKUP(VLOOKUP($B800-1,开奖记录!$A:$L,11,FALSE),八肖参数!$A:$B,2,FALSE),"")</f>
        <v/>
      </c>
      <c r="O800" s="19">
        <f>IF(N800="","",IF(I800="","待开奖",IF(ISNUMBER(SEARCH(I800,N800)),"命中","未命中")))</f>
        <v/>
      </c>
    </row>
    <row r="801">
      <c r="A801" s="19" t="n">
        <v>800</v>
      </c>
      <c r="B801" s="19">
        <f>IF(COUNTA(C801:E801)=0,"",B800+1)</f>
        <v/>
      </c>
      <c r="C801" s="19" t="inlineStr"/>
      <c r="D801" s="19" t="n"/>
      <c r="E801" s="19" t="n"/>
      <c r="F801" s="19">
        <f>IF(COUNTA(D801:E801)=0,"",N(D801)-N(E801))</f>
        <v/>
      </c>
      <c r="G801" s="19">
        <f>IFERROR(VLOOKUP($B801,'开奖记录'!$A:$K,2,FALSE),"")</f>
        <v/>
      </c>
      <c r="H801" s="19">
        <f>IFERROR(VLOOKUP($B801,'开奖记录'!$A:$K,9,FALSE),"")</f>
        <v/>
      </c>
      <c r="I801" s="19">
        <f>IFERROR(VLOOKUP($B801,'开奖记录'!$A:$K,11,FALSE),"")</f>
        <v/>
      </c>
      <c r="J801" s="19">
        <f>IF($B801="","",IF(ISNUMBER($D801),"命中",IF(ISNUMBER($E801),"未命中","")))</f>
        <v/>
      </c>
      <c r="K801" s="19" t="inlineStr"/>
      <c r="L801" s="19">
        <f>IFERROR(TEXT(VLOOKUP($B801-1,开奖记录!$A:$L,3,FALSE),"00")&amp;"+5="&amp;VLOOKUP(MOD(VLOOKUP($B801-1,开奖记录!$A:$L,3,FALSE)+4,49)+1,规律参数!$A:$C,3,FALSE),"")</f>
        <v/>
      </c>
      <c r="M801" s="19">
        <f>IF(L801="","",IF(I801="","待开奖",IF(ISNUMBER(SEARCH(I801,L801)),"命中","未命中")))</f>
        <v/>
      </c>
      <c r="N801" s="19">
        <f>IFERROR(VLOOKUP(VLOOKUP($B801-1,开奖记录!$A:$L,11,FALSE),八肖参数!$A:$B,2,FALSE),"")</f>
        <v/>
      </c>
      <c r="O801" s="19">
        <f>IF(N801="","",IF(I801="","待开奖",IF(ISNUMBER(SEARCH(I801,N801)),"命中","未命中")))</f>
        <v/>
      </c>
    </row>
    <row r="802">
      <c r="A802" s="19" t="n">
        <v>801</v>
      </c>
      <c r="B802" s="19">
        <f>IF(COUNTA(C802:E802)=0,"",B801+1)</f>
        <v/>
      </c>
      <c r="C802" s="19" t="inlineStr"/>
      <c r="D802" s="19" t="n"/>
      <c r="E802" s="19" t="n"/>
      <c r="F802" s="19">
        <f>IF(COUNTA(D802:E802)=0,"",N(D802)-N(E802))</f>
        <v/>
      </c>
      <c r="G802" s="19">
        <f>IFERROR(VLOOKUP($B802,'开奖记录'!$A:$K,2,FALSE),"")</f>
        <v/>
      </c>
      <c r="H802" s="19">
        <f>IFERROR(VLOOKUP($B802,'开奖记录'!$A:$K,9,FALSE),"")</f>
        <v/>
      </c>
      <c r="I802" s="19">
        <f>IFERROR(VLOOKUP($B802,'开奖记录'!$A:$K,11,FALSE),"")</f>
        <v/>
      </c>
      <c r="J802" s="19">
        <f>IF($B802="","",IF(ISNUMBER($D802),"命中",IF(ISNUMBER($E802),"未命中","")))</f>
        <v/>
      </c>
      <c r="K802" s="19" t="inlineStr"/>
      <c r="L802" s="19">
        <f>IFERROR(TEXT(VLOOKUP($B802-1,开奖记录!$A:$L,3,FALSE),"00")&amp;"+5="&amp;VLOOKUP(MOD(VLOOKUP($B802-1,开奖记录!$A:$L,3,FALSE)+4,49)+1,规律参数!$A:$C,3,FALSE),"")</f>
        <v/>
      </c>
      <c r="M802" s="19">
        <f>IF(L802="","",IF(I802="","待开奖",IF(ISNUMBER(SEARCH(I802,L802)),"命中","未命中")))</f>
        <v/>
      </c>
      <c r="N802" s="19">
        <f>IFERROR(VLOOKUP(VLOOKUP($B802-1,开奖记录!$A:$L,11,FALSE),八肖参数!$A:$B,2,FALSE),"")</f>
        <v/>
      </c>
      <c r="O802" s="19">
        <f>IF(N802="","",IF(I802="","待开奖",IF(ISNUMBER(SEARCH(I802,N802)),"命中","未命中")))</f>
        <v/>
      </c>
    </row>
    <row r="803">
      <c r="A803" s="19" t="n">
        <v>802</v>
      </c>
      <c r="B803" s="19">
        <f>IF(COUNTA(C803:E803)=0,"",B802+1)</f>
        <v/>
      </c>
      <c r="C803" s="19" t="inlineStr"/>
      <c r="D803" s="19" t="n"/>
      <c r="E803" s="19" t="n"/>
      <c r="F803" s="19">
        <f>IF(COUNTA(D803:E803)=0,"",N(D803)-N(E803))</f>
        <v/>
      </c>
      <c r="G803" s="19">
        <f>IFERROR(VLOOKUP($B803,'开奖记录'!$A:$K,2,FALSE),"")</f>
        <v/>
      </c>
      <c r="H803" s="19">
        <f>IFERROR(VLOOKUP($B803,'开奖记录'!$A:$K,9,FALSE),"")</f>
        <v/>
      </c>
      <c r="I803" s="19">
        <f>IFERROR(VLOOKUP($B803,'开奖记录'!$A:$K,11,FALSE),"")</f>
        <v/>
      </c>
      <c r="J803" s="19">
        <f>IF($B803="","",IF(ISNUMBER($D803),"命中",IF(ISNUMBER($E803),"未命中","")))</f>
        <v/>
      </c>
      <c r="K803" s="19" t="inlineStr"/>
      <c r="L803" s="19">
        <f>IFERROR(TEXT(VLOOKUP($B803-1,开奖记录!$A:$L,3,FALSE),"00")&amp;"+5="&amp;VLOOKUP(MOD(VLOOKUP($B803-1,开奖记录!$A:$L,3,FALSE)+4,49)+1,规律参数!$A:$C,3,FALSE),"")</f>
        <v/>
      </c>
      <c r="M803" s="19">
        <f>IF(L803="","",IF(I803="","待开奖",IF(ISNUMBER(SEARCH(I803,L803)),"命中","未命中")))</f>
        <v/>
      </c>
      <c r="N803" s="19">
        <f>IFERROR(VLOOKUP(VLOOKUP($B803-1,开奖记录!$A:$L,11,FALSE),八肖参数!$A:$B,2,FALSE),"")</f>
        <v/>
      </c>
      <c r="O803" s="19">
        <f>IF(N803="","",IF(I803="","待开奖",IF(ISNUMBER(SEARCH(I803,N803)),"命中","未命中")))</f>
        <v/>
      </c>
    </row>
    <row r="804">
      <c r="A804" s="19" t="n">
        <v>803</v>
      </c>
      <c r="B804" s="19">
        <f>IF(COUNTA(C804:E804)=0,"",B803+1)</f>
        <v/>
      </c>
      <c r="C804" s="19" t="inlineStr"/>
      <c r="D804" s="19" t="n"/>
      <c r="E804" s="19" t="n"/>
      <c r="F804" s="19">
        <f>IF(COUNTA(D804:E804)=0,"",N(D804)-N(E804))</f>
        <v/>
      </c>
      <c r="G804" s="19">
        <f>IFERROR(VLOOKUP($B804,'开奖记录'!$A:$K,2,FALSE),"")</f>
        <v/>
      </c>
      <c r="H804" s="19">
        <f>IFERROR(VLOOKUP($B804,'开奖记录'!$A:$K,9,FALSE),"")</f>
        <v/>
      </c>
      <c r="I804" s="19">
        <f>IFERROR(VLOOKUP($B804,'开奖记录'!$A:$K,11,FALSE),"")</f>
        <v/>
      </c>
      <c r="J804" s="19">
        <f>IF($B804="","",IF(ISNUMBER($D804),"命中",IF(ISNUMBER($E804),"未命中","")))</f>
        <v/>
      </c>
      <c r="K804" s="19" t="inlineStr"/>
      <c r="L804" s="19">
        <f>IFERROR(TEXT(VLOOKUP($B804-1,开奖记录!$A:$L,3,FALSE),"00")&amp;"+5="&amp;VLOOKUP(MOD(VLOOKUP($B804-1,开奖记录!$A:$L,3,FALSE)+4,49)+1,规律参数!$A:$C,3,FALSE),"")</f>
        <v/>
      </c>
      <c r="M804" s="19">
        <f>IF(L804="","",IF(I804="","待开奖",IF(ISNUMBER(SEARCH(I804,L804)),"命中","未命中")))</f>
        <v/>
      </c>
      <c r="N804" s="19">
        <f>IFERROR(VLOOKUP(VLOOKUP($B804-1,开奖记录!$A:$L,11,FALSE),八肖参数!$A:$B,2,FALSE),"")</f>
        <v/>
      </c>
      <c r="O804" s="19">
        <f>IF(N804="","",IF(I804="","待开奖",IF(ISNUMBER(SEARCH(I804,N804)),"命中","未命中")))</f>
        <v/>
      </c>
    </row>
    <row r="805">
      <c r="A805" s="19" t="n">
        <v>804</v>
      </c>
      <c r="B805" s="19">
        <f>IF(COUNTA(C805:E805)=0,"",B804+1)</f>
        <v/>
      </c>
      <c r="C805" s="19" t="inlineStr"/>
      <c r="D805" s="19" t="n"/>
      <c r="E805" s="19" t="n"/>
      <c r="F805" s="19">
        <f>IF(COUNTA(D805:E805)=0,"",N(D805)-N(E805))</f>
        <v/>
      </c>
      <c r="G805" s="19">
        <f>IFERROR(VLOOKUP($B805,'开奖记录'!$A:$K,2,FALSE),"")</f>
        <v/>
      </c>
      <c r="H805" s="19">
        <f>IFERROR(VLOOKUP($B805,'开奖记录'!$A:$K,9,FALSE),"")</f>
        <v/>
      </c>
      <c r="I805" s="19">
        <f>IFERROR(VLOOKUP($B805,'开奖记录'!$A:$K,11,FALSE),"")</f>
        <v/>
      </c>
      <c r="J805" s="19">
        <f>IF($B805="","",IF(ISNUMBER($D805),"命中",IF(ISNUMBER($E805),"未命中","")))</f>
        <v/>
      </c>
      <c r="K805" s="19" t="inlineStr"/>
      <c r="L805" s="19">
        <f>IFERROR(TEXT(VLOOKUP($B805-1,开奖记录!$A:$L,3,FALSE),"00")&amp;"+5="&amp;VLOOKUP(MOD(VLOOKUP($B805-1,开奖记录!$A:$L,3,FALSE)+4,49)+1,规律参数!$A:$C,3,FALSE),"")</f>
        <v/>
      </c>
      <c r="M805" s="19">
        <f>IF(L805="","",IF(I805="","待开奖",IF(ISNUMBER(SEARCH(I805,L805)),"命中","未命中")))</f>
        <v/>
      </c>
      <c r="N805" s="19">
        <f>IFERROR(VLOOKUP(VLOOKUP($B805-1,开奖记录!$A:$L,11,FALSE),八肖参数!$A:$B,2,FALSE),"")</f>
        <v/>
      </c>
      <c r="O805" s="19">
        <f>IF(N805="","",IF(I805="","待开奖",IF(ISNUMBER(SEARCH(I805,N805)),"命中","未命中")))</f>
        <v/>
      </c>
    </row>
    <row r="806">
      <c r="A806" s="19" t="n">
        <v>805</v>
      </c>
      <c r="B806" s="19">
        <f>IF(COUNTA(C806:E806)=0,"",B805+1)</f>
        <v/>
      </c>
      <c r="C806" s="19" t="inlineStr"/>
      <c r="D806" s="19" t="n"/>
      <c r="E806" s="19" t="n"/>
      <c r="F806" s="19">
        <f>IF(COUNTA(D806:E806)=0,"",N(D806)-N(E806))</f>
        <v/>
      </c>
      <c r="G806" s="19">
        <f>IFERROR(VLOOKUP($B806,'开奖记录'!$A:$K,2,FALSE),"")</f>
        <v/>
      </c>
      <c r="H806" s="19">
        <f>IFERROR(VLOOKUP($B806,'开奖记录'!$A:$K,9,FALSE),"")</f>
        <v/>
      </c>
      <c r="I806" s="19">
        <f>IFERROR(VLOOKUP($B806,'开奖记录'!$A:$K,11,FALSE),"")</f>
        <v/>
      </c>
      <c r="J806" s="19">
        <f>IF($B806="","",IF(ISNUMBER($D806),"命中",IF(ISNUMBER($E806),"未命中","")))</f>
        <v/>
      </c>
      <c r="K806" s="19" t="inlineStr"/>
      <c r="L806" s="19">
        <f>IFERROR(TEXT(VLOOKUP($B806-1,开奖记录!$A:$L,3,FALSE),"00")&amp;"+5="&amp;VLOOKUP(MOD(VLOOKUP($B806-1,开奖记录!$A:$L,3,FALSE)+4,49)+1,规律参数!$A:$C,3,FALSE),"")</f>
        <v/>
      </c>
      <c r="M806" s="19">
        <f>IF(L806="","",IF(I806="","待开奖",IF(ISNUMBER(SEARCH(I806,L806)),"命中","未命中")))</f>
        <v/>
      </c>
      <c r="N806" s="19">
        <f>IFERROR(VLOOKUP(VLOOKUP($B806-1,开奖记录!$A:$L,11,FALSE),八肖参数!$A:$B,2,FALSE),"")</f>
        <v/>
      </c>
      <c r="O806" s="19">
        <f>IF(N806="","",IF(I806="","待开奖",IF(ISNUMBER(SEARCH(I806,N806)),"命中","未命中")))</f>
        <v/>
      </c>
    </row>
    <row r="807">
      <c r="A807" s="19" t="n">
        <v>806</v>
      </c>
      <c r="B807" s="19">
        <f>IF(COUNTA(C807:E807)=0,"",B806+1)</f>
        <v/>
      </c>
      <c r="C807" s="19" t="inlineStr"/>
      <c r="D807" s="19" t="n"/>
      <c r="E807" s="19" t="n"/>
      <c r="F807" s="19">
        <f>IF(COUNTA(D807:E807)=0,"",N(D807)-N(E807))</f>
        <v/>
      </c>
      <c r="G807" s="19">
        <f>IFERROR(VLOOKUP($B807,'开奖记录'!$A:$K,2,FALSE),"")</f>
        <v/>
      </c>
      <c r="H807" s="19">
        <f>IFERROR(VLOOKUP($B807,'开奖记录'!$A:$K,9,FALSE),"")</f>
        <v/>
      </c>
      <c r="I807" s="19">
        <f>IFERROR(VLOOKUP($B807,'开奖记录'!$A:$K,11,FALSE),"")</f>
        <v/>
      </c>
      <c r="J807" s="19">
        <f>IF($B807="","",IF(ISNUMBER($D807),"命中",IF(ISNUMBER($E807),"未命中","")))</f>
        <v/>
      </c>
      <c r="K807" s="19" t="inlineStr"/>
      <c r="L807" s="19">
        <f>IFERROR(TEXT(VLOOKUP($B807-1,开奖记录!$A:$L,3,FALSE),"00")&amp;"+5="&amp;VLOOKUP(MOD(VLOOKUP($B807-1,开奖记录!$A:$L,3,FALSE)+4,49)+1,规律参数!$A:$C,3,FALSE),"")</f>
        <v/>
      </c>
      <c r="M807" s="19">
        <f>IF(L807="","",IF(I807="","待开奖",IF(ISNUMBER(SEARCH(I807,L807)),"命中","未命中")))</f>
        <v/>
      </c>
      <c r="N807" s="19">
        <f>IFERROR(VLOOKUP(VLOOKUP($B807-1,开奖记录!$A:$L,11,FALSE),八肖参数!$A:$B,2,FALSE),"")</f>
        <v/>
      </c>
      <c r="O807" s="19">
        <f>IF(N807="","",IF(I807="","待开奖",IF(ISNUMBER(SEARCH(I807,N807)),"命中","未命中")))</f>
        <v/>
      </c>
    </row>
    <row r="808">
      <c r="A808" s="19" t="n">
        <v>807</v>
      </c>
      <c r="B808" s="19">
        <f>IF(COUNTA(C808:E808)=0,"",B807+1)</f>
        <v/>
      </c>
      <c r="C808" s="19" t="inlineStr"/>
      <c r="D808" s="19" t="n"/>
      <c r="E808" s="19" t="n"/>
      <c r="F808" s="19">
        <f>IF(COUNTA(D808:E808)=0,"",N(D808)-N(E808))</f>
        <v/>
      </c>
      <c r="G808" s="19">
        <f>IFERROR(VLOOKUP($B808,'开奖记录'!$A:$K,2,FALSE),"")</f>
        <v/>
      </c>
      <c r="H808" s="19">
        <f>IFERROR(VLOOKUP($B808,'开奖记录'!$A:$K,9,FALSE),"")</f>
        <v/>
      </c>
      <c r="I808" s="19">
        <f>IFERROR(VLOOKUP($B808,'开奖记录'!$A:$K,11,FALSE),"")</f>
        <v/>
      </c>
      <c r="J808" s="19">
        <f>IF($B808="","",IF(ISNUMBER($D808),"命中",IF(ISNUMBER($E808),"未命中","")))</f>
        <v/>
      </c>
      <c r="K808" s="19" t="inlineStr"/>
      <c r="L808" s="19">
        <f>IFERROR(TEXT(VLOOKUP($B808-1,开奖记录!$A:$L,3,FALSE),"00")&amp;"+5="&amp;VLOOKUP(MOD(VLOOKUP($B808-1,开奖记录!$A:$L,3,FALSE)+4,49)+1,规律参数!$A:$C,3,FALSE),"")</f>
        <v/>
      </c>
      <c r="M808" s="19">
        <f>IF(L808="","",IF(I808="","待开奖",IF(ISNUMBER(SEARCH(I808,L808)),"命中","未命中")))</f>
        <v/>
      </c>
      <c r="N808" s="19">
        <f>IFERROR(VLOOKUP(VLOOKUP($B808-1,开奖记录!$A:$L,11,FALSE),八肖参数!$A:$B,2,FALSE),"")</f>
        <v/>
      </c>
      <c r="O808" s="19">
        <f>IF(N808="","",IF(I808="","待开奖",IF(ISNUMBER(SEARCH(I808,N808)),"命中","未命中")))</f>
        <v/>
      </c>
    </row>
    <row r="809">
      <c r="A809" s="19" t="n">
        <v>808</v>
      </c>
      <c r="B809" s="19">
        <f>IF(COUNTA(C809:E809)=0,"",B808+1)</f>
        <v/>
      </c>
      <c r="C809" s="19" t="inlineStr"/>
      <c r="D809" s="19" t="n"/>
      <c r="E809" s="19" t="n"/>
      <c r="F809" s="19">
        <f>IF(COUNTA(D809:E809)=0,"",N(D809)-N(E809))</f>
        <v/>
      </c>
      <c r="G809" s="19">
        <f>IFERROR(VLOOKUP($B809,'开奖记录'!$A:$K,2,FALSE),"")</f>
        <v/>
      </c>
      <c r="H809" s="19">
        <f>IFERROR(VLOOKUP($B809,'开奖记录'!$A:$K,9,FALSE),"")</f>
        <v/>
      </c>
      <c r="I809" s="19">
        <f>IFERROR(VLOOKUP($B809,'开奖记录'!$A:$K,11,FALSE),"")</f>
        <v/>
      </c>
      <c r="J809" s="19">
        <f>IF($B809="","",IF(ISNUMBER($D809),"命中",IF(ISNUMBER($E809),"未命中","")))</f>
        <v/>
      </c>
      <c r="K809" s="19" t="inlineStr"/>
      <c r="L809" s="19">
        <f>IFERROR(TEXT(VLOOKUP($B809-1,开奖记录!$A:$L,3,FALSE),"00")&amp;"+5="&amp;VLOOKUP(MOD(VLOOKUP($B809-1,开奖记录!$A:$L,3,FALSE)+4,49)+1,规律参数!$A:$C,3,FALSE),"")</f>
        <v/>
      </c>
      <c r="M809" s="19">
        <f>IF(L809="","",IF(I809="","待开奖",IF(ISNUMBER(SEARCH(I809,L809)),"命中","未命中")))</f>
        <v/>
      </c>
      <c r="N809" s="19">
        <f>IFERROR(VLOOKUP(VLOOKUP($B809-1,开奖记录!$A:$L,11,FALSE),八肖参数!$A:$B,2,FALSE),"")</f>
        <v/>
      </c>
      <c r="O809" s="19">
        <f>IF(N809="","",IF(I809="","待开奖",IF(ISNUMBER(SEARCH(I809,N809)),"命中","未命中")))</f>
        <v/>
      </c>
    </row>
    <row r="810">
      <c r="A810" s="19" t="n">
        <v>809</v>
      </c>
      <c r="B810" s="19">
        <f>IF(COUNTA(C810:E810)=0,"",B809+1)</f>
        <v/>
      </c>
      <c r="C810" s="19" t="inlineStr"/>
      <c r="D810" s="19" t="n"/>
      <c r="E810" s="19" t="n"/>
      <c r="F810" s="19">
        <f>IF(COUNTA(D810:E810)=0,"",N(D810)-N(E810))</f>
        <v/>
      </c>
      <c r="G810" s="19">
        <f>IFERROR(VLOOKUP($B810,'开奖记录'!$A:$K,2,FALSE),"")</f>
        <v/>
      </c>
      <c r="H810" s="19">
        <f>IFERROR(VLOOKUP($B810,'开奖记录'!$A:$K,9,FALSE),"")</f>
        <v/>
      </c>
      <c r="I810" s="19">
        <f>IFERROR(VLOOKUP($B810,'开奖记录'!$A:$K,11,FALSE),"")</f>
        <v/>
      </c>
      <c r="J810" s="19">
        <f>IF($B810="","",IF(ISNUMBER($D810),"命中",IF(ISNUMBER($E810),"未命中","")))</f>
        <v/>
      </c>
      <c r="K810" s="19" t="inlineStr"/>
      <c r="L810" s="19">
        <f>IFERROR(TEXT(VLOOKUP($B810-1,开奖记录!$A:$L,3,FALSE),"00")&amp;"+5="&amp;VLOOKUP(MOD(VLOOKUP($B810-1,开奖记录!$A:$L,3,FALSE)+4,49)+1,规律参数!$A:$C,3,FALSE),"")</f>
        <v/>
      </c>
      <c r="M810" s="19">
        <f>IF(L810="","",IF(I810="","待开奖",IF(ISNUMBER(SEARCH(I810,L810)),"命中","未命中")))</f>
        <v/>
      </c>
      <c r="N810" s="19">
        <f>IFERROR(VLOOKUP(VLOOKUP($B810-1,开奖记录!$A:$L,11,FALSE),八肖参数!$A:$B,2,FALSE),"")</f>
        <v/>
      </c>
      <c r="O810" s="19">
        <f>IF(N810="","",IF(I810="","待开奖",IF(ISNUMBER(SEARCH(I810,N810)),"命中","未命中")))</f>
        <v/>
      </c>
    </row>
    <row r="811">
      <c r="A811" s="19" t="n">
        <v>810</v>
      </c>
      <c r="B811" s="19">
        <f>IF(COUNTA(C811:E811)=0,"",B810+1)</f>
        <v/>
      </c>
      <c r="C811" s="19" t="inlineStr"/>
      <c r="D811" s="19" t="n"/>
      <c r="E811" s="19" t="n"/>
      <c r="F811" s="19">
        <f>IF(COUNTA(D811:E811)=0,"",N(D811)-N(E811))</f>
        <v/>
      </c>
      <c r="G811" s="19">
        <f>IFERROR(VLOOKUP($B811,'开奖记录'!$A:$K,2,FALSE),"")</f>
        <v/>
      </c>
      <c r="H811" s="19">
        <f>IFERROR(VLOOKUP($B811,'开奖记录'!$A:$K,9,FALSE),"")</f>
        <v/>
      </c>
      <c r="I811" s="19">
        <f>IFERROR(VLOOKUP($B811,'开奖记录'!$A:$K,11,FALSE),"")</f>
        <v/>
      </c>
      <c r="J811" s="19">
        <f>IF($B811="","",IF(ISNUMBER($D811),"命中",IF(ISNUMBER($E811),"未命中","")))</f>
        <v/>
      </c>
      <c r="K811" s="19" t="inlineStr"/>
      <c r="L811" s="19">
        <f>IFERROR(TEXT(VLOOKUP($B811-1,开奖记录!$A:$L,3,FALSE),"00")&amp;"+5="&amp;VLOOKUP(MOD(VLOOKUP($B811-1,开奖记录!$A:$L,3,FALSE)+4,49)+1,规律参数!$A:$C,3,FALSE),"")</f>
        <v/>
      </c>
      <c r="M811" s="19">
        <f>IF(L811="","",IF(I811="","待开奖",IF(ISNUMBER(SEARCH(I811,L811)),"命中","未命中")))</f>
        <v/>
      </c>
      <c r="N811" s="19">
        <f>IFERROR(VLOOKUP(VLOOKUP($B811-1,开奖记录!$A:$L,11,FALSE),八肖参数!$A:$B,2,FALSE),"")</f>
        <v/>
      </c>
      <c r="O811" s="19">
        <f>IF(N811="","",IF(I811="","待开奖",IF(ISNUMBER(SEARCH(I811,N811)),"命中","未命中")))</f>
        <v/>
      </c>
    </row>
    <row r="812">
      <c r="A812" s="19" t="n">
        <v>811</v>
      </c>
      <c r="B812" s="19">
        <f>IF(COUNTA(C812:E812)=0,"",B811+1)</f>
        <v/>
      </c>
      <c r="C812" s="19" t="inlineStr"/>
      <c r="D812" s="19" t="n"/>
      <c r="E812" s="19" t="n"/>
      <c r="F812" s="19">
        <f>IF(COUNTA(D812:E812)=0,"",N(D812)-N(E812))</f>
        <v/>
      </c>
      <c r="G812" s="19">
        <f>IFERROR(VLOOKUP($B812,'开奖记录'!$A:$K,2,FALSE),"")</f>
        <v/>
      </c>
      <c r="H812" s="19">
        <f>IFERROR(VLOOKUP($B812,'开奖记录'!$A:$K,9,FALSE),"")</f>
        <v/>
      </c>
      <c r="I812" s="19">
        <f>IFERROR(VLOOKUP($B812,'开奖记录'!$A:$K,11,FALSE),"")</f>
        <v/>
      </c>
      <c r="J812" s="19">
        <f>IF($B812="","",IF(ISNUMBER($D812),"命中",IF(ISNUMBER($E812),"未命中","")))</f>
        <v/>
      </c>
      <c r="K812" s="19" t="inlineStr"/>
      <c r="L812" s="19">
        <f>IFERROR(TEXT(VLOOKUP($B812-1,开奖记录!$A:$L,3,FALSE),"00")&amp;"+5="&amp;VLOOKUP(MOD(VLOOKUP($B812-1,开奖记录!$A:$L,3,FALSE)+4,49)+1,规律参数!$A:$C,3,FALSE),"")</f>
        <v/>
      </c>
      <c r="M812" s="19">
        <f>IF(L812="","",IF(I812="","待开奖",IF(ISNUMBER(SEARCH(I812,L812)),"命中","未命中")))</f>
        <v/>
      </c>
      <c r="N812" s="19">
        <f>IFERROR(VLOOKUP(VLOOKUP($B812-1,开奖记录!$A:$L,11,FALSE),八肖参数!$A:$B,2,FALSE),"")</f>
        <v/>
      </c>
      <c r="O812" s="19">
        <f>IF(N812="","",IF(I812="","待开奖",IF(ISNUMBER(SEARCH(I812,N812)),"命中","未命中")))</f>
        <v/>
      </c>
    </row>
    <row r="813">
      <c r="A813" s="19" t="n">
        <v>812</v>
      </c>
      <c r="B813" s="19">
        <f>IF(COUNTA(C813:E813)=0,"",B812+1)</f>
        <v/>
      </c>
      <c r="C813" s="19" t="inlineStr"/>
      <c r="D813" s="19" t="n"/>
      <c r="E813" s="19" t="n"/>
      <c r="F813" s="19">
        <f>IF(COUNTA(D813:E813)=0,"",N(D813)-N(E813))</f>
        <v/>
      </c>
      <c r="G813" s="19">
        <f>IFERROR(VLOOKUP($B813,'开奖记录'!$A:$K,2,FALSE),"")</f>
        <v/>
      </c>
      <c r="H813" s="19">
        <f>IFERROR(VLOOKUP($B813,'开奖记录'!$A:$K,9,FALSE),"")</f>
        <v/>
      </c>
      <c r="I813" s="19">
        <f>IFERROR(VLOOKUP($B813,'开奖记录'!$A:$K,11,FALSE),"")</f>
        <v/>
      </c>
      <c r="J813" s="19">
        <f>IF($B813="","",IF(ISNUMBER($D813),"命中",IF(ISNUMBER($E813),"未命中","")))</f>
        <v/>
      </c>
      <c r="K813" s="19" t="inlineStr"/>
      <c r="L813" s="19">
        <f>IFERROR(TEXT(VLOOKUP($B813-1,开奖记录!$A:$L,3,FALSE),"00")&amp;"+5="&amp;VLOOKUP(MOD(VLOOKUP($B813-1,开奖记录!$A:$L,3,FALSE)+4,49)+1,规律参数!$A:$C,3,FALSE),"")</f>
        <v/>
      </c>
      <c r="M813" s="19">
        <f>IF(L813="","",IF(I813="","待开奖",IF(ISNUMBER(SEARCH(I813,L813)),"命中","未命中")))</f>
        <v/>
      </c>
      <c r="N813" s="19">
        <f>IFERROR(VLOOKUP(VLOOKUP($B813-1,开奖记录!$A:$L,11,FALSE),八肖参数!$A:$B,2,FALSE),"")</f>
        <v/>
      </c>
      <c r="O813" s="19">
        <f>IF(N813="","",IF(I813="","待开奖",IF(ISNUMBER(SEARCH(I813,N813)),"命中","未命中")))</f>
        <v/>
      </c>
    </row>
    <row r="814">
      <c r="A814" s="19" t="n">
        <v>813</v>
      </c>
      <c r="B814" s="19">
        <f>IF(COUNTA(C814:E814)=0,"",B813+1)</f>
        <v/>
      </c>
      <c r="C814" s="19" t="inlineStr"/>
      <c r="D814" s="19" t="n"/>
      <c r="E814" s="19" t="n"/>
      <c r="F814" s="19">
        <f>IF(COUNTA(D814:E814)=0,"",N(D814)-N(E814))</f>
        <v/>
      </c>
      <c r="G814" s="19">
        <f>IFERROR(VLOOKUP($B814,'开奖记录'!$A:$K,2,FALSE),"")</f>
        <v/>
      </c>
      <c r="H814" s="19">
        <f>IFERROR(VLOOKUP($B814,'开奖记录'!$A:$K,9,FALSE),"")</f>
        <v/>
      </c>
      <c r="I814" s="19">
        <f>IFERROR(VLOOKUP($B814,'开奖记录'!$A:$K,11,FALSE),"")</f>
        <v/>
      </c>
      <c r="J814" s="19">
        <f>IF($B814="","",IF(ISNUMBER($D814),"命中",IF(ISNUMBER($E814),"未命中","")))</f>
        <v/>
      </c>
      <c r="K814" s="19" t="inlineStr"/>
      <c r="L814" s="19">
        <f>IFERROR(TEXT(VLOOKUP($B814-1,开奖记录!$A:$L,3,FALSE),"00")&amp;"+5="&amp;VLOOKUP(MOD(VLOOKUP($B814-1,开奖记录!$A:$L,3,FALSE)+4,49)+1,规律参数!$A:$C,3,FALSE),"")</f>
        <v/>
      </c>
      <c r="M814" s="19">
        <f>IF(L814="","",IF(I814="","待开奖",IF(ISNUMBER(SEARCH(I814,L814)),"命中","未命中")))</f>
        <v/>
      </c>
      <c r="N814" s="19">
        <f>IFERROR(VLOOKUP(VLOOKUP($B814-1,开奖记录!$A:$L,11,FALSE),八肖参数!$A:$B,2,FALSE),"")</f>
        <v/>
      </c>
      <c r="O814" s="19">
        <f>IF(N814="","",IF(I814="","待开奖",IF(ISNUMBER(SEARCH(I814,N814)),"命中","未命中")))</f>
        <v/>
      </c>
    </row>
    <row r="815">
      <c r="A815" s="19" t="n">
        <v>814</v>
      </c>
      <c r="B815" s="19">
        <f>IF(COUNTA(C815:E815)=0,"",B814+1)</f>
        <v/>
      </c>
      <c r="C815" s="19" t="inlineStr"/>
      <c r="D815" s="19" t="n"/>
      <c r="E815" s="19" t="n"/>
      <c r="F815" s="19">
        <f>IF(COUNTA(D815:E815)=0,"",N(D815)-N(E815))</f>
        <v/>
      </c>
      <c r="G815" s="19">
        <f>IFERROR(VLOOKUP($B815,'开奖记录'!$A:$K,2,FALSE),"")</f>
        <v/>
      </c>
      <c r="H815" s="19">
        <f>IFERROR(VLOOKUP($B815,'开奖记录'!$A:$K,9,FALSE),"")</f>
        <v/>
      </c>
      <c r="I815" s="19">
        <f>IFERROR(VLOOKUP($B815,'开奖记录'!$A:$K,11,FALSE),"")</f>
        <v/>
      </c>
      <c r="J815" s="19">
        <f>IF($B815="","",IF(ISNUMBER($D815),"命中",IF(ISNUMBER($E815),"未命中","")))</f>
        <v/>
      </c>
      <c r="K815" s="19" t="inlineStr"/>
      <c r="L815" s="19">
        <f>IFERROR(TEXT(VLOOKUP($B815-1,开奖记录!$A:$L,3,FALSE),"00")&amp;"+5="&amp;VLOOKUP(MOD(VLOOKUP($B815-1,开奖记录!$A:$L,3,FALSE)+4,49)+1,规律参数!$A:$C,3,FALSE),"")</f>
        <v/>
      </c>
      <c r="M815" s="19">
        <f>IF(L815="","",IF(I815="","待开奖",IF(ISNUMBER(SEARCH(I815,L815)),"命中","未命中")))</f>
        <v/>
      </c>
      <c r="N815" s="19">
        <f>IFERROR(VLOOKUP(VLOOKUP($B815-1,开奖记录!$A:$L,11,FALSE),八肖参数!$A:$B,2,FALSE),"")</f>
        <v/>
      </c>
      <c r="O815" s="19">
        <f>IF(N815="","",IF(I815="","待开奖",IF(ISNUMBER(SEARCH(I815,N815)),"命中","未命中")))</f>
        <v/>
      </c>
    </row>
    <row r="816">
      <c r="A816" s="19" t="n">
        <v>815</v>
      </c>
      <c r="B816" s="19">
        <f>IF(COUNTA(C816:E816)=0,"",B815+1)</f>
        <v/>
      </c>
      <c r="C816" s="19" t="inlineStr"/>
      <c r="D816" s="19" t="n"/>
      <c r="E816" s="19" t="n"/>
      <c r="F816" s="19">
        <f>IF(COUNTA(D816:E816)=0,"",N(D816)-N(E816))</f>
        <v/>
      </c>
      <c r="G816" s="19">
        <f>IFERROR(VLOOKUP($B816,'开奖记录'!$A:$K,2,FALSE),"")</f>
        <v/>
      </c>
      <c r="H816" s="19">
        <f>IFERROR(VLOOKUP($B816,'开奖记录'!$A:$K,9,FALSE),"")</f>
        <v/>
      </c>
      <c r="I816" s="19">
        <f>IFERROR(VLOOKUP($B816,'开奖记录'!$A:$K,11,FALSE),"")</f>
        <v/>
      </c>
      <c r="J816" s="19">
        <f>IF($B816="","",IF(ISNUMBER($D816),"命中",IF(ISNUMBER($E816),"未命中","")))</f>
        <v/>
      </c>
      <c r="K816" s="19" t="inlineStr"/>
      <c r="L816" s="19">
        <f>IFERROR(TEXT(VLOOKUP($B816-1,开奖记录!$A:$L,3,FALSE),"00")&amp;"+5="&amp;VLOOKUP(MOD(VLOOKUP($B816-1,开奖记录!$A:$L,3,FALSE)+4,49)+1,规律参数!$A:$C,3,FALSE),"")</f>
        <v/>
      </c>
      <c r="M816" s="19">
        <f>IF(L816="","",IF(I816="","待开奖",IF(ISNUMBER(SEARCH(I816,L816)),"命中","未命中")))</f>
        <v/>
      </c>
      <c r="N816" s="19">
        <f>IFERROR(VLOOKUP(VLOOKUP($B816-1,开奖记录!$A:$L,11,FALSE),八肖参数!$A:$B,2,FALSE),"")</f>
        <v/>
      </c>
      <c r="O816" s="19">
        <f>IF(N816="","",IF(I816="","待开奖",IF(ISNUMBER(SEARCH(I816,N816)),"命中","未命中")))</f>
        <v/>
      </c>
    </row>
    <row r="817">
      <c r="A817" s="19" t="n">
        <v>816</v>
      </c>
      <c r="B817" s="19">
        <f>IF(COUNTA(C817:E817)=0,"",B816+1)</f>
        <v/>
      </c>
      <c r="C817" s="19" t="inlineStr"/>
      <c r="D817" s="19" t="n"/>
      <c r="E817" s="19" t="n"/>
      <c r="F817" s="19">
        <f>IF(COUNTA(D817:E817)=0,"",N(D817)-N(E817))</f>
        <v/>
      </c>
      <c r="G817" s="19">
        <f>IFERROR(VLOOKUP($B817,'开奖记录'!$A:$K,2,FALSE),"")</f>
        <v/>
      </c>
      <c r="H817" s="19">
        <f>IFERROR(VLOOKUP($B817,'开奖记录'!$A:$K,9,FALSE),"")</f>
        <v/>
      </c>
      <c r="I817" s="19">
        <f>IFERROR(VLOOKUP($B817,'开奖记录'!$A:$K,11,FALSE),"")</f>
        <v/>
      </c>
      <c r="J817" s="19">
        <f>IF($B817="","",IF(ISNUMBER($D817),"命中",IF(ISNUMBER($E817),"未命中","")))</f>
        <v/>
      </c>
      <c r="K817" s="19" t="inlineStr"/>
      <c r="L817" s="19">
        <f>IFERROR(TEXT(VLOOKUP($B817-1,开奖记录!$A:$L,3,FALSE),"00")&amp;"+5="&amp;VLOOKUP(MOD(VLOOKUP($B817-1,开奖记录!$A:$L,3,FALSE)+4,49)+1,规律参数!$A:$C,3,FALSE),"")</f>
        <v/>
      </c>
      <c r="M817" s="19">
        <f>IF(L817="","",IF(I817="","待开奖",IF(ISNUMBER(SEARCH(I817,L817)),"命中","未命中")))</f>
        <v/>
      </c>
      <c r="N817" s="19">
        <f>IFERROR(VLOOKUP(VLOOKUP($B817-1,开奖记录!$A:$L,11,FALSE),八肖参数!$A:$B,2,FALSE),"")</f>
        <v/>
      </c>
      <c r="O817" s="19">
        <f>IF(N817="","",IF(I817="","待开奖",IF(ISNUMBER(SEARCH(I817,N817)),"命中","未命中")))</f>
        <v/>
      </c>
    </row>
    <row r="818">
      <c r="A818" s="19" t="n">
        <v>817</v>
      </c>
      <c r="B818" s="19">
        <f>IF(COUNTA(C818:E818)=0,"",B817+1)</f>
        <v/>
      </c>
      <c r="C818" s="19" t="inlineStr"/>
      <c r="D818" s="19" t="n"/>
      <c r="E818" s="19" t="n"/>
      <c r="F818" s="19">
        <f>IF(COUNTA(D818:E818)=0,"",N(D818)-N(E818))</f>
        <v/>
      </c>
      <c r="G818" s="19">
        <f>IFERROR(VLOOKUP($B818,'开奖记录'!$A:$K,2,FALSE),"")</f>
        <v/>
      </c>
      <c r="H818" s="19">
        <f>IFERROR(VLOOKUP($B818,'开奖记录'!$A:$K,9,FALSE),"")</f>
        <v/>
      </c>
      <c r="I818" s="19">
        <f>IFERROR(VLOOKUP($B818,'开奖记录'!$A:$K,11,FALSE),"")</f>
        <v/>
      </c>
      <c r="J818" s="19">
        <f>IF($B818="","",IF(ISNUMBER($D818),"命中",IF(ISNUMBER($E818),"未命中","")))</f>
        <v/>
      </c>
      <c r="K818" s="19" t="inlineStr"/>
      <c r="L818" s="19">
        <f>IFERROR(TEXT(VLOOKUP($B818-1,开奖记录!$A:$L,3,FALSE),"00")&amp;"+5="&amp;VLOOKUP(MOD(VLOOKUP($B818-1,开奖记录!$A:$L,3,FALSE)+4,49)+1,规律参数!$A:$C,3,FALSE),"")</f>
        <v/>
      </c>
      <c r="M818" s="19">
        <f>IF(L818="","",IF(I818="","待开奖",IF(ISNUMBER(SEARCH(I818,L818)),"命中","未命中")))</f>
        <v/>
      </c>
      <c r="N818" s="19">
        <f>IFERROR(VLOOKUP(VLOOKUP($B818-1,开奖记录!$A:$L,11,FALSE),八肖参数!$A:$B,2,FALSE),"")</f>
        <v/>
      </c>
      <c r="O818" s="19">
        <f>IF(N818="","",IF(I818="","待开奖",IF(ISNUMBER(SEARCH(I818,N818)),"命中","未命中")))</f>
        <v/>
      </c>
    </row>
    <row r="819">
      <c r="A819" s="19" t="n">
        <v>818</v>
      </c>
      <c r="B819" s="19">
        <f>IF(COUNTA(C819:E819)=0,"",B818+1)</f>
        <v/>
      </c>
      <c r="C819" s="19" t="inlineStr"/>
      <c r="D819" s="19" t="n"/>
      <c r="E819" s="19" t="n"/>
      <c r="F819" s="19">
        <f>IF(COUNTA(D819:E819)=0,"",N(D819)-N(E819))</f>
        <v/>
      </c>
      <c r="G819" s="19">
        <f>IFERROR(VLOOKUP($B819,'开奖记录'!$A:$K,2,FALSE),"")</f>
        <v/>
      </c>
      <c r="H819" s="19">
        <f>IFERROR(VLOOKUP($B819,'开奖记录'!$A:$K,9,FALSE),"")</f>
        <v/>
      </c>
      <c r="I819" s="19">
        <f>IFERROR(VLOOKUP($B819,'开奖记录'!$A:$K,11,FALSE),"")</f>
        <v/>
      </c>
      <c r="J819" s="19">
        <f>IF($B819="","",IF(ISNUMBER($D819),"命中",IF(ISNUMBER($E819),"未命中","")))</f>
        <v/>
      </c>
      <c r="K819" s="19" t="inlineStr"/>
      <c r="L819" s="19">
        <f>IFERROR(TEXT(VLOOKUP($B819-1,开奖记录!$A:$L,3,FALSE),"00")&amp;"+5="&amp;VLOOKUP(MOD(VLOOKUP($B819-1,开奖记录!$A:$L,3,FALSE)+4,49)+1,规律参数!$A:$C,3,FALSE),"")</f>
        <v/>
      </c>
      <c r="M819" s="19">
        <f>IF(L819="","",IF(I819="","待开奖",IF(ISNUMBER(SEARCH(I819,L819)),"命中","未命中")))</f>
        <v/>
      </c>
      <c r="N819" s="19">
        <f>IFERROR(VLOOKUP(VLOOKUP($B819-1,开奖记录!$A:$L,11,FALSE),八肖参数!$A:$B,2,FALSE),"")</f>
        <v/>
      </c>
      <c r="O819" s="19">
        <f>IF(N819="","",IF(I819="","待开奖",IF(ISNUMBER(SEARCH(I819,N819)),"命中","未命中")))</f>
        <v/>
      </c>
    </row>
    <row r="820">
      <c r="A820" s="19" t="n">
        <v>819</v>
      </c>
      <c r="B820" s="19">
        <f>IF(COUNTA(C820:E820)=0,"",B819+1)</f>
        <v/>
      </c>
      <c r="C820" s="19" t="inlineStr"/>
      <c r="D820" s="19" t="n"/>
      <c r="E820" s="19" t="n"/>
      <c r="F820" s="19">
        <f>IF(COUNTA(D820:E820)=0,"",N(D820)-N(E820))</f>
        <v/>
      </c>
      <c r="G820" s="19">
        <f>IFERROR(VLOOKUP($B820,'开奖记录'!$A:$K,2,FALSE),"")</f>
        <v/>
      </c>
      <c r="H820" s="19">
        <f>IFERROR(VLOOKUP($B820,'开奖记录'!$A:$K,9,FALSE),"")</f>
        <v/>
      </c>
      <c r="I820" s="19">
        <f>IFERROR(VLOOKUP($B820,'开奖记录'!$A:$K,11,FALSE),"")</f>
        <v/>
      </c>
      <c r="J820" s="19">
        <f>IF($B820="","",IF(ISNUMBER($D820),"命中",IF(ISNUMBER($E820),"未命中","")))</f>
        <v/>
      </c>
      <c r="K820" s="19" t="inlineStr"/>
      <c r="L820" s="19">
        <f>IFERROR(TEXT(VLOOKUP($B820-1,开奖记录!$A:$L,3,FALSE),"00")&amp;"+5="&amp;VLOOKUP(MOD(VLOOKUP($B820-1,开奖记录!$A:$L,3,FALSE)+4,49)+1,规律参数!$A:$C,3,FALSE),"")</f>
        <v/>
      </c>
      <c r="M820" s="19">
        <f>IF(L820="","",IF(I820="","待开奖",IF(ISNUMBER(SEARCH(I820,L820)),"命中","未命中")))</f>
        <v/>
      </c>
      <c r="N820" s="19">
        <f>IFERROR(VLOOKUP(VLOOKUP($B820-1,开奖记录!$A:$L,11,FALSE),八肖参数!$A:$B,2,FALSE),"")</f>
        <v/>
      </c>
      <c r="O820" s="19">
        <f>IF(N820="","",IF(I820="","待开奖",IF(ISNUMBER(SEARCH(I820,N820)),"命中","未命中")))</f>
        <v/>
      </c>
    </row>
    <row r="821">
      <c r="A821" s="19" t="n">
        <v>820</v>
      </c>
      <c r="B821" s="19">
        <f>IF(COUNTA(C821:E821)=0,"",B820+1)</f>
        <v/>
      </c>
      <c r="C821" s="19" t="inlineStr"/>
      <c r="D821" s="19" t="n"/>
      <c r="E821" s="19" t="n"/>
      <c r="F821" s="19">
        <f>IF(COUNTA(D821:E821)=0,"",N(D821)-N(E821))</f>
        <v/>
      </c>
      <c r="G821" s="19">
        <f>IFERROR(VLOOKUP($B821,'开奖记录'!$A:$K,2,FALSE),"")</f>
        <v/>
      </c>
      <c r="H821" s="19">
        <f>IFERROR(VLOOKUP($B821,'开奖记录'!$A:$K,9,FALSE),"")</f>
        <v/>
      </c>
      <c r="I821" s="19">
        <f>IFERROR(VLOOKUP($B821,'开奖记录'!$A:$K,11,FALSE),"")</f>
        <v/>
      </c>
      <c r="J821" s="19">
        <f>IF($B821="","",IF(ISNUMBER($D821),"命中",IF(ISNUMBER($E821),"未命中","")))</f>
        <v/>
      </c>
      <c r="K821" s="19" t="inlineStr"/>
      <c r="L821" s="19">
        <f>IFERROR(TEXT(VLOOKUP($B821-1,开奖记录!$A:$L,3,FALSE),"00")&amp;"+5="&amp;VLOOKUP(MOD(VLOOKUP($B821-1,开奖记录!$A:$L,3,FALSE)+4,49)+1,规律参数!$A:$C,3,FALSE),"")</f>
        <v/>
      </c>
      <c r="M821" s="19">
        <f>IF(L821="","",IF(I821="","待开奖",IF(ISNUMBER(SEARCH(I821,L821)),"命中","未命中")))</f>
        <v/>
      </c>
      <c r="N821" s="19">
        <f>IFERROR(VLOOKUP(VLOOKUP($B821-1,开奖记录!$A:$L,11,FALSE),八肖参数!$A:$B,2,FALSE),"")</f>
        <v/>
      </c>
      <c r="O821" s="19">
        <f>IF(N821="","",IF(I821="","待开奖",IF(ISNUMBER(SEARCH(I821,N821)),"命中","未命中")))</f>
        <v/>
      </c>
    </row>
    <row r="822">
      <c r="A822" s="19" t="n">
        <v>821</v>
      </c>
      <c r="B822" s="19">
        <f>IF(COUNTA(C822:E822)=0,"",B821+1)</f>
        <v/>
      </c>
      <c r="C822" s="19" t="inlineStr"/>
      <c r="D822" s="19" t="n"/>
      <c r="E822" s="19" t="n"/>
      <c r="F822" s="19">
        <f>IF(COUNTA(D822:E822)=0,"",N(D822)-N(E822))</f>
        <v/>
      </c>
      <c r="G822" s="19">
        <f>IFERROR(VLOOKUP($B822,'开奖记录'!$A:$K,2,FALSE),"")</f>
        <v/>
      </c>
      <c r="H822" s="19">
        <f>IFERROR(VLOOKUP($B822,'开奖记录'!$A:$K,9,FALSE),"")</f>
        <v/>
      </c>
      <c r="I822" s="19">
        <f>IFERROR(VLOOKUP($B822,'开奖记录'!$A:$K,11,FALSE),"")</f>
        <v/>
      </c>
      <c r="J822" s="19">
        <f>IF($B822="","",IF(ISNUMBER($D822),"命中",IF(ISNUMBER($E822),"未命中","")))</f>
        <v/>
      </c>
      <c r="K822" s="19" t="inlineStr"/>
      <c r="L822" s="19">
        <f>IFERROR(TEXT(VLOOKUP($B822-1,开奖记录!$A:$L,3,FALSE),"00")&amp;"+5="&amp;VLOOKUP(MOD(VLOOKUP($B822-1,开奖记录!$A:$L,3,FALSE)+4,49)+1,规律参数!$A:$C,3,FALSE),"")</f>
        <v/>
      </c>
      <c r="M822" s="19">
        <f>IF(L822="","",IF(I822="","待开奖",IF(ISNUMBER(SEARCH(I822,L822)),"命中","未命中")))</f>
        <v/>
      </c>
      <c r="N822" s="19">
        <f>IFERROR(VLOOKUP(VLOOKUP($B822-1,开奖记录!$A:$L,11,FALSE),八肖参数!$A:$B,2,FALSE),"")</f>
        <v/>
      </c>
      <c r="O822" s="19">
        <f>IF(N822="","",IF(I822="","待开奖",IF(ISNUMBER(SEARCH(I822,N822)),"命中","未命中")))</f>
        <v/>
      </c>
    </row>
    <row r="823">
      <c r="A823" s="19" t="n">
        <v>822</v>
      </c>
      <c r="B823" s="19">
        <f>IF(COUNTA(C823:E823)=0,"",B822+1)</f>
        <v/>
      </c>
      <c r="C823" s="19" t="inlineStr"/>
      <c r="D823" s="19" t="n"/>
      <c r="E823" s="19" t="n"/>
      <c r="F823" s="19">
        <f>IF(COUNTA(D823:E823)=0,"",N(D823)-N(E823))</f>
        <v/>
      </c>
      <c r="G823" s="19">
        <f>IFERROR(VLOOKUP($B823,'开奖记录'!$A:$K,2,FALSE),"")</f>
        <v/>
      </c>
      <c r="H823" s="19">
        <f>IFERROR(VLOOKUP($B823,'开奖记录'!$A:$K,9,FALSE),"")</f>
        <v/>
      </c>
      <c r="I823" s="19">
        <f>IFERROR(VLOOKUP($B823,'开奖记录'!$A:$K,11,FALSE),"")</f>
        <v/>
      </c>
      <c r="J823" s="19">
        <f>IF($B823="","",IF(ISNUMBER($D823),"命中",IF(ISNUMBER($E823),"未命中","")))</f>
        <v/>
      </c>
      <c r="K823" s="19" t="inlineStr"/>
      <c r="L823" s="19">
        <f>IFERROR(TEXT(VLOOKUP($B823-1,开奖记录!$A:$L,3,FALSE),"00")&amp;"+5="&amp;VLOOKUP(MOD(VLOOKUP($B823-1,开奖记录!$A:$L,3,FALSE)+4,49)+1,规律参数!$A:$C,3,FALSE),"")</f>
        <v/>
      </c>
      <c r="M823" s="19">
        <f>IF(L823="","",IF(I823="","待开奖",IF(ISNUMBER(SEARCH(I823,L823)),"命中","未命中")))</f>
        <v/>
      </c>
      <c r="N823" s="19">
        <f>IFERROR(VLOOKUP(VLOOKUP($B823-1,开奖记录!$A:$L,11,FALSE),八肖参数!$A:$B,2,FALSE),"")</f>
        <v/>
      </c>
      <c r="O823" s="19">
        <f>IF(N823="","",IF(I823="","待开奖",IF(ISNUMBER(SEARCH(I823,N823)),"命中","未命中")))</f>
        <v/>
      </c>
    </row>
    <row r="824">
      <c r="A824" s="19" t="n">
        <v>823</v>
      </c>
      <c r="B824" s="19">
        <f>IF(COUNTA(C824:E824)=0,"",B823+1)</f>
        <v/>
      </c>
      <c r="C824" s="19" t="inlineStr"/>
      <c r="D824" s="19" t="n"/>
      <c r="E824" s="19" t="n"/>
      <c r="F824" s="19">
        <f>IF(COUNTA(D824:E824)=0,"",N(D824)-N(E824))</f>
        <v/>
      </c>
      <c r="G824" s="19">
        <f>IFERROR(VLOOKUP($B824,'开奖记录'!$A:$K,2,FALSE),"")</f>
        <v/>
      </c>
      <c r="H824" s="19">
        <f>IFERROR(VLOOKUP($B824,'开奖记录'!$A:$K,9,FALSE),"")</f>
        <v/>
      </c>
      <c r="I824" s="19">
        <f>IFERROR(VLOOKUP($B824,'开奖记录'!$A:$K,11,FALSE),"")</f>
        <v/>
      </c>
      <c r="J824" s="19">
        <f>IF($B824="","",IF(ISNUMBER($D824),"命中",IF(ISNUMBER($E824),"未命中","")))</f>
        <v/>
      </c>
      <c r="K824" s="19" t="inlineStr"/>
      <c r="L824" s="19">
        <f>IFERROR(TEXT(VLOOKUP($B824-1,开奖记录!$A:$L,3,FALSE),"00")&amp;"+5="&amp;VLOOKUP(MOD(VLOOKUP($B824-1,开奖记录!$A:$L,3,FALSE)+4,49)+1,规律参数!$A:$C,3,FALSE),"")</f>
        <v/>
      </c>
      <c r="M824" s="19">
        <f>IF(L824="","",IF(I824="","待开奖",IF(ISNUMBER(SEARCH(I824,L824)),"命中","未命中")))</f>
        <v/>
      </c>
      <c r="N824" s="19">
        <f>IFERROR(VLOOKUP(VLOOKUP($B824-1,开奖记录!$A:$L,11,FALSE),八肖参数!$A:$B,2,FALSE),"")</f>
        <v/>
      </c>
      <c r="O824" s="19">
        <f>IF(N824="","",IF(I824="","待开奖",IF(ISNUMBER(SEARCH(I824,N824)),"命中","未命中")))</f>
        <v/>
      </c>
    </row>
    <row r="825">
      <c r="A825" s="19" t="n">
        <v>824</v>
      </c>
      <c r="B825" s="19">
        <f>IF(COUNTA(C825:E825)=0,"",B824+1)</f>
        <v/>
      </c>
      <c r="C825" s="19" t="inlineStr"/>
      <c r="D825" s="19" t="n"/>
      <c r="E825" s="19" t="n"/>
      <c r="F825" s="19">
        <f>IF(COUNTA(D825:E825)=0,"",N(D825)-N(E825))</f>
        <v/>
      </c>
      <c r="G825" s="19">
        <f>IFERROR(VLOOKUP($B825,'开奖记录'!$A:$K,2,FALSE),"")</f>
        <v/>
      </c>
      <c r="H825" s="19">
        <f>IFERROR(VLOOKUP($B825,'开奖记录'!$A:$K,9,FALSE),"")</f>
        <v/>
      </c>
      <c r="I825" s="19">
        <f>IFERROR(VLOOKUP($B825,'开奖记录'!$A:$K,11,FALSE),"")</f>
        <v/>
      </c>
      <c r="J825" s="19">
        <f>IF($B825="","",IF(ISNUMBER($D825),"命中",IF(ISNUMBER($E825),"未命中","")))</f>
        <v/>
      </c>
      <c r="K825" s="19" t="inlineStr"/>
      <c r="L825" s="19">
        <f>IFERROR(TEXT(VLOOKUP($B825-1,开奖记录!$A:$L,3,FALSE),"00")&amp;"+5="&amp;VLOOKUP(MOD(VLOOKUP($B825-1,开奖记录!$A:$L,3,FALSE)+4,49)+1,规律参数!$A:$C,3,FALSE),"")</f>
        <v/>
      </c>
      <c r="M825" s="19">
        <f>IF(L825="","",IF(I825="","待开奖",IF(ISNUMBER(SEARCH(I825,L825)),"命中","未命中")))</f>
        <v/>
      </c>
      <c r="N825" s="19">
        <f>IFERROR(VLOOKUP(VLOOKUP($B825-1,开奖记录!$A:$L,11,FALSE),八肖参数!$A:$B,2,FALSE),"")</f>
        <v/>
      </c>
      <c r="O825" s="19">
        <f>IF(N825="","",IF(I825="","待开奖",IF(ISNUMBER(SEARCH(I825,N825)),"命中","未命中")))</f>
        <v/>
      </c>
    </row>
    <row r="826">
      <c r="A826" s="19" t="n">
        <v>825</v>
      </c>
      <c r="B826" s="19">
        <f>IF(COUNTA(C826:E826)=0,"",B825+1)</f>
        <v/>
      </c>
      <c r="C826" s="19" t="inlineStr"/>
      <c r="D826" s="19" t="n"/>
      <c r="E826" s="19" t="n"/>
      <c r="F826" s="19">
        <f>IF(COUNTA(D826:E826)=0,"",N(D826)-N(E826))</f>
        <v/>
      </c>
      <c r="G826" s="19">
        <f>IFERROR(VLOOKUP($B826,'开奖记录'!$A:$K,2,FALSE),"")</f>
        <v/>
      </c>
      <c r="H826" s="19">
        <f>IFERROR(VLOOKUP($B826,'开奖记录'!$A:$K,9,FALSE),"")</f>
        <v/>
      </c>
      <c r="I826" s="19">
        <f>IFERROR(VLOOKUP($B826,'开奖记录'!$A:$K,11,FALSE),"")</f>
        <v/>
      </c>
      <c r="J826" s="19">
        <f>IF($B826="","",IF(ISNUMBER($D826),"命中",IF(ISNUMBER($E826),"未命中","")))</f>
        <v/>
      </c>
      <c r="K826" s="19" t="inlineStr"/>
      <c r="L826" s="19">
        <f>IFERROR(TEXT(VLOOKUP($B826-1,开奖记录!$A:$L,3,FALSE),"00")&amp;"+5="&amp;VLOOKUP(MOD(VLOOKUP($B826-1,开奖记录!$A:$L,3,FALSE)+4,49)+1,规律参数!$A:$C,3,FALSE),"")</f>
        <v/>
      </c>
      <c r="M826" s="19">
        <f>IF(L826="","",IF(I826="","待开奖",IF(ISNUMBER(SEARCH(I826,L826)),"命中","未命中")))</f>
        <v/>
      </c>
      <c r="N826" s="19">
        <f>IFERROR(VLOOKUP(VLOOKUP($B826-1,开奖记录!$A:$L,11,FALSE),八肖参数!$A:$B,2,FALSE),"")</f>
        <v/>
      </c>
      <c r="O826" s="19">
        <f>IF(N826="","",IF(I826="","待开奖",IF(ISNUMBER(SEARCH(I826,N826)),"命中","未命中")))</f>
        <v/>
      </c>
    </row>
    <row r="827">
      <c r="A827" s="19" t="n">
        <v>826</v>
      </c>
      <c r="B827" s="19">
        <f>IF(COUNTA(C827:E827)=0,"",B826+1)</f>
        <v/>
      </c>
      <c r="C827" s="19" t="inlineStr"/>
      <c r="D827" s="19" t="n"/>
      <c r="E827" s="19" t="n"/>
      <c r="F827" s="19">
        <f>IF(COUNTA(D827:E827)=0,"",N(D827)-N(E827))</f>
        <v/>
      </c>
      <c r="G827" s="19">
        <f>IFERROR(VLOOKUP($B827,'开奖记录'!$A:$K,2,FALSE),"")</f>
        <v/>
      </c>
      <c r="H827" s="19">
        <f>IFERROR(VLOOKUP($B827,'开奖记录'!$A:$K,9,FALSE),"")</f>
        <v/>
      </c>
      <c r="I827" s="19">
        <f>IFERROR(VLOOKUP($B827,'开奖记录'!$A:$K,11,FALSE),"")</f>
        <v/>
      </c>
      <c r="J827" s="19">
        <f>IF($B827="","",IF(ISNUMBER($D827),"命中",IF(ISNUMBER($E827),"未命中","")))</f>
        <v/>
      </c>
      <c r="K827" s="19" t="inlineStr"/>
      <c r="L827" s="19">
        <f>IFERROR(TEXT(VLOOKUP($B827-1,开奖记录!$A:$L,3,FALSE),"00")&amp;"+5="&amp;VLOOKUP(MOD(VLOOKUP($B827-1,开奖记录!$A:$L,3,FALSE)+4,49)+1,规律参数!$A:$C,3,FALSE),"")</f>
        <v/>
      </c>
      <c r="M827" s="19">
        <f>IF(L827="","",IF(I827="","待开奖",IF(ISNUMBER(SEARCH(I827,L827)),"命中","未命中")))</f>
        <v/>
      </c>
      <c r="N827" s="19">
        <f>IFERROR(VLOOKUP(VLOOKUP($B827-1,开奖记录!$A:$L,11,FALSE),八肖参数!$A:$B,2,FALSE),"")</f>
        <v/>
      </c>
      <c r="O827" s="19">
        <f>IF(N827="","",IF(I827="","待开奖",IF(ISNUMBER(SEARCH(I827,N827)),"命中","未命中")))</f>
        <v/>
      </c>
    </row>
    <row r="828">
      <c r="A828" s="19" t="n">
        <v>827</v>
      </c>
      <c r="B828" s="19">
        <f>IF(COUNTA(C828:E828)=0,"",B827+1)</f>
        <v/>
      </c>
      <c r="C828" s="19" t="inlineStr"/>
      <c r="D828" s="19" t="n"/>
      <c r="E828" s="19" t="n"/>
      <c r="F828" s="19">
        <f>IF(COUNTA(D828:E828)=0,"",N(D828)-N(E828))</f>
        <v/>
      </c>
      <c r="G828" s="19">
        <f>IFERROR(VLOOKUP($B828,'开奖记录'!$A:$K,2,FALSE),"")</f>
        <v/>
      </c>
      <c r="H828" s="19">
        <f>IFERROR(VLOOKUP($B828,'开奖记录'!$A:$K,9,FALSE),"")</f>
        <v/>
      </c>
      <c r="I828" s="19">
        <f>IFERROR(VLOOKUP($B828,'开奖记录'!$A:$K,11,FALSE),"")</f>
        <v/>
      </c>
      <c r="J828" s="19">
        <f>IF($B828="","",IF(ISNUMBER($D828),"命中",IF(ISNUMBER($E828),"未命中","")))</f>
        <v/>
      </c>
      <c r="K828" s="19" t="inlineStr"/>
      <c r="L828" s="19">
        <f>IFERROR(TEXT(VLOOKUP($B828-1,开奖记录!$A:$L,3,FALSE),"00")&amp;"+5="&amp;VLOOKUP(MOD(VLOOKUP($B828-1,开奖记录!$A:$L,3,FALSE)+4,49)+1,规律参数!$A:$C,3,FALSE),"")</f>
        <v/>
      </c>
      <c r="M828" s="19">
        <f>IF(L828="","",IF(I828="","待开奖",IF(ISNUMBER(SEARCH(I828,L828)),"命中","未命中")))</f>
        <v/>
      </c>
      <c r="N828" s="19">
        <f>IFERROR(VLOOKUP(VLOOKUP($B828-1,开奖记录!$A:$L,11,FALSE),八肖参数!$A:$B,2,FALSE),"")</f>
        <v/>
      </c>
      <c r="O828" s="19">
        <f>IF(N828="","",IF(I828="","待开奖",IF(ISNUMBER(SEARCH(I828,N828)),"命中","未命中")))</f>
        <v/>
      </c>
    </row>
    <row r="829">
      <c r="A829" s="19" t="n">
        <v>828</v>
      </c>
      <c r="B829" s="19">
        <f>IF(COUNTA(C829:E829)=0,"",B828+1)</f>
        <v/>
      </c>
      <c r="C829" s="19" t="inlineStr"/>
      <c r="D829" s="19" t="n"/>
      <c r="E829" s="19" t="n"/>
      <c r="F829" s="19">
        <f>IF(COUNTA(D829:E829)=0,"",N(D829)-N(E829))</f>
        <v/>
      </c>
      <c r="G829" s="19">
        <f>IFERROR(VLOOKUP($B829,'开奖记录'!$A:$K,2,FALSE),"")</f>
        <v/>
      </c>
      <c r="H829" s="19">
        <f>IFERROR(VLOOKUP($B829,'开奖记录'!$A:$K,9,FALSE),"")</f>
        <v/>
      </c>
      <c r="I829" s="19">
        <f>IFERROR(VLOOKUP($B829,'开奖记录'!$A:$K,11,FALSE),"")</f>
        <v/>
      </c>
      <c r="J829" s="19">
        <f>IF($B829="","",IF(ISNUMBER($D829),"命中",IF(ISNUMBER($E829),"未命中","")))</f>
        <v/>
      </c>
      <c r="K829" s="19" t="inlineStr"/>
      <c r="L829" s="19">
        <f>IFERROR(TEXT(VLOOKUP($B829-1,开奖记录!$A:$L,3,FALSE),"00")&amp;"+5="&amp;VLOOKUP(MOD(VLOOKUP($B829-1,开奖记录!$A:$L,3,FALSE)+4,49)+1,规律参数!$A:$C,3,FALSE),"")</f>
        <v/>
      </c>
      <c r="M829" s="19">
        <f>IF(L829="","",IF(I829="","待开奖",IF(ISNUMBER(SEARCH(I829,L829)),"命中","未命中")))</f>
        <v/>
      </c>
      <c r="N829" s="19">
        <f>IFERROR(VLOOKUP(VLOOKUP($B829-1,开奖记录!$A:$L,11,FALSE),八肖参数!$A:$B,2,FALSE),"")</f>
        <v/>
      </c>
      <c r="O829" s="19">
        <f>IF(N829="","",IF(I829="","待开奖",IF(ISNUMBER(SEARCH(I829,N829)),"命中","未命中")))</f>
        <v/>
      </c>
    </row>
    <row r="830">
      <c r="A830" s="19" t="n">
        <v>829</v>
      </c>
      <c r="B830" s="19">
        <f>IF(COUNTA(C830:E830)=0,"",B829+1)</f>
        <v/>
      </c>
      <c r="C830" s="19" t="inlineStr"/>
      <c r="D830" s="19" t="n"/>
      <c r="E830" s="19" t="n"/>
      <c r="F830" s="19">
        <f>IF(COUNTA(D830:E830)=0,"",N(D830)-N(E830))</f>
        <v/>
      </c>
      <c r="G830" s="19">
        <f>IFERROR(VLOOKUP($B830,'开奖记录'!$A:$K,2,FALSE),"")</f>
        <v/>
      </c>
      <c r="H830" s="19">
        <f>IFERROR(VLOOKUP($B830,'开奖记录'!$A:$K,9,FALSE),"")</f>
        <v/>
      </c>
      <c r="I830" s="19">
        <f>IFERROR(VLOOKUP($B830,'开奖记录'!$A:$K,11,FALSE),"")</f>
        <v/>
      </c>
      <c r="J830" s="19">
        <f>IF($B830="","",IF(ISNUMBER($D830),"命中",IF(ISNUMBER($E830),"未命中","")))</f>
        <v/>
      </c>
      <c r="K830" s="19" t="inlineStr"/>
      <c r="L830" s="19">
        <f>IFERROR(TEXT(VLOOKUP($B830-1,开奖记录!$A:$L,3,FALSE),"00")&amp;"+5="&amp;VLOOKUP(MOD(VLOOKUP($B830-1,开奖记录!$A:$L,3,FALSE)+4,49)+1,规律参数!$A:$C,3,FALSE),"")</f>
        <v/>
      </c>
      <c r="M830" s="19">
        <f>IF(L830="","",IF(I830="","待开奖",IF(ISNUMBER(SEARCH(I830,L830)),"命中","未命中")))</f>
        <v/>
      </c>
      <c r="N830" s="19">
        <f>IFERROR(VLOOKUP(VLOOKUP($B830-1,开奖记录!$A:$L,11,FALSE),八肖参数!$A:$B,2,FALSE),"")</f>
        <v/>
      </c>
      <c r="O830" s="19">
        <f>IF(N830="","",IF(I830="","待开奖",IF(ISNUMBER(SEARCH(I830,N830)),"命中","未命中")))</f>
        <v/>
      </c>
    </row>
    <row r="831">
      <c r="A831" s="19" t="n">
        <v>830</v>
      </c>
      <c r="B831" s="19">
        <f>IF(COUNTA(C831:E831)=0,"",B830+1)</f>
        <v/>
      </c>
      <c r="C831" s="19" t="inlineStr"/>
      <c r="D831" s="19" t="n"/>
      <c r="E831" s="19" t="n"/>
      <c r="F831" s="19">
        <f>IF(COUNTA(D831:E831)=0,"",N(D831)-N(E831))</f>
        <v/>
      </c>
      <c r="G831" s="19">
        <f>IFERROR(VLOOKUP($B831,'开奖记录'!$A:$K,2,FALSE),"")</f>
        <v/>
      </c>
      <c r="H831" s="19">
        <f>IFERROR(VLOOKUP($B831,'开奖记录'!$A:$K,9,FALSE),"")</f>
        <v/>
      </c>
      <c r="I831" s="19">
        <f>IFERROR(VLOOKUP($B831,'开奖记录'!$A:$K,11,FALSE),"")</f>
        <v/>
      </c>
      <c r="J831" s="19">
        <f>IF($B831="","",IF(ISNUMBER($D831),"命中",IF(ISNUMBER($E831),"未命中","")))</f>
        <v/>
      </c>
      <c r="K831" s="19" t="inlineStr"/>
      <c r="L831" s="19">
        <f>IFERROR(TEXT(VLOOKUP($B831-1,开奖记录!$A:$L,3,FALSE),"00")&amp;"+5="&amp;VLOOKUP(MOD(VLOOKUP($B831-1,开奖记录!$A:$L,3,FALSE)+4,49)+1,规律参数!$A:$C,3,FALSE),"")</f>
        <v/>
      </c>
      <c r="M831" s="19">
        <f>IF(L831="","",IF(I831="","待开奖",IF(ISNUMBER(SEARCH(I831,L831)),"命中","未命中")))</f>
        <v/>
      </c>
      <c r="N831" s="19">
        <f>IFERROR(VLOOKUP(VLOOKUP($B831-1,开奖记录!$A:$L,11,FALSE),八肖参数!$A:$B,2,FALSE),"")</f>
        <v/>
      </c>
      <c r="O831" s="19">
        <f>IF(N831="","",IF(I831="","待开奖",IF(ISNUMBER(SEARCH(I831,N831)),"命中","未命中")))</f>
        <v/>
      </c>
    </row>
    <row r="832">
      <c r="A832" s="19" t="n">
        <v>831</v>
      </c>
      <c r="B832" s="19">
        <f>IF(COUNTA(C832:E832)=0,"",B831+1)</f>
        <v/>
      </c>
      <c r="C832" s="19" t="inlineStr"/>
      <c r="D832" s="19" t="n"/>
      <c r="E832" s="19" t="n"/>
      <c r="F832" s="19">
        <f>IF(COUNTA(D832:E832)=0,"",N(D832)-N(E832))</f>
        <v/>
      </c>
      <c r="G832" s="19">
        <f>IFERROR(VLOOKUP($B832,'开奖记录'!$A:$K,2,FALSE),"")</f>
        <v/>
      </c>
      <c r="H832" s="19">
        <f>IFERROR(VLOOKUP($B832,'开奖记录'!$A:$K,9,FALSE),"")</f>
        <v/>
      </c>
      <c r="I832" s="19">
        <f>IFERROR(VLOOKUP($B832,'开奖记录'!$A:$K,11,FALSE),"")</f>
        <v/>
      </c>
      <c r="J832" s="19">
        <f>IF($B832="","",IF(ISNUMBER($D832),"命中",IF(ISNUMBER($E832),"未命中","")))</f>
        <v/>
      </c>
      <c r="K832" s="19" t="inlineStr"/>
      <c r="L832" s="19">
        <f>IFERROR(TEXT(VLOOKUP($B832-1,开奖记录!$A:$L,3,FALSE),"00")&amp;"+5="&amp;VLOOKUP(MOD(VLOOKUP($B832-1,开奖记录!$A:$L,3,FALSE)+4,49)+1,规律参数!$A:$C,3,FALSE),"")</f>
        <v/>
      </c>
      <c r="M832" s="19">
        <f>IF(L832="","",IF(I832="","待开奖",IF(ISNUMBER(SEARCH(I832,L832)),"命中","未命中")))</f>
        <v/>
      </c>
      <c r="N832" s="19">
        <f>IFERROR(VLOOKUP(VLOOKUP($B832-1,开奖记录!$A:$L,11,FALSE),八肖参数!$A:$B,2,FALSE),"")</f>
        <v/>
      </c>
      <c r="O832" s="19">
        <f>IF(N832="","",IF(I832="","待开奖",IF(ISNUMBER(SEARCH(I832,N832)),"命中","未命中")))</f>
        <v/>
      </c>
    </row>
    <row r="833">
      <c r="A833" s="19" t="n">
        <v>832</v>
      </c>
      <c r="B833" s="19">
        <f>IF(COUNTA(C833:E833)=0,"",B832+1)</f>
        <v/>
      </c>
      <c r="C833" s="19" t="inlineStr"/>
      <c r="D833" s="19" t="n"/>
      <c r="E833" s="19" t="n"/>
      <c r="F833" s="19">
        <f>IF(COUNTA(D833:E833)=0,"",N(D833)-N(E833))</f>
        <v/>
      </c>
      <c r="G833" s="19">
        <f>IFERROR(VLOOKUP($B833,'开奖记录'!$A:$K,2,FALSE),"")</f>
        <v/>
      </c>
      <c r="H833" s="19">
        <f>IFERROR(VLOOKUP($B833,'开奖记录'!$A:$K,9,FALSE),"")</f>
        <v/>
      </c>
      <c r="I833" s="19">
        <f>IFERROR(VLOOKUP($B833,'开奖记录'!$A:$K,11,FALSE),"")</f>
        <v/>
      </c>
      <c r="J833" s="19">
        <f>IF($B833="","",IF(ISNUMBER($D833),"命中",IF(ISNUMBER($E833),"未命中","")))</f>
        <v/>
      </c>
      <c r="K833" s="19" t="inlineStr"/>
      <c r="L833" s="19">
        <f>IFERROR(TEXT(VLOOKUP($B833-1,开奖记录!$A:$L,3,FALSE),"00")&amp;"+5="&amp;VLOOKUP(MOD(VLOOKUP($B833-1,开奖记录!$A:$L,3,FALSE)+4,49)+1,规律参数!$A:$C,3,FALSE),"")</f>
        <v/>
      </c>
      <c r="M833" s="19">
        <f>IF(L833="","",IF(I833="","待开奖",IF(ISNUMBER(SEARCH(I833,L833)),"命中","未命中")))</f>
        <v/>
      </c>
      <c r="N833" s="19">
        <f>IFERROR(VLOOKUP(VLOOKUP($B833-1,开奖记录!$A:$L,11,FALSE),八肖参数!$A:$B,2,FALSE),"")</f>
        <v/>
      </c>
      <c r="O833" s="19">
        <f>IF(N833="","",IF(I833="","待开奖",IF(ISNUMBER(SEARCH(I833,N833)),"命中","未命中")))</f>
        <v/>
      </c>
    </row>
    <row r="834">
      <c r="A834" s="19" t="n">
        <v>833</v>
      </c>
      <c r="B834" s="19">
        <f>IF(COUNTA(C834:E834)=0,"",B833+1)</f>
        <v/>
      </c>
      <c r="C834" s="19" t="inlineStr"/>
      <c r="D834" s="19" t="n"/>
      <c r="E834" s="19" t="n"/>
      <c r="F834" s="19">
        <f>IF(COUNTA(D834:E834)=0,"",N(D834)-N(E834))</f>
        <v/>
      </c>
      <c r="G834" s="19">
        <f>IFERROR(VLOOKUP($B834,'开奖记录'!$A:$K,2,FALSE),"")</f>
        <v/>
      </c>
      <c r="H834" s="19">
        <f>IFERROR(VLOOKUP($B834,'开奖记录'!$A:$K,9,FALSE),"")</f>
        <v/>
      </c>
      <c r="I834" s="19">
        <f>IFERROR(VLOOKUP($B834,'开奖记录'!$A:$K,11,FALSE),"")</f>
        <v/>
      </c>
      <c r="J834" s="19">
        <f>IF($B834="","",IF(ISNUMBER($D834),"命中",IF(ISNUMBER($E834),"未命中","")))</f>
        <v/>
      </c>
      <c r="K834" s="19" t="inlineStr"/>
      <c r="L834" s="19">
        <f>IFERROR(TEXT(VLOOKUP($B834-1,开奖记录!$A:$L,3,FALSE),"00")&amp;"+5="&amp;VLOOKUP(MOD(VLOOKUP($B834-1,开奖记录!$A:$L,3,FALSE)+4,49)+1,规律参数!$A:$C,3,FALSE),"")</f>
        <v/>
      </c>
      <c r="M834" s="19">
        <f>IF(L834="","",IF(I834="","待开奖",IF(ISNUMBER(SEARCH(I834,L834)),"命中","未命中")))</f>
        <v/>
      </c>
      <c r="N834" s="19">
        <f>IFERROR(VLOOKUP(VLOOKUP($B834-1,开奖记录!$A:$L,11,FALSE),八肖参数!$A:$B,2,FALSE),"")</f>
        <v/>
      </c>
      <c r="O834" s="19">
        <f>IF(N834="","",IF(I834="","待开奖",IF(ISNUMBER(SEARCH(I834,N834)),"命中","未命中")))</f>
        <v/>
      </c>
    </row>
    <row r="835">
      <c r="A835" s="19" t="n">
        <v>834</v>
      </c>
      <c r="B835" s="19">
        <f>IF(COUNTA(C835:E835)=0,"",B834+1)</f>
        <v/>
      </c>
      <c r="C835" s="19" t="inlineStr"/>
      <c r="D835" s="19" t="n"/>
      <c r="E835" s="19" t="n"/>
      <c r="F835" s="19">
        <f>IF(COUNTA(D835:E835)=0,"",N(D835)-N(E835))</f>
        <v/>
      </c>
      <c r="G835" s="19">
        <f>IFERROR(VLOOKUP($B835,'开奖记录'!$A:$K,2,FALSE),"")</f>
        <v/>
      </c>
      <c r="H835" s="19">
        <f>IFERROR(VLOOKUP($B835,'开奖记录'!$A:$K,9,FALSE),"")</f>
        <v/>
      </c>
      <c r="I835" s="19">
        <f>IFERROR(VLOOKUP($B835,'开奖记录'!$A:$K,11,FALSE),"")</f>
        <v/>
      </c>
      <c r="J835" s="19">
        <f>IF($B835="","",IF(ISNUMBER($D835),"命中",IF(ISNUMBER($E835),"未命中","")))</f>
        <v/>
      </c>
      <c r="K835" s="19" t="inlineStr"/>
      <c r="L835" s="19">
        <f>IFERROR(TEXT(VLOOKUP($B835-1,开奖记录!$A:$L,3,FALSE),"00")&amp;"+5="&amp;VLOOKUP(MOD(VLOOKUP($B835-1,开奖记录!$A:$L,3,FALSE)+4,49)+1,规律参数!$A:$C,3,FALSE),"")</f>
        <v/>
      </c>
      <c r="M835" s="19">
        <f>IF(L835="","",IF(I835="","待开奖",IF(ISNUMBER(SEARCH(I835,L835)),"命中","未命中")))</f>
        <v/>
      </c>
      <c r="N835" s="19">
        <f>IFERROR(VLOOKUP(VLOOKUP($B835-1,开奖记录!$A:$L,11,FALSE),八肖参数!$A:$B,2,FALSE),"")</f>
        <v/>
      </c>
      <c r="O835" s="19">
        <f>IF(N835="","",IF(I835="","待开奖",IF(ISNUMBER(SEARCH(I835,N835)),"命中","未命中")))</f>
        <v/>
      </c>
    </row>
    <row r="836">
      <c r="A836" s="19" t="n">
        <v>835</v>
      </c>
      <c r="B836" s="19">
        <f>IF(COUNTA(C836:E836)=0,"",B835+1)</f>
        <v/>
      </c>
      <c r="C836" s="19" t="inlineStr"/>
      <c r="D836" s="19" t="n"/>
      <c r="E836" s="19" t="n"/>
      <c r="F836" s="19">
        <f>IF(COUNTA(D836:E836)=0,"",N(D836)-N(E836))</f>
        <v/>
      </c>
      <c r="G836" s="19">
        <f>IFERROR(VLOOKUP($B836,'开奖记录'!$A:$K,2,FALSE),"")</f>
        <v/>
      </c>
      <c r="H836" s="19">
        <f>IFERROR(VLOOKUP($B836,'开奖记录'!$A:$K,9,FALSE),"")</f>
        <v/>
      </c>
      <c r="I836" s="19">
        <f>IFERROR(VLOOKUP($B836,'开奖记录'!$A:$K,11,FALSE),"")</f>
        <v/>
      </c>
      <c r="J836" s="19">
        <f>IF($B836="","",IF(ISNUMBER($D836),"命中",IF(ISNUMBER($E836),"未命中","")))</f>
        <v/>
      </c>
      <c r="K836" s="19" t="inlineStr"/>
      <c r="L836" s="19">
        <f>IFERROR(TEXT(VLOOKUP($B836-1,开奖记录!$A:$L,3,FALSE),"00")&amp;"+5="&amp;VLOOKUP(MOD(VLOOKUP($B836-1,开奖记录!$A:$L,3,FALSE)+4,49)+1,规律参数!$A:$C,3,FALSE),"")</f>
        <v/>
      </c>
      <c r="M836" s="19">
        <f>IF(L836="","",IF(I836="","待开奖",IF(ISNUMBER(SEARCH(I836,L836)),"命中","未命中")))</f>
        <v/>
      </c>
      <c r="N836" s="19">
        <f>IFERROR(VLOOKUP(VLOOKUP($B836-1,开奖记录!$A:$L,11,FALSE),八肖参数!$A:$B,2,FALSE),"")</f>
        <v/>
      </c>
      <c r="O836" s="19">
        <f>IF(N836="","",IF(I836="","待开奖",IF(ISNUMBER(SEARCH(I836,N836)),"命中","未命中")))</f>
        <v/>
      </c>
    </row>
    <row r="837">
      <c r="A837" s="19" t="n">
        <v>836</v>
      </c>
      <c r="B837" s="19">
        <f>IF(COUNTA(C837:E837)=0,"",B836+1)</f>
        <v/>
      </c>
      <c r="C837" s="19" t="inlineStr"/>
      <c r="D837" s="19" t="n"/>
      <c r="E837" s="19" t="n"/>
      <c r="F837" s="19">
        <f>IF(COUNTA(D837:E837)=0,"",N(D837)-N(E837))</f>
        <v/>
      </c>
      <c r="G837" s="19">
        <f>IFERROR(VLOOKUP($B837,'开奖记录'!$A:$K,2,FALSE),"")</f>
        <v/>
      </c>
      <c r="H837" s="19">
        <f>IFERROR(VLOOKUP($B837,'开奖记录'!$A:$K,9,FALSE),"")</f>
        <v/>
      </c>
      <c r="I837" s="19">
        <f>IFERROR(VLOOKUP($B837,'开奖记录'!$A:$K,11,FALSE),"")</f>
        <v/>
      </c>
      <c r="J837" s="19">
        <f>IF($B837="","",IF(ISNUMBER($D837),"命中",IF(ISNUMBER($E837),"未命中","")))</f>
        <v/>
      </c>
      <c r="K837" s="19" t="inlineStr"/>
      <c r="L837" s="19">
        <f>IFERROR(TEXT(VLOOKUP($B837-1,开奖记录!$A:$L,3,FALSE),"00")&amp;"+5="&amp;VLOOKUP(MOD(VLOOKUP($B837-1,开奖记录!$A:$L,3,FALSE)+4,49)+1,规律参数!$A:$C,3,FALSE),"")</f>
        <v/>
      </c>
      <c r="M837" s="19">
        <f>IF(L837="","",IF(I837="","待开奖",IF(ISNUMBER(SEARCH(I837,L837)),"命中","未命中")))</f>
        <v/>
      </c>
      <c r="N837" s="19">
        <f>IFERROR(VLOOKUP(VLOOKUP($B837-1,开奖记录!$A:$L,11,FALSE),八肖参数!$A:$B,2,FALSE),"")</f>
        <v/>
      </c>
      <c r="O837" s="19">
        <f>IF(N837="","",IF(I837="","待开奖",IF(ISNUMBER(SEARCH(I837,N837)),"命中","未命中")))</f>
        <v/>
      </c>
    </row>
    <row r="838">
      <c r="A838" s="19" t="n">
        <v>837</v>
      </c>
      <c r="B838" s="19">
        <f>IF(COUNTA(C838:E838)=0,"",B837+1)</f>
        <v/>
      </c>
      <c r="C838" s="19" t="inlineStr"/>
      <c r="D838" s="19" t="n"/>
      <c r="E838" s="19" t="n"/>
      <c r="F838" s="19">
        <f>IF(COUNTA(D838:E838)=0,"",N(D838)-N(E838))</f>
        <v/>
      </c>
      <c r="G838" s="19">
        <f>IFERROR(VLOOKUP($B838,'开奖记录'!$A:$K,2,FALSE),"")</f>
        <v/>
      </c>
      <c r="H838" s="19">
        <f>IFERROR(VLOOKUP($B838,'开奖记录'!$A:$K,9,FALSE),"")</f>
        <v/>
      </c>
      <c r="I838" s="19">
        <f>IFERROR(VLOOKUP($B838,'开奖记录'!$A:$K,11,FALSE),"")</f>
        <v/>
      </c>
      <c r="J838" s="19">
        <f>IF($B838="","",IF(ISNUMBER($D838),"命中",IF(ISNUMBER($E838),"未命中","")))</f>
        <v/>
      </c>
      <c r="K838" s="19" t="inlineStr"/>
      <c r="L838" s="19">
        <f>IFERROR(TEXT(VLOOKUP($B838-1,开奖记录!$A:$L,3,FALSE),"00")&amp;"+5="&amp;VLOOKUP(MOD(VLOOKUP($B838-1,开奖记录!$A:$L,3,FALSE)+4,49)+1,规律参数!$A:$C,3,FALSE),"")</f>
        <v/>
      </c>
      <c r="M838" s="19">
        <f>IF(L838="","",IF(I838="","待开奖",IF(ISNUMBER(SEARCH(I838,L838)),"命中","未命中")))</f>
        <v/>
      </c>
      <c r="N838" s="19">
        <f>IFERROR(VLOOKUP(VLOOKUP($B838-1,开奖记录!$A:$L,11,FALSE),八肖参数!$A:$B,2,FALSE),"")</f>
        <v/>
      </c>
      <c r="O838" s="19">
        <f>IF(N838="","",IF(I838="","待开奖",IF(ISNUMBER(SEARCH(I838,N838)),"命中","未命中")))</f>
        <v/>
      </c>
    </row>
    <row r="839">
      <c r="A839" s="19" t="n">
        <v>838</v>
      </c>
      <c r="B839" s="19">
        <f>IF(COUNTA(C839:E839)=0,"",B838+1)</f>
        <v/>
      </c>
      <c r="C839" s="19" t="inlineStr"/>
      <c r="D839" s="19" t="n"/>
      <c r="E839" s="19" t="n"/>
      <c r="F839" s="19">
        <f>IF(COUNTA(D839:E839)=0,"",N(D839)-N(E839))</f>
        <v/>
      </c>
      <c r="G839" s="19">
        <f>IFERROR(VLOOKUP($B839,'开奖记录'!$A:$K,2,FALSE),"")</f>
        <v/>
      </c>
      <c r="H839" s="19">
        <f>IFERROR(VLOOKUP($B839,'开奖记录'!$A:$K,9,FALSE),"")</f>
        <v/>
      </c>
      <c r="I839" s="19">
        <f>IFERROR(VLOOKUP($B839,'开奖记录'!$A:$K,11,FALSE),"")</f>
        <v/>
      </c>
      <c r="J839" s="19">
        <f>IF($B839="","",IF(ISNUMBER($D839),"命中",IF(ISNUMBER($E839),"未命中","")))</f>
        <v/>
      </c>
      <c r="K839" s="19" t="inlineStr"/>
      <c r="L839" s="19">
        <f>IFERROR(TEXT(VLOOKUP($B839-1,开奖记录!$A:$L,3,FALSE),"00")&amp;"+5="&amp;VLOOKUP(MOD(VLOOKUP($B839-1,开奖记录!$A:$L,3,FALSE)+4,49)+1,规律参数!$A:$C,3,FALSE),"")</f>
        <v/>
      </c>
      <c r="M839" s="19">
        <f>IF(L839="","",IF(I839="","待开奖",IF(ISNUMBER(SEARCH(I839,L839)),"命中","未命中")))</f>
        <v/>
      </c>
      <c r="N839" s="19">
        <f>IFERROR(VLOOKUP(VLOOKUP($B839-1,开奖记录!$A:$L,11,FALSE),八肖参数!$A:$B,2,FALSE),"")</f>
        <v/>
      </c>
      <c r="O839" s="19">
        <f>IF(N839="","",IF(I839="","待开奖",IF(ISNUMBER(SEARCH(I839,N839)),"命中","未命中")))</f>
        <v/>
      </c>
    </row>
    <row r="840">
      <c r="A840" s="19" t="n">
        <v>839</v>
      </c>
      <c r="B840" s="19">
        <f>IF(COUNTA(C840:E840)=0,"",B839+1)</f>
        <v/>
      </c>
      <c r="C840" s="19" t="inlineStr"/>
      <c r="D840" s="19" t="n"/>
      <c r="E840" s="19" t="n"/>
      <c r="F840" s="19">
        <f>IF(COUNTA(D840:E840)=0,"",N(D840)-N(E840))</f>
        <v/>
      </c>
      <c r="G840" s="19">
        <f>IFERROR(VLOOKUP($B840,'开奖记录'!$A:$K,2,FALSE),"")</f>
        <v/>
      </c>
      <c r="H840" s="19">
        <f>IFERROR(VLOOKUP($B840,'开奖记录'!$A:$K,9,FALSE),"")</f>
        <v/>
      </c>
      <c r="I840" s="19">
        <f>IFERROR(VLOOKUP($B840,'开奖记录'!$A:$K,11,FALSE),"")</f>
        <v/>
      </c>
      <c r="J840" s="19">
        <f>IF($B840="","",IF(ISNUMBER($D840),"命中",IF(ISNUMBER($E840),"未命中","")))</f>
        <v/>
      </c>
      <c r="K840" s="19" t="inlineStr"/>
      <c r="L840" s="19">
        <f>IFERROR(TEXT(VLOOKUP($B840-1,开奖记录!$A:$L,3,FALSE),"00")&amp;"+5="&amp;VLOOKUP(MOD(VLOOKUP($B840-1,开奖记录!$A:$L,3,FALSE)+4,49)+1,规律参数!$A:$C,3,FALSE),"")</f>
        <v/>
      </c>
      <c r="M840" s="19">
        <f>IF(L840="","",IF(I840="","待开奖",IF(ISNUMBER(SEARCH(I840,L840)),"命中","未命中")))</f>
        <v/>
      </c>
      <c r="N840" s="19">
        <f>IFERROR(VLOOKUP(VLOOKUP($B840-1,开奖记录!$A:$L,11,FALSE),八肖参数!$A:$B,2,FALSE),"")</f>
        <v/>
      </c>
      <c r="O840" s="19">
        <f>IF(N840="","",IF(I840="","待开奖",IF(ISNUMBER(SEARCH(I840,N840)),"命中","未命中")))</f>
        <v/>
      </c>
    </row>
    <row r="841">
      <c r="A841" s="19" t="n">
        <v>840</v>
      </c>
      <c r="B841" s="19">
        <f>IF(COUNTA(C841:E841)=0,"",B840+1)</f>
        <v/>
      </c>
      <c r="C841" s="19" t="inlineStr"/>
      <c r="D841" s="19" t="n"/>
      <c r="E841" s="19" t="n"/>
      <c r="F841" s="19">
        <f>IF(COUNTA(D841:E841)=0,"",N(D841)-N(E841))</f>
        <v/>
      </c>
      <c r="G841" s="19">
        <f>IFERROR(VLOOKUP($B841,'开奖记录'!$A:$K,2,FALSE),"")</f>
        <v/>
      </c>
      <c r="H841" s="19">
        <f>IFERROR(VLOOKUP($B841,'开奖记录'!$A:$K,9,FALSE),"")</f>
        <v/>
      </c>
      <c r="I841" s="19">
        <f>IFERROR(VLOOKUP($B841,'开奖记录'!$A:$K,11,FALSE),"")</f>
        <v/>
      </c>
      <c r="J841" s="19">
        <f>IF($B841="","",IF(ISNUMBER($D841),"命中",IF(ISNUMBER($E841),"未命中","")))</f>
        <v/>
      </c>
      <c r="K841" s="19" t="inlineStr"/>
      <c r="L841" s="19">
        <f>IFERROR(TEXT(VLOOKUP($B841-1,开奖记录!$A:$L,3,FALSE),"00")&amp;"+5="&amp;VLOOKUP(MOD(VLOOKUP($B841-1,开奖记录!$A:$L,3,FALSE)+4,49)+1,规律参数!$A:$C,3,FALSE),"")</f>
        <v/>
      </c>
      <c r="M841" s="19">
        <f>IF(L841="","",IF(I841="","待开奖",IF(ISNUMBER(SEARCH(I841,L841)),"命中","未命中")))</f>
        <v/>
      </c>
      <c r="N841" s="19">
        <f>IFERROR(VLOOKUP(VLOOKUP($B841-1,开奖记录!$A:$L,11,FALSE),八肖参数!$A:$B,2,FALSE),"")</f>
        <v/>
      </c>
      <c r="O841" s="19">
        <f>IF(N841="","",IF(I841="","待开奖",IF(ISNUMBER(SEARCH(I841,N841)),"命中","未命中")))</f>
        <v/>
      </c>
    </row>
    <row r="842">
      <c r="A842" s="19" t="n">
        <v>841</v>
      </c>
      <c r="B842" s="19">
        <f>IF(COUNTA(C842:E842)=0,"",B841+1)</f>
        <v/>
      </c>
      <c r="C842" s="19" t="inlineStr"/>
      <c r="D842" s="19" t="n"/>
      <c r="E842" s="19" t="n"/>
      <c r="F842" s="19">
        <f>IF(COUNTA(D842:E842)=0,"",N(D842)-N(E842))</f>
        <v/>
      </c>
      <c r="G842" s="19">
        <f>IFERROR(VLOOKUP($B842,'开奖记录'!$A:$K,2,FALSE),"")</f>
        <v/>
      </c>
      <c r="H842" s="19">
        <f>IFERROR(VLOOKUP($B842,'开奖记录'!$A:$K,9,FALSE),"")</f>
        <v/>
      </c>
      <c r="I842" s="19">
        <f>IFERROR(VLOOKUP($B842,'开奖记录'!$A:$K,11,FALSE),"")</f>
        <v/>
      </c>
      <c r="J842" s="19">
        <f>IF($B842="","",IF(ISNUMBER($D842),"命中",IF(ISNUMBER($E842),"未命中","")))</f>
        <v/>
      </c>
      <c r="K842" s="19" t="inlineStr"/>
      <c r="L842" s="19">
        <f>IFERROR(TEXT(VLOOKUP($B842-1,开奖记录!$A:$L,3,FALSE),"00")&amp;"+5="&amp;VLOOKUP(MOD(VLOOKUP($B842-1,开奖记录!$A:$L,3,FALSE)+4,49)+1,规律参数!$A:$C,3,FALSE),"")</f>
        <v/>
      </c>
      <c r="M842" s="19">
        <f>IF(L842="","",IF(I842="","待开奖",IF(ISNUMBER(SEARCH(I842,L842)),"命中","未命中")))</f>
        <v/>
      </c>
      <c r="N842" s="19">
        <f>IFERROR(VLOOKUP(VLOOKUP($B842-1,开奖记录!$A:$L,11,FALSE),八肖参数!$A:$B,2,FALSE),"")</f>
        <v/>
      </c>
      <c r="O842" s="19">
        <f>IF(N842="","",IF(I842="","待开奖",IF(ISNUMBER(SEARCH(I842,N842)),"命中","未命中")))</f>
        <v/>
      </c>
    </row>
    <row r="843">
      <c r="A843" s="19" t="n">
        <v>842</v>
      </c>
      <c r="B843" s="19">
        <f>IF(COUNTA(C843:E843)=0,"",B842+1)</f>
        <v/>
      </c>
      <c r="C843" s="19" t="inlineStr"/>
      <c r="D843" s="19" t="n"/>
      <c r="E843" s="19" t="n"/>
      <c r="F843" s="19">
        <f>IF(COUNTA(D843:E843)=0,"",N(D843)-N(E843))</f>
        <v/>
      </c>
      <c r="G843" s="19">
        <f>IFERROR(VLOOKUP($B843,'开奖记录'!$A:$K,2,FALSE),"")</f>
        <v/>
      </c>
      <c r="H843" s="19">
        <f>IFERROR(VLOOKUP($B843,'开奖记录'!$A:$K,9,FALSE),"")</f>
        <v/>
      </c>
      <c r="I843" s="19">
        <f>IFERROR(VLOOKUP($B843,'开奖记录'!$A:$K,11,FALSE),"")</f>
        <v/>
      </c>
      <c r="J843" s="19">
        <f>IF($B843="","",IF(ISNUMBER($D843),"命中",IF(ISNUMBER($E843),"未命中","")))</f>
        <v/>
      </c>
      <c r="K843" s="19" t="inlineStr"/>
      <c r="L843" s="19">
        <f>IFERROR(TEXT(VLOOKUP($B843-1,开奖记录!$A:$L,3,FALSE),"00")&amp;"+5="&amp;VLOOKUP(MOD(VLOOKUP($B843-1,开奖记录!$A:$L,3,FALSE)+4,49)+1,规律参数!$A:$C,3,FALSE),"")</f>
        <v/>
      </c>
      <c r="M843" s="19">
        <f>IF(L843="","",IF(I843="","待开奖",IF(ISNUMBER(SEARCH(I843,L843)),"命中","未命中")))</f>
        <v/>
      </c>
      <c r="N843" s="19">
        <f>IFERROR(VLOOKUP(VLOOKUP($B843-1,开奖记录!$A:$L,11,FALSE),八肖参数!$A:$B,2,FALSE),"")</f>
        <v/>
      </c>
      <c r="O843" s="19">
        <f>IF(N843="","",IF(I843="","待开奖",IF(ISNUMBER(SEARCH(I843,N843)),"命中","未命中")))</f>
        <v/>
      </c>
    </row>
    <row r="844">
      <c r="A844" s="19" t="n">
        <v>843</v>
      </c>
      <c r="B844" s="19">
        <f>IF(COUNTA(C844:E844)=0,"",B843+1)</f>
        <v/>
      </c>
      <c r="C844" s="19" t="inlineStr"/>
      <c r="D844" s="19" t="n"/>
      <c r="E844" s="19" t="n"/>
      <c r="F844" s="19">
        <f>IF(COUNTA(D844:E844)=0,"",N(D844)-N(E844))</f>
        <v/>
      </c>
      <c r="G844" s="19">
        <f>IFERROR(VLOOKUP($B844,'开奖记录'!$A:$K,2,FALSE),"")</f>
        <v/>
      </c>
      <c r="H844" s="19">
        <f>IFERROR(VLOOKUP($B844,'开奖记录'!$A:$K,9,FALSE),"")</f>
        <v/>
      </c>
      <c r="I844" s="19">
        <f>IFERROR(VLOOKUP($B844,'开奖记录'!$A:$K,11,FALSE),"")</f>
        <v/>
      </c>
      <c r="J844" s="19">
        <f>IF($B844="","",IF(ISNUMBER($D844),"命中",IF(ISNUMBER($E844),"未命中","")))</f>
        <v/>
      </c>
      <c r="K844" s="19" t="inlineStr"/>
      <c r="L844" s="19">
        <f>IFERROR(TEXT(VLOOKUP($B844-1,开奖记录!$A:$L,3,FALSE),"00")&amp;"+5="&amp;VLOOKUP(MOD(VLOOKUP($B844-1,开奖记录!$A:$L,3,FALSE)+4,49)+1,规律参数!$A:$C,3,FALSE),"")</f>
        <v/>
      </c>
      <c r="M844" s="19">
        <f>IF(L844="","",IF(I844="","待开奖",IF(ISNUMBER(SEARCH(I844,L844)),"命中","未命中")))</f>
        <v/>
      </c>
      <c r="N844" s="19">
        <f>IFERROR(VLOOKUP(VLOOKUP($B844-1,开奖记录!$A:$L,11,FALSE),八肖参数!$A:$B,2,FALSE),"")</f>
        <v/>
      </c>
      <c r="O844" s="19">
        <f>IF(N844="","",IF(I844="","待开奖",IF(ISNUMBER(SEARCH(I844,N844)),"命中","未命中")))</f>
        <v/>
      </c>
    </row>
    <row r="845">
      <c r="A845" s="19" t="n">
        <v>844</v>
      </c>
      <c r="B845" s="19">
        <f>IF(COUNTA(C845:E845)=0,"",B844+1)</f>
        <v/>
      </c>
      <c r="C845" s="19" t="inlineStr"/>
      <c r="D845" s="19" t="n"/>
      <c r="E845" s="19" t="n"/>
      <c r="F845" s="19">
        <f>IF(COUNTA(D845:E845)=0,"",N(D845)-N(E845))</f>
        <v/>
      </c>
      <c r="G845" s="19">
        <f>IFERROR(VLOOKUP($B845,'开奖记录'!$A:$K,2,FALSE),"")</f>
        <v/>
      </c>
      <c r="H845" s="19">
        <f>IFERROR(VLOOKUP($B845,'开奖记录'!$A:$K,9,FALSE),"")</f>
        <v/>
      </c>
      <c r="I845" s="19">
        <f>IFERROR(VLOOKUP($B845,'开奖记录'!$A:$K,11,FALSE),"")</f>
        <v/>
      </c>
      <c r="J845" s="19">
        <f>IF($B845="","",IF(ISNUMBER($D845),"命中",IF(ISNUMBER($E845),"未命中","")))</f>
        <v/>
      </c>
      <c r="K845" s="19" t="inlineStr"/>
      <c r="L845" s="19">
        <f>IFERROR(TEXT(VLOOKUP($B845-1,开奖记录!$A:$L,3,FALSE),"00")&amp;"+5="&amp;VLOOKUP(MOD(VLOOKUP($B845-1,开奖记录!$A:$L,3,FALSE)+4,49)+1,规律参数!$A:$C,3,FALSE),"")</f>
        <v/>
      </c>
      <c r="M845" s="19">
        <f>IF(L845="","",IF(I845="","待开奖",IF(ISNUMBER(SEARCH(I845,L845)),"命中","未命中")))</f>
        <v/>
      </c>
      <c r="N845" s="19">
        <f>IFERROR(VLOOKUP(VLOOKUP($B845-1,开奖记录!$A:$L,11,FALSE),八肖参数!$A:$B,2,FALSE),"")</f>
        <v/>
      </c>
      <c r="O845" s="19">
        <f>IF(N845="","",IF(I845="","待开奖",IF(ISNUMBER(SEARCH(I845,N845)),"命中","未命中")))</f>
        <v/>
      </c>
    </row>
    <row r="846">
      <c r="A846" s="19" t="n">
        <v>845</v>
      </c>
      <c r="B846" s="19">
        <f>IF(COUNTA(C846:E846)=0,"",B845+1)</f>
        <v/>
      </c>
      <c r="C846" s="19" t="inlineStr"/>
      <c r="D846" s="19" t="n"/>
      <c r="E846" s="19" t="n"/>
      <c r="F846" s="19">
        <f>IF(COUNTA(D846:E846)=0,"",N(D846)-N(E846))</f>
        <v/>
      </c>
      <c r="G846" s="19">
        <f>IFERROR(VLOOKUP($B846,'开奖记录'!$A:$K,2,FALSE),"")</f>
        <v/>
      </c>
      <c r="H846" s="19">
        <f>IFERROR(VLOOKUP($B846,'开奖记录'!$A:$K,9,FALSE),"")</f>
        <v/>
      </c>
      <c r="I846" s="19">
        <f>IFERROR(VLOOKUP($B846,'开奖记录'!$A:$K,11,FALSE),"")</f>
        <v/>
      </c>
      <c r="J846" s="19">
        <f>IF($B846="","",IF(ISNUMBER($D846),"命中",IF(ISNUMBER($E846),"未命中","")))</f>
        <v/>
      </c>
      <c r="K846" s="19" t="inlineStr"/>
      <c r="L846" s="19">
        <f>IFERROR(TEXT(VLOOKUP($B846-1,开奖记录!$A:$L,3,FALSE),"00")&amp;"+5="&amp;VLOOKUP(MOD(VLOOKUP($B846-1,开奖记录!$A:$L,3,FALSE)+4,49)+1,规律参数!$A:$C,3,FALSE),"")</f>
        <v/>
      </c>
      <c r="M846" s="19">
        <f>IF(L846="","",IF(I846="","待开奖",IF(ISNUMBER(SEARCH(I846,L846)),"命中","未命中")))</f>
        <v/>
      </c>
      <c r="N846" s="19">
        <f>IFERROR(VLOOKUP(VLOOKUP($B846-1,开奖记录!$A:$L,11,FALSE),八肖参数!$A:$B,2,FALSE),"")</f>
        <v/>
      </c>
      <c r="O846" s="19">
        <f>IF(N846="","",IF(I846="","待开奖",IF(ISNUMBER(SEARCH(I846,N846)),"命中","未命中")))</f>
        <v/>
      </c>
    </row>
    <row r="847">
      <c r="A847" s="19" t="n">
        <v>846</v>
      </c>
      <c r="B847" s="19">
        <f>IF(COUNTA(C847:E847)=0,"",B846+1)</f>
        <v/>
      </c>
      <c r="C847" s="19" t="inlineStr"/>
      <c r="D847" s="19" t="n"/>
      <c r="E847" s="19" t="n"/>
      <c r="F847" s="19">
        <f>IF(COUNTA(D847:E847)=0,"",N(D847)-N(E847))</f>
        <v/>
      </c>
      <c r="G847" s="19">
        <f>IFERROR(VLOOKUP($B847,'开奖记录'!$A:$K,2,FALSE),"")</f>
        <v/>
      </c>
      <c r="H847" s="19">
        <f>IFERROR(VLOOKUP($B847,'开奖记录'!$A:$K,9,FALSE),"")</f>
        <v/>
      </c>
      <c r="I847" s="19">
        <f>IFERROR(VLOOKUP($B847,'开奖记录'!$A:$K,11,FALSE),"")</f>
        <v/>
      </c>
      <c r="J847" s="19">
        <f>IF($B847="","",IF(ISNUMBER($D847),"命中",IF(ISNUMBER($E847),"未命中","")))</f>
        <v/>
      </c>
      <c r="K847" s="19" t="inlineStr"/>
      <c r="L847" s="19">
        <f>IFERROR(TEXT(VLOOKUP($B847-1,开奖记录!$A:$L,3,FALSE),"00")&amp;"+5="&amp;VLOOKUP(MOD(VLOOKUP($B847-1,开奖记录!$A:$L,3,FALSE)+4,49)+1,规律参数!$A:$C,3,FALSE),"")</f>
        <v/>
      </c>
      <c r="M847" s="19">
        <f>IF(L847="","",IF(I847="","待开奖",IF(ISNUMBER(SEARCH(I847,L847)),"命中","未命中")))</f>
        <v/>
      </c>
      <c r="N847" s="19">
        <f>IFERROR(VLOOKUP(VLOOKUP($B847-1,开奖记录!$A:$L,11,FALSE),八肖参数!$A:$B,2,FALSE),"")</f>
        <v/>
      </c>
      <c r="O847" s="19">
        <f>IF(N847="","",IF(I847="","待开奖",IF(ISNUMBER(SEARCH(I847,N847)),"命中","未命中")))</f>
        <v/>
      </c>
    </row>
    <row r="848">
      <c r="A848" s="19" t="n">
        <v>847</v>
      </c>
      <c r="B848" s="19">
        <f>IF(COUNTA(C848:E848)=0,"",B847+1)</f>
        <v/>
      </c>
      <c r="C848" s="19" t="inlineStr"/>
      <c r="D848" s="19" t="n"/>
      <c r="E848" s="19" t="n"/>
      <c r="F848" s="19">
        <f>IF(COUNTA(D848:E848)=0,"",N(D848)-N(E848))</f>
        <v/>
      </c>
      <c r="G848" s="19">
        <f>IFERROR(VLOOKUP($B848,'开奖记录'!$A:$K,2,FALSE),"")</f>
        <v/>
      </c>
      <c r="H848" s="19">
        <f>IFERROR(VLOOKUP($B848,'开奖记录'!$A:$K,9,FALSE),"")</f>
        <v/>
      </c>
      <c r="I848" s="19">
        <f>IFERROR(VLOOKUP($B848,'开奖记录'!$A:$K,11,FALSE),"")</f>
        <v/>
      </c>
      <c r="J848" s="19">
        <f>IF($B848="","",IF(ISNUMBER($D848),"命中",IF(ISNUMBER($E848),"未命中","")))</f>
        <v/>
      </c>
      <c r="K848" s="19" t="inlineStr"/>
      <c r="L848" s="19">
        <f>IFERROR(TEXT(VLOOKUP($B848-1,开奖记录!$A:$L,3,FALSE),"00")&amp;"+5="&amp;VLOOKUP(MOD(VLOOKUP($B848-1,开奖记录!$A:$L,3,FALSE)+4,49)+1,规律参数!$A:$C,3,FALSE),"")</f>
        <v/>
      </c>
      <c r="M848" s="19">
        <f>IF(L848="","",IF(I848="","待开奖",IF(ISNUMBER(SEARCH(I848,L848)),"命中","未命中")))</f>
        <v/>
      </c>
      <c r="N848" s="19">
        <f>IFERROR(VLOOKUP(VLOOKUP($B848-1,开奖记录!$A:$L,11,FALSE),八肖参数!$A:$B,2,FALSE),"")</f>
        <v/>
      </c>
      <c r="O848" s="19">
        <f>IF(N848="","",IF(I848="","待开奖",IF(ISNUMBER(SEARCH(I848,N848)),"命中","未命中")))</f>
        <v/>
      </c>
    </row>
    <row r="849">
      <c r="A849" s="19" t="n">
        <v>848</v>
      </c>
      <c r="B849" s="19">
        <f>IF(COUNTA(C849:E849)=0,"",B848+1)</f>
        <v/>
      </c>
      <c r="C849" s="19" t="inlineStr"/>
      <c r="D849" s="19" t="n"/>
      <c r="E849" s="19" t="n"/>
      <c r="F849" s="19">
        <f>IF(COUNTA(D849:E849)=0,"",N(D849)-N(E849))</f>
        <v/>
      </c>
      <c r="G849" s="19">
        <f>IFERROR(VLOOKUP($B849,'开奖记录'!$A:$K,2,FALSE),"")</f>
        <v/>
      </c>
      <c r="H849" s="19">
        <f>IFERROR(VLOOKUP($B849,'开奖记录'!$A:$K,9,FALSE),"")</f>
        <v/>
      </c>
      <c r="I849" s="19">
        <f>IFERROR(VLOOKUP($B849,'开奖记录'!$A:$K,11,FALSE),"")</f>
        <v/>
      </c>
      <c r="J849" s="19">
        <f>IF($B849="","",IF(ISNUMBER($D849),"命中",IF(ISNUMBER($E849),"未命中","")))</f>
        <v/>
      </c>
      <c r="K849" s="19" t="inlineStr"/>
      <c r="L849" s="19">
        <f>IFERROR(TEXT(VLOOKUP($B849-1,开奖记录!$A:$L,3,FALSE),"00")&amp;"+5="&amp;VLOOKUP(MOD(VLOOKUP($B849-1,开奖记录!$A:$L,3,FALSE)+4,49)+1,规律参数!$A:$C,3,FALSE),"")</f>
        <v/>
      </c>
      <c r="M849" s="19">
        <f>IF(L849="","",IF(I849="","待开奖",IF(ISNUMBER(SEARCH(I849,L849)),"命中","未命中")))</f>
        <v/>
      </c>
      <c r="N849" s="19">
        <f>IFERROR(VLOOKUP(VLOOKUP($B849-1,开奖记录!$A:$L,11,FALSE),八肖参数!$A:$B,2,FALSE),"")</f>
        <v/>
      </c>
      <c r="O849" s="19">
        <f>IF(N849="","",IF(I849="","待开奖",IF(ISNUMBER(SEARCH(I849,N849)),"命中","未命中")))</f>
        <v/>
      </c>
    </row>
    <row r="850">
      <c r="A850" s="19" t="n">
        <v>849</v>
      </c>
      <c r="B850" s="19">
        <f>IF(COUNTA(C850:E850)=0,"",B849+1)</f>
        <v/>
      </c>
      <c r="C850" s="19" t="inlineStr"/>
      <c r="D850" s="19" t="n"/>
      <c r="E850" s="19" t="n"/>
      <c r="F850" s="19">
        <f>IF(COUNTA(D850:E850)=0,"",N(D850)-N(E850))</f>
        <v/>
      </c>
      <c r="G850" s="19">
        <f>IFERROR(VLOOKUP($B850,'开奖记录'!$A:$K,2,FALSE),"")</f>
        <v/>
      </c>
      <c r="H850" s="19">
        <f>IFERROR(VLOOKUP($B850,'开奖记录'!$A:$K,9,FALSE),"")</f>
        <v/>
      </c>
      <c r="I850" s="19">
        <f>IFERROR(VLOOKUP($B850,'开奖记录'!$A:$K,11,FALSE),"")</f>
        <v/>
      </c>
      <c r="J850" s="19">
        <f>IF($B850="","",IF(ISNUMBER($D850),"命中",IF(ISNUMBER($E850),"未命中","")))</f>
        <v/>
      </c>
      <c r="K850" s="19" t="inlineStr"/>
      <c r="L850" s="19">
        <f>IFERROR(TEXT(VLOOKUP($B850-1,开奖记录!$A:$L,3,FALSE),"00")&amp;"+5="&amp;VLOOKUP(MOD(VLOOKUP($B850-1,开奖记录!$A:$L,3,FALSE)+4,49)+1,规律参数!$A:$C,3,FALSE),"")</f>
        <v/>
      </c>
      <c r="M850" s="19">
        <f>IF(L850="","",IF(I850="","待开奖",IF(ISNUMBER(SEARCH(I850,L850)),"命中","未命中")))</f>
        <v/>
      </c>
      <c r="N850" s="19">
        <f>IFERROR(VLOOKUP(VLOOKUP($B850-1,开奖记录!$A:$L,11,FALSE),八肖参数!$A:$B,2,FALSE),"")</f>
        <v/>
      </c>
      <c r="O850" s="19">
        <f>IF(N850="","",IF(I850="","待开奖",IF(ISNUMBER(SEARCH(I850,N850)),"命中","未命中")))</f>
        <v/>
      </c>
    </row>
    <row r="851">
      <c r="A851" s="19" t="n">
        <v>850</v>
      </c>
      <c r="B851" s="19">
        <f>IF(COUNTA(C851:E851)=0,"",B850+1)</f>
        <v/>
      </c>
      <c r="C851" s="19" t="inlineStr"/>
      <c r="D851" s="19" t="n"/>
      <c r="E851" s="19" t="n"/>
      <c r="F851" s="19">
        <f>IF(COUNTA(D851:E851)=0,"",N(D851)-N(E851))</f>
        <v/>
      </c>
      <c r="G851" s="19">
        <f>IFERROR(VLOOKUP($B851,'开奖记录'!$A:$K,2,FALSE),"")</f>
        <v/>
      </c>
      <c r="H851" s="19">
        <f>IFERROR(VLOOKUP($B851,'开奖记录'!$A:$K,9,FALSE),"")</f>
        <v/>
      </c>
      <c r="I851" s="19">
        <f>IFERROR(VLOOKUP($B851,'开奖记录'!$A:$K,11,FALSE),"")</f>
        <v/>
      </c>
      <c r="J851" s="19">
        <f>IF($B851="","",IF(ISNUMBER($D851),"命中",IF(ISNUMBER($E851),"未命中","")))</f>
        <v/>
      </c>
      <c r="K851" s="19" t="inlineStr"/>
      <c r="L851" s="19">
        <f>IFERROR(TEXT(VLOOKUP($B851-1,开奖记录!$A:$L,3,FALSE),"00")&amp;"+5="&amp;VLOOKUP(MOD(VLOOKUP($B851-1,开奖记录!$A:$L,3,FALSE)+4,49)+1,规律参数!$A:$C,3,FALSE),"")</f>
        <v/>
      </c>
      <c r="M851" s="19">
        <f>IF(L851="","",IF(I851="","待开奖",IF(ISNUMBER(SEARCH(I851,L851)),"命中","未命中")))</f>
        <v/>
      </c>
      <c r="N851" s="19">
        <f>IFERROR(VLOOKUP(VLOOKUP($B851-1,开奖记录!$A:$L,11,FALSE),八肖参数!$A:$B,2,FALSE),"")</f>
        <v/>
      </c>
      <c r="O851" s="19">
        <f>IF(N851="","",IF(I851="","待开奖",IF(ISNUMBER(SEARCH(I851,N851)),"命中","未命中")))</f>
        <v/>
      </c>
    </row>
    <row r="852">
      <c r="A852" s="19" t="n">
        <v>851</v>
      </c>
      <c r="B852" s="19">
        <f>IF(COUNTA(C852:E852)=0,"",B851+1)</f>
        <v/>
      </c>
      <c r="C852" s="19" t="inlineStr"/>
      <c r="D852" s="19" t="n"/>
      <c r="E852" s="19" t="n"/>
      <c r="F852" s="19">
        <f>IF(COUNTA(D852:E852)=0,"",N(D852)-N(E852))</f>
        <v/>
      </c>
      <c r="G852" s="19">
        <f>IFERROR(VLOOKUP($B852,'开奖记录'!$A:$K,2,FALSE),"")</f>
        <v/>
      </c>
      <c r="H852" s="19">
        <f>IFERROR(VLOOKUP($B852,'开奖记录'!$A:$K,9,FALSE),"")</f>
        <v/>
      </c>
      <c r="I852" s="19">
        <f>IFERROR(VLOOKUP($B852,'开奖记录'!$A:$K,11,FALSE),"")</f>
        <v/>
      </c>
      <c r="J852" s="19">
        <f>IF($B852="","",IF(ISNUMBER($D852),"命中",IF(ISNUMBER($E852),"未命中","")))</f>
        <v/>
      </c>
      <c r="K852" s="19" t="inlineStr"/>
      <c r="L852" s="19">
        <f>IFERROR(TEXT(VLOOKUP($B852-1,开奖记录!$A:$L,3,FALSE),"00")&amp;"+5="&amp;VLOOKUP(MOD(VLOOKUP($B852-1,开奖记录!$A:$L,3,FALSE)+4,49)+1,规律参数!$A:$C,3,FALSE),"")</f>
        <v/>
      </c>
      <c r="M852" s="19">
        <f>IF(L852="","",IF(I852="","待开奖",IF(ISNUMBER(SEARCH(I852,L852)),"命中","未命中")))</f>
        <v/>
      </c>
      <c r="N852" s="19">
        <f>IFERROR(VLOOKUP(VLOOKUP($B852-1,开奖记录!$A:$L,11,FALSE),八肖参数!$A:$B,2,FALSE),"")</f>
        <v/>
      </c>
      <c r="O852" s="19">
        <f>IF(N852="","",IF(I852="","待开奖",IF(ISNUMBER(SEARCH(I852,N852)),"命中","未命中")))</f>
        <v/>
      </c>
    </row>
    <row r="853">
      <c r="A853" s="19" t="n">
        <v>852</v>
      </c>
      <c r="B853" s="19">
        <f>IF(COUNTA(C853:E853)=0,"",B852+1)</f>
        <v/>
      </c>
      <c r="C853" s="19" t="inlineStr"/>
      <c r="D853" s="19" t="n"/>
      <c r="E853" s="19" t="n"/>
      <c r="F853" s="19">
        <f>IF(COUNTA(D853:E853)=0,"",N(D853)-N(E853))</f>
        <v/>
      </c>
      <c r="G853" s="19">
        <f>IFERROR(VLOOKUP($B853,'开奖记录'!$A:$K,2,FALSE),"")</f>
        <v/>
      </c>
      <c r="H853" s="19">
        <f>IFERROR(VLOOKUP($B853,'开奖记录'!$A:$K,9,FALSE),"")</f>
        <v/>
      </c>
      <c r="I853" s="19">
        <f>IFERROR(VLOOKUP($B853,'开奖记录'!$A:$K,11,FALSE),"")</f>
        <v/>
      </c>
      <c r="J853" s="19">
        <f>IF($B853="","",IF(ISNUMBER($D853),"命中",IF(ISNUMBER($E853),"未命中","")))</f>
        <v/>
      </c>
      <c r="K853" s="19" t="inlineStr"/>
      <c r="L853" s="19">
        <f>IFERROR(TEXT(VLOOKUP($B853-1,开奖记录!$A:$L,3,FALSE),"00")&amp;"+5="&amp;VLOOKUP(MOD(VLOOKUP($B853-1,开奖记录!$A:$L,3,FALSE)+4,49)+1,规律参数!$A:$C,3,FALSE),"")</f>
        <v/>
      </c>
      <c r="M853" s="19">
        <f>IF(L853="","",IF(I853="","待开奖",IF(ISNUMBER(SEARCH(I853,L853)),"命中","未命中")))</f>
        <v/>
      </c>
      <c r="N853" s="19">
        <f>IFERROR(VLOOKUP(VLOOKUP($B853-1,开奖记录!$A:$L,11,FALSE),八肖参数!$A:$B,2,FALSE),"")</f>
        <v/>
      </c>
      <c r="O853" s="19">
        <f>IF(N853="","",IF(I853="","待开奖",IF(ISNUMBER(SEARCH(I853,N853)),"命中","未命中")))</f>
        <v/>
      </c>
    </row>
    <row r="854">
      <c r="A854" s="19" t="n">
        <v>853</v>
      </c>
      <c r="B854" s="19">
        <f>IF(COUNTA(C854:E854)=0,"",B853+1)</f>
        <v/>
      </c>
      <c r="C854" s="19" t="inlineStr"/>
      <c r="D854" s="19" t="n"/>
      <c r="E854" s="19" t="n"/>
      <c r="F854" s="19">
        <f>IF(COUNTA(D854:E854)=0,"",N(D854)-N(E854))</f>
        <v/>
      </c>
      <c r="G854" s="19">
        <f>IFERROR(VLOOKUP($B854,'开奖记录'!$A:$K,2,FALSE),"")</f>
        <v/>
      </c>
      <c r="H854" s="19">
        <f>IFERROR(VLOOKUP($B854,'开奖记录'!$A:$K,9,FALSE),"")</f>
        <v/>
      </c>
      <c r="I854" s="19">
        <f>IFERROR(VLOOKUP($B854,'开奖记录'!$A:$K,11,FALSE),"")</f>
        <v/>
      </c>
      <c r="J854" s="19">
        <f>IF($B854="","",IF(ISNUMBER($D854),"命中",IF(ISNUMBER($E854),"未命中","")))</f>
        <v/>
      </c>
      <c r="K854" s="19" t="inlineStr"/>
      <c r="L854" s="19">
        <f>IFERROR(TEXT(VLOOKUP($B854-1,开奖记录!$A:$L,3,FALSE),"00")&amp;"+5="&amp;VLOOKUP(MOD(VLOOKUP($B854-1,开奖记录!$A:$L,3,FALSE)+4,49)+1,规律参数!$A:$C,3,FALSE),"")</f>
        <v/>
      </c>
      <c r="M854" s="19">
        <f>IF(L854="","",IF(I854="","待开奖",IF(ISNUMBER(SEARCH(I854,L854)),"命中","未命中")))</f>
        <v/>
      </c>
      <c r="N854" s="19">
        <f>IFERROR(VLOOKUP(VLOOKUP($B854-1,开奖记录!$A:$L,11,FALSE),八肖参数!$A:$B,2,FALSE),"")</f>
        <v/>
      </c>
      <c r="O854" s="19">
        <f>IF(N854="","",IF(I854="","待开奖",IF(ISNUMBER(SEARCH(I854,N854)),"命中","未命中")))</f>
        <v/>
      </c>
    </row>
    <row r="855">
      <c r="A855" s="19" t="n">
        <v>854</v>
      </c>
      <c r="B855" s="19">
        <f>IF(COUNTA(C855:E855)=0,"",B854+1)</f>
        <v/>
      </c>
      <c r="C855" s="19" t="inlineStr"/>
      <c r="D855" s="19" t="n"/>
      <c r="E855" s="19" t="n"/>
      <c r="F855" s="19">
        <f>IF(COUNTA(D855:E855)=0,"",N(D855)-N(E855))</f>
        <v/>
      </c>
      <c r="G855" s="19">
        <f>IFERROR(VLOOKUP($B855,'开奖记录'!$A:$K,2,FALSE),"")</f>
        <v/>
      </c>
      <c r="H855" s="19">
        <f>IFERROR(VLOOKUP($B855,'开奖记录'!$A:$K,9,FALSE),"")</f>
        <v/>
      </c>
      <c r="I855" s="19">
        <f>IFERROR(VLOOKUP($B855,'开奖记录'!$A:$K,11,FALSE),"")</f>
        <v/>
      </c>
      <c r="J855" s="19">
        <f>IF($B855="","",IF(ISNUMBER($D855),"命中",IF(ISNUMBER($E855),"未命中","")))</f>
        <v/>
      </c>
      <c r="K855" s="19" t="inlineStr"/>
      <c r="L855" s="19">
        <f>IFERROR(TEXT(VLOOKUP($B855-1,开奖记录!$A:$L,3,FALSE),"00")&amp;"+5="&amp;VLOOKUP(MOD(VLOOKUP($B855-1,开奖记录!$A:$L,3,FALSE)+4,49)+1,规律参数!$A:$C,3,FALSE),"")</f>
        <v/>
      </c>
      <c r="M855" s="19">
        <f>IF(L855="","",IF(I855="","待开奖",IF(ISNUMBER(SEARCH(I855,L855)),"命中","未命中")))</f>
        <v/>
      </c>
      <c r="N855" s="19">
        <f>IFERROR(VLOOKUP(VLOOKUP($B855-1,开奖记录!$A:$L,11,FALSE),八肖参数!$A:$B,2,FALSE),"")</f>
        <v/>
      </c>
      <c r="O855" s="19">
        <f>IF(N855="","",IF(I855="","待开奖",IF(ISNUMBER(SEARCH(I855,N855)),"命中","未命中")))</f>
        <v/>
      </c>
    </row>
    <row r="856">
      <c r="A856" s="19" t="n">
        <v>855</v>
      </c>
      <c r="B856" s="19">
        <f>IF(COUNTA(C856:E856)=0,"",B855+1)</f>
        <v/>
      </c>
      <c r="C856" s="19" t="inlineStr"/>
      <c r="D856" s="19" t="n"/>
      <c r="E856" s="19" t="n"/>
      <c r="F856" s="19">
        <f>IF(COUNTA(D856:E856)=0,"",N(D856)-N(E856))</f>
        <v/>
      </c>
      <c r="G856" s="19">
        <f>IFERROR(VLOOKUP($B856,'开奖记录'!$A:$K,2,FALSE),"")</f>
        <v/>
      </c>
      <c r="H856" s="19">
        <f>IFERROR(VLOOKUP($B856,'开奖记录'!$A:$K,9,FALSE),"")</f>
        <v/>
      </c>
      <c r="I856" s="19">
        <f>IFERROR(VLOOKUP($B856,'开奖记录'!$A:$K,11,FALSE),"")</f>
        <v/>
      </c>
      <c r="J856" s="19">
        <f>IF($B856="","",IF(ISNUMBER($D856),"命中",IF(ISNUMBER($E856),"未命中","")))</f>
        <v/>
      </c>
      <c r="K856" s="19" t="inlineStr"/>
      <c r="L856" s="19">
        <f>IFERROR(TEXT(VLOOKUP($B856-1,开奖记录!$A:$L,3,FALSE),"00")&amp;"+5="&amp;VLOOKUP(MOD(VLOOKUP($B856-1,开奖记录!$A:$L,3,FALSE)+4,49)+1,规律参数!$A:$C,3,FALSE),"")</f>
        <v/>
      </c>
      <c r="M856" s="19">
        <f>IF(L856="","",IF(I856="","待开奖",IF(ISNUMBER(SEARCH(I856,L856)),"命中","未命中")))</f>
        <v/>
      </c>
      <c r="N856" s="19">
        <f>IFERROR(VLOOKUP(VLOOKUP($B856-1,开奖记录!$A:$L,11,FALSE),八肖参数!$A:$B,2,FALSE),"")</f>
        <v/>
      </c>
      <c r="O856" s="19">
        <f>IF(N856="","",IF(I856="","待开奖",IF(ISNUMBER(SEARCH(I856,N856)),"命中","未命中")))</f>
        <v/>
      </c>
    </row>
    <row r="857">
      <c r="A857" s="19" t="n">
        <v>856</v>
      </c>
      <c r="B857" s="19">
        <f>IF(COUNTA(C857:E857)=0,"",B856+1)</f>
        <v/>
      </c>
      <c r="C857" s="19" t="inlineStr"/>
      <c r="D857" s="19" t="n"/>
      <c r="E857" s="19" t="n"/>
      <c r="F857" s="19">
        <f>IF(COUNTA(D857:E857)=0,"",N(D857)-N(E857))</f>
        <v/>
      </c>
      <c r="G857" s="19">
        <f>IFERROR(VLOOKUP($B857,'开奖记录'!$A:$K,2,FALSE),"")</f>
        <v/>
      </c>
      <c r="H857" s="19">
        <f>IFERROR(VLOOKUP($B857,'开奖记录'!$A:$K,9,FALSE),"")</f>
        <v/>
      </c>
      <c r="I857" s="19">
        <f>IFERROR(VLOOKUP($B857,'开奖记录'!$A:$K,11,FALSE),"")</f>
        <v/>
      </c>
      <c r="J857" s="19">
        <f>IF($B857="","",IF(ISNUMBER($D857),"命中",IF(ISNUMBER($E857),"未命中","")))</f>
        <v/>
      </c>
      <c r="K857" s="19" t="inlineStr"/>
      <c r="L857" s="19">
        <f>IFERROR(TEXT(VLOOKUP($B857-1,开奖记录!$A:$L,3,FALSE),"00")&amp;"+5="&amp;VLOOKUP(MOD(VLOOKUP($B857-1,开奖记录!$A:$L,3,FALSE)+4,49)+1,规律参数!$A:$C,3,FALSE),"")</f>
        <v/>
      </c>
      <c r="M857" s="19">
        <f>IF(L857="","",IF(I857="","待开奖",IF(ISNUMBER(SEARCH(I857,L857)),"命中","未命中")))</f>
        <v/>
      </c>
      <c r="N857" s="19">
        <f>IFERROR(VLOOKUP(VLOOKUP($B857-1,开奖记录!$A:$L,11,FALSE),八肖参数!$A:$B,2,FALSE),"")</f>
        <v/>
      </c>
      <c r="O857" s="19">
        <f>IF(N857="","",IF(I857="","待开奖",IF(ISNUMBER(SEARCH(I857,N857)),"命中","未命中")))</f>
        <v/>
      </c>
    </row>
    <row r="858">
      <c r="A858" s="19" t="n">
        <v>857</v>
      </c>
      <c r="B858" s="19">
        <f>IF(COUNTA(C858:E858)=0,"",B857+1)</f>
        <v/>
      </c>
      <c r="C858" s="19" t="inlineStr"/>
      <c r="D858" s="19" t="n"/>
      <c r="E858" s="19" t="n"/>
      <c r="F858" s="19">
        <f>IF(COUNTA(D858:E858)=0,"",N(D858)-N(E858))</f>
        <v/>
      </c>
      <c r="G858" s="19">
        <f>IFERROR(VLOOKUP($B858,'开奖记录'!$A:$K,2,FALSE),"")</f>
        <v/>
      </c>
      <c r="H858" s="19">
        <f>IFERROR(VLOOKUP($B858,'开奖记录'!$A:$K,9,FALSE),"")</f>
        <v/>
      </c>
      <c r="I858" s="19">
        <f>IFERROR(VLOOKUP($B858,'开奖记录'!$A:$K,11,FALSE),"")</f>
        <v/>
      </c>
      <c r="J858" s="19">
        <f>IF($B858="","",IF(ISNUMBER($D858),"命中",IF(ISNUMBER($E858),"未命中","")))</f>
        <v/>
      </c>
      <c r="K858" s="19" t="inlineStr"/>
      <c r="L858" s="19">
        <f>IFERROR(TEXT(VLOOKUP($B858-1,开奖记录!$A:$L,3,FALSE),"00")&amp;"+5="&amp;VLOOKUP(MOD(VLOOKUP($B858-1,开奖记录!$A:$L,3,FALSE)+4,49)+1,规律参数!$A:$C,3,FALSE),"")</f>
        <v/>
      </c>
      <c r="M858" s="19">
        <f>IF(L858="","",IF(I858="","待开奖",IF(ISNUMBER(SEARCH(I858,L858)),"命中","未命中")))</f>
        <v/>
      </c>
      <c r="N858" s="19">
        <f>IFERROR(VLOOKUP(VLOOKUP($B858-1,开奖记录!$A:$L,11,FALSE),八肖参数!$A:$B,2,FALSE),"")</f>
        <v/>
      </c>
      <c r="O858" s="19">
        <f>IF(N858="","",IF(I858="","待开奖",IF(ISNUMBER(SEARCH(I858,N858)),"命中","未命中")))</f>
        <v/>
      </c>
    </row>
    <row r="859">
      <c r="A859" s="19" t="n">
        <v>858</v>
      </c>
      <c r="B859" s="19">
        <f>IF(COUNTA(C859:E859)=0,"",B858+1)</f>
        <v/>
      </c>
      <c r="C859" s="19" t="inlineStr"/>
      <c r="D859" s="19" t="n"/>
      <c r="E859" s="19" t="n"/>
      <c r="F859" s="19">
        <f>IF(COUNTA(D859:E859)=0,"",N(D859)-N(E859))</f>
        <v/>
      </c>
      <c r="G859" s="19">
        <f>IFERROR(VLOOKUP($B859,'开奖记录'!$A:$K,2,FALSE),"")</f>
        <v/>
      </c>
      <c r="H859" s="19">
        <f>IFERROR(VLOOKUP($B859,'开奖记录'!$A:$K,9,FALSE),"")</f>
        <v/>
      </c>
      <c r="I859" s="19">
        <f>IFERROR(VLOOKUP($B859,'开奖记录'!$A:$K,11,FALSE),"")</f>
        <v/>
      </c>
      <c r="J859" s="19">
        <f>IF($B859="","",IF(ISNUMBER($D859),"命中",IF(ISNUMBER($E859),"未命中","")))</f>
        <v/>
      </c>
      <c r="K859" s="19" t="inlineStr"/>
      <c r="L859" s="19">
        <f>IFERROR(TEXT(VLOOKUP($B859-1,开奖记录!$A:$L,3,FALSE),"00")&amp;"+5="&amp;VLOOKUP(MOD(VLOOKUP($B859-1,开奖记录!$A:$L,3,FALSE)+4,49)+1,规律参数!$A:$C,3,FALSE),"")</f>
        <v/>
      </c>
      <c r="M859" s="19">
        <f>IF(L859="","",IF(I859="","待开奖",IF(ISNUMBER(SEARCH(I859,L859)),"命中","未命中")))</f>
        <v/>
      </c>
      <c r="N859" s="19">
        <f>IFERROR(VLOOKUP(VLOOKUP($B859-1,开奖记录!$A:$L,11,FALSE),八肖参数!$A:$B,2,FALSE),"")</f>
        <v/>
      </c>
      <c r="O859" s="19">
        <f>IF(N859="","",IF(I859="","待开奖",IF(ISNUMBER(SEARCH(I859,N859)),"命中","未命中")))</f>
        <v/>
      </c>
    </row>
    <row r="860">
      <c r="A860" s="19" t="n">
        <v>859</v>
      </c>
      <c r="B860" s="19">
        <f>IF(COUNTA(C860:E860)=0,"",B859+1)</f>
        <v/>
      </c>
      <c r="C860" s="19" t="inlineStr"/>
      <c r="D860" s="19" t="n"/>
      <c r="E860" s="19" t="n"/>
      <c r="F860" s="19">
        <f>IF(COUNTA(D860:E860)=0,"",N(D860)-N(E860))</f>
        <v/>
      </c>
      <c r="G860" s="19">
        <f>IFERROR(VLOOKUP($B860,'开奖记录'!$A:$K,2,FALSE),"")</f>
        <v/>
      </c>
      <c r="H860" s="19">
        <f>IFERROR(VLOOKUP($B860,'开奖记录'!$A:$K,9,FALSE),"")</f>
        <v/>
      </c>
      <c r="I860" s="19">
        <f>IFERROR(VLOOKUP($B860,'开奖记录'!$A:$K,11,FALSE),"")</f>
        <v/>
      </c>
      <c r="J860" s="19">
        <f>IF($B860="","",IF(ISNUMBER($D860),"命中",IF(ISNUMBER($E860),"未命中","")))</f>
        <v/>
      </c>
      <c r="K860" s="19" t="inlineStr"/>
      <c r="L860" s="19">
        <f>IFERROR(TEXT(VLOOKUP($B860-1,开奖记录!$A:$L,3,FALSE),"00")&amp;"+5="&amp;VLOOKUP(MOD(VLOOKUP($B860-1,开奖记录!$A:$L,3,FALSE)+4,49)+1,规律参数!$A:$C,3,FALSE),"")</f>
        <v/>
      </c>
      <c r="M860" s="19">
        <f>IF(L860="","",IF(I860="","待开奖",IF(ISNUMBER(SEARCH(I860,L860)),"命中","未命中")))</f>
        <v/>
      </c>
      <c r="N860" s="19">
        <f>IFERROR(VLOOKUP(VLOOKUP($B860-1,开奖记录!$A:$L,11,FALSE),八肖参数!$A:$B,2,FALSE),"")</f>
        <v/>
      </c>
      <c r="O860" s="19">
        <f>IF(N860="","",IF(I860="","待开奖",IF(ISNUMBER(SEARCH(I860,N860)),"命中","未命中")))</f>
        <v/>
      </c>
    </row>
    <row r="861">
      <c r="A861" s="19" t="n">
        <v>860</v>
      </c>
      <c r="B861" s="19">
        <f>IF(COUNTA(C861:E861)=0,"",B860+1)</f>
        <v/>
      </c>
      <c r="C861" s="19" t="inlineStr"/>
      <c r="D861" s="19" t="n"/>
      <c r="E861" s="19" t="n"/>
      <c r="F861" s="19">
        <f>IF(COUNTA(D861:E861)=0,"",N(D861)-N(E861))</f>
        <v/>
      </c>
      <c r="G861" s="19">
        <f>IFERROR(VLOOKUP($B861,'开奖记录'!$A:$K,2,FALSE),"")</f>
        <v/>
      </c>
      <c r="H861" s="19">
        <f>IFERROR(VLOOKUP($B861,'开奖记录'!$A:$K,9,FALSE),"")</f>
        <v/>
      </c>
      <c r="I861" s="19">
        <f>IFERROR(VLOOKUP($B861,'开奖记录'!$A:$K,11,FALSE),"")</f>
        <v/>
      </c>
      <c r="J861" s="19">
        <f>IF($B861="","",IF(ISNUMBER($D861),"命中",IF(ISNUMBER($E861),"未命中","")))</f>
        <v/>
      </c>
      <c r="K861" s="19" t="inlineStr"/>
      <c r="L861" s="19">
        <f>IFERROR(TEXT(VLOOKUP($B861-1,开奖记录!$A:$L,3,FALSE),"00")&amp;"+5="&amp;VLOOKUP(MOD(VLOOKUP($B861-1,开奖记录!$A:$L,3,FALSE)+4,49)+1,规律参数!$A:$C,3,FALSE),"")</f>
        <v/>
      </c>
      <c r="M861" s="19">
        <f>IF(L861="","",IF(I861="","待开奖",IF(ISNUMBER(SEARCH(I861,L861)),"命中","未命中")))</f>
        <v/>
      </c>
      <c r="N861" s="19">
        <f>IFERROR(VLOOKUP(VLOOKUP($B861-1,开奖记录!$A:$L,11,FALSE),八肖参数!$A:$B,2,FALSE),"")</f>
        <v/>
      </c>
      <c r="O861" s="19">
        <f>IF(N861="","",IF(I861="","待开奖",IF(ISNUMBER(SEARCH(I861,N861)),"命中","未命中")))</f>
        <v/>
      </c>
    </row>
    <row r="862">
      <c r="A862" s="19" t="n">
        <v>861</v>
      </c>
      <c r="B862" s="19">
        <f>IF(COUNTA(C862:E862)=0,"",B861+1)</f>
        <v/>
      </c>
      <c r="C862" s="19" t="inlineStr"/>
      <c r="D862" s="19" t="n"/>
      <c r="E862" s="19" t="n"/>
      <c r="F862" s="19">
        <f>IF(COUNTA(D862:E862)=0,"",N(D862)-N(E862))</f>
        <v/>
      </c>
      <c r="G862" s="19">
        <f>IFERROR(VLOOKUP($B862,'开奖记录'!$A:$K,2,FALSE),"")</f>
        <v/>
      </c>
      <c r="H862" s="19">
        <f>IFERROR(VLOOKUP($B862,'开奖记录'!$A:$K,9,FALSE),"")</f>
        <v/>
      </c>
      <c r="I862" s="19">
        <f>IFERROR(VLOOKUP($B862,'开奖记录'!$A:$K,11,FALSE),"")</f>
        <v/>
      </c>
      <c r="J862" s="19">
        <f>IF($B862="","",IF(ISNUMBER($D862),"命中",IF(ISNUMBER($E862),"未命中","")))</f>
        <v/>
      </c>
      <c r="K862" s="19" t="inlineStr"/>
      <c r="L862" s="19">
        <f>IFERROR(TEXT(VLOOKUP($B862-1,开奖记录!$A:$L,3,FALSE),"00")&amp;"+5="&amp;VLOOKUP(MOD(VLOOKUP($B862-1,开奖记录!$A:$L,3,FALSE)+4,49)+1,规律参数!$A:$C,3,FALSE),"")</f>
        <v/>
      </c>
      <c r="M862" s="19">
        <f>IF(L862="","",IF(I862="","待开奖",IF(ISNUMBER(SEARCH(I862,L862)),"命中","未命中")))</f>
        <v/>
      </c>
      <c r="N862" s="19">
        <f>IFERROR(VLOOKUP(VLOOKUP($B862-1,开奖记录!$A:$L,11,FALSE),八肖参数!$A:$B,2,FALSE),"")</f>
        <v/>
      </c>
      <c r="O862" s="19">
        <f>IF(N862="","",IF(I862="","待开奖",IF(ISNUMBER(SEARCH(I862,N862)),"命中","未命中")))</f>
        <v/>
      </c>
    </row>
    <row r="863">
      <c r="A863" s="19" t="n">
        <v>862</v>
      </c>
      <c r="B863" s="19">
        <f>IF(COUNTA(C863:E863)=0,"",B862+1)</f>
        <v/>
      </c>
      <c r="C863" s="19" t="inlineStr"/>
      <c r="D863" s="19" t="n"/>
      <c r="E863" s="19" t="n"/>
      <c r="F863" s="19">
        <f>IF(COUNTA(D863:E863)=0,"",N(D863)-N(E863))</f>
        <v/>
      </c>
      <c r="G863" s="19">
        <f>IFERROR(VLOOKUP($B863,'开奖记录'!$A:$K,2,FALSE),"")</f>
        <v/>
      </c>
      <c r="H863" s="19">
        <f>IFERROR(VLOOKUP($B863,'开奖记录'!$A:$K,9,FALSE),"")</f>
        <v/>
      </c>
      <c r="I863" s="19">
        <f>IFERROR(VLOOKUP($B863,'开奖记录'!$A:$K,11,FALSE),"")</f>
        <v/>
      </c>
      <c r="J863" s="19">
        <f>IF($B863="","",IF(ISNUMBER($D863),"命中",IF(ISNUMBER($E863),"未命中","")))</f>
        <v/>
      </c>
      <c r="K863" s="19" t="inlineStr"/>
      <c r="L863" s="19">
        <f>IFERROR(TEXT(VLOOKUP($B863-1,开奖记录!$A:$L,3,FALSE),"00")&amp;"+5="&amp;VLOOKUP(MOD(VLOOKUP($B863-1,开奖记录!$A:$L,3,FALSE)+4,49)+1,规律参数!$A:$C,3,FALSE),"")</f>
        <v/>
      </c>
      <c r="M863" s="19">
        <f>IF(L863="","",IF(I863="","待开奖",IF(ISNUMBER(SEARCH(I863,L863)),"命中","未命中")))</f>
        <v/>
      </c>
      <c r="N863" s="19">
        <f>IFERROR(VLOOKUP(VLOOKUP($B863-1,开奖记录!$A:$L,11,FALSE),八肖参数!$A:$B,2,FALSE),"")</f>
        <v/>
      </c>
      <c r="O863" s="19">
        <f>IF(N863="","",IF(I863="","待开奖",IF(ISNUMBER(SEARCH(I863,N863)),"命中","未命中")))</f>
        <v/>
      </c>
    </row>
    <row r="864">
      <c r="A864" s="19" t="n">
        <v>863</v>
      </c>
      <c r="B864" s="19">
        <f>IF(COUNTA(C864:E864)=0,"",B863+1)</f>
        <v/>
      </c>
      <c r="C864" s="19" t="inlineStr"/>
      <c r="D864" s="19" t="n"/>
      <c r="E864" s="19" t="n"/>
      <c r="F864" s="19">
        <f>IF(COUNTA(D864:E864)=0,"",N(D864)-N(E864))</f>
        <v/>
      </c>
      <c r="G864" s="19">
        <f>IFERROR(VLOOKUP($B864,'开奖记录'!$A:$K,2,FALSE),"")</f>
        <v/>
      </c>
      <c r="H864" s="19">
        <f>IFERROR(VLOOKUP($B864,'开奖记录'!$A:$K,9,FALSE),"")</f>
        <v/>
      </c>
      <c r="I864" s="19">
        <f>IFERROR(VLOOKUP($B864,'开奖记录'!$A:$K,11,FALSE),"")</f>
        <v/>
      </c>
      <c r="J864" s="19">
        <f>IF($B864="","",IF(ISNUMBER($D864),"命中",IF(ISNUMBER($E864),"未命中","")))</f>
        <v/>
      </c>
      <c r="K864" s="19" t="inlineStr"/>
      <c r="L864" s="19">
        <f>IFERROR(TEXT(VLOOKUP($B864-1,开奖记录!$A:$L,3,FALSE),"00")&amp;"+5="&amp;VLOOKUP(MOD(VLOOKUP($B864-1,开奖记录!$A:$L,3,FALSE)+4,49)+1,规律参数!$A:$C,3,FALSE),"")</f>
        <v/>
      </c>
      <c r="M864" s="19">
        <f>IF(L864="","",IF(I864="","待开奖",IF(ISNUMBER(SEARCH(I864,L864)),"命中","未命中")))</f>
        <v/>
      </c>
      <c r="N864" s="19">
        <f>IFERROR(VLOOKUP(VLOOKUP($B864-1,开奖记录!$A:$L,11,FALSE),八肖参数!$A:$B,2,FALSE),"")</f>
        <v/>
      </c>
      <c r="O864" s="19">
        <f>IF(N864="","",IF(I864="","待开奖",IF(ISNUMBER(SEARCH(I864,N864)),"命中","未命中")))</f>
        <v/>
      </c>
    </row>
    <row r="865">
      <c r="A865" s="19" t="n">
        <v>864</v>
      </c>
      <c r="B865" s="19">
        <f>IF(COUNTA(C865:E865)=0,"",B864+1)</f>
        <v/>
      </c>
      <c r="C865" s="19" t="inlineStr"/>
      <c r="D865" s="19" t="n"/>
      <c r="E865" s="19" t="n"/>
      <c r="F865" s="19">
        <f>IF(COUNTA(D865:E865)=0,"",N(D865)-N(E865))</f>
        <v/>
      </c>
      <c r="G865" s="19">
        <f>IFERROR(VLOOKUP($B865,'开奖记录'!$A:$K,2,FALSE),"")</f>
        <v/>
      </c>
      <c r="H865" s="19">
        <f>IFERROR(VLOOKUP($B865,'开奖记录'!$A:$K,9,FALSE),"")</f>
        <v/>
      </c>
      <c r="I865" s="19">
        <f>IFERROR(VLOOKUP($B865,'开奖记录'!$A:$K,11,FALSE),"")</f>
        <v/>
      </c>
      <c r="J865" s="19">
        <f>IF($B865="","",IF(ISNUMBER($D865),"命中",IF(ISNUMBER($E865),"未命中","")))</f>
        <v/>
      </c>
      <c r="K865" s="19" t="inlineStr"/>
      <c r="L865" s="19">
        <f>IFERROR(TEXT(VLOOKUP($B865-1,开奖记录!$A:$L,3,FALSE),"00")&amp;"+5="&amp;VLOOKUP(MOD(VLOOKUP($B865-1,开奖记录!$A:$L,3,FALSE)+4,49)+1,规律参数!$A:$C,3,FALSE),"")</f>
        <v/>
      </c>
      <c r="M865" s="19">
        <f>IF(L865="","",IF(I865="","待开奖",IF(ISNUMBER(SEARCH(I865,L865)),"命中","未命中")))</f>
        <v/>
      </c>
      <c r="N865" s="19">
        <f>IFERROR(VLOOKUP(VLOOKUP($B865-1,开奖记录!$A:$L,11,FALSE),八肖参数!$A:$B,2,FALSE),"")</f>
        <v/>
      </c>
      <c r="O865" s="19">
        <f>IF(N865="","",IF(I865="","待开奖",IF(ISNUMBER(SEARCH(I865,N865)),"命中","未命中")))</f>
        <v/>
      </c>
    </row>
    <row r="866">
      <c r="A866" s="19" t="n">
        <v>865</v>
      </c>
      <c r="B866" s="19">
        <f>IF(COUNTA(C866:E866)=0,"",B865+1)</f>
        <v/>
      </c>
      <c r="C866" s="19" t="inlineStr"/>
      <c r="D866" s="19" t="n"/>
      <c r="E866" s="19" t="n"/>
      <c r="F866" s="19">
        <f>IF(COUNTA(D866:E866)=0,"",N(D866)-N(E866))</f>
        <v/>
      </c>
      <c r="G866" s="19">
        <f>IFERROR(VLOOKUP($B866,'开奖记录'!$A:$K,2,FALSE),"")</f>
        <v/>
      </c>
      <c r="H866" s="19">
        <f>IFERROR(VLOOKUP($B866,'开奖记录'!$A:$K,9,FALSE),"")</f>
        <v/>
      </c>
      <c r="I866" s="19">
        <f>IFERROR(VLOOKUP($B866,'开奖记录'!$A:$K,11,FALSE),"")</f>
        <v/>
      </c>
      <c r="J866" s="19">
        <f>IF($B866="","",IF(ISNUMBER($D866),"命中",IF(ISNUMBER($E866),"未命中","")))</f>
        <v/>
      </c>
      <c r="K866" s="19" t="inlineStr"/>
      <c r="L866" s="19">
        <f>IFERROR(TEXT(VLOOKUP($B866-1,开奖记录!$A:$L,3,FALSE),"00")&amp;"+5="&amp;VLOOKUP(MOD(VLOOKUP($B866-1,开奖记录!$A:$L,3,FALSE)+4,49)+1,规律参数!$A:$C,3,FALSE),"")</f>
        <v/>
      </c>
      <c r="M866" s="19">
        <f>IF(L866="","",IF(I866="","待开奖",IF(ISNUMBER(SEARCH(I866,L866)),"命中","未命中")))</f>
        <v/>
      </c>
      <c r="N866" s="19">
        <f>IFERROR(VLOOKUP(VLOOKUP($B866-1,开奖记录!$A:$L,11,FALSE),八肖参数!$A:$B,2,FALSE),"")</f>
        <v/>
      </c>
      <c r="O866" s="19">
        <f>IF(N866="","",IF(I866="","待开奖",IF(ISNUMBER(SEARCH(I866,N866)),"命中","未命中")))</f>
        <v/>
      </c>
    </row>
    <row r="867">
      <c r="A867" s="19" t="n">
        <v>866</v>
      </c>
      <c r="B867" s="19">
        <f>IF(COUNTA(C867:E867)=0,"",B866+1)</f>
        <v/>
      </c>
      <c r="C867" s="19" t="inlineStr"/>
      <c r="D867" s="19" t="n"/>
      <c r="E867" s="19" t="n"/>
      <c r="F867" s="19">
        <f>IF(COUNTA(D867:E867)=0,"",N(D867)-N(E867))</f>
        <v/>
      </c>
      <c r="G867" s="19">
        <f>IFERROR(VLOOKUP($B867,'开奖记录'!$A:$K,2,FALSE),"")</f>
        <v/>
      </c>
      <c r="H867" s="19">
        <f>IFERROR(VLOOKUP($B867,'开奖记录'!$A:$K,9,FALSE),"")</f>
        <v/>
      </c>
      <c r="I867" s="19">
        <f>IFERROR(VLOOKUP($B867,'开奖记录'!$A:$K,11,FALSE),"")</f>
        <v/>
      </c>
      <c r="J867" s="19">
        <f>IF($B867="","",IF(ISNUMBER($D867),"命中",IF(ISNUMBER($E867),"未命中","")))</f>
        <v/>
      </c>
      <c r="K867" s="19" t="inlineStr"/>
      <c r="L867" s="19">
        <f>IFERROR(TEXT(VLOOKUP($B867-1,开奖记录!$A:$L,3,FALSE),"00")&amp;"+5="&amp;VLOOKUP(MOD(VLOOKUP($B867-1,开奖记录!$A:$L,3,FALSE)+4,49)+1,规律参数!$A:$C,3,FALSE),"")</f>
        <v/>
      </c>
      <c r="M867" s="19">
        <f>IF(L867="","",IF(I867="","待开奖",IF(ISNUMBER(SEARCH(I867,L867)),"命中","未命中")))</f>
        <v/>
      </c>
      <c r="N867" s="19">
        <f>IFERROR(VLOOKUP(VLOOKUP($B867-1,开奖记录!$A:$L,11,FALSE),八肖参数!$A:$B,2,FALSE),"")</f>
        <v/>
      </c>
      <c r="O867" s="19">
        <f>IF(N867="","",IF(I867="","待开奖",IF(ISNUMBER(SEARCH(I867,N867)),"命中","未命中")))</f>
        <v/>
      </c>
    </row>
    <row r="868">
      <c r="A868" s="19" t="n">
        <v>867</v>
      </c>
      <c r="B868" s="19">
        <f>IF(COUNTA(C868:E868)=0,"",B867+1)</f>
        <v/>
      </c>
      <c r="C868" s="19" t="inlineStr"/>
      <c r="D868" s="19" t="n"/>
      <c r="E868" s="19" t="n"/>
      <c r="F868" s="19">
        <f>IF(COUNTA(D868:E868)=0,"",N(D868)-N(E868))</f>
        <v/>
      </c>
      <c r="G868" s="19">
        <f>IFERROR(VLOOKUP($B868,'开奖记录'!$A:$K,2,FALSE),"")</f>
        <v/>
      </c>
      <c r="H868" s="19">
        <f>IFERROR(VLOOKUP($B868,'开奖记录'!$A:$K,9,FALSE),"")</f>
        <v/>
      </c>
      <c r="I868" s="19">
        <f>IFERROR(VLOOKUP($B868,'开奖记录'!$A:$K,11,FALSE),"")</f>
        <v/>
      </c>
      <c r="J868" s="19">
        <f>IF($B868="","",IF(ISNUMBER($D868),"命中",IF(ISNUMBER($E868),"未命中","")))</f>
        <v/>
      </c>
      <c r="K868" s="19" t="inlineStr"/>
      <c r="L868" s="19">
        <f>IFERROR(TEXT(VLOOKUP($B868-1,开奖记录!$A:$L,3,FALSE),"00")&amp;"+5="&amp;VLOOKUP(MOD(VLOOKUP($B868-1,开奖记录!$A:$L,3,FALSE)+4,49)+1,规律参数!$A:$C,3,FALSE),"")</f>
        <v/>
      </c>
      <c r="M868" s="19">
        <f>IF(L868="","",IF(I868="","待开奖",IF(ISNUMBER(SEARCH(I868,L868)),"命中","未命中")))</f>
        <v/>
      </c>
      <c r="N868" s="19">
        <f>IFERROR(VLOOKUP(VLOOKUP($B868-1,开奖记录!$A:$L,11,FALSE),八肖参数!$A:$B,2,FALSE),"")</f>
        <v/>
      </c>
      <c r="O868" s="19">
        <f>IF(N868="","",IF(I868="","待开奖",IF(ISNUMBER(SEARCH(I868,N868)),"命中","未命中")))</f>
        <v/>
      </c>
    </row>
    <row r="869">
      <c r="A869" s="19" t="n">
        <v>868</v>
      </c>
      <c r="B869" s="19">
        <f>IF(COUNTA(C869:E869)=0,"",B868+1)</f>
        <v/>
      </c>
      <c r="C869" s="19" t="inlineStr"/>
      <c r="D869" s="19" t="n"/>
      <c r="E869" s="19" t="n"/>
      <c r="F869" s="19">
        <f>IF(COUNTA(D869:E869)=0,"",N(D869)-N(E869))</f>
        <v/>
      </c>
      <c r="G869" s="19">
        <f>IFERROR(VLOOKUP($B869,'开奖记录'!$A:$K,2,FALSE),"")</f>
        <v/>
      </c>
      <c r="H869" s="19">
        <f>IFERROR(VLOOKUP($B869,'开奖记录'!$A:$K,9,FALSE),"")</f>
        <v/>
      </c>
      <c r="I869" s="19">
        <f>IFERROR(VLOOKUP($B869,'开奖记录'!$A:$K,11,FALSE),"")</f>
        <v/>
      </c>
      <c r="J869" s="19">
        <f>IF($B869="","",IF(ISNUMBER($D869),"命中",IF(ISNUMBER($E869),"未命中","")))</f>
        <v/>
      </c>
      <c r="K869" s="19" t="inlineStr"/>
      <c r="L869" s="19">
        <f>IFERROR(TEXT(VLOOKUP($B869-1,开奖记录!$A:$L,3,FALSE),"00")&amp;"+5="&amp;VLOOKUP(MOD(VLOOKUP($B869-1,开奖记录!$A:$L,3,FALSE)+4,49)+1,规律参数!$A:$C,3,FALSE),"")</f>
        <v/>
      </c>
      <c r="M869" s="19">
        <f>IF(L869="","",IF(I869="","待开奖",IF(ISNUMBER(SEARCH(I869,L869)),"命中","未命中")))</f>
        <v/>
      </c>
      <c r="N869" s="19">
        <f>IFERROR(VLOOKUP(VLOOKUP($B869-1,开奖记录!$A:$L,11,FALSE),八肖参数!$A:$B,2,FALSE),"")</f>
        <v/>
      </c>
      <c r="O869" s="19">
        <f>IF(N869="","",IF(I869="","待开奖",IF(ISNUMBER(SEARCH(I869,N869)),"命中","未命中")))</f>
        <v/>
      </c>
    </row>
    <row r="870">
      <c r="A870" s="19" t="n">
        <v>869</v>
      </c>
      <c r="B870" s="19">
        <f>IF(COUNTA(C870:E870)=0,"",B869+1)</f>
        <v/>
      </c>
      <c r="C870" s="19" t="inlineStr"/>
      <c r="D870" s="19" t="n"/>
      <c r="E870" s="19" t="n"/>
      <c r="F870" s="19">
        <f>IF(COUNTA(D870:E870)=0,"",N(D870)-N(E870))</f>
        <v/>
      </c>
      <c r="G870" s="19">
        <f>IFERROR(VLOOKUP($B870,'开奖记录'!$A:$K,2,FALSE),"")</f>
        <v/>
      </c>
      <c r="H870" s="19">
        <f>IFERROR(VLOOKUP($B870,'开奖记录'!$A:$K,9,FALSE),"")</f>
        <v/>
      </c>
      <c r="I870" s="19">
        <f>IFERROR(VLOOKUP($B870,'开奖记录'!$A:$K,11,FALSE),"")</f>
        <v/>
      </c>
      <c r="J870" s="19">
        <f>IF($B870="","",IF(ISNUMBER($D870),"命中",IF(ISNUMBER($E870),"未命中","")))</f>
        <v/>
      </c>
      <c r="K870" s="19" t="inlineStr"/>
      <c r="L870" s="19">
        <f>IFERROR(TEXT(VLOOKUP($B870-1,开奖记录!$A:$L,3,FALSE),"00")&amp;"+5="&amp;VLOOKUP(MOD(VLOOKUP($B870-1,开奖记录!$A:$L,3,FALSE)+4,49)+1,规律参数!$A:$C,3,FALSE),"")</f>
        <v/>
      </c>
      <c r="M870" s="19">
        <f>IF(L870="","",IF(I870="","待开奖",IF(ISNUMBER(SEARCH(I870,L870)),"命中","未命中")))</f>
        <v/>
      </c>
      <c r="N870" s="19">
        <f>IFERROR(VLOOKUP(VLOOKUP($B870-1,开奖记录!$A:$L,11,FALSE),八肖参数!$A:$B,2,FALSE),"")</f>
        <v/>
      </c>
      <c r="O870" s="19">
        <f>IF(N870="","",IF(I870="","待开奖",IF(ISNUMBER(SEARCH(I870,N870)),"命中","未命中")))</f>
        <v/>
      </c>
    </row>
    <row r="871">
      <c r="A871" s="19" t="n">
        <v>870</v>
      </c>
      <c r="B871" s="19">
        <f>IF(COUNTA(C871:E871)=0,"",B870+1)</f>
        <v/>
      </c>
      <c r="C871" s="19" t="inlineStr"/>
      <c r="D871" s="19" t="n"/>
      <c r="E871" s="19" t="n"/>
      <c r="F871" s="19">
        <f>IF(COUNTA(D871:E871)=0,"",N(D871)-N(E871))</f>
        <v/>
      </c>
      <c r="G871" s="19">
        <f>IFERROR(VLOOKUP($B871,'开奖记录'!$A:$K,2,FALSE),"")</f>
        <v/>
      </c>
      <c r="H871" s="19">
        <f>IFERROR(VLOOKUP($B871,'开奖记录'!$A:$K,9,FALSE),"")</f>
        <v/>
      </c>
      <c r="I871" s="19">
        <f>IFERROR(VLOOKUP($B871,'开奖记录'!$A:$K,11,FALSE),"")</f>
        <v/>
      </c>
      <c r="J871" s="19">
        <f>IF($B871="","",IF(ISNUMBER($D871),"命中",IF(ISNUMBER($E871),"未命中","")))</f>
        <v/>
      </c>
      <c r="K871" s="19" t="inlineStr"/>
      <c r="L871" s="19">
        <f>IFERROR(TEXT(VLOOKUP($B871-1,开奖记录!$A:$L,3,FALSE),"00")&amp;"+5="&amp;VLOOKUP(MOD(VLOOKUP($B871-1,开奖记录!$A:$L,3,FALSE)+4,49)+1,规律参数!$A:$C,3,FALSE),"")</f>
        <v/>
      </c>
      <c r="M871" s="19">
        <f>IF(L871="","",IF(I871="","待开奖",IF(ISNUMBER(SEARCH(I871,L871)),"命中","未命中")))</f>
        <v/>
      </c>
      <c r="N871" s="19">
        <f>IFERROR(VLOOKUP(VLOOKUP($B871-1,开奖记录!$A:$L,11,FALSE),八肖参数!$A:$B,2,FALSE),"")</f>
        <v/>
      </c>
      <c r="O871" s="19">
        <f>IF(N871="","",IF(I871="","待开奖",IF(ISNUMBER(SEARCH(I871,N871)),"命中","未命中")))</f>
        <v/>
      </c>
    </row>
    <row r="872">
      <c r="A872" s="19" t="n">
        <v>871</v>
      </c>
      <c r="B872" s="19">
        <f>IF(COUNTA(C872:E872)=0,"",B871+1)</f>
        <v/>
      </c>
      <c r="C872" s="19" t="inlineStr"/>
      <c r="D872" s="19" t="n"/>
      <c r="E872" s="19" t="n"/>
      <c r="F872" s="19">
        <f>IF(COUNTA(D872:E872)=0,"",N(D872)-N(E872))</f>
        <v/>
      </c>
      <c r="G872" s="19">
        <f>IFERROR(VLOOKUP($B872,'开奖记录'!$A:$K,2,FALSE),"")</f>
        <v/>
      </c>
      <c r="H872" s="19">
        <f>IFERROR(VLOOKUP($B872,'开奖记录'!$A:$K,9,FALSE),"")</f>
        <v/>
      </c>
      <c r="I872" s="19">
        <f>IFERROR(VLOOKUP($B872,'开奖记录'!$A:$K,11,FALSE),"")</f>
        <v/>
      </c>
      <c r="J872" s="19">
        <f>IF($B872="","",IF(ISNUMBER($D872),"命中",IF(ISNUMBER($E872),"未命中","")))</f>
        <v/>
      </c>
      <c r="K872" s="19" t="inlineStr"/>
      <c r="L872" s="19">
        <f>IFERROR(TEXT(VLOOKUP($B872-1,开奖记录!$A:$L,3,FALSE),"00")&amp;"+5="&amp;VLOOKUP(MOD(VLOOKUP($B872-1,开奖记录!$A:$L,3,FALSE)+4,49)+1,规律参数!$A:$C,3,FALSE),"")</f>
        <v/>
      </c>
      <c r="M872" s="19">
        <f>IF(L872="","",IF(I872="","待开奖",IF(ISNUMBER(SEARCH(I872,L872)),"命中","未命中")))</f>
        <v/>
      </c>
      <c r="N872" s="19">
        <f>IFERROR(VLOOKUP(VLOOKUP($B872-1,开奖记录!$A:$L,11,FALSE),八肖参数!$A:$B,2,FALSE),"")</f>
        <v/>
      </c>
      <c r="O872" s="19">
        <f>IF(N872="","",IF(I872="","待开奖",IF(ISNUMBER(SEARCH(I872,N872)),"命中","未命中")))</f>
        <v/>
      </c>
    </row>
    <row r="873">
      <c r="A873" s="19" t="n">
        <v>872</v>
      </c>
      <c r="B873" s="19">
        <f>IF(COUNTA(C873:E873)=0,"",B872+1)</f>
        <v/>
      </c>
      <c r="C873" s="19" t="inlineStr"/>
      <c r="D873" s="19" t="n"/>
      <c r="E873" s="19" t="n"/>
      <c r="F873" s="19">
        <f>IF(COUNTA(D873:E873)=0,"",N(D873)-N(E873))</f>
        <v/>
      </c>
      <c r="G873" s="19">
        <f>IFERROR(VLOOKUP($B873,'开奖记录'!$A:$K,2,FALSE),"")</f>
        <v/>
      </c>
      <c r="H873" s="19">
        <f>IFERROR(VLOOKUP($B873,'开奖记录'!$A:$K,9,FALSE),"")</f>
        <v/>
      </c>
      <c r="I873" s="19">
        <f>IFERROR(VLOOKUP($B873,'开奖记录'!$A:$K,11,FALSE),"")</f>
        <v/>
      </c>
      <c r="J873" s="19">
        <f>IF($B873="","",IF(ISNUMBER($D873),"命中",IF(ISNUMBER($E873),"未命中","")))</f>
        <v/>
      </c>
      <c r="K873" s="19" t="inlineStr"/>
      <c r="L873" s="19">
        <f>IFERROR(TEXT(VLOOKUP($B873-1,开奖记录!$A:$L,3,FALSE),"00")&amp;"+5="&amp;VLOOKUP(MOD(VLOOKUP($B873-1,开奖记录!$A:$L,3,FALSE)+4,49)+1,规律参数!$A:$C,3,FALSE),"")</f>
        <v/>
      </c>
      <c r="M873" s="19">
        <f>IF(L873="","",IF(I873="","待开奖",IF(ISNUMBER(SEARCH(I873,L873)),"命中","未命中")))</f>
        <v/>
      </c>
      <c r="N873" s="19">
        <f>IFERROR(VLOOKUP(VLOOKUP($B873-1,开奖记录!$A:$L,11,FALSE),八肖参数!$A:$B,2,FALSE),"")</f>
        <v/>
      </c>
      <c r="O873" s="19">
        <f>IF(N873="","",IF(I873="","待开奖",IF(ISNUMBER(SEARCH(I873,N873)),"命中","未命中")))</f>
        <v/>
      </c>
    </row>
    <row r="874">
      <c r="A874" s="19" t="n">
        <v>873</v>
      </c>
      <c r="B874" s="19">
        <f>IF(COUNTA(C874:E874)=0,"",B873+1)</f>
        <v/>
      </c>
      <c r="C874" s="19" t="inlineStr"/>
      <c r="D874" s="19" t="n"/>
      <c r="E874" s="19" t="n"/>
      <c r="F874" s="19">
        <f>IF(COUNTA(D874:E874)=0,"",N(D874)-N(E874))</f>
        <v/>
      </c>
      <c r="G874" s="19">
        <f>IFERROR(VLOOKUP($B874,'开奖记录'!$A:$K,2,FALSE),"")</f>
        <v/>
      </c>
      <c r="H874" s="19">
        <f>IFERROR(VLOOKUP($B874,'开奖记录'!$A:$K,9,FALSE),"")</f>
        <v/>
      </c>
      <c r="I874" s="19">
        <f>IFERROR(VLOOKUP($B874,'开奖记录'!$A:$K,11,FALSE),"")</f>
        <v/>
      </c>
      <c r="J874" s="19">
        <f>IF($B874="","",IF(ISNUMBER($D874),"命中",IF(ISNUMBER($E874),"未命中","")))</f>
        <v/>
      </c>
      <c r="K874" s="19" t="inlineStr"/>
      <c r="L874" s="19">
        <f>IFERROR(TEXT(VLOOKUP($B874-1,开奖记录!$A:$L,3,FALSE),"00")&amp;"+5="&amp;VLOOKUP(MOD(VLOOKUP($B874-1,开奖记录!$A:$L,3,FALSE)+4,49)+1,规律参数!$A:$C,3,FALSE),"")</f>
        <v/>
      </c>
      <c r="M874" s="19">
        <f>IF(L874="","",IF(I874="","待开奖",IF(ISNUMBER(SEARCH(I874,L874)),"命中","未命中")))</f>
        <v/>
      </c>
      <c r="N874" s="19">
        <f>IFERROR(VLOOKUP(VLOOKUP($B874-1,开奖记录!$A:$L,11,FALSE),八肖参数!$A:$B,2,FALSE),"")</f>
        <v/>
      </c>
      <c r="O874" s="19">
        <f>IF(N874="","",IF(I874="","待开奖",IF(ISNUMBER(SEARCH(I874,N874)),"命中","未命中")))</f>
        <v/>
      </c>
    </row>
    <row r="875">
      <c r="A875" s="19" t="n">
        <v>874</v>
      </c>
      <c r="B875" s="19">
        <f>IF(COUNTA(C875:E875)=0,"",B874+1)</f>
        <v/>
      </c>
      <c r="C875" s="19" t="inlineStr"/>
      <c r="D875" s="19" t="n"/>
      <c r="E875" s="19" t="n"/>
      <c r="F875" s="19">
        <f>IF(COUNTA(D875:E875)=0,"",N(D875)-N(E875))</f>
        <v/>
      </c>
      <c r="G875" s="19">
        <f>IFERROR(VLOOKUP($B875,'开奖记录'!$A:$K,2,FALSE),"")</f>
        <v/>
      </c>
      <c r="H875" s="19">
        <f>IFERROR(VLOOKUP($B875,'开奖记录'!$A:$K,9,FALSE),"")</f>
        <v/>
      </c>
      <c r="I875" s="19">
        <f>IFERROR(VLOOKUP($B875,'开奖记录'!$A:$K,11,FALSE),"")</f>
        <v/>
      </c>
      <c r="J875" s="19">
        <f>IF($B875="","",IF(ISNUMBER($D875),"命中",IF(ISNUMBER($E875),"未命中","")))</f>
        <v/>
      </c>
      <c r="K875" s="19" t="inlineStr"/>
      <c r="L875" s="19">
        <f>IFERROR(TEXT(VLOOKUP($B875-1,开奖记录!$A:$L,3,FALSE),"00")&amp;"+5="&amp;VLOOKUP(MOD(VLOOKUP($B875-1,开奖记录!$A:$L,3,FALSE)+4,49)+1,规律参数!$A:$C,3,FALSE),"")</f>
        <v/>
      </c>
      <c r="M875" s="19">
        <f>IF(L875="","",IF(I875="","待开奖",IF(ISNUMBER(SEARCH(I875,L875)),"命中","未命中")))</f>
        <v/>
      </c>
      <c r="N875" s="19">
        <f>IFERROR(VLOOKUP(VLOOKUP($B875-1,开奖记录!$A:$L,11,FALSE),八肖参数!$A:$B,2,FALSE),"")</f>
        <v/>
      </c>
      <c r="O875" s="19">
        <f>IF(N875="","",IF(I875="","待开奖",IF(ISNUMBER(SEARCH(I875,N875)),"命中","未命中")))</f>
        <v/>
      </c>
    </row>
    <row r="876">
      <c r="A876" s="19" t="n">
        <v>875</v>
      </c>
      <c r="B876" s="19">
        <f>IF(COUNTA(C876:E876)=0,"",B875+1)</f>
        <v/>
      </c>
      <c r="C876" s="19" t="inlineStr"/>
      <c r="D876" s="19" t="n"/>
      <c r="E876" s="19" t="n"/>
      <c r="F876" s="19">
        <f>IF(COUNTA(D876:E876)=0,"",N(D876)-N(E876))</f>
        <v/>
      </c>
      <c r="G876" s="19">
        <f>IFERROR(VLOOKUP($B876,'开奖记录'!$A:$K,2,FALSE),"")</f>
        <v/>
      </c>
      <c r="H876" s="19">
        <f>IFERROR(VLOOKUP($B876,'开奖记录'!$A:$K,9,FALSE),"")</f>
        <v/>
      </c>
      <c r="I876" s="19">
        <f>IFERROR(VLOOKUP($B876,'开奖记录'!$A:$K,11,FALSE),"")</f>
        <v/>
      </c>
      <c r="J876" s="19">
        <f>IF($B876="","",IF(ISNUMBER($D876),"命中",IF(ISNUMBER($E876),"未命中","")))</f>
        <v/>
      </c>
      <c r="K876" s="19" t="inlineStr"/>
      <c r="L876" s="19">
        <f>IFERROR(TEXT(VLOOKUP($B876-1,开奖记录!$A:$L,3,FALSE),"00")&amp;"+5="&amp;VLOOKUP(MOD(VLOOKUP($B876-1,开奖记录!$A:$L,3,FALSE)+4,49)+1,规律参数!$A:$C,3,FALSE),"")</f>
        <v/>
      </c>
      <c r="M876" s="19">
        <f>IF(L876="","",IF(I876="","待开奖",IF(ISNUMBER(SEARCH(I876,L876)),"命中","未命中")))</f>
        <v/>
      </c>
      <c r="N876" s="19">
        <f>IFERROR(VLOOKUP(VLOOKUP($B876-1,开奖记录!$A:$L,11,FALSE),八肖参数!$A:$B,2,FALSE),"")</f>
        <v/>
      </c>
      <c r="O876" s="19">
        <f>IF(N876="","",IF(I876="","待开奖",IF(ISNUMBER(SEARCH(I876,N876)),"命中","未命中")))</f>
        <v/>
      </c>
    </row>
    <row r="877">
      <c r="A877" s="19" t="n">
        <v>876</v>
      </c>
      <c r="B877" s="19">
        <f>IF(COUNTA(C877:E877)=0,"",B876+1)</f>
        <v/>
      </c>
      <c r="C877" s="19" t="inlineStr"/>
      <c r="D877" s="19" t="n"/>
      <c r="E877" s="19" t="n"/>
      <c r="F877" s="19">
        <f>IF(COUNTA(D877:E877)=0,"",N(D877)-N(E877))</f>
        <v/>
      </c>
      <c r="G877" s="19">
        <f>IFERROR(VLOOKUP($B877,'开奖记录'!$A:$K,2,FALSE),"")</f>
        <v/>
      </c>
      <c r="H877" s="19">
        <f>IFERROR(VLOOKUP($B877,'开奖记录'!$A:$K,9,FALSE),"")</f>
        <v/>
      </c>
      <c r="I877" s="19">
        <f>IFERROR(VLOOKUP($B877,'开奖记录'!$A:$K,11,FALSE),"")</f>
        <v/>
      </c>
      <c r="J877" s="19">
        <f>IF($B877="","",IF(ISNUMBER($D877),"命中",IF(ISNUMBER($E877),"未命中","")))</f>
        <v/>
      </c>
      <c r="K877" s="19" t="inlineStr"/>
      <c r="L877" s="19">
        <f>IFERROR(TEXT(VLOOKUP($B877-1,开奖记录!$A:$L,3,FALSE),"00")&amp;"+5="&amp;VLOOKUP(MOD(VLOOKUP($B877-1,开奖记录!$A:$L,3,FALSE)+4,49)+1,规律参数!$A:$C,3,FALSE),"")</f>
        <v/>
      </c>
      <c r="M877" s="19">
        <f>IF(L877="","",IF(I877="","待开奖",IF(ISNUMBER(SEARCH(I877,L877)),"命中","未命中")))</f>
        <v/>
      </c>
      <c r="N877" s="19">
        <f>IFERROR(VLOOKUP(VLOOKUP($B877-1,开奖记录!$A:$L,11,FALSE),八肖参数!$A:$B,2,FALSE),"")</f>
        <v/>
      </c>
      <c r="O877" s="19">
        <f>IF(N877="","",IF(I877="","待开奖",IF(ISNUMBER(SEARCH(I877,N877)),"命中","未命中")))</f>
        <v/>
      </c>
    </row>
    <row r="878">
      <c r="A878" s="19" t="n">
        <v>877</v>
      </c>
      <c r="B878" s="19">
        <f>IF(COUNTA(C878:E878)=0,"",B877+1)</f>
        <v/>
      </c>
      <c r="C878" s="19" t="inlineStr"/>
      <c r="D878" s="19" t="n"/>
      <c r="E878" s="19" t="n"/>
      <c r="F878" s="19">
        <f>IF(COUNTA(D878:E878)=0,"",N(D878)-N(E878))</f>
        <v/>
      </c>
      <c r="G878" s="19">
        <f>IFERROR(VLOOKUP($B878,'开奖记录'!$A:$K,2,FALSE),"")</f>
        <v/>
      </c>
      <c r="H878" s="19">
        <f>IFERROR(VLOOKUP($B878,'开奖记录'!$A:$K,9,FALSE),"")</f>
        <v/>
      </c>
      <c r="I878" s="19">
        <f>IFERROR(VLOOKUP($B878,'开奖记录'!$A:$K,11,FALSE),"")</f>
        <v/>
      </c>
      <c r="J878" s="19">
        <f>IF($B878="","",IF(ISNUMBER($D878),"命中",IF(ISNUMBER($E878),"未命中","")))</f>
        <v/>
      </c>
      <c r="K878" s="19" t="inlineStr"/>
      <c r="L878" s="19">
        <f>IFERROR(TEXT(VLOOKUP($B878-1,开奖记录!$A:$L,3,FALSE),"00")&amp;"+5="&amp;VLOOKUP(MOD(VLOOKUP($B878-1,开奖记录!$A:$L,3,FALSE)+4,49)+1,规律参数!$A:$C,3,FALSE),"")</f>
        <v/>
      </c>
      <c r="M878" s="19">
        <f>IF(L878="","",IF(I878="","待开奖",IF(ISNUMBER(SEARCH(I878,L878)),"命中","未命中")))</f>
        <v/>
      </c>
      <c r="N878" s="19">
        <f>IFERROR(VLOOKUP(VLOOKUP($B878-1,开奖记录!$A:$L,11,FALSE),八肖参数!$A:$B,2,FALSE),"")</f>
        <v/>
      </c>
      <c r="O878" s="19">
        <f>IF(N878="","",IF(I878="","待开奖",IF(ISNUMBER(SEARCH(I878,N878)),"命中","未命中")))</f>
        <v/>
      </c>
    </row>
    <row r="879">
      <c r="A879" s="19" t="n">
        <v>878</v>
      </c>
      <c r="B879" s="19">
        <f>IF(COUNTA(C879:E879)=0,"",B878+1)</f>
        <v/>
      </c>
      <c r="C879" s="19" t="inlineStr"/>
      <c r="D879" s="19" t="n"/>
      <c r="E879" s="19" t="n"/>
      <c r="F879" s="19">
        <f>IF(COUNTA(D879:E879)=0,"",N(D879)-N(E879))</f>
        <v/>
      </c>
      <c r="G879" s="19">
        <f>IFERROR(VLOOKUP($B879,'开奖记录'!$A:$K,2,FALSE),"")</f>
        <v/>
      </c>
      <c r="H879" s="19">
        <f>IFERROR(VLOOKUP($B879,'开奖记录'!$A:$K,9,FALSE),"")</f>
        <v/>
      </c>
      <c r="I879" s="19">
        <f>IFERROR(VLOOKUP($B879,'开奖记录'!$A:$K,11,FALSE),"")</f>
        <v/>
      </c>
      <c r="J879" s="19">
        <f>IF($B879="","",IF(ISNUMBER($D879),"命中",IF(ISNUMBER($E879),"未命中","")))</f>
        <v/>
      </c>
      <c r="K879" s="19" t="inlineStr"/>
      <c r="L879" s="19">
        <f>IFERROR(TEXT(VLOOKUP($B879-1,开奖记录!$A:$L,3,FALSE),"00")&amp;"+5="&amp;VLOOKUP(MOD(VLOOKUP($B879-1,开奖记录!$A:$L,3,FALSE)+4,49)+1,规律参数!$A:$C,3,FALSE),"")</f>
        <v/>
      </c>
      <c r="M879" s="19">
        <f>IF(L879="","",IF(I879="","待开奖",IF(ISNUMBER(SEARCH(I879,L879)),"命中","未命中")))</f>
        <v/>
      </c>
      <c r="N879" s="19">
        <f>IFERROR(VLOOKUP(VLOOKUP($B879-1,开奖记录!$A:$L,11,FALSE),八肖参数!$A:$B,2,FALSE),"")</f>
        <v/>
      </c>
      <c r="O879" s="19">
        <f>IF(N879="","",IF(I879="","待开奖",IF(ISNUMBER(SEARCH(I879,N879)),"命中","未命中")))</f>
        <v/>
      </c>
    </row>
    <row r="880">
      <c r="A880" s="19" t="n">
        <v>879</v>
      </c>
      <c r="B880" s="19">
        <f>IF(COUNTA(C880:E880)=0,"",B879+1)</f>
        <v/>
      </c>
      <c r="C880" s="19" t="inlineStr"/>
      <c r="D880" s="19" t="n"/>
      <c r="E880" s="19" t="n"/>
      <c r="F880" s="19">
        <f>IF(COUNTA(D880:E880)=0,"",N(D880)-N(E880))</f>
        <v/>
      </c>
      <c r="G880" s="19">
        <f>IFERROR(VLOOKUP($B880,'开奖记录'!$A:$K,2,FALSE),"")</f>
        <v/>
      </c>
      <c r="H880" s="19">
        <f>IFERROR(VLOOKUP($B880,'开奖记录'!$A:$K,9,FALSE),"")</f>
        <v/>
      </c>
      <c r="I880" s="19">
        <f>IFERROR(VLOOKUP($B880,'开奖记录'!$A:$K,11,FALSE),"")</f>
        <v/>
      </c>
      <c r="J880" s="19">
        <f>IF($B880="","",IF(ISNUMBER($D880),"命中",IF(ISNUMBER($E880),"未命中","")))</f>
        <v/>
      </c>
      <c r="K880" s="19" t="inlineStr"/>
      <c r="L880" s="19">
        <f>IFERROR(TEXT(VLOOKUP($B880-1,开奖记录!$A:$L,3,FALSE),"00")&amp;"+5="&amp;VLOOKUP(MOD(VLOOKUP($B880-1,开奖记录!$A:$L,3,FALSE)+4,49)+1,规律参数!$A:$C,3,FALSE),"")</f>
        <v/>
      </c>
      <c r="M880" s="19">
        <f>IF(L880="","",IF(I880="","待开奖",IF(ISNUMBER(SEARCH(I880,L880)),"命中","未命中")))</f>
        <v/>
      </c>
      <c r="N880" s="19">
        <f>IFERROR(VLOOKUP(VLOOKUP($B880-1,开奖记录!$A:$L,11,FALSE),八肖参数!$A:$B,2,FALSE),"")</f>
        <v/>
      </c>
      <c r="O880" s="19">
        <f>IF(N880="","",IF(I880="","待开奖",IF(ISNUMBER(SEARCH(I880,N880)),"命中","未命中")))</f>
        <v/>
      </c>
    </row>
    <row r="881">
      <c r="A881" s="19" t="n">
        <v>880</v>
      </c>
      <c r="B881" s="19">
        <f>IF(COUNTA(C881:E881)=0,"",B880+1)</f>
        <v/>
      </c>
      <c r="C881" s="19" t="inlineStr"/>
      <c r="D881" s="19" t="n"/>
      <c r="E881" s="19" t="n"/>
      <c r="F881" s="19">
        <f>IF(COUNTA(D881:E881)=0,"",N(D881)-N(E881))</f>
        <v/>
      </c>
      <c r="G881" s="19">
        <f>IFERROR(VLOOKUP($B881,'开奖记录'!$A:$K,2,FALSE),"")</f>
        <v/>
      </c>
      <c r="H881" s="19">
        <f>IFERROR(VLOOKUP($B881,'开奖记录'!$A:$K,9,FALSE),"")</f>
        <v/>
      </c>
      <c r="I881" s="19">
        <f>IFERROR(VLOOKUP($B881,'开奖记录'!$A:$K,11,FALSE),"")</f>
        <v/>
      </c>
      <c r="J881" s="19">
        <f>IF($B881="","",IF(ISNUMBER($D881),"命中",IF(ISNUMBER($E881),"未命中","")))</f>
        <v/>
      </c>
      <c r="K881" s="19" t="inlineStr"/>
      <c r="L881" s="19">
        <f>IFERROR(TEXT(VLOOKUP($B881-1,开奖记录!$A:$L,3,FALSE),"00")&amp;"+5="&amp;VLOOKUP(MOD(VLOOKUP($B881-1,开奖记录!$A:$L,3,FALSE)+4,49)+1,规律参数!$A:$C,3,FALSE),"")</f>
        <v/>
      </c>
      <c r="M881" s="19">
        <f>IF(L881="","",IF(I881="","待开奖",IF(ISNUMBER(SEARCH(I881,L881)),"命中","未命中")))</f>
        <v/>
      </c>
      <c r="N881" s="19">
        <f>IFERROR(VLOOKUP(VLOOKUP($B881-1,开奖记录!$A:$L,11,FALSE),八肖参数!$A:$B,2,FALSE),"")</f>
        <v/>
      </c>
      <c r="O881" s="19">
        <f>IF(N881="","",IF(I881="","待开奖",IF(ISNUMBER(SEARCH(I881,N881)),"命中","未命中")))</f>
        <v/>
      </c>
    </row>
    <row r="882">
      <c r="A882" s="19" t="n">
        <v>881</v>
      </c>
      <c r="B882" s="19">
        <f>IF(COUNTA(C882:E882)=0,"",B881+1)</f>
        <v/>
      </c>
      <c r="C882" s="19" t="inlineStr"/>
      <c r="D882" s="19" t="n"/>
      <c r="E882" s="19" t="n"/>
      <c r="F882" s="19">
        <f>IF(COUNTA(D882:E882)=0,"",N(D882)-N(E882))</f>
        <v/>
      </c>
      <c r="G882" s="19">
        <f>IFERROR(VLOOKUP($B882,'开奖记录'!$A:$K,2,FALSE),"")</f>
        <v/>
      </c>
      <c r="H882" s="19">
        <f>IFERROR(VLOOKUP($B882,'开奖记录'!$A:$K,9,FALSE),"")</f>
        <v/>
      </c>
      <c r="I882" s="19">
        <f>IFERROR(VLOOKUP($B882,'开奖记录'!$A:$K,11,FALSE),"")</f>
        <v/>
      </c>
      <c r="J882" s="19">
        <f>IF($B882="","",IF(ISNUMBER($D882),"命中",IF(ISNUMBER($E882),"未命中","")))</f>
        <v/>
      </c>
      <c r="K882" s="19" t="inlineStr"/>
      <c r="L882" s="19">
        <f>IFERROR(TEXT(VLOOKUP($B882-1,开奖记录!$A:$L,3,FALSE),"00")&amp;"+5="&amp;VLOOKUP(MOD(VLOOKUP($B882-1,开奖记录!$A:$L,3,FALSE)+4,49)+1,规律参数!$A:$C,3,FALSE),"")</f>
        <v/>
      </c>
      <c r="M882" s="19">
        <f>IF(L882="","",IF(I882="","待开奖",IF(ISNUMBER(SEARCH(I882,L882)),"命中","未命中")))</f>
        <v/>
      </c>
      <c r="N882" s="19">
        <f>IFERROR(VLOOKUP(VLOOKUP($B882-1,开奖记录!$A:$L,11,FALSE),八肖参数!$A:$B,2,FALSE),"")</f>
        <v/>
      </c>
      <c r="O882" s="19">
        <f>IF(N882="","",IF(I882="","待开奖",IF(ISNUMBER(SEARCH(I882,N882)),"命中","未命中")))</f>
        <v/>
      </c>
    </row>
    <row r="883">
      <c r="A883" s="19" t="n">
        <v>882</v>
      </c>
      <c r="B883" s="19">
        <f>IF(COUNTA(C883:E883)=0,"",B882+1)</f>
        <v/>
      </c>
      <c r="C883" s="19" t="inlineStr"/>
      <c r="D883" s="19" t="n"/>
      <c r="E883" s="19" t="n"/>
      <c r="F883" s="19">
        <f>IF(COUNTA(D883:E883)=0,"",N(D883)-N(E883))</f>
        <v/>
      </c>
      <c r="G883" s="19">
        <f>IFERROR(VLOOKUP($B883,'开奖记录'!$A:$K,2,FALSE),"")</f>
        <v/>
      </c>
      <c r="H883" s="19">
        <f>IFERROR(VLOOKUP($B883,'开奖记录'!$A:$K,9,FALSE),"")</f>
        <v/>
      </c>
      <c r="I883" s="19">
        <f>IFERROR(VLOOKUP($B883,'开奖记录'!$A:$K,11,FALSE),"")</f>
        <v/>
      </c>
      <c r="J883" s="19">
        <f>IF($B883="","",IF(ISNUMBER($D883),"命中",IF(ISNUMBER($E883),"未命中","")))</f>
        <v/>
      </c>
      <c r="K883" s="19" t="inlineStr"/>
      <c r="L883" s="19">
        <f>IFERROR(TEXT(VLOOKUP($B883-1,开奖记录!$A:$L,3,FALSE),"00")&amp;"+5="&amp;VLOOKUP(MOD(VLOOKUP($B883-1,开奖记录!$A:$L,3,FALSE)+4,49)+1,规律参数!$A:$C,3,FALSE),"")</f>
        <v/>
      </c>
      <c r="M883" s="19">
        <f>IF(L883="","",IF(I883="","待开奖",IF(ISNUMBER(SEARCH(I883,L883)),"命中","未命中")))</f>
        <v/>
      </c>
      <c r="N883" s="19">
        <f>IFERROR(VLOOKUP(VLOOKUP($B883-1,开奖记录!$A:$L,11,FALSE),八肖参数!$A:$B,2,FALSE),"")</f>
        <v/>
      </c>
      <c r="O883" s="19">
        <f>IF(N883="","",IF(I883="","待开奖",IF(ISNUMBER(SEARCH(I883,N883)),"命中","未命中")))</f>
        <v/>
      </c>
    </row>
    <row r="884">
      <c r="A884" s="19" t="n">
        <v>883</v>
      </c>
      <c r="B884" s="19">
        <f>IF(COUNTA(C884:E884)=0,"",B883+1)</f>
        <v/>
      </c>
      <c r="C884" s="19" t="inlineStr"/>
      <c r="D884" s="19" t="n"/>
      <c r="E884" s="19" t="n"/>
      <c r="F884" s="19">
        <f>IF(COUNTA(D884:E884)=0,"",N(D884)-N(E884))</f>
        <v/>
      </c>
      <c r="G884" s="19">
        <f>IFERROR(VLOOKUP($B884,'开奖记录'!$A:$K,2,FALSE),"")</f>
        <v/>
      </c>
      <c r="H884" s="19">
        <f>IFERROR(VLOOKUP($B884,'开奖记录'!$A:$K,9,FALSE),"")</f>
        <v/>
      </c>
      <c r="I884" s="19">
        <f>IFERROR(VLOOKUP($B884,'开奖记录'!$A:$K,11,FALSE),"")</f>
        <v/>
      </c>
      <c r="J884" s="19">
        <f>IF($B884="","",IF(ISNUMBER($D884),"命中",IF(ISNUMBER($E884),"未命中","")))</f>
        <v/>
      </c>
      <c r="K884" s="19" t="inlineStr"/>
      <c r="L884" s="19">
        <f>IFERROR(TEXT(VLOOKUP($B884-1,开奖记录!$A:$L,3,FALSE),"00")&amp;"+5="&amp;VLOOKUP(MOD(VLOOKUP($B884-1,开奖记录!$A:$L,3,FALSE)+4,49)+1,规律参数!$A:$C,3,FALSE),"")</f>
        <v/>
      </c>
      <c r="M884" s="19">
        <f>IF(L884="","",IF(I884="","待开奖",IF(ISNUMBER(SEARCH(I884,L884)),"命中","未命中")))</f>
        <v/>
      </c>
      <c r="N884" s="19">
        <f>IFERROR(VLOOKUP(VLOOKUP($B884-1,开奖记录!$A:$L,11,FALSE),八肖参数!$A:$B,2,FALSE),"")</f>
        <v/>
      </c>
      <c r="O884" s="19">
        <f>IF(N884="","",IF(I884="","待开奖",IF(ISNUMBER(SEARCH(I884,N884)),"命中","未命中")))</f>
        <v/>
      </c>
    </row>
    <row r="885">
      <c r="A885" s="19" t="n">
        <v>884</v>
      </c>
      <c r="B885" s="19">
        <f>IF(COUNTA(C885:E885)=0,"",B884+1)</f>
        <v/>
      </c>
      <c r="C885" s="19" t="inlineStr"/>
      <c r="D885" s="19" t="n"/>
      <c r="E885" s="19" t="n"/>
      <c r="F885" s="19">
        <f>IF(COUNTA(D885:E885)=0,"",N(D885)-N(E885))</f>
        <v/>
      </c>
      <c r="G885" s="19">
        <f>IFERROR(VLOOKUP($B885,'开奖记录'!$A:$K,2,FALSE),"")</f>
        <v/>
      </c>
      <c r="H885" s="19">
        <f>IFERROR(VLOOKUP($B885,'开奖记录'!$A:$K,9,FALSE),"")</f>
        <v/>
      </c>
      <c r="I885" s="19">
        <f>IFERROR(VLOOKUP($B885,'开奖记录'!$A:$K,11,FALSE),"")</f>
        <v/>
      </c>
      <c r="J885" s="19">
        <f>IF($B885="","",IF(ISNUMBER($D885),"命中",IF(ISNUMBER($E885),"未命中","")))</f>
        <v/>
      </c>
      <c r="K885" s="19" t="inlineStr"/>
      <c r="L885" s="19">
        <f>IFERROR(TEXT(VLOOKUP($B885-1,开奖记录!$A:$L,3,FALSE),"00")&amp;"+5="&amp;VLOOKUP(MOD(VLOOKUP($B885-1,开奖记录!$A:$L,3,FALSE)+4,49)+1,规律参数!$A:$C,3,FALSE),"")</f>
        <v/>
      </c>
      <c r="M885" s="19">
        <f>IF(L885="","",IF(I885="","待开奖",IF(ISNUMBER(SEARCH(I885,L885)),"命中","未命中")))</f>
        <v/>
      </c>
      <c r="N885" s="19">
        <f>IFERROR(VLOOKUP(VLOOKUP($B885-1,开奖记录!$A:$L,11,FALSE),八肖参数!$A:$B,2,FALSE),"")</f>
        <v/>
      </c>
      <c r="O885" s="19">
        <f>IF(N885="","",IF(I885="","待开奖",IF(ISNUMBER(SEARCH(I885,N885)),"命中","未命中")))</f>
        <v/>
      </c>
    </row>
    <row r="886">
      <c r="A886" s="19" t="n">
        <v>885</v>
      </c>
      <c r="B886" s="19">
        <f>IF(COUNTA(C886:E886)=0,"",B885+1)</f>
        <v/>
      </c>
      <c r="C886" s="19" t="inlineStr"/>
      <c r="D886" s="19" t="n"/>
      <c r="E886" s="19" t="n"/>
      <c r="F886" s="19">
        <f>IF(COUNTA(D886:E886)=0,"",N(D886)-N(E886))</f>
        <v/>
      </c>
      <c r="G886" s="19">
        <f>IFERROR(VLOOKUP($B886,'开奖记录'!$A:$K,2,FALSE),"")</f>
        <v/>
      </c>
      <c r="H886" s="19">
        <f>IFERROR(VLOOKUP($B886,'开奖记录'!$A:$K,9,FALSE),"")</f>
        <v/>
      </c>
      <c r="I886" s="19">
        <f>IFERROR(VLOOKUP($B886,'开奖记录'!$A:$K,11,FALSE),"")</f>
        <v/>
      </c>
      <c r="J886" s="19">
        <f>IF($B886="","",IF(ISNUMBER($D886),"命中",IF(ISNUMBER($E886),"未命中","")))</f>
        <v/>
      </c>
      <c r="K886" s="19" t="inlineStr"/>
      <c r="L886" s="19">
        <f>IFERROR(TEXT(VLOOKUP($B886-1,开奖记录!$A:$L,3,FALSE),"00")&amp;"+5="&amp;VLOOKUP(MOD(VLOOKUP($B886-1,开奖记录!$A:$L,3,FALSE)+4,49)+1,规律参数!$A:$C,3,FALSE),"")</f>
        <v/>
      </c>
      <c r="M886" s="19">
        <f>IF(L886="","",IF(I886="","待开奖",IF(ISNUMBER(SEARCH(I886,L886)),"命中","未命中")))</f>
        <v/>
      </c>
      <c r="N886" s="19">
        <f>IFERROR(VLOOKUP(VLOOKUP($B886-1,开奖记录!$A:$L,11,FALSE),八肖参数!$A:$B,2,FALSE),"")</f>
        <v/>
      </c>
      <c r="O886" s="19">
        <f>IF(N886="","",IF(I886="","待开奖",IF(ISNUMBER(SEARCH(I886,N886)),"命中","未命中")))</f>
        <v/>
      </c>
    </row>
    <row r="887">
      <c r="A887" s="19" t="n">
        <v>886</v>
      </c>
      <c r="B887" s="19">
        <f>IF(COUNTA(C887:E887)=0,"",B886+1)</f>
        <v/>
      </c>
      <c r="C887" s="19" t="inlineStr"/>
      <c r="D887" s="19" t="n"/>
      <c r="E887" s="19" t="n"/>
      <c r="F887" s="19">
        <f>IF(COUNTA(D887:E887)=0,"",N(D887)-N(E887))</f>
        <v/>
      </c>
      <c r="G887" s="19">
        <f>IFERROR(VLOOKUP($B887,'开奖记录'!$A:$K,2,FALSE),"")</f>
        <v/>
      </c>
      <c r="H887" s="19">
        <f>IFERROR(VLOOKUP($B887,'开奖记录'!$A:$K,9,FALSE),"")</f>
        <v/>
      </c>
      <c r="I887" s="19">
        <f>IFERROR(VLOOKUP($B887,'开奖记录'!$A:$K,11,FALSE),"")</f>
        <v/>
      </c>
      <c r="J887" s="19">
        <f>IF($B887="","",IF(ISNUMBER($D887),"命中",IF(ISNUMBER($E887),"未命中","")))</f>
        <v/>
      </c>
      <c r="K887" s="19" t="inlineStr"/>
      <c r="L887" s="19">
        <f>IFERROR(TEXT(VLOOKUP($B887-1,开奖记录!$A:$L,3,FALSE),"00")&amp;"+5="&amp;VLOOKUP(MOD(VLOOKUP($B887-1,开奖记录!$A:$L,3,FALSE)+4,49)+1,规律参数!$A:$C,3,FALSE),"")</f>
        <v/>
      </c>
      <c r="M887" s="19">
        <f>IF(L887="","",IF(I887="","待开奖",IF(ISNUMBER(SEARCH(I887,L887)),"命中","未命中")))</f>
        <v/>
      </c>
      <c r="N887" s="19">
        <f>IFERROR(VLOOKUP(VLOOKUP($B887-1,开奖记录!$A:$L,11,FALSE),八肖参数!$A:$B,2,FALSE),"")</f>
        <v/>
      </c>
      <c r="O887" s="19">
        <f>IF(N887="","",IF(I887="","待开奖",IF(ISNUMBER(SEARCH(I887,N887)),"命中","未命中")))</f>
        <v/>
      </c>
    </row>
    <row r="888">
      <c r="A888" s="19" t="n">
        <v>887</v>
      </c>
      <c r="B888" s="19">
        <f>IF(COUNTA(C888:E888)=0,"",B887+1)</f>
        <v/>
      </c>
      <c r="C888" s="19" t="inlineStr"/>
      <c r="D888" s="19" t="n"/>
      <c r="E888" s="19" t="n"/>
      <c r="F888" s="19">
        <f>IF(COUNTA(D888:E888)=0,"",N(D888)-N(E888))</f>
        <v/>
      </c>
      <c r="G888" s="19">
        <f>IFERROR(VLOOKUP($B888,'开奖记录'!$A:$K,2,FALSE),"")</f>
        <v/>
      </c>
      <c r="H888" s="19">
        <f>IFERROR(VLOOKUP($B888,'开奖记录'!$A:$K,9,FALSE),"")</f>
        <v/>
      </c>
      <c r="I888" s="19">
        <f>IFERROR(VLOOKUP($B888,'开奖记录'!$A:$K,11,FALSE),"")</f>
        <v/>
      </c>
      <c r="J888" s="19">
        <f>IF($B888="","",IF(ISNUMBER($D888),"命中",IF(ISNUMBER($E888),"未命中","")))</f>
        <v/>
      </c>
      <c r="K888" s="19" t="inlineStr"/>
      <c r="L888" s="19">
        <f>IFERROR(TEXT(VLOOKUP($B888-1,开奖记录!$A:$L,3,FALSE),"00")&amp;"+5="&amp;VLOOKUP(MOD(VLOOKUP($B888-1,开奖记录!$A:$L,3,FALSE)+4,49)+1,规律参数!$A:$C,3,FALSE),"")</f>
        <v/>
      </c>
      <c r="M888" s="19">
        <f>IF(L888="","",IF(I888="","待开奖",IF(ISNUMBER(SEARCH(I888,L888)),"命中","未命中")))</f>
        <v/>
      </c>
      <c r="N888" s="19">
        <f>IFERROR(VLOOKUP(VLOOKUP($B888-1,开奖记录!$A:$L,11,FALSE),八肖参数!$A:$B,2,FALSE),"")</f>
        <v/>
      </c>
      <c r="O888" s="19">
        <f>IF(N888="","",IF(I888="","待开奖",IF(ISNUMBER(SEARCH(I888,N888)),"命中","未命中")))</f>
        <v/>
      </c>
    </row>
    <row r="889">
      <c r="A889" s="19" t="n">
        <v>888</v>
      </c>
      <c r="B889" s="19">
        <f>IF(COUNTA(C889:E889)=0,"",B888+1)</f>
        <v/>
      </c>
      <c r="C889" s="19" t="inlineStr"/>
      <c r="D889" s="19" t="n"/>
      <c r="E889" s="19" t="n"/>
      <c r="F889" s="19">
        <f>IF(COUNTA(D889:E889)=0,"",N(D889)-N(E889))</f>
        <v/>
      </c>
      <c r="G889" s="19">
        <f>IFERROR(VLOOKUP($B889,'开奖记录'!$A:$K,2,FALSE),"")</f>
        <v/>
      </c>
      <c r="H889" s="19">
        <f>IFERROR(VLOOKUP($B889,'开奖记录'!$A:$K,9,FALSE),"")</f>
        <v/>
      </c>
      <c r="I889" s="19">
        <f>IFERROR(VLOOKUP($B889,'开奖记录'!$A:$K,11,FALSE),"")</f>
        <v/>
      </c>
      <c r="J889" s="19">
        <f>IF($B889="","",IF(ISNUMBER($D889),"命中",IF(ISNUMBER($E889),"未命中","")))</f>
        <v/>
      </c>
      <c r="K889" s="19" t="inlineStr"/>
      <c r="L889" s="19">
        <f>IFERROR(TEXT(VLOOKUP($B889-1,开奖记录!$A:$L,3,FALSE),"00")&amp;"+5="&amp;VLOOKUP(MOD(VLOOKUP($B889-1,开奖记录!$A:$L,3,FALSE)+4,49)+1,规律参数!$A:$C,3,FALSE),"")</f>
        <v/>
      </c>
      <c r="M889" s="19">
        <f>IF(L889="","",IF(I889="","待开奖",IF(ISNUMBER(SEARCH(I889,L889)),"命中","未命中")))</f>
        <v/>
      </c>
      <c r="N889" s="19">
        <f>IFERROR(VLOOKUP(VLOOKUP($B889-1,开奖记录!$A:$L,11,FALSE),八肖参数!$A:$B,2,FALSE),"")</f>
        <v/>
      </c>
      <c r="O889" s="19">
        <f>IF(N889="","",IF(I889="","待开奖",IF(ISNUMBER(SEARCH(I889,N889)),"命中","未命中")))</f>
        <v/>
      </c>
    </row>
    <row r="890">
      <c r="A890" s="19" t="n">
        <v>889</v>
      </c>
      <c r="B890" s="19">
        <f>IF(COUNTA(C890:E890)=0,"",B889+1)</f>
        <v/>
      </c>
      <c r="C890" s="19" t="inlineStr"/>
      <c r="D890" s="19" t="n"/>
      <c r="E890" s="19" t="n"/>
      <c r="F890" s="19">
        <f>IF(COUNTA(D890:E890)=0,"",N(D890)-N(E890))</f>
        <v/>
      </c>
      <c r="G890" s="19">
        <f>IFERROR(VLOOKUP($B890,'开奖记录'!$A:$K,2,FALSE),"")</f>
        <v/>
      </c>
      <c r="H890" s="19">
        <f>IFERROR(VLOOKUP($B890,'开奖记录'!$A:$K,9,FALSE),"")</f>
        <v/>
      </c>
      <c r="I890" s="19">
        <f>IFERROR(VLOOKUP($B890,'开奖记录'!$A:$K,11,FALSE),"")</f>
        <v/>
      </c>
      <c r="J890" s="19">
        <f>IF($B890="","",IF(ISNUMBER($D890),"命中",IF(ISNUMBER($E890),"未命中","")))</f>
        <v/>
      </c>
      <c r="K890" s="19" t="inlineStr"/>
      <c r="L890" s="19">
        <f>IFERROR(TEXT(VLOOKUP($B890-1,开奖记录!$A:$L,3,FALSE),"00")&amp;"+5="&amp;VLOOKUP(MOD(VLOOKUP($B890-1,开奖记录!$A:$L,3,FALSE)+4,49)+1,规律参数!$A:$C,3,FALSE),"")</f>
        <v/>
      </c>
      <c r="M890" s="19">
        <f>IF(L890="","",IF(I890="","待开奖",IF(ISNUMBER(SEARCH(I890,L890)),"命中","未命中")))</f>
        <v/>
      </c>
      <c r="N890" s="19">
        <f>IFERROR(VLOOKUP(VLOOKUP($B890-1,开奖记录!$A:$L,11,FALSE),八肖参数!$A:$B,2,FALSE),"")</f>
        <v/>
      </c>
      <c r="O890" s="19">
        <f>IF(N890="","",IF(I890="","待开奖",IF(ISNUMBER(SEARCH(I890,N890)),"命中","未命中")))</f>
        <v/>
      </c>
    </row>
    <row r="891">
      <c r="A891" s="19" t="n">
        <v>890</v>
      </c>
      <c r="B891" s="19">
        <f>IF(COUNTA(C891:E891)=0,"",B890+1)</f>
        <v/>
      </c>
      <c r="C891" s="19" t="inlineStr"/>
      <c r="D891" s="19" t="n"/>
      <c r="E891" s="19" t="n"/>
      <c r="F891" s="19">
        <f>IF(COUNTA(D891:E891)=0,"",N(D891)-N(E891))</f>
        <v/>
      </c>
      <c r="G891" s="19">
        <f>IFERROR(VLOOKUP($B891,'开奖记录'!$A:$K,2,FALSE),"")</f>
        <v/>
      </c>
      <c r="H891" s="19">
        <f>IFERROR(VLOOKUP($B891,'开奖记录'!$A:$K,9,FALSE),"")</f>
        <v/>
      </c>
      <c r="I891" s="19">
        <f>IFERROR(VLOOKUP($B891,'开奖记录'!$A:$K,11,FALSE),"")</f>
        <v/>
      </c>
      <c r="J891" s="19">
        <f>IF($B891="","",IF(ISNUMBER($D891),"命中",IF(ISNUMBER($E891),"未命中","")))</f>
        <v/>
      </c>
      <c r="K891" s="19" t="inlineStr"/>
      <c r="L891" s="19">
        <f>IFERROR(TEXT(VLOOKUP($B891-1,开奖记录!$A:$L,3,FALSE),"00")&amp;"+5="&amp;VLOOKUP(MOD(VLOOKUP($B891-1,开奖记录!$A:$L,3,FALSE)+4,49)+1,规律参数!$A:$C,3,FALSE),"")</f>
        <v/>
      </c>
      <c r="M891" s="19">
        <f>IF(L891="","",IF(I891="","待开奖",IF(ISNUMBER(SEARCH(I891,L891)),"命中","未命中")))</f>
        <v/>
      </c>
      <c r="N891" s="19">
        <f>IFERROR(VLOOKUP(VLOOKUP($B891-1,开奖记录!$A:$L,11,FALSE),八肖参数!$A:$B,2,FALSE),"")</f>
        <v/>
      </c>
      <c r="O891" s="19">
        <f>IF(N891="","",IF(I891="","待开奖",IF(ISNUMBER(SEARCH(I891,N891)),"命中","未命中")))</f>
        <v/>
      </c>
    </row>
    <row r="892">
      <c r="A892" s="19" t="n">
        <v>891</v>
      </c>
      <c r="B892" s="19">
        <f>IF(COUNTA(C892:E892)=0,"",B891+1)</f>
        <v/>
      </c>
      <c r="C892" s="19" t="inlineStr"/>
      <c r="D892" s="19" t="n"/>
      <c r="E892" s="19" t="n"/>
      <c r="F892" s="19">
        <f>IF(COUNTA(D892:E892)=0,"",N(D892)-N(E892))</f>
        <v/>
      </c>
      <c r="G892" s="19">
        <f>IFERROR(VLOOKUP($B892,'开奖记录'!$A:$K,2,FALSE),"")</f>
        <v/>
      </c>
      <c r="H892" s="19">
        <f>IFERROR(VLOOKUP($B892,'开奖记录'!$A:$K,9,FALSE),"")</f>
        <v/>
      </c>
      <c r="I892" s="19">
        <f>IFERROR(VLOOKUP($B892,'开奖记录'!$A:$K,11,FALSE),"")</f>
        <v/>
      </c>
      <c r="J892" s="19">
        <f>IF($B892="","",IF(ISNUMBER($D892),"命中",IF(ISNUMBER($E892),"未命中","")))</f>
        <v/>
      </c>
      <c r="K892" s="19" t="inlineStr"/>
      <c r="L892" s="19">
        <f>IFERROR(TEXT(VLOOKUP($B892-1,开奖记录!$A:$L,3,FALSE),"00")&amp;"+5="&amp;VLOOKUP(MOD(VLOOKUP($B892-1,开奖记录!$A:$L,3,FALSE)+4,49)+1,规律参数!$A:$C,3,FALSE),"")</f>
        <v/>
      </c>
      <c r="M892" s="19">
        <f>IF(L892="","",IF(I892="","待开奖",IF(ISNUMBER(SEARCH(I892,L892)),"命中","未命中")))</f>
        <v/>
      </c>
      <c r="N892" s="19">
        <f>IFERROR(VLOOKUP(VLOOKUP($B892-1,开奖记录!$A:$L,11,FALSE),八肖参数!$A:$B,2,FALSE),"")</f>
        <v/>
      </c>
      <c r="O892" s="19">
        <f>IF(N892="","",IF(I892="","待开奖",IF(ISNUMBER(SEARCH(I892,N892)),"命中","未命中")))</f>
        <v/>
      </c>
    </row>
    <row r="893">
      <c r="A893" s="19" t="n">
        <v>892</v>
      </c>
      <c r="B893" s="19">
        <f>IF(COUNTA(C893:E893)=0,"",B892+1)</f>
        <v/>
      </c>
      <c r="C893" s="19" t="inlineStr"/>
      <c r="D893" s="19" t="n"/>
      <c r="E893" s="19" t="n"/>
      <c r="F893" s="19">
        <f>IF(COUNTA(D893:E893)=0,"",N(D893)-N(E893))</f>
        <v/>
      </c>
      <c r="G893" s="19">
        <f>IFERROR(VLOOKUP($B893,'开奖记录'!$A:$K,2,FALSE),"")</f>
        <v/>
      </c>
      <c r="H893" s="19">
        <f>IFERROR(VLOOKUP($B893,'开奖记录'!$A:$K,9,FALSE),"")</f>
        <v/>
      </c>
      <c r="I893" s="19">
        <f>IFERROR(VLOOKUP($B893,'开奖记录'!$A:$K,11,FALSE),"")</f>
        <v/>
      </c>
      <c r="J893" s="19">
        <f>IF($B893="","",IF(ISNUMBER($D893),"命中",IF(ISNUMBER($E893),"未命中","")))</f>
        <v/>
      </c>
      <c r="K893" s="19" t="inlineStr"/>
      <c r="L893" s="19">
        <f>IFERROR(TEXT(VLOOKUP($B893-1,开奖记录!$A:$L,3,FALSE),"00")&amp;"+5="&amp;VLOOKUP(MOD(VLOOKUP($B893-1,开奖记录!$A:$L,3,FALSE)+4,49)+1,规律参数!$A:$C,3,FALSE),"")</f>
        <v/>
      </c>
      <c r="M893" s="19">
        <f>IF(L893="","",IF(I893="","待开奖",IF(ISNUMBER(SEARCH(I893,L893)),"命中","未命中")))</f>
        <v/>
      </c>
      <c r="N893" s="19">
        <f>IFERROR(VLOOKUP(VLOOKUP($B893-1,开奖记录!$A:$L,11,FALSE),八肖参数!$A:$B,2,FALSE),"")</f>
        <v/>
      </c>
      <c r="O893" s="19">
        <f>IF(N893="","",IF(I893="","待开奖",IF(ISNUMBER(SEARCH(I893,N893)),"命中","未命中")))</f>
        <v/>
      </c>
    </row>
    <row r="894">
      <c r="A894" s="19" t="n">
        <v>893</v>
      </c>
      <c r="B894" s="19">
        <f>IF(COUNTA(C894:E894)=0,"",B893+1)</f>
        <v/>
      </c>
      <c r="C894" s="19" t="inlineStr"/>
      <c r="D894" s="19" t="n"/>
      <c r="E894" s="19" t="n"/>
      <c r="F894" s="19">
        <f>IF(COUNTA(D894:E894)=0,"",N(D894)-N(E894))</f>
        <v/>
      </c>
      <c r="G894" s="19">
        <f>IFERROR(VLOOKUP($B894,'开奖记录'!$A:$K,2,FALSE),"")</f>
        <v/>
      </c>
      <c r="H894" s="19">
        <f>IFERROR(VLOOKUP($B894,'开奖记录'!$A:$K,9,FALSE),"")</f>
        <v/>
      </c>
      <c r="I894" s="19">
        <f>IFERROR(VLOOKUP($B894,'开奖记录'!$A:$K,11,FALSE),"")</f>
        <v/>
      </c>
      <c r="J894" s="19">
        <f>IF($B894="","",IF(ISNUMBER($D894),"命中",IF(ISNUMBER($E894),"未命中","")))</f>
        <v/>
      </c>
      <c r="K894" s="19" t="inlineStr"/>
      <c r="L894" s="19">
        <f>IFERROR(TEXT(VLOOKUP($B894-1,开奖记录!$A:$L,3,FALSE),"00")&amp;"+5="&amp;VLOOKUP(MOD(VLOOKUP($B894-1,开奖记录!$A:$L,3,FALSE)+4,49)+1,规律参数!$A:$C,3,FALSE),"")</f>
        <v/>
      </c>
      <c r="M894" s="19">
        <f>IF(L894="","",IF(I894="","待开奖",IF(ISNUMBER(SEARCH(I894,L894)),"命中","未命中")))</f>
        <v/>
      </c>
      <c r="N894" s="19">
        <f>IFERROR(VLOOKUP(VLOOKUP($B894-1,开奖记录!$A:$L,11,FALSE),八肖参数!$A:$B,2,FALSE),"")</f>
        <v/>
      </c>
      <c r="O894" s="19">
        <f>IF(N894="","",IF(I894="","待开奖",IF(ISNUMBER(SEARCH(I894,N894)),"命中","未命中")))</f>
        <v/>
      </c>
    </row>
    <row r="895">
      <c r="A895" s="19" t="n">
        <v>894</v>
      </c>
      <c r="B895" s="19">
        <f>IF(COUNTA(C895:E895)=0,"",B894+1)</f>
        <v/>
      </c>
      <c r="C895" s="19" t="inlineStr"/>
      <c r="D895" s="19" t="n"/>
      <c r="E895" s="19" t="n"/>
      <c r="F895" s="19">
        <f>IF(COUNTA(D895:E895)=0,"",N(D895)-N(E895))</f>
        <v/>
      </c>
      <c r="G895" s="19">
        <f>IFERROR(VLOOKUP($B895,'开奖记录'!$A:$K,2,FALSE),"")</f>
        <v/>
      </c>
      <c r="H895" s="19">
        <f>IFERROR(VLOOKUP($B895,'开奖记录'!$A:$K,9,FALSE),"")</f>
        <v/>
      </c>
      <c r="I895" s="19">
        <f>IFERROR(VLOOKUP($B895,'开奖记录'!$A:$K,11,FALSE),"")</f>
        <v/>
      </c>
      <c r="J895" s="19">
        <f>IF($B895="","",IF(ISNUMBER($D895),"命中",IF(ISNUMBER($E895),"未命中","")))</f>
        <v/>
      </c>
      <c r="K895" s="19" t="inlineStr"/>
      <c r="L895" s="19">
        <f>IFERROR(TEXT(VLOOKUP($B895-1,开奖记录!$A:$L,3,FALSE),"00")&amp;"+5="&amp;VLOOKUP(MOD(VLOOKUP($B895-1,开奖记录!$A:$L,3,FALSE)+4,49)+1,规律参数!$A:$C,3,FALSE),"")</f>
        <v/>
      </c>
      <c r="M895" s="19">
        <f>IF(L895="","",IF(I895="","待开奖",IF(ISNUMBER(SEARCH(I895,L895)),"命中","未命中")))</f>
        <v/>
      </c>
      <c r="N895" s="19">
        <f>IFERROR(VLOOKUP(VLOOKUP($B895-1,开奖记录!$A:$L,11,FALSE),八肖参数!$A:$B,2,FALSE),"")</f>
        <v/>
      </c>
      <c r="O895" s="19">
        <f>IF(N895="","",IF(I895="","待开奖",IF(ISNUMBER(SEARCH(I895,N895)),"命中","未命中")))</f>
        <v/>
      </c>
    </row>
    <row r="896">
      <c r="A896" s="19" t="n">
        <v>895</v>
      </c>
      <c r="B896" s="19">
        <f>IF(COUNTA(C896:E896)=0,"",B895+1)</f>
        <v/>
      </c>
      <c r="C896" s="19" t="inlineStr"/>
      <c r="D896" s="19" t="n"/>
      <c r="E896" s="19" t="n"/>
      <c r="F896" s="19">
        <f>IF(COUNTA(D896:E896)=0,"",N(D896)-N(E896))</f>
        <v/>
      </c>
      <c r="G896" s="19">
        <f>IFERROR(VLOOKUP($B896,'开奖记录'!$A:$K,2,FALSE),"")</f>
        <v/>
      </c>
      <c r="H896" s="19">
        <f>IFERROR(VLOOKUP($B896,'开奖记录'!$A:$K,9,FALSE),"")</f>
        <v/>
      </c>
      <c r="I896" s="19">
        <f>IFERROR(VLOOKUP($B896,'开奖记录'!$A:$K,11,FALSE),"")</f>
        <v/>
      </c>
      <c r="J896" s="19">
        <f>IF($B896="","",IF(ISNUMBER($D896),"命中",IF(ISNUMBER($E896),"未命中","")))</f>
        <v/>
      </c>
      <c r="K896" s="19" t="inlineStr"/>
      <c r="L896" s="19">
        <f>IFERROR(TEXT(VLOOKUP($B896-1,开奖记录!$A:$L,3,FALSE),"00")&amp;"+5="&amp;VLOOKUP(MOD(VLOOKUP($B896-1,开奖记录!$A:$L,3,FALSE)+4,49)+1,规律参数!$A:$C,3,FALSE),"")</f>
        <v/>
      </c>
      <c r="M896" s="19">
        <f>IF(L896="","",IF(I896="","待开奖",IF(ISNUMBER(SEARCH(I896,L896)),"命中","未命中")))</f>
        <v/>
      </c>
      <c r="N896" s="19">
        <f>IFERROR(VLOOKUP(VLOOKUP($B896-1,开奖记录!$A:$L,11,FALSE),八肖参数!$A:$B,2,FALSE),"")</f>
        <v/>
      </c>
      <c r="O896" s="19">
        <f>IF(N896="","",IF(I896="","待开奖",IF(ISNUMBER(SEARCH(I896,N896)),"命中","未命中")))</f>
        <v/>
      </c>
    </row>
    <row r="897">
      <c r="A897" s="19" t="n">
        <v>896</v>
      </c>
      <c r="B897" s="19">
        <f>IF(COUNTA(C897:E897)=0,"",B896+1)</f>
        <v/>
      </c>
      <c r="C897" s="19" t="inlineStr"/>
      <c r="D897" s="19" t="n"/>
      <c r="E897" s="19" t="n"/>
      <c r="F897" s="19">
        <f>IF(COUNTA(D897:E897)=0,"",N(D897)-N(E897))</f>
        <v/>
      </c>
      <c r="G897" s="19">
        <f>IFERROR(VLOOKUP($B897,'开奖记录'!$A:$K,2,FALSE),"")</f>
        <v/>
      </c>
      <c r="H897" s="19">
        <f>IFERROR(VLOOKUP($B897,'开奖记录'!$A:$K,9,FALSE),"")</f>
        <v/>
      </c>
      <c r="I897" s="19">
        <f>IFERROR(VLOOKUP($B897,'开奖记录'!$A:$K,11,FALSE),"")</f>
        <v/>
      </c>
      <c r="J897" s="19">
        <f>IF($B897="","",IF(ISNUMBER($D897),"命中",IF(ISNUMBER($E897),"未命中","")))</f>
        <v/>
      </c>
      <c r="K897" s="19" t="inlineStr"/>
      <c r="L897" s="19">
        <f>IFERROR(TEXT(VLOOKUP($B897-1,开奖记录!$A:$L,3,FALSE),"00")&amp;"+5="&amp;VLOOKUP(MOD(VLOOKUP($B897-1,开奖记录!$A:$L,3,FALSE)+4,49)+1,规律参数!$A:$C,3,FALSE),"")</f>
        <v/>
      </c>
      <c r="M897" s="19">
        <f>IF(L897="","",IF(I897="","待开奖",IF(ISNUMBER(SEARCH(I897,L897)),"命中","未命中")))</f>
        <v/>
      </c>
      <c r="N897" s="19">
        <f>IFERROR(VLOOKUP(VLOOKUP($B897-1,开奖记录!$A:$L,11,FALSE),八肖参数!$A:$B,2,FALSE),"")</f>
        <v/>
      </c>
      <c r="O897" s="19">
        <f>IF(N897="","",IF(I897="","待开奖",IF(ISNUMBER(SEARCH(I897,N897)),"命中","未命中")))</f>
        <v/>
      </c>
    </row>
    <row r="898">
      <c r="A898" s="19" t="n">
        <v>897</v>
      </c>
      <c r="B898" s="19">
        <f>IF(COUNTA(C898:E898)=0,"",B897+1)</f>
        <v/>
      </c>
      <c r="C898" s="19" t="inlineStr"/>
      <c r="D898" s="19" t="n"/>
      <c r="E898" s="19" t="n"/>
      <c r="F898" s="19">
        <f>IF(COUNTA(D898:E898)=0,"",N(D898)-N(E898))</f>
        <v/>
      </c>
      <c r="G898" s="19">
        <f>IFERROR(VLOOKUP($B898,'开奖记录'!$A:$K,2,FALSE),"")</f>
        <v/>
      </c>
      <c r="H898" s="19">
        <f>IFERROR(VLOOKUP($B898,'开奖记录'!$A:$K,9,FALSE),"")</f>
        <v/>
      </c>
      <c r="I898" s="19">
        <f>IFERROR(VLOOKUP($B898,'开奖记录'!$A:$K,11,FALSE),"")</f>
        <v/>
      </c>
      <c r="J898" s="19">
        <f>IF($B898="","",IF(ISNUMBER($D898),"命中",IF(ISNUMBER($E898),"未命中","")))</f>
        <v/>
      </c>
      <c r="K898" s="19" t="inlineStr"/>
      <c r="L898" s="19">
        <f>IFERROR(TEXT(VLOOKUP($B898-1,开奖记录!$A:$L,3,FALSE),"00")&amp;"+5="&amp;VLOOKUP(MOD(VLOOKUP($B898-1,开奖记录!$A:$L,3,FALSE)+4,49)+1,规律参数!$A:$C,3,FALSE),"")</f>
        <v/>
      </c>
      <c r="M898" s="19">
        <f>IF(L898="","",IF(I898="","待开奖",IF(ISNUMBER(SEARCH(I898,L898)),"命中","未命中")))</f>
        <v/>
      </c>
      <c r="N898" s="19">
        <f>IFERROR(VLOOKUP(VLOOKUP($B898-1,开奖记录!$A:$L,11,FALSE),八肖参数!$A:$B,2,FALSE),"")</f>
        <v/>
      </c>
      <c r="O898" s="19">
        <f>IF(N898="","",IF(I898="","待开奖",IF(ISNUMBER(SEARCH(I898,N898)),"命中","未命中")))</f>
        <v/>
      </c>
    </row>
    <row r="899">
      <c r="A899" s="19" t="n">
        <v>898</v>
      </c>
      <c r="B899" s="19">
        <f>IF(COUNTA(C899:E899)=0,"",B898+1)</f>
        <v/>
      </c>
      <c r="C899" s="19" t="inlineStr"/>
      <c r="D899" s="19" t="n"/>
      <c r="E899" s="19" t="n"/>
      <c r="F899" s="19">
        <f>IF(COUNTA(D899:E899)=0,"",N(D899)-N(E899))</f>
        <v/>
      </c>
      <c r="G899" s="19">
        <f>IFERROR(VLOOKUP($B899,'开奖记录'!$A:$K,2,FALSE),"")</f>
        <v/>
      </c>
      <c r="H899" s="19">
        <f>IFERROR(VLOOKUP($B899,'开奖记录'!$A:$K,9,FALSE),"")</f>
        <v/>
      </c>
      <c r="I899" s="19">
        <f>IFERROR(VLOOKUP($B899,'开奖记录'!$A:$K,11,FALSE),"")</f>
        <v/>
      </c>
      <c r="J899" s="19">
        <f>IF($B899="","",IF(ISNUMBER($D899),"命中",IF(ISNUMBER($E899),"未命中","")))</f>
        <v/>
      </c>
      <c r="K899" s="19" t="inlineStr"/>
      <c r="L899" s="19">
        <f>IFERROR(TEXT(VLOOKUP($B899-1,开奖记录!$A:$L,3,FALSE),"00")&amp;"+5="&amp;VLOOKUP(MOD(VLOOKUP($B899-1,开奖记录!$A:$L,3,FALSE)+4,49)+1,规律参数!$A:$C,3,FALSE),"")</f>
        <v/>
      </c>
      <c r="M899" s="19">
        <f>IF(L899="","",IF(I899="","待开奖",IF(ISNUMBER(SEARCH(I899,L899)),"命中","未命中")))</f>
        <v/>
      </c>
      <c r="N899" s="19">
        <f>IFERROR(VLOOKUP(VLOOKUP($B899-1,开奖记录!$A:$L,11,FALSE),八肖参数!$A:$B,2,FALSE),"")</f>
        <v/>
      </c>
      <c r="O899" s="19">
        <f>IF(N899="","",IF(I899="","待开奖",IF(ISNUMBER(SEARCH(I899,N899)),"命中","未命中")))</f>
        <v/>
      </c>
    </row>
    <row r="900">
      <c r="A900" s="19" t="n">
        <v>899</v>
      </c>
      <c r="B900" s="19">
        <f>IF(COUNTA(C900:E900)=0,"",B899+1)</f>
        <v/>
      </c>
      <c r="C900" s="19" t="inlineStr"/>
      <c r="D900" s="19" t="n"/>
      <c r="E900" s="19" t="n"/>
      <c r="F900" s="19">
        <f>IF(COUNTA(D900:E900)=0,"",N(D900)-N(E900))</f>
        <v/>
      </c>
      <c r="G900" s="19">
        <f>IFERROR(VLOOKUP($B900,'开奖记录'!$A:$K,2,FALSE),"")</f>
        <v/>
      </c>
      <c r="H900" s="19">
        <f>IFERROR(VLOOKUP($B900,'开奖记录'!$A:$K,9,FALSE),"")</f>
        <v/>
      </c>
      <c r="I900" s="19">
        <f>IFERROR(VLOOKUP($B900,'开奖记录'!$A:$K,11,FALSE),"")</f>
        <v/>
      </c>
      <c r="J900" s="19">
        <f>IF($B900="","",IF(ISNUMBER($D900),"命中",IF(ISNUMBER($E900),"未命中","")))</f>
        <v/>
      </c>
      <c r="K900" s="19" t="inlineStr"/>
      <c r="L900" s="19">
        <f>IFERROR(TEXT(VLOOKUP($B900-1,开奖记录!$A:$L,3,FALSE),"00")&amp;"+5="&amp;VLOOKUP(MOD(VLOOKUP($B900-1,开奖记录!$A:$L,3,FALSE)+4,49)+1,规律参数!$A:$C,3,FALSE),"")</f>
        <v/>
      </c>
      <c r="M900" s="19">
        <f>IF(L900="","",IF(I900="","待开奖",IF(ISNUMBER(SEARCH(I900,L900)),"命中","未命中")))</f>
        <v/>
      </c>
      <c r="N900" s="19">
        <f>IFERROR(VLOOKUP(VLOOKUP($B900-1,开奖记录!$A:$L,11,FALSE),八肖参数!$A:$B,2,FALSE),"")</f>
        <v/>
      </c>
      <c r="O900" s="19">
        <f>IF(N900="","",IF(I900="","待开奖",IF(ISNUMBER(SEARCH(I900,N900)),"命中","未命中")))</f>
        <v/>
      </c>
    </row>
    <row r="901">
      <c r="A901" s="19" t="n">
        <v>900</v>
      </c>
      <c r="B901" s="19">
        <f>IF(COUNTA(C901:E901)=0,"",B900+1)</f>
        <v/>
      </c>
      <c r="C901" s="19" t="inlineStr"/>
      <c r="D901" s="19" t="n"/>
      <c r="E901" s="19" t="n"/>
      <c r="F901" s="19">
        <f>IF(COUNTA(D901:E901)=0,"",N(D901)-N(E901))</f>
        <v/>
      </c>
      <c r="G901" s="19">
        <f>IFERROR(VLOOKUP($B901,'开奖记录'!$A:$K,2,FALSE),"")</f>
        <v/>
      </c>
      <c r="H901" s="19">
        <f>IFERROR(VLOOKUP($B901,'开奖记录'!$A:$K,9,FALSE),"")</f>
        <v/>
      </c>
      <c r="I901" s="19">
        <f>IFERROR(VLOOKUP($B901,'开奖记录'!$A:$K,11,FALSE),"")</f>
        <v/>
      </c>
      <c r="J901" s="19">
        <f>IF($B901="","",IF(ISNUMBER($D901),"命中",IF(ISNUMBER($E901),"未命中","")))</f>
        <v/>
      </c>
      <c r="K901" s="19" t="inlineStr"/>
      <c r="L901" s="19">
        <f>IFERROR(TEXT(VLOOKUP($B901-1,开奖记录!$A:$L,3,FALSE),"00")&amp;"+5="&amp;VLOOKUP(MOD(VLOOKUP($B901-1,开奖记录!$A:$L,3,FALSE)+4,49)+1,规律参数!$A:$C,3,FALSE),"")</f>
        <v/>
      </c>
      <c r="M901" s="19">
        <f>IF(L901="","",IF(I901="","待开奖",IF(ISNUMBER(SEARCH(I901,L901)),"命中","未命中")))</f>
        <v/>
      </c>
      <c r="N901" s="19">
        <f>IFERROR(VLOOKUP(VLOOKUP($B901-1,开奖记录!$A:$L,11,FALSE),八肖参数!$A:$B,2,FALSE),"")</f>
        <v/>
      </c>
      <c r="O901" s="19">
        <f>IF(N901="","",IF(I901="","待开奖",IF(ISNUMBER(SEARCH(I901,N901)),"命中","未命中")))</f>
        <v/>
      </c>
    </row>
    <row r="902">
      <c r="A902" s="19" t="n">
        <v>901</v>
      </c>
      <c r="B902" s="19">
        <f>IF(COUNTA(C902:E902)=0,"",B901+1)</f>
        <v/>
      </c>
      <c r="C902" s="19" t="inlineStr"/>
      <c r="D902" s="19" t="n"/>
      <c r="E902" s="19" t="n"/>
      <c r="F902" s="19">
        <f>IF(COUNTA(D902:E902)=0,"",N(D902)-N(E902))</f>
        <v/>
      </c>
      <c r="G902" s="19">
        <f>IFERROR(VLOOKUP($B902,'开奖记录'!$A:$K,2,FALSE),"")</f>
        <v/>
      </c>
      <c r="H902" s="19">
        <f>IFERROR(VLOOKUP($B902,'开奖记录'!$A:$K,9,FALSE),"")</f>
        <v/>
      </c>
      <c r="I902" s="19">
        <f>IFERROR(VLOOKUP($B902,'开奖记录'!$A:$K,11,FALSE),"")</f>
        <v/>
      </c>
      <c r="J902" s="19">
        <f>IF($B902="","",IF(ISNUMBER($D902),"命中",IF(ISNUMBER($E902),"未命中","")))</f>
        <v/>
      </c>
      <c r="K902" s="19" t="inlineStr"/>
      <c r="L902" s="19">
        <f>IFERROR(TEXT(VLOOKUP($B902-1,开奖记录!$A:$L,3,FALSE),"00")&amp;"+5="&amp;VLOOKUP(MOD(VLOOKUP($B902-1,开奖记录!$A:$L,3,FALSE)+4,49)+1,规律参数!$A:$C,3,FALSE),"")</f>
        <v/>
      </c>
      <c r="M902" s="19">
        <f>IF(L902="","",IF(I902="","待开奖",IF(ISNUMBER(SEARCH(I902,L902)),"命中","未命中")))</f>
        <v/>
      </c>
      <c r="N902" s="19">
        <f>IFERROR(VLOOKUP(VLOOKUP($B902-1,开奖记录!$A:$L,11,FALSE),八肖参数!$A:$B,2,FALSE),"")</f>
        <v/>
      </c>
      <c r="O902" s="19">
        <f>IF(N902="","",IF(I902="","待开奖",IF(ISNUMBER(SEARCH(I902,N902)),"命中","未命中")))</f>
        <v/>
      </c>
    </row>
    <row r="903">
      <c r="A903" s="19" t="n">
        <v>902</v>
      </c>
      <c r="B903" s="19">
        <f>IF(COUNTA(C903:E903)=0,"",B902+1)</f>
        <v/>
      </c>
      <c r="C903" s="19" t="inlineStr"/>
      <c r="D903" s="19" t="n"/>
      <c r="E903" s="19" t="n"/>
      <c r="F903" s="19">
        <f>IF(COUNTA(D903:E903)=0,"",N(D903)-N(E903))</f>
        <v/>
      </c>
      <c r="G903" s="19">
        <f>IFERROR(VLOOKUP($B903,'开奖记录'!$A:$K,2,FALSE),"")</f>
        <v/>
      </c>
      <c r="H903" s="19">
        <f>IFERROR(VLOOKUP($B903,'开奖记录'!$A:$K,9,FALSE),"")</f>
        <v/>
      </c>
      <c r="I903" s="19">
        <f>IFERROR(VLOOKUP($B903,'开奖记录'!$A:$K,11,FALSE),"")</f>
        <v/>
      </c>
      <c r="J903" s="19">
        <f>IF($B903="","",IF(ISNUMBER($D903),"命中",IF(ISNUMBER($E903),"未命中","")))</f>
        <v/>
      </c>
      <c r="K903" s="19" t="inlineStr"/>
      <c r="L903" s="19">
        <f>IFERROR(TEXT(VLOOKUP($B903-1,开奖记录!$A:$L,3,FALSE),"00")&amp;"+5="&amp;VLOOKUP(MOD(VLOOKUP($B903-1,开奖记录!$A:$L,3,FALSE)+4,49)+1,规律参数!$A:$C,3,FALSE),"")</f>
        <v/>
      </c>
      <c r="M903" s="19">
        <f>IF(L903="","",IF(I903="","待开奖",IF(ISNUMBER(SEARCH(I903,L903)),"命中","未命中")))</f>
        <v/>
      </c>
      <c r="N903" s="19">
        <f>IFERROR(VLOOKUP(VLOOKUP($B903-1,开奖记录!$A:$L,11,FALSE),八肖参数!$A:$B,2,FALSE),"")</f>
        <v/>
      </c>
      <c r="O903" s="19">
        <f>IF(N903="","",IF(I903="","待开奖",IF(ISNUMBER(SEARCH(I903,N903)),"命中","未命中")))</f>
        <v/>
      </c>
    </row>
    <row r="904">
      <c r="A904" s="19" t="n">
        <v>903</v>
      </c>
      <c r="B904" s="19">
        <f>IF(COUNTA(C904:E904)=0,"",B903+1)</f>
        <v/>
      </c>
      <c r="C904" s="19" t="inlineStr"/>
      <c r="D904" s="19" t="n"/>
      <c r="E904" s="19" t="n"/>
      <c r="F904" s="19">
        <f>IF(COUNTA(D904:E904)=0,"",N(D904)-N(E904))</f>
        <v/>
      </c>
      <c r="G904" s="19">
        <f>IFERROR(VLOOKUP($B904,'开奖记录'!$A:$K,2,FALSE),"")</f>
        <v/>
      </c>
      <c r="H904" s="19">
        <f>IFERROR(VLOOKUP($B904,'开奖记录'!$A:$K,9,FALSE),"")</f>
        <v/>
      </c>
      <c r="I904" s="19">
        <f>IFERROR(VLOOKUP($B904,'开奖记录'!$A:$K,11,FALSE),"")</f>
        <v/>
      </c>
      <c r="J904" s="19">
        <f>IF($B904="","",IF(ISNUMBER($D904),"命中",IF(ISNUMBER($E904),"未命中","")))</f>
        <v/>
      </c>
      <c r="K904" s="19" t="inlineStr"/>
      <c r="L904" s="19">
        <f>IFERROR(TEXT(VLOOKUP($B904-1,开奖记录!$A:$L,3,FALSE),"00")&amp;"+5="&amp;VLOOKUP(MOD(VLOOKUP($B904-1,开奖记录!$A:$L,3,FALSE)+4,49)+1,规律参数!$A:$C,3,FALSE),"")</f>
        <v/>
      </c>
      <c r="M904" s="19">
        <f>IF(L904="","",IF(I904="","待开奖",IF(ISNUMBER(SEARCH(I904,L904)),"命中","未命中")))</f>
        <v/>
      </c>
      <c r="N904" s="19">
        <f>IFERROR(VLOOKUP(VLOOKUP($B904-1,开奖记录!$A:$L,11,FALSE),八肖参数!$A:$B,2,FALSE),"")</f>
        <v/>
      </c>
      <c r="O904" s="19">
        <f>IF(N904="","",IF(I904="","待开奖",IF(ISNUMBER(SEARCH(I904,N904)),"命中","未命中")))</f>
        <v/>
      </c>
    </row>
    <row r="905">
      <c r="A905" s="19" t="n">
        <v>904</v>
      </c>
      <c r="B905" s="19">
        <f>IF(COUNTA(C905:E905)=0,"",B904+1)</f>
        <v/>
      </c>
      <c r="C905" s="19" t="inlineStr"/>
      <c r="D905" s="19" t="n"/>
      <c r="E905" s="19" t="n"/>
      <c r="F905" s="19">
        <f>IF(COUNTA(D905:E905)=0,"",N(D905)-N(E905))</f>
        <v/>
      </c>
      <c r="G905" s="19">
        <f>IFERROR(VLOOKUP($B905,'开奖记录'!$A:$K,2,FALSE),"")</f>
        <v/>
      </c>
      <c r="H905" s="19">
        <f>IFERROR(VLOOKUP($B905,'开奖记录'!$A:$K,9,FALSE),"")</f>
        <v/>
      </c>
      <c r="I905" s="19">
        <f>IFERROR(VLOOKUP($B905,'开奖记录'!$A:$K,11,FALSE),"")</f>
        <v/>
      </c>
      <c r="J905" s="19">
        <f>IF($B905="","",IF(ISNUMBER($D905),"命中",IF(ISNUMBER($E905),"未命中","")))</f>
        <v/>
      </c>
      <c r="K905" s="19" t="inlineStr"/>
      <c r="L905" s="19">
        <f>IFERROR(TEXT(VLOOKUP($B905-1,开奖记录!$A:$L,3,FALSE),"00")&amp;"+5="&amp;VLOOKUP(MOD(VLOOKUP($B905-1,开奖记录!$A:$L,3,FALSE)+4,49)+1,规律参数!$A:$C,3,FALSE),"")</f>
        <v/>
      </c>
      <c r="M905" s="19">
        <f>IF(L905="","",IF(I905="","待开奖",IF(ISNUMBER(SEARCH(I905,L905)),"命中","未命中")))</f>
        <v/>
      </c>
      <c r="N905" s="19">
        <f>IFERROR(VLOOKUP(VLOOKUP($B905-1,开奖记录!$A:$L,11,FALSE),八肖参数!$A:$B,2,FALSE),"")</f>
        <v/>
      </c>
      <c r="O905" s="19">
        <f>IF(N905="","",IF(I905="","待开奖",IF(ISNUMBER(SEARCH(I905,N905)),"命中","未命中")))</f>
        <v/>
      </c>
    </row>
    <row r="906">
      <c r="A906" s="19" t="n">
        <v>905</v>
      </c>
      <c r="B906" s="19">
        <f>IF(COUNTA(C906:E906)=0,"",B905+1)</f>
        <v/>
      </c>
      <c r="C906" s="19" t="inlineStr"/>
      <c r="D906" s="19" t="n"/>
      <c r="E906" s="19" t="n"/>
      <c r="F906" s="19">
        <f>IF(COUNTA(D906:E906)=0,"",N(D906)-N(E906))</f>
        <v/>
      </c>
      <c r="G906" s="19">
        <f>IFERROR(VLOOKUP($B906,'开奖记录'!$A:$K,2,FALSE),"")</f>
        <v/>
      </c>
      <c r="H906" s="19">
        <f>IFERROR(VLOOKUP($B906,'开奖记录'!$A:$K,9,FALSE),"")</f>
        <v/>
      </c>
      <c r="I906" s="19">
        <f>IFERROR(VLOOKUP($B906,'开奖记录'!$A:$K,11,FALSE),"")</f>
        <v/>
      </c>
      <c r="J906" s="19">
        <f>IF($B906="","",IF(ISNUMBER($D906),"命中",IF(ISNUMBER($E906),"未命中","")))</f>
        <v/>
      </c>
      <c r="K906" s="19" t="inlineStr"/>
      <c r="L906" s="19">
        <f>IFERROR(TEXT(VLOOKUP($B906-1,开奖记录!$A:$L,3,FALSE),"00")&amp;"+5="&amp;VLOOKUP(MOD(VLOOKUP($B906-1,开奖记录!$A:$L,3,FALSE)+4,49)+1,规律参数!$A:$C,3,FALSE),"")</f>
        <v/>
      </c>
      <c r="M906" s="19">
        <f>IF(L906="","",IF(I906="","待开奖",IF(ISNUMBER(SEARCH(I906,L906)),"命中","未命中")))</f>
        <v/>
      </c>
      <c r="N906" s="19">
        <f>IFERROR(VLOOKUP(VLOOKUP($B906-1,开奖记录!$A:$L,11,FALSE),八肖参数!$A:$B,2,FALSE),"")</f>
        <v/>
      </c>
      <c r="O906" s="19">
        <f>IF(N906="","",IF(I906="","待开奖",IF(ISNUMBER(SEARCH(I906,N906)),"命中","未命中")))</f>
        <v/>
      </c>
    </row>
    <row r="907">
      <c r="A907" s="19" t="n">
        <v>906</v>
      </c>
      <c r="B907" s="19">
        <f>IF(COUNTA(C907:E907)=0,"",B906+1)</f>
        <v/>
      </c>
      <c r="C907" s="19" t="inlineStr"/>
      <c r="D907" s="19" t="n"/>
      <c r="E907" s="19" t="n"/>
      <c r="F907" s="19">
        <f>IF(COUNTA(D907:E907)=0,"",N(D907)-N(E907))</f>
        <v/>
      </c>
      <c r="G907" s="19">
        <f>IFERROR(VLOOKUP($B907,'开奖记录'!$A:$K,2,FALSE),"")</f>
        <v/>
      </c>
      <c r="H907" s="19">
        <f>IFERROR(VLOOKUP($B907,'开奖记录'!$A:$K,9,FALSE),"")</f>
        <v/>
      </c>
      <c r="I907" s="19">
        <f>IFERROR(VLOOKUP($B907,'开奖记录'!$A:$K,11,FALSE),"")</f>
        <v/>
      </c>
      <c r="J907" s="19">
        <f>IF($B907="","",IF(ISNUMBER($D907),"命中",IF(ISNUMBER($E907),"未命中","")))</f>
        <v/>
      </c>
      <c r="K907" s="19" t="inlineStr"/>
      <c r="L907" s="19">
        <f>IFERROR(TEXT(VLOOKUP($B907-1,开奖记录!$A:$L,3,FALSE),"00")&amp;"+5="&amp;VLOOKUP(MOD(VLOOKUP($B907-1,开奖记录!$A:$L,3,FALSE)+4,49)+1,规律参数!$A:$C,3,FALSE),"")</f>
        <v/>
      </c>
      <c r="M907" s="19">
        <f>IF(L907="","",IF(I907="","待开奖",IF(ISNUMBER(SEARCH(I907,L907)),"命中","未命中")))</f>
        <v/>
      </c>
      <c r="N907" s="19">
        <f>IFERROR(VLOOKUP(VLOOKUP($B907-1,开奖记录!$A:$L,11,FALSE),八肖参数!$A:$B,2,FALSE),"")</f>
        <v/>
      </c>
      <c r="O907" s="19">
        <f>IF(N907="","",IF(I907="","待开奖",IF(ISNUMBER(SEARCH(I907,N907)),"命中","未命中")))</f>
        <v/>
      </c>
    </row>
    <row r="908">
      <c r="A908" s="19" t="n">
        <v>907</v>
      </c>
      <c r="B908" s="19">
        <f>IF(COUNTA(C908:E908)=0,"",B907+1)</f>
        <v/>
      </c>
      <c r="C908" s="19" t="inlineStr"/>
      <c r="D908" s="19" t="n"/>
      <c r="E908" s="19" t="n"/>
      <c r="F908" s="19">
        <f>IF(COUNTA(D908:E908)=0,"",N(D908)-N(E908))</f>
        <v/>
      </c>
      <c r="G908" s="19">
        <f>IFERROR(VLOOKUP($B908,'开奖记录'!$A:$K,2,FALSE),"")</f>
        <v/>
      </c>
      <c r="H908" s="19">
        <f>IFERROR(VLOOKUP($B908,'开奖记录'!$A:$K,9,FALSE),"")</f>
        <v/>
      </c>
      <c r="I908" s="19">
        <f>IFERROR(VLOOKUP($B908,'开奖记录'!$A:$K,11,FALSE),"")</f>
        <v/>
      </c>
      <c r="J908" s="19">
        <f>IF($B908="","",IF(ISNUMBER($D908),"命中",IF(ISNUMBER($E908),"未命中","")))</f>
        <v/>
      </c>
      <c r="K908" s="19" t="inlineStr"/>
      <c r="L908" s="19">
        <f>IFERROR(TEXT(VLOOKUP($B908-1,开奖记录!$A:$L,3,FALSE),"00")&amp;"+5="&amp;VLOOKUP(MOD(VLOOKUP($B908-1,开奖记录!$A:$L,3,FALSE)+4,49)+1,规律参数!$A:$C,3,FALSE),"")</f>
        <v/>
      </c>
      <c r="M908" s="19">
        <f>IF(L908="","",IF(I908="","待开奖",IF(ISNUMBER(SEARCH(I908,L908)),"命中","未命中")))</f>
        <v/>
      </c>
      <c r="N908" s="19">
        <f>IFERROR(VLOOKUP(VLOOKUP($B908-1,开奖记录!$A:$L,11,FALSE),八肖参数!$A:$B,2,FALSE),"")</f>
        <v/>
      </c>
      <c r="O908" s="19">
        <f>IF(N908="","",IF(I908="","待开奖",IF(ISNUMBER(SEARCH(I908,N908)),"命中","未命中")))</f>
        <v/>
      </c>
    </row>
    <row r="909">
      <c r="A909" s="19" t="n">
        <v>908</v>
      </c>
      <c r="B909" s="19">
        <f>IF(COUNTA(C909:E909)=0,"",B908+1)</f>
        <v/>
      </c>
      <c r="C909" s="19" t="inlineStr"/>
      <c r="D909" s="19" t="n"/>
      <c r="E909" s="19" t="n"/>
      <c r="F909" s="19">
        <f>IF(COUNTA(D909:E909)=0,"",N(D909)-N(E909))</f>
        <v/>
      </c>
      <c r="G909" s="19">
        <f>IFERROR(VLOOKUP($B909,'开奖记录'!$A:$K,2,FALSE),"")</f>
        <v/>
      </c>
      <c r="H909" s="19">
        <f>IFERROR(VLOOKUP($B909,'开奖记录'!$A:$K,9,FALSE),"")</f>
        <v/>
      </c>
      <c r="I909" s="19">
        <f>IFERROR(VLOOKUP($B909,'开奖记录'!$A:$K,11,FALSE),"")</f>
        <v/>
      </c>
      <c r="J909" s="19">
        <f>IF($B909="","",IF(ISNUMBER($D909),"命中",IF(ISNUMBER($E909),"未命中","")))</f>
        <v/>
      </c>
      <c r="K909" s="19" t="inlineStr"/>
      <c r="L909" s="19">
        <f>IFERROR(TEXT(VLOOKUP($B909-1,开奖记录!$A:$L,3,FALSE),"00")&amp;"+5="&amp;VLOOKUP(MOD(VLOOKUP($B909-1,开奖记录!$A:$L,3,FALSE)+4,49)+1,规律参数!$A:$C,3,FALSE),"")</f>
        <v/>
      </c>
      <c r="M909" s="19">
        <f>IF(L909="","",IF(I909="","待开奖",IF(ISNUMBER(SEARCH(I909,L909)),"命中","未命中")))</f>
        <v/>
      </c>
      <c r="N909" s="19">
        <f>IFERROR(VLOOKUP(VLOOKUP($B909-1,开奖记录!$A:$L,11,FALSE),八肖参数!$A:$B,2,FALSE),"")</f>
        <v/>
      </c>
      <c r="O909" s="19">
        <f>IF(N909="","",IF(I909="","待开奖",IF(ISNUMBER(SEARCH(I909,N909)),"命中","未命中")))</f>
        <v/>
      </c>
    </row>
    <row r="910">
      <c r="A910" s="19" t="n">
        <v>909</v>
      </c>
      <c r="B910" s="19">
        <f>IF(COUNTA(C910:E910)=0,"",B909+1)</f>
        <v/>
      </c>
      <c r="C910" s="19" t="inlineStr"/>
      <c r="D910" s="19" t="n"/>
      <c r="E910" s="19" t="n"/>
      <c r="F910" s="19">
        <f>IF(COUNTA(D910:E910)=0,"",N(D910)-N(E910))</f>
        <v/>
      </c>
      <c r="G910" s="19">
        <f>IFERROR(VLOOKUP($B910,'开奖记录'!$A:$K,2,FALSE),"")</f>
        <v/>
      </c>
      <c r="H910" s="19">
        <f>IFERROR(VLOOKUP($B910,'开奖记录'!$A:$K,9,FALSE),"")</f>
        <v/>
      </c>
      <c r="I910" s="19">
        <f>IFERROR(VLOOKUP($B910,'开奖记录'!$A:$K,11,FALSE),"")</f>
        <v/>
      </c>
      <c r="J910" s="19">
        <f>IF($B910="","",IF(ISNUMBER($D910),"命中",IF(ISNUMBER($E910),"未命中","")))</f>
        <v/>
      </c>
      <c r="K910" s="19" t="inlineStr"/>
      <c r="L910" s="19">
        <f>IFERROR(TEXT(VLOOKUP($B910-1,开奖记录!$A:$L,3,FALSE),"00")&amp;"+5="&amp;VLOOKUP(MOD(VLOOKUP($B910-1,开奖记录!$A:$L,3,FALSE)+4,49)+1,规律参数!$A:$C,3,FALSE),"")</f>
        <v/>
      </c>
      <c r="M910" s="19">
        <f>IF(L910="","",IF(I910="","待开奖",IF(ISNUMBER(SEARCH(I910,L910)),"命中","未命中")))</f>
        <v/>
      </c>
      <c r="N910" s="19">
        <f>IFERROR(VLOOKUP(VLOOKUP($B910-1,开奖记录!$A:$L,11,FALSE),八肖参数!$A:$B,2,FALSE),"")</f>
        <v/>
      </c>
      <c r="O910" s="19">
        <f>IF(N910="","",IF(I910="","待开奖",IF(ISNUMBER(SEARCH(I910,N910)),"命中","未命中")))</f>
        <v/>
      </c>
    </row>
    <row r="911">
      <c r="A911" s="19" t="n">
        <v>910</v>
      </c>
      <c r="B911" s="19">
        <f>IF(COUNTA(C911:E911)=0,"",B910+1)</f>
        <v/>
      </c>
      <c r="C911" s="19" t="inlineStr"/>
      <c r="D911" s="19" t="n"/>
      <c r="E911" s="19" t="n"/>
      <c r="F911" s="19">
        <f>IF(COUNTA(D911:E911)=0,"",N(D911)-N(E911))</f>
        <v/>
      </c>
      <c r="G911" s="19">
        <f>IFERROR(VLOOKUP($B911,'开奖记录'!$A:$K,2,FALSE),"")</f>
        <v/>
      </c>
      <c r="H911" s="19">
        <f>IFERROR(VLOOKUP($B911,'开奖记录'!$A:$K,9,FALSE),"")</f>
        <v/>
      </c>
      <c r="I911" s="19">
        <f>IFERROR(VLOOKUP($B911,'开奖记录'!$A:$K,11,FALSE),"")</f>
        <v/>
      </c>
      <c r="J911" s="19">
        <f>IF($B911="","",IF(ISNUMBER($D911),"命中",IF(ISNUMBER($E911),"未命中","")))</f>
        <v/>
      </c>
      <c r="K911" s="19" t="inlineStr"/>
      <c r="L911" s="19">
        <f>IFERROR(TEXT(VLOOKUP($B911-1,开奖记录!$A:$L,3,FALSE),"00")&amp;"+5="&amp;VLOOKUP(MOD(VLOOKUP($B911-1,开奖记录!$A:$L,3,FALSE)+4,49)+1,规律参数!$A:$C,3,FALSE),"")</f>
        <v/>
      </c>
      <c r="M911" s="19">
        <f>IF(L911="","",IF(I911="","待开奖",IF(ISNUMBER(SEARCH(I911,L911)),"命中","未命中")))</f>
        <v/>
      </c>
      <c r="N911" s="19">
        <f>IFERROR(VLOOKUP(VLOOKUP($B911-1,开奖记录!$A:$L,11,FALSE),八肖参数!$A:$B,2,FALSE),"")</f>
        <v/>
      </c>
      <c r="O911" s="19">
        <f>IF(N911="","",IF(I911="","待开奖",IF(ISNUMBER(SEARCH(I911,N911)),"命中","未命中")))</f>
        <v/>
      </c>
    </row>
    <row r="912">
      <c r="A912" s="19" t="n">
        <v>911</v>
      </c>
      <c r="B912" s="19">
        <f>IF(COUNTA(C912:E912)=0,"",B911+1)</f>
        <v/>
      </c>
      <c r="C912" s="19" t="inlineStr"/>
      <c r="D912" s="19" t="n"/>
      <c r="E912" s="19" t="n"/>
      <c r="F912" s="19">
        <f>IF(COUNTA(D912:E912)=0,"",N(D912)-N(E912))</f>
        <v/>
      </c>
      <c r="G912" s="19">
        <f>IFERROR(VLOOKUP($B912,'开奖记录'!$A:$K,2,FALSE),"")</f>
        <v/>
      </c>
      <c r="H912" s="19">
        <f>IFERROR(VLOOKUP($B912,'开奖记录'!$A:$K,9,FALSE),"")</f>
        <v/>
      </c>
      <c r="I912" s="19">
        <f>IFERROR(VLOOKUP($B912,'开奖记录'!$A:$K,11,FALSE),"")</f>
        <v/>
      </c>
      <c r="J912" s="19">
        <f>IF($B912="","",IF(ISNUMBER($D912),"命中",IF(ISNUMBER($E912),"未命中","")))</f>
        <v/>
      </c>
      <c r="K912" s="19" t="inlineStr"/>
      <c r="L912" s="19">
        <f>IFERROR(TEXT(VLOOKUP($B912-1,开奖记录!$A:$L,3,FALSE),"00")&amp;"+5="&amp;VLOOKUP(MOD(VLOOKUP($B912-1,开奖记录!$A:$L,3,FALSE)+4,49)+1,规律参数!$A:$C,3,FALSE),"")</f>
        <v/>
      </c>
      <c r="M912" s="19">
        <f>IF(L912="","",IF(I912="","待开奖",IF(ISNUMBER(SEARCH(I912,L912)),"命中","未命中")))</f>
        <v/>
      </c>
      <c r="N912" s="19">
        <f>IFERROR(VLOOKUP(VLOOKUP($B912-1,开奖记录!$A:$L,11,FALSE),八肖参数!$A:$B,2,FALSE),"")</f>
        <v/>
      </c>
      <c r="O912" s="19">
        <f>IF(N912="","",IF(I912="","待开奖",IF(ISNUMBER(SEARCH(I912,N912)),"命中","未命中")))</f>
        <v/>
      </c>
    </row>
    <row r="913">
      <c r="A913" s="19" t="n">
        <v>912</v>
      </c>
      <c r="B913" s="19">
        <f>IF(COUNTA(C913:E913)=0,"",B912+1)</f>
        <v/>
      </c>
      <c r="C913" s="19" t="inlineStr"/>
      <c r="D913" s="19" t="n"/>
      <c r="E913" s="19" t="n"/>
      <c r="F913" s="19">
        <f>IF(COUNTA(D913:E913)=0,"",N(D913)-N(E913))</f>
        <v/>
      </c>
      <c r="G913" s="19">
        <f>IFERROR(VLOOKUP($B913,'开奖记录'!$A:$K,2,FALSE),"")</f>
        <v/>
      </c>
      <c r="H913" s="19">
        <f>IFERROR(VLOOKUP($B913,'开奖记录'!$A:$K,9,FALSE),"")</f>
        <v/>
      </c>
      <c r="I913" s="19">
        <f>IFERROR(VLOOKUP($B913,'开奖记录'!$A:$K,11,FALSE),"")</f>
        <v/>
      </c>
      <c r="J913" s="19">
        <f>IF($B913="","",IF(ISNUMBER($D913),"命中",IF(ISNUMBER($E913),"未命中","")))</f>
        <v/>
      </c>
      <c r="K913" s="19" t="inlineStr"/>
      <c r="L913" s="19">
        <f>IFERROR(TEXT(VLOOKUP($B913-1,开奖记录!$A:$L,3,FALSE),"00")&amp;"+5="&amp;VLOOKUP(MOD(VLOOKUP($B913-1,开奖记录!$A:$L,3,FALSE)+4,49)+1,规律参数!$A:$C,3,FALSE),"")</f>
        <v/>
      </c>
      <c r="M913" s="19">
        <f>IF(L913="","",IF(I913="","待开奖",IF(ISNUMBER(SEARCH(I913,L913)),"命中","未命中")))</f>
        <v/>
      </c>
      <c r="N913" s="19">
        <f>IFERROR(VLOOKUP(VLOOKUP($B913-1,开奖记录!$A:$L,11,FALSE),八肖参数!$A:$B,2,FALSE),"")</f>
        <v/>
      </c>
      <c r="O913" s="19">
        <f>IF(N913="","",IF(I913="","待开奖",IF(ISNUMBER(SEARCH(I913,N913)),"命中","未命中")))</f>
        <v/>
      </c>
    </row>
    <row r="914">
      <c r="A914" s="19" t="n">
        <v>913</v>
      </c>
      <c r="B914" s="19">
        <f>IF(COUNTA(C914:E914)=0,"",B913+1)</f>
        <v/>
      </c>
      <c r="C914" s="19" t="inlineStr"/>
      <c r="D914" s="19" t="n"/>
      <c r="E914" s="19" t="n"/>
      <c r="F914" s="19">
        <f>IF(COUNTA(D914:E914)=0,"",N(D914)-N(E914))</f>
        <v/>
      </c>
      <c r="G914" s="19">
        <f>IFERROR(VLOOKUP($B914,'开奖记录'!$A:$K,2,FALSE),"")</f>
        <v/>
      </c>
      <c r="H914" s="19">
        <f>IFERROR(VLOOKUP($B914,'开奖记录'!$A:$K,9,FALSE),"")</f>
        <v/>
      </c>
      <c r="I914" s="19">
        <f>IFERROR(VLOOKUP($B914,'开奖记录'!$A:$K,11,FALSE),"")</f>
        <v/>
      </c>
      <c r="J914" s="19">
        <f>IF($B914="","",IF(ISNUMBER($D914),"命中",IF(ISNUMBER($E914),"未命中","")))</f>
        <v/>
      </c>
      <c r="K914" s="19" t="inlineStr"/>
      <c r="L914" s="19">
        <f>IFERROR(TEXT(VLOOKUP($B914-1,开奖记录!$A:$L,3,FALSE),"00")&amp;"+5="&amp;VLOOKUP(MOD(VLOOKUP($B914-1,开奖记录!$A:$L,3,FALSE)+4,49)+1,规律参数!$A:$C,3,FALSE),"")</f>
        <v/>
      </c>
      <c r="M914" s="19">
        <f>IF(L914="","",IF(I914="","待开奖",IF(ISNUMBER(SEARCH(I914,L914)),"命中","未命中")))</f>
        <v/>
      </c>
      <c r="N914" s="19">
        <f>IFERROR(VLOOKUP(VLOOKUP($B914-1,开奖记录!$A:$L,11,FALSE),八肖参数!$A:$B,2,FALSE),"")</f>
        <v/>
      </c>
      <c r="O914" s="19">
        <f>IF(N914="","",IF(I914="","待开奖",IF(ISNUMBER(SEARCH(I914,N914)),"命中","未命中")))</f>
        <v/>
      </c>
    </row>
    <row r="915">
      <c r="A915" s="19" t="n">
        <v>914</v>
      </c>
      <c r="B915" s="19">
        <f>IF(COUNTA(C915:E915)=0,"",B914+1)</f>
        <v/>
      </c>
      <c r="C915" s="19" t="inlineStr"/>
      <c r="D915" s="19" t="n"/>
      <c r="E915" s="19" t="n"/>
      <c r="F915" s="19">
        <f>IF(COUNTA(D915:E915)=0,"",N(D915)-N(E915))</f>
        <v/>
      </c>
      <c r="G915" s="19">
        <f>IFERROR(VLOOKUP($B915,'开奖记录'!$A:$K,2,FALSE),"")</f>
        <v/>
      </c>
      <c r="H915" s="19">
        <f>IFERROR(VLOOKUP($B915,'开奖记录'!$A:$K,9,FALSE),"")</f>
        <v/>
      </c>
      <c r="I915" s="19">
        <f>IFERROR(VLOOKUP($B915,'开奖记录'!$A:$K,11,FALSE),"")</f>
        <v/>
      </c>
      <c r="J915" s="19">
        <f>IF($B915="","",IF(ISNUMBER($D915),"命中",IF(ISNUMBER($E915),"未命中","")))</f>
        <v/>
      </c>
      <c r="K915" s="19" t="inlineStr"/>
      <c r="L915" s="19">
        <f>IFERROR(TEXT(VLOOKUP($B915-1,开奖记录!$A:$L,3,FALSE),"00")&amp;"+5="&amp;VLOOKUP(MOD(VLOOKUP($B915-1,开奖记录!$A:$L,3,FALSE)+4,49)+1,规律参数!$A:$C,3,FALSE),"")</f>
        <v/>
      </c>
      <c r="M915" s="19">
        <f>IF(L915="","",IF(I915="","待开奖",IF(ISNUMBER(SEARCH(I915,L915)),"命中","未命中")))</f>
        <v/>
      </c>
      <c r="N915" s="19">
        <f>IFERROR(VLOOKUP(VLOOKUP($B915-1,开奖记录!$A:$L,11,FALSE),八肖参数!$A:$B,2,FALSE),"")</f>
        <v/>
      </c>
      <c r="O915" s="19">
        <f>IF(N915="","",IF(I915="","待开奖",IF(ISNUMBER(SEARCH(I915,N915)),"命中","未命中")))</f>
        <v/>
      </c>
    </row>
    <row r="916">
      <c r="A916" s="19" t="n">
        <v>915</v>
      </c>
      <c r="B916" s="19">
        <f>IF(COUNTA(C916:E916)=0,"",B915+1)</f>
        <v/>
      </c>
      <c r="C916" s="19" t="inlineStr"/>
      <c r="D916" s="19" t="n"/>
      <c r="E916" s="19" t="n"/>
      <c r="F916" s="19">
        <f>IF(COUNTA(D916:E916)=0,"",N(D916)-N(E916))</f>
        <v/>
      </c>
      <c r="G916" s="19">
        <f>IFERROR(VLOOKUP($B916,'开奖记录'!$A:$K,2,FALSE),"")</f>
        <v/>
      </c>
      <c r="H916" s="19">
        <f>IFERROR(VLOOKUP($B916,'开奖记录'!$A:$K,9,FALSE),"")</f>
        <v/>
      </c>
      <c r="I916" s="19">
        <f>IFERROR(VLOOKUP($B916,'开奖记录'!$A:$K,11,FALSE),"")</f>
        <v/>
      </c>
      <c r="J916" s="19">
        <f>IF($B916="","",IF(ISNUMBER($D916),"命中",IF(ISNUMBER($E916),"未命中","")))</f>
        <v/>
      </c>
      <c r="K916" s="19" t="inlineStr"/>
      <c r="L916" s="19">
        <f>IFERROR(TEXT(VLOOKUP($B916-1,开奖记录!$A:$L,3,FALSE),"00")&amp;"+5="&amp;VLOOKUP(MOD(VLOOKUP($B916-1,开奖记录!$A:$L,3,FALSE)+4,49)+1,规律参数!$A:$C,3,FALSE),"")</f>
        <v/>
      </c>
      <c r="M916" s="19">
        <f>IF(L916="","",IF(I916="","待开奖",IF(ISNUMBER(SEARCH(I916,L916)),"命中","未命中")))</f>
        <v/>
      </c>
      <c r="N916" s="19">
        <f>IFERROR(VLOOKUP(VLOOKUP($B916-1,开奖记录!$A:$L,11,FALSE),八肖参数!$A:$B,2,FALSE),"")</f>
        <v/>
      </c>
      <c r="O916" s="19">
        <f>IF(N916="","",IF(I916="","待开奖",IF(ISNUMBER(SEARCH(I916,N916)),"命中","未命中")))</f>
        <v/>
      </c>
    </row>
    <row r="917">
      <c r="A917" s="19" t="n">
        <v>916</v>
      </c>
      <c r="B917" s="19">
        <f>IF(COUNTA(C917:E917)=0,"",B916+1)</f>
        <v/>
      </c>
      <c r="C917" s="19" t="inlineStr"/>
      <c r="D917" s="19" t="n"/>
      <c r="E917" s="19" t="n"/>
      <c r="F917" s="19">
        <f>IF(COUNTA(D917:E917)=0,"",N(D917)-N(E917))</f>
        <v/>
      </c>
      <c r="G917" s="19">
        <f>IFERROR(VLOOKUP($B917,'开奖记录'!$A:$K,2,FALSE),"")</f>
        <v/>
      </c>
      <c r="H917" s="19">
        <f>IFERROR(VLOOKUP($B917,'开奖记录'!$A:$K,9,FALSE),"")</f>
        <v/>
      </c>
      <c r="I917" s="19">
        <f>IFERROR(VLOOKUP($B917,'开奖记录'!$A:$K,11,FALSE),"")</f>
        <v/>
      </c>
      <c r="J917" s="19">
        <f>IF($B917="","",IF(ISNUMBER($D917),"命中",IF(ISNUMBER($E917),"未命中","")))</f>
        <v/>
      </c>
      <c r="K917" s="19" t="inlineStr"/>
      <c r="L917" s="19">
        <f>IFERROR(TEXT(VLOOKUP($B917-1,开奖记录!$A:$L,3,FALSE),"00")&amp;"+5="&amp;VLOOKUP(MOD(VLOOKUP($B917-1,开奖记录!$A:$L,3,FALSE)+4,49)+1,规律参数!$A:$C,3,FALSE),"")</f>
        <v/>
      </c>
      <c r="M917" s="19">
        <f>IF(L917="","",IF(I917="","待开奖",IF(ISNUMBER(SEARCH(I917,L917)),"命中","未命中")))</f>
        <v/>
      </c>
      <c r="N917" s="19">
        <f>IFERROR(VLOOKUP(VLOOKUP($B917-1,开奖记录!$A:$L,11,FALSE),八肖参数!$A:$B,2,FALSE),"")</f>
        <v/>
      </c>
      <c r="O917" s="19">
        <f>IF(N917="","",IF(I917="","待开奖",IF(ISNUMBER(SEARCH(I917,N917)),"命中","未命中")))</f>
        <v/>
      </c>
    </row>
    <row r="918">
      <c r="A918" s="19" t="n">
        <v>917</v>
      </c>
      <c r="B918" s="19">
        <f>IF(COUNTA(C918:E918)=0,"",B917+1)</f>
        <v/>
      </c>
      <c r="C918" s="19" t="inlineStr"/>
      <c r="D918" s="19" t="n"/>
      <c r="E918" s="19" t="n"/>
      <c r="F918" s="19">
        <f>IF(COUNTA(D918:E918)=0,"",N(D918)-N(E918))</f>
        <v/>
      </c>
      <c r="G918" s="19">
        <f>IFERROR(VLOOKUP($B918,'开奖记录'!$A:$K,2,FALSE),"")</f>
        <v/>
      </c>
      <c r="H918" s="19">
        <f>IFERROR(VLOOKUP($B918,'开奖记录'!$A:$K,9,FALSE),"")</f>
        <v/>
      </c>
      <c r="I918" s="19">
        <f>IFERROR(VLOOKUP($B918,'开奖记录'!$A:$K,11,FALSE),"")</f>
        <v/>
      </c>
      <c r="J918" s="19">
        <f>IF($B918="","",IF(ISNUMBER($D918),"命中",IF(ISNUMBER($E918),"未命中","")))</f>
        <v/>
      </c>
      <c r="K918" s="19" t="inlineStr"/>
      <c r="L918" s="19">
        <f>IFERROR(TEXT(VLOOKUP($B918-1,开奖记录!$A:$L,3,FALSE),"00")&amp;"+5="&amp;VLOOKUP(MOD(VLOOKUP($B918-1,开奖记录!$A:$L,3,FALSE)+4,49)+1,规律参数!$A:$C,3,FALSE),"")</f>
        <v/>
      </c>
      <c r="M918" s="19">
        <f>IF(L918="","",IF(I918="","待开奖",IF(ISNUMBER(SEARCH(I918,L918)),"命中","未命中")))</f>
        <v/>
      </c>
      <c r="N918" s="19">
        <f>IFERROR(VLOOKUP(VLOOKUP($B918-1,开奖记录!$A:$L,11,FALSE),八肖参数!$A:$B,2,FALSE),"")</f>
        <v/>
      </c>
      <c r="O918" s="19">
        <f>IF(N918="","",IF(I918="","待开奖",IF(ISNUMBER(SEARCH(I918,N918)),"命中","未命中")))</f>
        <v/>
      </c>
    </row>
    <row r="919">
      <c r="A919" s="19" t="n">
        <v>918</v>
      </c>
      <c r="B919" s="19">
        <f>IF(COUNTA(C919:E919)=0,"",B918+1)</f>
        <v/>
      </c>
      <c r="C919" s="19" t="inlineStr"/>
      <c r="D919" s="19" t="n"/>
      <c r="E919" s="19" t="n"/>
      <c r="F919" s="19">
        <f>IF(COUNTA(D919:E919)=0,"",N(D919)-N(E919))</f>
        <v/>
      </c>
      <c r="G919" s="19">
        <f>IFERROR(VLOOKUP($B919,'开奖记录'!$A:$K,2,FALSE),"")</f>
        <v/>
      </c>
      <c r="H919" s="19">
        <f>IFERROR(VLOOKUP($B919,'开奖记录'!$A:$K,9,FALSE),"")</f>
        <v/>
      </c>
      <c r="I919" s="19">
        <f>IFERROR(VLOOKUP($B919,'开奖记录'!$A:$K,11,FALSE),"")</f>
        <v/>
      </c>
      <c r="J919" s="19">
        <f>IF($B919="","",IF(ISNUMBER($D919),"命中",IF(ISNUMBER($E919),"未命中","")))</f>
        <v/>
      </c>
      <c r="K919" s="19" t="inlineStr"/>
      <c r="L919" s="19">
        <f>IFERROR(TEXT(VLOOKUP($B919-1,开奖记录!$A:$L,3,FALSE),"00")&amp;"+5="&amp;VLOOKUP(MOD(VLOOKUP($B919-1,开奖记录!$A:$L,3,FALSE)+4,49)+1,规律参数!$A:$C,3,FALSE),"")</f>
        <v/>
      </c>
      <c r="M919" s="19">
        <f>IF(L919="","",IF(I919="","待开奖",IF(ISNUMBER(SEARCH(I919,L919)),"命中","未命中")))</f>
        <v/>
      </c>
      <c r="N919" s="19">
        <f>IFERROR(VLOOKUP(VLOOKUP($B919-1,开奖记录!$A:$L,11,FALSE),八肖参数!$A:$B,2,FALSE),"")</f>
        <v/>
      </c>
      <c r="O919" s="19">
        <f>IF(N919="","",IF(I919="","待开奖",IF(ISNUMBER(SEARCH(I919,N919)),"命中","未命中")))</f>
        <v/>
      </c>
    </row>
    <row r="920">
      <c r="A920" s="19" t="n">
        <v>919</v>
      </c>
      <c r="B920" s="19">
        <f>IF(COUNTA(C920:E920)=0,"",B919+1)</f>
        <v/>
      </c>
      <c r="C920" s="19" t="inlineStr"/>
      <c r="D920" s="19" t="n"/>
      <c r="E920" s="19" t="n"/>
      <c r="F920" s="19">
        <f>IF(COUNTA(D920:E920)=0,"",N(D920)-N(E920))</f>
        <v/>
      </c>
      <c r="G920" s="19">
        <f>IFERROR(VLOOKUP($B920,'开奖记录'!$A:$K,2,FALSE),"")</f>
        <v/>
      </c>
      <c r="H920" s="19">
        <f>IFERROR(VLOOKUP($B920,'开奖记录'!$A:$K,9,FALSE),"")</f>
        <v/>
      </c>
      <c r="I920" s="19">
        <f>IFERROR(VLOOKUP($B920,'开奖记录'!$A:$K,11,FALSE),"")</f>
        <v/>
      </c>
      <c r="J920" s="19">
        <f>IF($B920="","",IF(ISNUMBER($D920),"命中",IF(ISNUMBER($E920),"未命中","")))</f>
        <v/>
      </c>
      <c r="K920" s="19" t="inlineStr"/>
      <c r="L920" s="19">
        <f>IFERROR(TEXT(VLOOKUP($B920-1,开奖记录!$A:$L,3,FALSE),"00")&amp;"+5="&amp;VLOOKUP(MOD(VLOOKUP($B920-1,开奖记录!$A:$L,3,FALSE)+4,49)+1,规律参数!$A:$C,3,FALSE),"")</f>
        <v/>
      </c>
      <c r="M920" s="19">
        <f>IF(L920="","",IF(I920="","待开奖",IF(ISNUMBER(SEARCH(I920,L920)),"命中","未命中")))</f>
        <v/>
      </c>
      <c r="N920" s="19">
        <f>IFERROR(VLOOKUP(VLOOKUP($B920-1,开奖记录!$A:$L,11,FALSE),八肖参数!$A:$B,2,FALSE),"")</f>
        <v/>
      </c>
      <c r="O920" s="19">
        <f>IF(N920="","",IF(I920="","待开奖",IF(ISNUMBER(SEARCH(I920,N920)),"命中","未命中")))</f>
        <v/>
      </c>
    </row>
    <row r="921">
      <c r="A921" s="19" t="n">
        <v>920</v>
      </c>
      <c r="B921" s="19">
        <f>IF(COUNTA(C921:E921)=0,"",B920+1)</f>
        <v/>
      </c>
      <c r="C921" s="19" t="inlineStr"/>
      <c r="D921" s="19" t="n"/>
      <c r="E921" s="19" t="n"/>
      <c r="F921" s="19">
        <f>IF(COUNTA(D921:E921)=0,"",N(D921)-N(E921))</f>
        <v/>
      </c>
      <c r="G921" s="19">
        <f>IFERROR(VLOOKUP($B921,'开奖记录'!$A:$K,2,FALSE),"")</f>
        <v/>
      </c>
      <c r="H921" s="19">
        <f>IFERROR(VLOOKUP($B921,'开奖记录'!$A:$K,9,FALSE),"")</f>
        <v/>
      </c>
      <c r="I921" s="19">
        <f>IFERROR(VLOOKUP($B921,'开奖记录'!$A:$K,11,FALSE),"")</f>
        <v/>
      </c>
      <c r="J921" s="19">
        <f>IF($B921="","",IF(ISNUMBER($D921),"命中",IF(ISNUMBER($E921),"未命中","")))</f>
        <v/>
      </c>
      <c r="K921" s="19" t="inlineStr"/>
      <c r="L921" s="19">
        <f>IFERROR(TEXT(VLOOKUP($B921-1,开奖记录!$A:$L,3,FALSE),"00")&amp;"+5="&amp;VLOOKUP(MOD(VLOOKUP($B921-1,开奖记录!$A:$L,3,FALSE)+4,49)+1,规律参数!$A:$C,3,FALSE),"")</f>
        <v/>
      </c>
      <c r="M921" s="19">
        <f>IF(L921="","",IF(I921="","待开奖",IF(ISNUMBER(SEARCH(I921,L921)),"命中","未命中")))</f>
        <v/>
      </c>
      <c r="N921" s="19">
        <f>IFERROR(VLOOKUP(VLOOKUP($B921-1,开奖记录!$A:$L,11,FALSE),八肖参数!$A:$B,2,FALSE),"")</f>
        <v/>
      </c>
      <c r="O921" s="19">
        <f>IF(N921="","",IF(I921="","待开奖",IF(ISNUMBER(SEARCH(I921,N921)),"命中","未命中")))</f>
        <v/>
      </c>
    </row>
    <row r="922">
      <c r="A922" s="19" t="n">
        <v>921</v>
      </c>
      <c r="B922" s="19">
        <f>IF(COUNTA(C922:E922)=0,"",B921+1)</f>
        <v/>
      </c>
      <c r="C922" s="19" t="inlineStr"/>
      <c r="D922" s="19" t="n"/>
      <c r="E922" s="19" t="n"/>
      <c r="F922" s="19">
        <f>IF(COUNTA(D922:E922)=0,"",N(D922)-N(E922))</f>
        <v/>
      </c>
      <c r="G922" s="19">
        <f>IFERROR(VLOOKUP($B922,'开奖记录'!$A:$K,2,FALSE),"")</f>
        <v/>
      </c>
      <c r="H922" s="19">
        <f>IFERROR(VLOOKUP($B922,'开奖记录'!$A:$K,9,FALSE),"")</f>
        <v/>
      </c>
      <c r="I922" s="19">
        <f>IFERROR(VLOOKUP($B922,'开奖记录'!$A:$K,11,FALSE),"")</f>
        <v/>
      </c>
      <c r="J922" s="19">
        <f>IF($B922="","",IF(ISNUMBER($D922),"命中",IF(ISNUMBER($E922),"未命中","")))</f>
        <v/>
      </c>
      <c r="K922" s="19" t="inlineStr"/>
      <c r="L922" s="19">
        <f>IFERROR(TEXT(VLOOKUP($B922-1,开奖记录!$A:$L,3,FALSE),"00")&amp;"+5="&amp;VLOOKUP(MOD(VLOOKUP($B922-1,开奖记录!$A:$L,3,FALSE)+4,49)+1,规律参数!$A:$C,3,FALSE),"")</f>
        <v/>
      </c>
      <c r="M922" s="19">
        <f>IF(L922="","",IF(I922="","待开奖",IF(ISNUMBER(SEARCH(I922,L922)),"命中","未命中")))</f>
        <v/>
      </c>
      <c r="N922" s="19">
        <f>IFERROR(VLOOKUP(VLOOKUP($B922-1,开奖记录!$A:$L,11,FALSE),八肖参数!$A:$B,2,FALSE),"")</f>
        <v/>
      </c>
      <c r="O922" s="19">
        <f>IF(N922="","",IF(I922="","待开奖",IF(ISNUMBER(SEARCH(I922,N922)),"命中","未命中")))</f>
        <v/>
      </c>
    </row>
    <row r="923">
      <c r="A923" s="19" t="n">
        <v>922</v>
      </c>
      <c r="B923" s="19">
        <f>IF(COUNTA(C923:E923)=0,"",B922+1)</f>
        <v/>
      </c>
      <c r="C923" s="19" t="inlineStr"/>
      <c r="D923" s="19" t="n"/>
      <c r="E923" s="19" t="n"/>
      <c r="F923" s="19">
        <f>IF(COUNTA(D923:E923)=0,"",N(D923)-N(E923))</f>
        <v/>
      </c>
      <c r="G923" s="19">
        <f>IFERROR(VLOOKUP($B923,'开奖记录'!$A:$K,2,FALSE),"")</f>
        <v/>
      </c>
      <c r="H923" s="19">
        <f>IFERROR(VLOOKUP($B923,'开奖记录'!$A:$K,9,FALSE),"")</f>
        <v/>
      </c>
      <c r="I923" s="19">
        <f>IFERROR(VLOOKUP($B923,'开奖记录'!$A:$K,11,FALSE),"")</f>
        <v/>
      </c>
      <c r="J923" s="19">
        <f>IF($B923="","",IF(ISNUMBER($D923),"命中",IF(ISNUMBER($E923),"未命中","")))</f>
        <v/>
      </c>
      <c r="K923" s="19" t="inlineStr"/>
      <c r="L923" s="19">
        <f>IFERROR(TEXT(VLOOKUP($B923-1,开奖记录!$A:$L,3,FALSE),"00")&amp;"+5="&amp;VLOOKUP(MOD(VLOOKUP($B923-1,开奖记录!$A:$L,3,FALSE)+4,49)+1,规律参数!$A:$C,3,FALSE),"")</f>
        <v/>
      </c>
      <c r="M923" s="19">
        <f>IF(L923="","",IF(I923="","待开奖",IF(ISNUMBER(SEARCH(I923,L923)),"命中","未命中")))</f>
        <v/>
      </c>
      <c r="N923" s="19">
        <f>IFERROR(VLOOKUP(VLOOKUP($B923-1,开奖记录!$A:$L,11,FALSE),八肖参数!$A:$B,2,FALSE),"")</f>
        <v/>
      </c>
      <c r="O923" s="19">
        <f>IF(N923="","",IF(I923="","待开奖",IF(ISNUMBER(SEARCH(I923,N923)),"命中","未命中")))</f>
        <v/>
      </c>
    </row>
    <row r="924">
      <c r="A924" s="19" t="n">
        <v>923</v>
      </c>
      <c r="B924" s="19">
        <f>IF(COUNTA(C924:E924)=0,"",B923+1)</f>
        <v/>
      </c>
      <c r="C924" s="19" t="inlineStr"/>
      <c r="D924" s="19" t="n"/>
      <c r="E924" s="19" t="n"/>
      <c r="F924" s="19">
        <f>IF(COUNTA(D924:E924)=0,"",N(D924)-N(E924))</f>
        <v/>
      </c>
      <c r="G924" s="19">
        <f>IFERROR(VLOOKUP($B924,'开奖记录'!$A:$K,2,FALSE),"")</f>
        <v/>
      </c>
      <c r="H924" s="19">
        <f>IFERROR(VLOOKUP($B924,'开奖记录'!$A:$K,9,FALSE),"")</f>
        <v/>
      </c>
      <c r="I924" s="19">
        <f>IFERROR(VLOOKUP($B924,'开奖记录'!$A:$K,11,FALSE),"")</f>
        <v/>
      </c>
      <c r="J924" s="19">
        <f>IF($B924="","",IF(ISNUMBER($D924),"命中",IF(ISNUMBER($E924),"未命中","")))</f>
        <v/>
      </c>
      <c r="K924" s="19" t="inlineStr"/>
      <c r="L924" s="19">
        <f>IFERROR(TEXT(VLOOKUP($B924-1,开奖记录!$A:$L,3,FALSE),"00")&amp;"+5="&amp;VLOOKUP(MOD(VLOOKUP($B924-1,开奖记录!$A:$L,3,FALSE)+4,49)+1,规律参数!$A:$C,3,FALSE),"")</f>
        <v/>
      </c>
      <c r="M924" s="19">
        <f>IF(L924="","",IF(I924="","待开奖",IF(ISNUMBER(SEARCH(I924,L924)),"命中","未命中")))</f>
        <v/>
      </c>
      <c r="N924" s="19">
        <f>IFERROR(VLOOKUP(VLOOKUP($B924-1,开奖记录!$A:$L,11,FALSE),八肖参数!$A:$B,2,FALSE),"")</f>
        <v/>
      </c>
      <c r="O924" s="19">
        <f>IF(N924="","",IF(I924="","待开奖",IF(ISNUMBER(SEARCH(I924,N924)),"命中","未命中")))</f>
        <v/>
      </c>
    </row>
    <row r="925">
      <c r="A925" s="19" t="n">
        <v>924</v>
      </c>
      <c r="B925" s="19">
        <f>IF(COUNTA(C925:E925)=0,"",B924+1)</f>
        <v/>
      </c>
      <c r="C925" s="19" t="inlineStr"/>
      <c r="D925" s="19" t="n"/>
      <c r="E925" s="19" t="n"/>
      <c r="F925" s="19">
        <f>IF(COUNTA(D925:E925)=0,"",N(D925)-N(E925))</f>
        <v/>
      </c>
      <c r="G925" s="19">
        <f>IFERROR(VLOOKUP($B925,'开奖记录'!$A:$K,2,FALSE),"")</f>
        <v/>
      </c>
      <c r="H925" s="19">
        <f>IFERROR(VLOOKUP($B925,'开奖记录'!$A:$K,9,FALSE),"")</f>
        <v/>
      </c>
      <c r="I925" s="19">
        <f>IFERROR(VLOOKUP($B925,'开奖记录'!$A:$K,11,FALSE),"")</f>
        <v/>
      </c>
      <c r="J925" s="19">
        <f>IF($B925="","",IF(ISNUMBER($D925),"命中",IF(ISNUMBER($E925),"未命中","")))</f>
        <v/>
      </c>
      <c r="K925" s="19" t="inlineStr"/>
      <c r="L925" s="19">
        <f>IFERROR(TEXT(VLOOKUP($B925-1,开奖记录!$A:$L,3,FALSE),"00")&amp;"+5="&amp;VLOOKUP(MOD(VLOOKUP($B925-1,开奖记录!$A:$L,3,FALSE)+4,49)+1,规律参数!$A:$C,3,FALSE),"")</f>
        <v/>
      </c>
      <c r="M925" s="19">
        <f>IF(L925="","",IF(I925="","待开奖",IF(ISNUMBER(SEARCH(I925,L925)),"命中","未命中")))</f>
        <v/>
      </c>
      <c r="N925" s="19">
        <f>IFERROR(VLOOKUP(VLOOKUP($B925-1,开奖记录!$A:$L,11,FALSE),八肖参数!$A:$B,2,FALSE),"")</f>
        <v/>
      </c>
      <c r="O925" s="19">
        <f>IF(N925="","",IF(I925="","待开奖",IF(ISNUMBER(SEARCH(I925,N925)),"命中","未命中")))</f>
        <v/>
      </c>
    </row>
    <row r="926">
      <c r="A926" s="19" t="n">
        <v>925</v>
      </c>
      <c r="B926" s="19">
        <f>IF(COUNTA(C926:E926)=0,"",B925+1)</f>
        <v/>
      </c>
      <c r="C926" s="19" t="inlineStr"/>
      <c r="D926" s="19" t="n"/>
      <c r="E926" s="19" t="n"/>
      <c r="F926" s="19">
        <f>IF(COUNTA(D926:E926)=0,"",N(D926)-N(E926))</f>
        <v/>
      </c>
      <c r="G926" s="19">
        <f>IFERROR(VLOOKUP($B926,'开奖记录'!$A:$K,2,FALSE),"")</f>
        <v/>
      </c>
      <c r="H926" s="19">
        <f>IFERROR(VLOOKUP($B926,'开奖记录'!$A:$K,9,FALSE),"")</f>
        <v/>
      </c>
      <c r="I926" s="19">
        <f>IFERROR(VLOOKUP($B926,'开奖记录'!$A:$K,11,FALSE),"")</f>
        <v/>
      </c>
      <c r="J926" s="19">
        <f>IF($B926="","",IF(ISNUMBER($D926),"命中",IF(ISNUMBER($E926),"未命中","")))</f>
        <v/>
      </c>
      <c r="K926" s="19" t="inlineStr"/>
      <c r="L926" s="19">
        <f>IFERROR(TEXT(VLOOKUP($B926-1,开奖记录!$A:$L,3,FALSE),"00")&amp;"+5="&amp;VLOOKUP(MOD(VLOOKUP($B926-1,开奖记录!$A:$L,3,FALSE)+4,49)+1,规律参数!$A:$C,3,FALSE),"")</f>
        <v/>
      </c>
      <c r="M926" s="19">
        <f>IF(L926="","",IF(I926="","待开奖",IF(ISNUMBER(SEARCH(I926,L926)),"命中","未命中")))</f>
        <v/>
      </c>
      <c r="N926" s="19">
        <f>IFERROR(VLOOKUP(VLOOKUP($B926-1,开奖记录!$A:$L,11,FALSE),八肖参数!$A:$B,2,FALSE),"")</f>
        <v/>
      </c>
      <c r="O926" s="19">
        <f>IF(N926="","",IF(I926="","待开奖",IF(ISNUMBER(SEARCH(I926,N926)),"命中","未命中")))</f>
        <v/>
      </c>
    </row>
    <row r="927">
      <c r="A927" s="19" t="n">
        <v>926</v>
      </c>
      <c r="B927" s="19">
        <f>IF(COUNTA(C927:E927)=0,"",B926+1)</f>
        <v/>
      </c>
      <c r="C927" s="19" t="inlineStr"/>
      <c r="D927" s="19" t="n"/>
      <c r="E927" s="19" t="n"/>
      <c r="F927" s="19">
        <f>IF(COUNTA(D927:E927)=0,"",N(D927)-N(E927))</f>
        <v/>
      </c>
      <c r="G927" s="19">
        <f>IFERROR(VLOOKUP($B927,'开奖记录'!$A:$K,2,FALSE),"")</f>
        <v/>
      </c>
      <c r="H927" s="19">
        <f>IFERROR(VLOOKUP($B927,'开奖记录'!$A:$K,9,FALSE),"")</f>
        <v/>
      </c>
      <c r="I927" s="19">
        <f>IFERROR(VLOOKUP($B927,'开奖记录'!$A:$K,11,FALSE),"")</f>
        <v/>
      </c>
      <c r="J927" s="19">
        <f>IF($B927="","",IF(ISNUMBER($D927),"命中",IF(ISNUMBER($E927),"未命中","")))</f>
        <v/>
      </c>
      <c r="K927" s="19" t="inlineStr"/>
      <c r="L927" s="19">
        <f>IFERROR(TEXT(VLOOKUP($B927-1,开奖记录!$A:$L,3,FALSE),"00")&amp;"+5="&amp;VLOOKUP(MOD(VLOOKUP($B927-1,开奖记录!$A:$L,3,FALSE)+4,49)+1,规律参数!$A:$C,3,FALSE),"")</f>
        <v/>
      </c>
      <c r="M927" s="19">
        <f>IF(L927="","",IF(I927="","待开奖",IF(ISNUMBER(SEARCH(I927,L927)),"命中","未命中")))</f>
        <v/>
      </c>
      <c r="N927" s="19">
        <f>IFERROR(VLOOKUP(VLOOKUP($B927-1,开奖记录!$A:$L,11,FALSE),八肖参数!$A:$B,2,FALSE),"")</f>
        <v/>
      </c>
      <c r="O927" s="19">
        <f>IF(N927="","",IF(I927="","待开奖",IF(ISNUMBER(SEARCH(I927,N927)),"命中","未命中")))</f>
        <v/>
      </c>
    </row>
    <row r="928">
      <c r="A928" s="19" t="n">
        <v>927</v>
      </c>
      <c r="B928" s="19">
        <f>IF(COUNTA(C928:E928)=0,"",B927+1)</f>
        <v/>
      </c>
      <c r="C928" s="19" t="inlineStr"/>
      <c r="D928" s="19" t="n"/>
      <c r="E928" s="19" t="n"/>
      <c r="F928" s="19">
        <f>IF(COUNTA(D928:E928)=0,"",N(D928)-N(E928))</f>
        <v/>
      </c>
      <c r="G928" s="19">
        <f>IFERROR(VLOOKUP($B928,'开奖记录'!$A:$K,2,FALSE),"")</f>
        <v/>
      </c>
      <c r="H928" s="19">
        <f>IFERROR(VLOOKUP($B928,'开奖记录'!$A:$K,9,FALSE),"")</f>
        <v/>
      </c>
      <c r="I928" s="19">
        <f>IFERROR(VLOOKUP($B928,'开奖记录'!$A:$K,11,FALSE),"")</f>
        <v/>
      </c>
      <c r="J928" s="19">
        <f>IF($B928="","",IF(ISNUMBER($D928),"命中",IF(ISNUMBER($E928),"未命中","")))</f>
        <v/>
      </c>
      <c r="K928" s="19" t="inlineStr"/>
      <c r="L928" s="19">
        <f>IFERROR(TEXT(VLOOKUP($B928-1,开奖记录!$A:$L,3,FALSE),"00")&amp;"+5="&amp;VLOOKUP(MOD(VLOOKUP($B928-1,开奖记录!$A:$L,3,FALSE)+4,49)+1,规律参数!$A:$C,3,FALSE),"")</f>
        <v/>
      </c>
      <c r="M928" s="19">
        <f>IF(L928="","",IF(I928="","待开奖",IF(ISNUMBER(SEARCH(I928,L928)),"命中","未命中")))</f>
        <v/>
      </c>
      <c r="N928" s="19">
        <f>IFERROR(VLOOKUP(VLOOKUP($B928-1,开奖记录!$A:$L,11,FALSE),八肖参数!$A:$B,2,FALSE),"")</f>
        <v/>
      </c>
      <c r="O928" s="19">
        <f>IF(N928="","",IF(I928="","待开奖",IF(ISNUMBER(SEARCH(I928,N928)),"命中","未命中")))</f>
        <v/>
      </c>
    </row>
    <row r="929">
      <c r="A929" s="19" t="n">
        <v>928</v>
      </c>
      <c r="B929" s="19">
        <f>IF(COUNTA(C929:E929)=0,"",B928+1)</f>
        <v/>
      </c>
      <c r="C929" s="19" t="inlineStr"/>
      <c r="D929" s="19" t="n"/>
      <c r="E929" s="19" t="n"/>
      <c r="F929" s="19">
        <f>IF(COUNTA(D929:E929)=0,"",N(D929)-N(E929))</f>
        <v/>
      </c>
      <c r="G929" s="19">
        <f>IFERROR(VLOOKUP($B929,'开奖记录'!$A:$K,2,FALSE),"")</f>
        <v/>
      </c>
      <c r="H929" s="19">
        <f>IFERROR(VLOOKUP($B929,'开奖记录'!$A:$K,9,FALSE),"")</f>
        <v/>
      </c>
      <c r="I929" s="19">
        <f>IFERROR(VLOOKUP($B929,'开奖记录'!$A:$K,11,FALSE),"")</f>
        <v/>
      </c>
      <c r="J929" s="19">
        <f>IF($B929="","",IF(ISNUMBER($D929),"命中",IF(ISNUMBER($E929),"未命中","")))</f>
        <v/>
      </c>
      <c r="K929" s="19" t="inlineStr"/>
      <c r="L929" s="19">
        <f>IFERROR(TEXT(VLOOKUP($B929-1,开奖记录!$A:$L,3,FALSE),"00")&amp;"+5="&amp;VLOOKUP(MOD(VLOOKUP($B929-1,开奖记录!$A:$L,3,FALSE)+4,49)+1,规律参数!$A:$C,3,FALSE),"")</f>
        <v/>
      </c>
      <c r="M929" s="19">
        <f>IF(L929="","",IF(I929="","待开奖",IF(ISNUMBER(SEARCH(I929,L929)),"命中","未命中")))</f>
        <v/>
      </c>
      <c r="N929" s="19">
        <f>IFERROR(VLOOKUP(VLOOKUP($B929-1,开奖记录!$A:$L,11,FALSE),八肖参数!$A:$B,2,FALSE),"")</f>
        <v/>
      </c>
      <c r="O929" s="19">
        <f>IF(N929="","",IF(I929="","待开奖",IF(ISNUMBER(SEARCH(I929,N929)),"命中","未命中")))</f>
        <v/>
      </c>
    </row>
    <row r="930">
      <c r="A930" s="19" t="n">
        <v>929</v>
      </c>
      <c r="B930" s="19">
        <f>IF(COUNTA(C930:E930)=0,"",B929+1)</f>
        <v/>
      </c>
      <c r="C930" s="19" t="inlineStr"/>
      <c r="D930" s="19" t="n"/>
      <c r="E930" s="19" t="n"/>
      <c r="F930" s="19">
        <f>IF(COUNTA(D930:E930)=0,"",N(D930)-N(E930))</f>
        <v/>
      </c>
      <c r="G930" s="19">
        <f>IFERROR(VLOOKUP($B930,'开奖记录'!$A:$K,2,FALSE),"")</f>
        <v/>
      </c>
      <c r="H930" s="19">
        <f>IFERROR(VLOOKUP($B930,'开奖记录'!$A:$K,9,FALSE),"")</f>
        <v/>
      </c>
      <c r="I930" s="19">
        <f>IFERROR(VLOOKUP($B930,'开奖记录'!$A:$K,11,FALSE),"")</f>
        <v/>
      </c>
      <c r="J930" s="19">
        <f>IF($B930="","",IF(ISNUMBER($D930),"命中",IF(ISNUMBER($E930),"未命中","")))</f>
        <v/>
      </c>
      <c r="K930" s="19" t="inlineStr"/>
      <c r="L930" s="19">
        <f>IFERROR(TEXT(VLOOKUP($B930-1,开奖记录!$A:$L,3,FALSE),"00")&amp;"+5="&amp;VLOOKUP(MOD(VLOOKUP($B930-1,开奖记录!$A:$L,3,FALSE)+4,49)+1,规律参数!$A:$C,3,FALSE),"")</f>
        <v/>
      </c>
      <c r="M930" s="19">
        <f>IF(L930="","",IF(I930="","待开奖",IF(ISNUMBER(SEARCH(I930,L930)),"命中","未命中")))</f>
        <v/>
      </c>
      <c r="N930" s="19">
        <f>IFERROR(VLOOKUP(VLOOKUP($B930-1,开奖记录!$A:$L,11,FALSE),八肖参数!$A:$B,2,FALSE),"")</f>
        <v/>
      </c>
      <c r="O930" s="19">
        <f>IF(N930="","",IF(I930="","待开奖",IF(ISNUMBER(SEARCH(I930,N930)),"命中","未命中")))</f>
        <v/>
      </c>
    </row>
    <row r="931">
      <c r="A931" s="19" t="n">
        <v>930</v>
      </c>
      <c r="B931" s="19">
        <f>IF(COUNTA(C931:E931)=0,"",B930+1)</f>
        <v/>
      </c>
      <c r="C931" s="19" t="inlineStr"/>
      <c r="D931" s="19" t="n"/>
      <c r="E931" s="19" t="n"/>
      <c r="F931" s="19">
        <f>IF(COUNTA(D931:E931)=0,"",N(D931)-N(E931))</f>
        <v/>
      </c>
      <c r="G931" s="19">
        <f>IFERROR(VLOOKUP($B931,'开奖记录'!$A:$K,2,FALSE),"")</f>
        <v/>
      </c>
      <c r="H931" s="19">
        <f>IFERROR(VLOOKUP($B931,'开奖记录'!$A:$K,9,FALSE),"")</f>
        <v/>
      </c>
      <c r="I931" s="19">
        <f>IFERROR(VLOOKUP($B931,'开奖记录'!$A:$K,11,FALSE),"")</f>
        <v/>
      </c>
      <c r="J931" s="19">
        <f>IF($B931="","",IF(ISNUMBER($D931),"命中",IF(ISNUMBER($E931),"未命中","")))</f>
        <v/>
      </c>
      <c r="K931" s="19" t="inlineStr"/>
      <c r="L931" s="19">
        <f>IFERROR(TEXT(VLOOKUP($B931-1,开奖记录!$A:$L,3,FALSE),"00")&amp;"+5="&amp;VLOOKUP(MOD(VLOOKUP($B931-1,开奖记录!$A:$L,3,FALSE)+4,49)+1,规律参数!$A:$C,3,FALSE),"")</f>
        <v/>
      </c>
      <c r="M931" s="19">
        <f>IF(L931="","",IF(I931="","待开奖",IF(ISNUMBER(SEARCH(I931,L931)),"命中","未命中")))</f>
        <v/>
      </c>
      <c r="N931" s="19">
        <f>IFERROR(VLOOKUP(VLOOKUP($B931-1,开奖记录!$A:$L,11,FALSE),八肖参数!$A:$B,2,FALSE),"")</f>
        <v/>
      </c>
      <c r="O931" s="19">
        <f>IF(N931="","",IF(I931="","待开奖",IF(ISNUMBER(SEARCH(I931,N931)),"命中","未命中")))</f>
        <v/>
      </c>
    </row>
    <row r="932">
      <c r="A932" s="19" t="n">
        <v>931</v>
      </c>
      <c r="B932" s="19">
        <f>IF(COUNTA(C932:E932)=0,"",B931+1)</f>
        <v/>
      </c>
      <c r="C932" s="19" t="inlineStr"/>
      <c r="D932" s="19" t="n"/>
      <c r="E932" s="19" t="n"/>
      <c r="F932" s="19">
        <f>IF(COUNTA(D932:E932)=0,"",N(D932)-N(E932))</f>
        <v/>
      </c>
      <c r="G932" s="19">
        <f>IFERROR(VLOOKUP($B932,'开奖记录'!$A:$K,2,FALSE),"")</f>
        <v/>
      </c>
      <c r="H932" s="19">
        <f>IFERROR(VLOOKUP($B932,'开奖记录'!$A:$K,9,FALSE),"")</f>
        <v/>
      </c>
      <c r="I932" s="19">
        <f>IFERROR(VLOOKUP($B932,'开奖记录'!$A:$K,11,FALSE),"")</f>
        <v/>
      </c>
      <c r="J932" s="19">
        <f>IF($B932="","",IF(ISNUMBER($D932),"命中",IF(ISNUMBER($E932),"未命中","")))</f>
        <v/>
      </c>
      <c r="K932" s="19" t="inlineStr"/>
      <c r="L932" s="19">
        <f>IFERROR(TEXT(VLOOKUP($B932-1,开奖记录!$A:$L,3,FALSE),"00")&amp;"+5="&amp;VLOOKUP(MOD(VLOOKUP($B932-1,开奖记录!$A:$L,3,FALSE)+4,49)+1,规律参数!$A:$C,3,FALSE),"")</f>
        <v/>
      </c>
      <c r="M932" s="19">
        <f>IF(L932="","",IF(I932="","待开奖",IF(ISNUMBER(SEARCH(I932,L932)),"命中","未命中")))</f>
        <v/>
      </c>
      <c r="N932" s="19">
        <f>IFERROR(VLOOKUP(VLOOKUP($B932-1,开奖记录!$A:$L,11,FALSE),八肖参数!$A:$B,2,FALSE),"")</f>
        <v/>
      </c>
      <c r="O932" s="19">
        <f>IF(N932="","",IF(I932="","待开奖",IF(ISNUMBER(SEARCH(I932,N932)),"命中","未命中")))</f>
        <v/>
      </c>
    </row>
    <row r="933">
      <c r="A933" s="19" t="n">
        <v>932</v>
      </c>
      <c r="B933" s="19">
        <f>IF(COUNTA(C933:E933)=0,"",B932+1)</f>
        <v/>
      </c>
      <c r="C933" s="19" t="inlineStr"/>
      <c r="D933" s="19" t="n"/>
      <c r="E933" s="19" t="n"/>
      <c r="F933" s="19">
        <f>IF(COUNTA(D933:E933)=0,"",N(D933)-N(E933))</f>
        <v/>
      </c>
      <c r="G933" s="19">
        <f>IFERROR(VLOOKUP($B933,'开奖记录'!$A:$K,2,FALSE),"")</f>
        <v/>
      </c>
      <c r="H933" s="19">
        <f>IFERROR(VLOOKUP($B933,'开奖记录'!$A:$K,9,FALSE),"")</f>
        <v/>
      </c>
      <c r="I933" s="19">
        <f>IFERROR(VLOOKUP($B933,'开奖记录'!$A:$K,11,FALSE),"")</f>
        <v/>
      </c>
      <c r="J933" s="19">
        <f>IF($B933="","",IF(ISNUMBER($D933),"命中",IF(ISNUMBER($E933),"未命中","")))</f>
        <v/>
      </c>
      <c r="K933" s="19" t="inlineStr"/>
      <c r="L933" s="19">
        <f>IFERROR(TEXT(VLOOKUP($B933-1,开奖记录!$A:$L,3,FALSE),"00")&amp;"+5="&amp;VLOOKUP(MOD(VLOOKUP($B933-1,开奖记录!$A:$L,3,FALSE)+4,49)+1,规律参数!$A:$C,3,FALSE),"")</f>
        <v/>
      </c>
      <c r="M933" s="19">
        <f>IF(L933="","",IF(I933="","待开奖",IF(ISNUMBER(SEARCH(I933,L933)),"命中","未命中")))</f>
        <v/>
      </c>
      <c r="N933" s="19">
        <f>IFERROR(VLOOKUP(VLOOKUP($B933-1,开奖记录!$A:$L,11,FALSE),八肖参数!$A:$B,2,FALSE),"")</f>
        <v/>
      </c>
      <c r="O933" s="19">
        <f>IF(N933="","",IF(I933="","待开奖",IF(ISNUMBER(SEARCH(I933,N933)),"命中","未命中")))</f>
        <v/>
      </c>
    </row>
    <row r="934">
      <c r="A934" s="19" t="n">
        <v>933</v>
      </c>
      <c r="B934" s="19">
        <f>IF(COUNTA(C934:E934)=0,"",B933+1)</f>
        <v/>
      </c>
      <c r="C934" s="19" t="inlineStr"/>
      <c r="D934" s="19" t="n"/>
      <c r="E934" s="19" t="n"/>
      <c r="F934" s="19">
        <f>IF(COUNTA(D934:E934)=0,"",N(D934)-N(E934))</f>
        <v/>
      </c>
      <c r="G934" s="19">
        <f>IFERROR(VLOOKUP($B934,'开奖记录'!$A:$K,2,FALSE),"")</f>
        <v/>
      </c>
      <c r="H934" s="19">
        <f>IFERROR(VLOOKUP($B934,'开奖记录'!$A:$K,9,FALSE),"")</f>
        <v/>
      </c>
      <c r="I934" s="19">
        <f>IFERROR(VLOOKUP($B934,'开奖记录'!$A:$K,11,FALSE),"")</f>
        <v/>
      </c>
      <c r="J934" s="19">
        <f>IF($B934="","",IF(ISNUMBER($D934),"命中",IF(ISNUMBER($E934),"未命中","")))</f>
        <v/>
      </c>
      <c r="K934" s="19" t="inlineStr"/>
      <c r="L934" s="19">
        <f>IFERROR(TEXT(VLOOKUP($B934-1,开奖记录!$A:$L,3,FALSE),"00")&amp;"+5="&amp;VLOOKUP(MOD(VLOOKUP($B934-1,开奖记录!$A:$L,3,FALSE)+4,49)+1,规律参数!$A:$C,3,FALSE),"")</f>
        <v/>
      </c>
      <c r="M934" s="19">
        <f>IF(L934="","",IF(I934="","待开奖",IF(ISNUMBER(SEARCH(I934,L934)),"命中","未命中")))</f>
        <v/>
      </c>
      <c r="N934" s="19">
        <f>IFERROR(VLOOKUP(VLOOKUP($B934-1,开奖记录!$A:$L,11,FALSE),八肖参数!$A:$B,2,FALSE),"")</f>
        <v/>
      </c>
      <c r="O934" s="19">
        <f>IF(N934="","",IF(I934="","待开奖",IF(ISNUMBER(SEARCH(I934,N934)),"命中","未命中")))</f>
        <v/>
      </c>
    </row>
    <row r="935">
      <c r="A935" s="19" t="n">
        <v>934</v>
      </c>
      <c r="B935" s="19">
        <f>IF(COUNTA(C935:E935)=0,"",B934+1)</f>
        <v/>
      </c>
      <c r="C935" s="19" t="inlineStr"/>
      <c r="D935" s="19" t="n"/>
      <c r="E935" s="19" t="n"/>
      <c r="F935" s="19">
        <f>IF(COUNTA(D935:E935)=0,"",N(D935)-N(E935))</f>
        <v/>
      </c>
      <c r="G935" s="19">
        <f>IFERROR(VLOOKUP($B935,'开奖记录'!$A:$K,2,FALSE),"")</f>
        <v/>
      </c>
      <c r="H935" s="19">
        <f>IFERROR(VLOOKUP($B935,'开奖记录'!$A:$K,9,FALSE),"")</f>
        <v/>
      </c>
      <c r="I935" s="19">
        <f>IFERROR(VLOOKUP($B935,'开奖记录'!$A:$K,11,FALSE),"")</f>
        <v/>
      </c>
      <c r="J935" s="19">
        <f>IF($B935="","",IF(ISNUMBER($D935),"命中",IF(ISNUMBER($E935),"未命中","")))</f>
        <v/>
      </c>
      <c r="K935" s="19" t="inlineStr"/>
      <c r="L935" s="19">
        <f>IFERROR(TEXT(VLOOKUP($B935-1,开奖记录!$A:$L,3,FALSE),"00")&amp;"+5="&amp;VLOOKUP(MOD(VLOOKUP($B935-1,开奖记录!$A:$L,3,FALSE)+4,49)+1,规律参数!$A:$C,3,FALSE),"")</f>
        <v/>
      </c>
      <c r="M935" s="19">
        <f>IF(L935="","",IF(I935="","待开奖",IF(ISNUMBER(SEARCH(I935,L935)),"命中","未命中")))</f>
        <v/>
      </c>
      <c r="N935" s="19">
        <f>IFERROR(VLOOKUP(VLOOKUP($B935-1,开奖记录!$A:$L,11,FALSE),八肖参数!$A:$B,2,FALSE),"")</f>
        <v/>
      </c>
      <c r="O935" s="19">
        <f>IF(N935="","",IF(I935="","待开奖",IF(ISNUMBER(SEARCH(I935,N935)),"命中","未命中")))</f>
        <v/>
      </c>
    </row>
    <row r="936">
      <c r="A936" s="19" t="n">
        <v>935</v>
      </c>
      <c r="B936" s="19">
        <f>IF(COUNTA(C936:E936)=0,"",B935+1)</f>
        <v/>
      </c>
      <c r="C936" s="19" t="inlineStr"/>
      <c r="D936" s="19" t="n"/>
      <c r="E936" s="19" t="n"/>
      <c r="F936" s="19">
        <f>IF(COUNTA(D936:E936)=0,"",N(D936)-N(E936))</f>
        <v/>
      </c>
      <c r="G936" s="19">
        <f>IFERROR(VLOOKUP($B936,'开奖记录'!$A:$K,2,FALSE),"")</f>
        <v/>
      </c>
      <c r="H936" s="19">
        <f>IFERROR(VLOOKUP($B936,'开奖记录'!$A:$K,9,FALSE),"")</f>
        <v/>
      </c>
      <c r="I936" s="19">
        <f>IFERROR(VLOOKUP($B936,'开奖记录'!$A:$K,11,FALSE),"")</f>
        <v/>
      </c>
      <c r="J936" s="19">
        <f>IF($B936="","",IF(ISNUMBER($D936),"命中",IF(ISNUMBER($E936),"未命中","")))</f>
        <v/>
      </c>
      <c r="K936" s="19" t="inlineStr"/>
      <c r="L936" s="19">
        <f>IFERROR(TEXT(VLOOKUP($B936-1,开奖记录!$A:$L,3,FALSE),"00")&amp;"+5="&amp;VLOOKUP(MOD(VLOOKUP($B936-1,开奖记录!$A:$L,3,FALSE)+4,49)+1,规律参数!$A:$C,3,FALSE),"")</f>
        <v/>
      </c>
      <c r="M936" s="19">
        <f>IF(L936="","",IF(I936="","待开奖",IF(ISNUMBER(SEARCH(I936,L936)),"命中","未命中")))</f>
        <v/>
      </c>
      <c r="N936" s="19">
        <f>IFERROR(VLOOKUP(VLOOKUP($B936-1,开奖记录!$A:$L,11,FALSE),八肖参数!$A:$B,2,FALSE),"")</f>
        <v/>
      </c>
      <c r="O936" s="19">
        <f>IF(N936="","",IF(I936="","待开奖",IF(ISNUMBER(SEARCH(I936,N936)),"命中","未命中")))</f>
        <v/>
      </c>
    </row>
    <row r="937">
      <c r="A937" s="19" t="n">
        <v>936</v>
      </c>
      <c r="B937" s="19">
        <f>IF(COUNTA(C937:E937)=0,"",B936+1)</f>
        <v/>
      </c>
      <c r="C937" s="19" t="inlineStr"/>
      <c r="D937" s="19" t="n"/>
      <c r="E937" s="19" t="n"/>
      <c r="F937" s="19">
        <f>IF(COUNTA(D937:E937)=0,"",N(D937)-N(E937))</f>
        <v/>
      </c>
      <c r="G937" s="19">
        <f>IFERROR(VLOOKUP($B937,'开奖记录'!$A:$K,2,FALSE),"")</f>
        <v/>
      </c>
      <c r="H937" s="19">
        <f>IFERROR(VLOOKUP($B937,'开奖记录'!$A:$K,9,FALSE),"")</f>
        <v/>
      </c>
      <c r="I937" s="19">
        <f>IFERROR(VLOOKUP($B937,'开奖记录'!$A:$K,11,FALSE),"")</f>
        <v/>
      </c>
      <c r="J937" s="19">
        <f>IF($B937="","",IF(ISNUMBER($D937),"命中",IF(ISNUMBER($E937),"未命中","")))</f>
        <v/>
      </c>
      <c r="K937" s="19" t="inlineStr"/>
      <c r="L937" s="19">
        <f>IFERROR(TEXT(VLOOKUP($B937-1,开奖记录!$A:$L,3,FALSE),"00")&amp;"+5="&amp;VLOOKUP(MOD(VLOOKUP($B937-1,开奖记录!$A:$L,3,FALSE)+4,49)+1,规律参数!$A:$C,3,FALSE),"")</f>
        <v/>
      </c>
      <c r="M937" s="19">
        <f>IF(L937="","",IF(I937="","待开奖",IF(ISNUMBER(SEARCH(I937,L937)),"命中","未命中")))</f>
        <v/>
      </c>
      <c r="N937" s="19">
        <f>IFERROR(VLOOKUP(VLOOKUP($B937-1,开奖记录!$A:$L,11,FALSE),八肖参数!$A:$B,2,FALSE),"")</f>
        <v/>
      </c>
      <c r="O937" s="19">
        <f>IF(N937="","",IF(I937="","待开奖",IF(ISNUMBER(SEARCH(I937,N937)),"命中","未命中")))</f>
        <v/>
      </c>
    </row>
    <row r="938">
      <c r="A938" s="19" t="n">
        <v>937</v>
      </c>
      <c r="B938" s="19">
        <f>IF(COUNTA(C938:E938)=0,"",B937+1)</f>
        <v/>
      </c>
      <c r="C938" s="19" t="inlineStr"/>
      <c r="D938" s="19" t="n"/>
      <c r="E938" s="19" t="n"/>
      <c r="F938" s="19">
        <f>IF(COUNTA(D938:E938)=0,"",N(D938)-N(E938))</f>
        <v/>
      </c>
      <c r="G938" s="19">
        <f>IFERROR(VLOOKUP($B938,'开奖记录'!$A:$K,2,FALSE),"")</f>
        <v/>
      </c>
      <c r="H938" s="19">
        <f>IFERROR(VLOOKUP($B938,'开奖记录'!$A:$K,9,FALSE),"")</f>
        <v/>
      </c>
      <c r="I938" s="19">
        <f>IFERROR(VLOOKUP($B938,'开奖记录'!$A:$K,11,FALSE),"")</f>
        <v/>
      </c>
      <c r="J938" s="19">
        <f>IF($B938="","",IF(ISNUMBER($D938),"命中",IF(ISNUMBER($E938),"未命中","")))</f>
        <v/>
      </c>
      <c r="K938" s="19" t="inlineStr"/>
      <c r="L938" s="19">
        <f>IFERROR(TEXT(VLOOKUP($B938-1,开奖记录!$A:$L,3,FALSE),"00")&amp;"+5="&amp;VLOOKUP(MOD(VLOOKUP($B938-1,开奖记录!$A:$L,3,FALSE)+4,49)+1,规律参数!$A:$C,3,FALSE),"")</f>
        <v/>
      </c>
      <c r="M938" s="19">
        <f>IF(L938="","",IF(I938="","待开奖",IF(ISNUMBER(SEARCH(I938,L938)),"命中","未命中")))</f>
        <v/>
      </c>
      <c r="N938" s="19">
        <f>IFERROR(VLOOKUP(VLOOKUP($B938-1,开奖记录!$A:$L,11,FALSE),八肖参数!$A:$B,2,FALSE),"")</f>
        <v/>
      </c>
      <c r="O938" s="19">
        <f>IF(N938="","",IF(I938="","待开奖",IF(ISNUMBER(SEARCH(I938,N938)),"命中","未命中")))</f>
        <v/>
      </c>
    </row>
    <row r="939">
      <c r="A939" s="19" t="n">
        <v>938</v>
      </c>
      <c r="B939" s="19">
        <f>IF(COUNTA(C939:E939)=0,"",B938+1)</f>
        <v/>
      </c>
      <c r="C939" s="19" t="inlineStr"/>
      <c r="D939" s="19" t="n"/>
      <c r="E939" s="19" t="n"/>
      <c r="F939" s="19">
        <f>IF(COUNTA(D939:E939)=0,"",N(D939)-N(E939))</f>
        <v/>
      </c>
      <c r="G939" s="19">
        <f>IFERROR(VLOOKUP($B939,'开奖记录'!$A:$K,2,FALSE),"")</f>
        <v/>
      </c>
      <c r="H939" s="19">
        <f>IFERROR(VLOOKUP($B939,'开奖记录'!$A:$K,9,FALSE),"")</f>
        <v/>
      </c>
      <c r="I939" s="19">
        <f>IFERROR(VLOOKUP($B939,'开奖记录'!$A:$K,11,FALSE),"")</f>
        <v/>
      </c>
      <c r="J939" s="19">
        <f>IF($B939="","",IF(ISNUMBER($D939),"命中",IF(ISNUMBER($E939),"未命中","")))</f>
        <v/>
      </c>
      <c r="K939" s="19" t="inlineStr"/>
      <c r="L939" s="19">
        <f>IFERROR(TEXT(VLOOKUP($B939-1,开奖记录!$A:$L,3,FALSE),"00")&amp;"+5="&amp;VLOOKUP(MOD(VLOOKUP($B939-1,开奖记录!$A:$L,3,FALSE)+4,49)+1,规律参数!$A:$C,3,FALSE),"")</f>
        <v/>
      </c>
      <c r="M939" s="19">
        <f>IF(L939="","",IF(I939="","待开奖",IF(ISNUMBER(SEARCH(I939,L939)),"命中","未命中")))</f>
        <v/>
      </c>
      <c r="N939" s="19">
        <f>IFERROR(VLOOKUP(VLOOKUP($B939-1,开奖记录!$A:$L,11,FALSE),八肖参数!$A:$B,2,FALSE),"")</f>
        <v/>
      </c>
      <c r="O939" s="19">
        <f>IF(N939="","",IF(I939="","待开奖",IF(ISNUMBER(SEARCH(I939,N939)),"命中","未命中")))</f>
        <v/>
      </c>
    </row>
    <row r="940">
      <c r="A940" s="19" t="n">
        <v>939</v>
      </c>
      <c r="B940" s="19">
        <f>IF(COUNTA(C940:E940)=0,"",B939+1)</f>
        <v/>
      </c>
      <c r="C940" s="19" t="inlineStr"/>
      <c r="D940" s="19" t="n"/>
      <c r="E940" s="19" t="n"/>
      <c r="F940" s="19">
        <f>IF(COUNTA(D940:E940)=0,"",N(D940)-N(E940))</f>
        <v/>
      </c>
      <c r="G940" s="19">
        <f>IFERROR(VLOOKUP($B940,'开奖记录'!$A:$K,2,FALSE),"")</f>
        <v/>
      </c>
      <c r="H940" s="19">
        <f>IFERROR(VLOOKUP($B940,'开奖记录'!$A:$K,9,FALSE),"")</f>
        <v/>
      </c>
      <c r="I940" s="19">
        <f>IFERROR(VLOOKUP($B940,'开奖记录'!$A:$K,11,FALSE),"")</f>
        <v/>
      </c>
      <c r="J940" s="19">
        <f>IF($B940="","",IF(ISNUMBER($D940),"命中",IF(ISNUMBER($E940),"未命中","")))</f>
        <v/>
      </c>
      <c r="K940" s="19" t="inlineStr"/>
      <c r="L940" s="19">
        <f>IFERROR(TEXT(VLOOKUP($B940-1,开奖记录!$A:$L,3,FALSE),"00")&amp;"+5="&amp;VLOOKUP(MOD(VLOOKUP($B940-1,开奖记录!$A:$L,3,FALSE)+4,49)+1,规律参数!$A:$C,3,FALSE),"")</f>
        <v/>
      </c>
      <c r="M940" s="19">
        <f>IF(L940="","",IF(I940="","待开奖",IF(ISNUMBER(SEARCH(I940,L940)),"命中","未命中")))</f>
        <v/>
      </c>
      <c r="N940" s="19">
        <f>IFERROR(VLOOKUP(VLOOKUP($B940-1,开奖记录!$A:$L,11,FALSE),八肖参数!$A:$B,2,FALSE),"")</f>
        <v/>
      </c>
      <c r="O940" s="19">
        <f>IF(N940="","",IF(I940="","待开奖",IF(ISNUMBER(SEARCH(I940,N940)),"命中","未命中")))</f>
        <v/>
      </c>
    </row>
    <row r="941">
      <c r="A941" s="19" t="n">
        <v>940</v>
      </c>
      <c r="B941" s="19">
        <f>IF(COUNTA(C941:E941)=0,"",B940+1)</f>
        <v/>
      </c>
      <c r="C941" s="19" t="inlineStr"/>
      <c r="D941" s="19" t="n"/>
      <c r="E941" s="19" t="n"/>
      <c r="F941" s="19">
        <f>IF(COUNTA(D941:E941)=0,"",N(D941)-N(E941))</f>
        <v/>
      </c>
      <c r="G941" s="19">
        <f>IFERROR(VLOOKUP($B941,'开奖记录'!$A:$K,2,FALSE),"")</f>
        <v/>
      </c>
      <c r="H941" s="19">
        <f>IFERROR(VLOOKUP($B941,'开奖记录'!$A:$K,9,FALSE),"")</f>
        <v/>
      </c>
      <c r="I941" s="19">
        <f>IFERROR(VLOOKUP($B941,'开奖记录'!$A:$K,11,FALSE),"")</f>
        <v/>
      </c>
      <c r="J941" s="19">
        <f>IF($B941="","",IF(ISNUMBER($D941),"命中",IF(ISNUMBER($E941),"未命中","")))</f>
        <v/>
      </c>
      <c r="K941" s="19" t="inlineStr"/>
      <c r="L941" s="19">
        <f>IFERROR(TEXT(VLOOKUP($B941-1,开奖记录!$A:$L,3,FALSE),"00")&amp;"+5="&amp;VLOOKUP(MOD(VLOOKUP($B941-1,开奖记录!$A:$L,3,FALSE)+4,49)+1,规律参数!$A:$C,3,FALSE),"")</f>
        <v/>
      </c>
      <c r="M941" s="19">
        <f>IF(L941="","",IF(I941="","待开奖",IF(ISNUMBER(SEARCH(I941,L941)),"命中","未命中")))</f>
        <v/>
      </c>
      <c r="N941" s="19">
        <f>IFERROR(VLOOKUP(VLOOKUP($B941-1,开奖记录!$A:$L,11,FALSE),八肖参数!$A:$B,2,FALSE),"")</f>
        <v/>
      </c>
      <c r="O941" s="19">
        <f>IF(N941="","",IF(I941="","待开奖",IF(ISNUMBER(SEARCH(I941,N941)),"命中","未命中")))</f>
        <v/>
      </c>
    </row>
    <row r="942">
      <c r="A942" s="19" t="n">
        <v>941</v>
      </c>
      <c r="B942" s="19">
        <f>IF(COUNTA(C942:E942)=0,"",B941+1)</f>
        <v/>
      </c>
      <c r="C942" s="19" t="inlineStr"/>
      <c r="D942" s="19" t="n"/>
      <c r="E942" s="19" t="n"/>
      <c r="F942" s="19">
        <f>IF(COUNTA(D942:E942)=0,"",N(D942)-N(E942))</f>
        <v/>
      </c>
      <c r="G942" s="19">
        <f>IFERROR(VLOOKUP($B942,'开奖记录'!$A:$K,2,FALSE),"")</f>
        <v/>
      </c>
      <c r="H942" s="19">
        <f>IFERROR(VLOOKUP($B942,'开奖记录'!$A:$K,9,FALSE),"")</f>
        <v/>
      </c>
      <c r="I942" s="19">
        <f>IFERROR(VLOOKUP($B942,'开奖记录'!$A:$K,11,FALSE),"")</f>
        <v/>
      </c>
      <c r="J942" s="19">
        <f>IF($B942="","",IF(ISNUMBER($D942),"命中",IF(ISNUMBER($E942),"未命中","")))</f>
        <v/>
      </c>
      <c r="K942" s="19" t="inlineStr"/>
      <c r="L942" s="19">
        <f>IFERROR(TEXT(VLOOKUP($B942-1,开奖记录!$A:$L,3,FALSE),"00")&amp;"+5="&amp;VLOOKUP(MOD(VLOOKUP($B942-1,开奖记录!$A:$L,3,FALSE)+4,49)+1,规律参数!$A:$C,3,FALSE),"")</f>
        <v/>
      </c>
      <c r="M942" s="19">
        <f>IF(L942="","",IF(I942="","待开奖",IF(ISNUMBER(SEARCH(I942,L942)),"命中","未命中")))</f>
        <v/>
      </c>
      <c r="N942" s="19">
        <f>IFERROR(VLOOKUP(VLOOKUP($B942-1,开奖记录!$A:$L,11,FALSE),八肖参数!$A:$B,2,FALSE),"")</f>
        <v/>
      </c>
      <c r="O942" s="19">
        <f>IF(N942="","",IF(I942="","待开奖",IF(ISNUMBER(SEARCH(I942,N942)),"命中","未命中")))</f>
        <v/>
      </c>
    </row>
    <row r="943">
      <c r="A943" s="19" t="n">
        <v>942</v>
      </c>
      <c r="B943" s="19">
        <f>IF(COUNTA(C943:E943)=0,"",B942+1)</f>
        <v/>
      </c>
      <c r="C943" s="19" t="inlineStr"/>
      <c r="D943" s="19" t="n"/>
      <c r="E943" s="19" t="n"/>
      <c r="F943" s="19">
        <f>IF(COUNTA(D943:E943)=0,"",N(D943)-N(E943))</f>
        <v/>
      </c>
      <c r="G943" s="19">
        <f>IFERROR(VLOOKUP($B943,'开奖记录'!$A:$K,2,FALSE),"")</f>
        <v/>
      </c>
      <c r="H943" s="19">
        <f>IFERROR(VLOOKUP($B943,'开奖记录'!$A:$K,9,FALSE),"")</f>
        <v/>
      </c>
      <c r="I943" s="19">
        <f>IFERROR(VLOOKUP($B943,'开奖记录'!$A:$K,11,FALSE),"")</f>
        <v/>
      </c>
      <c r="J943" s="19">
        <f>IF($B943="","",IF(ISNUMBER($D943),"命中",IF(ISNUMBER($E943),"未命中","")))</f>
        <v/>
      </c>
      <c r="K943" s="19" t="inlineStr"/>
      <c r="L943" s="19">
        <f>IFERROR(TEXT(VLOOKUP($B943-1,开奖记录!$A:$L,3,FALSE),"00")&amp;"+5="&amp;VLOOKUP(MOD(VLOOKUP($B943-1,开奖记录!$A:$L,3,FALSE)+4,49)+1,规律参数!$A:$C,3,FALSE),"")</f>
        <v/>
      </c>
      <c r="M943" s="19">
        <f>IF(L943="","",IF(I943="","待开奖",IF(ISNUMBER(SEARCH(I943,L943)),"命中","未命中")))</f>
        <v/>
      </c>
      <c r="N943" s="19">
        <f>IFERROR(VLOOKUP(VLOOKUP($B943-1,开奖记录!$A:$L,11,FALSE),八肖参数!$A:$B,2,FALSE),"")</f>
        <v/>
      </c>
      <c r="O943" s="19">
        <f>IF(N943="","",IF(I943="","待开奖",IF(ISNUMBER(SEARCH(I943,N943)),"命中","未命中")))</f>
        <v/>
      </c>
    </row>
    <row r="944">
      <c r="A944" s="19" t="n">
        <v>943</v>
      </c>
      <c r="B944" s="19">
        <f>IF(COUNTA(C944:E944)=0,"",B943+1)</f>
        <v/>
      </c>
      <c r="C944" s="19" t="inlineStr"/>
      <c r="D944" s="19" t="n"/>
      <c r="E944" s="19" t="n"/>
      <c r="F944" s="19">
        <f>IF(COUNTA(D944:E944)=0,"",N(D944)-N(E944))</f>
        <v/>
      </c>
      <c r="G944" s="19">
        <f>IFERROR(VLOOKUP($B944,'开奖记录'!$A:$K,2,FALSE),"")</f>
        <v/>
      </c>
      <c r="H944" s="19">
        <f>IFERROR(VLOOKUP($B944,'开奖记录'!$A:$K,9,FALSE),"")</f>
        <v/>
      </c>
      <c r="I944" s="19">
        <f>IFERROR(VLOOKUP($B944,'开奖记录'!$A:$K,11,FALSE),"")</f>
        <v/>
      </c>
      <c r="J944" s="19">
        <f>IF($B944="","",IF(ISNUMBER($D944),"命中",IF(ISNUMBER($E944),"未命中","")))</f>
        <v/>
      </c>
      <c r="K944" s="19" t="inlineStr"/>
      <c r="L944" s="19">
        <f>IFERROR(TEXT(VLOOKUP($B944-1,开奖记录!$A:$L,3,FALSE),"00")&amp;"+5="&amp;VLOOKUP(MOD(VLOOKUP($B944-1,开奖记录!$A:$L,3,FALSE)+4,49)+1,规律参数!$A:$C,3,FALSE),"")</f>
        <v/>
      </c>
      <c r="M944" s="19">
        <f>IF(L944="","",IF(I944="","待开奖",IF(ISNUMBER(SEARCH(I944,L944)),"命中","未命中")))</f>
        <v/>
      </c>
      <c r="N944" s="19">
        <f>IFERROR(VLOOKUP(VLOOKUP($B944-1,开奖记录!$A:$L,11,FALSE),八肖参数!$A:$B,2,FALSE),"")</f>
        <v/>
      </c>
      <c r="O944" s="19">
        <f>IF(N944="","",IF(I944="","待开奖",IF(ISNUMBER(SEARCH(I944,N944)),"命中","未命中")))</f>
        <v/>
      </c>
    </row>
    <row r="945">
      <c r="A945" s="19" t="n">
        <v>944</v>
      </c>
      <c r="B945" s="19">
        <f>IF(COUNTA(C945:E945)=0,"",B944+1)</f>
        <v/>
      </c>
      <c r="C945" s="19" t="inlineStr"/>
      <c r="D945" s="19" t="n"/>
      <c r="E945" s="19" t="n"/>
      <c r="F945" s="19">
        <f>IF(COUNTA(D945:E945)=0,"",N(D945)-N(E945))</f>
        <v/>
      </c>
      <c r="G945" s="19">
        <f>IFERROR(VLOOKUP($B945,'开奖记录'!$A:$K,2,FALSE),"")</f>
        <v/>
      </c>
      <c r="H945" s="19">
        <f>IFERROR(VLOOKUP($B945,'开奖记录'!$A:$K,9,FALSE),"")</f>
        <v/>
      </c>
      <c r="I945" s="19">
        <f>IFERROR(VLOOKUP($B945,'开奖记录'!$A:$K,11,FALSE),"")</f>
        <v/>
      </c>
      <c r="J945" s="19">
        <f>IF($B945="","",IF(ISNUMBER($D945),"命中",IF(ISNUMBER($E945),"未命中","")))</f>
        <v/>
      </c>
      <c r="K945" s="19" t="inlineStr"/>
      <c r="L945" s="19">
        <f>IFERROR(TEXT(VLOOKUP($B945-1,开奖记录!$A:$L,3,FALSE),"00")&amp;"+5="&amp;VLOOKUP(MOD(VLOOKUP($B945-1,开奖记录!$A:$L,3,FALSE)+4,49)+1,规律参数!$A:$C,3,FALSE),"")</f>
        <v/>
      </c>
      <c r="M945" s="19">
        <f>IF(L945="","",IF(I945="","待开奖",IF(ISNUMBER(SEARCH(I945,L945)),"命中","未命中")))</f>
        <v/>
      </c>
      <c r="N945" s="19">
        <f>IFERROR(VLOOKUP(VLOOKUP($B945-1,开奖记录!$A:$L,11,FALSE),八肖参数!$A:$B,2,FALSE),"")</f>
        <v/>
      </c>
      <c r="O945" s="19">
        <f>IF(N945="","",IF(I945="","待开奖",IF(ISNUMBER(SEARCH(I945,N945)),"命中","未命中")))</f>
        <v/>
      </c>
    </row>
    <row r="946">
      <c r="A946" s="19" t="n">
        <v>945</v>
      </c>
      <c r="B946" s="19">
        <f>IF(COUNTA(C946:E946)=0,"",B945+1)</f>
        <v/>
      </c>
      <c r="C946" s="19" t="inlineStr"/>
      <c r="D946" s="19" t="n"/>
      <c r="E946" s="19" t="n"/>
      <c r="F946" s="19">
        <f>IF(COUNTA(D946:E946)=0,"",N(D946)-N(E946))</f>
        <v/>
      </c>
      <c r="G946" s="19">
        <f>IFERROR(VLOOKUP($B946,'开奖记录'!$A:$K,2,FALSE),"")</f>
        <v/>
      </c>
      <c r="H946" s="19">
        <f>IFERROR(VLOOKUP($B946,'开奖记录'!$A:$K,9,FALSE),"")</f>
        <v/>
      </c>
      <c r="I946" s="19">
        <f>IFERROR(VLOOKUP($B946,'开奖记录'!$A:$K,11,FALSE),"")</f>
        <v/>
      </c>
      <c r="J946" s="19">
        <f>IF($B946="","",IF(ISNUMBER($D946),"命中",IF(ISNUMBER($E946),"未命中","")))</f>
        <v/>
      </c>
      <c r="K946" s="19" t="inlineStr"/>
      <c r="L946" s="19">
        <f>IFERROR(TEXT(VLOOKUP($B946-1,开奖记录!$A:$L,3,FALSE),"00")&amp;"+5="&amp;VLOOKUP(MOD(VLOOKUP($B946-1,开奖记录!$A:$L,3,FALSE)+4,49)+1,规律参数!$A:$C,3,FALSE),"")</f>
        <v/>
      </c>
      <c r="M946" s="19">
        <f>IF(L946="","",IF(I946="","待开奖",IF(ISNUMBER(SEARCH(I946,L946)),"命中","未命中")))</f>
        <v/>
      </c>
      <c r="N946" s="19">
        <f>IFERROR(VLOOKUP(VLOOKUP($B946-1,开奖记录!$A:$L,11,FALSE),八肖参数!$A:$B,2,FALSE),"")</f>
        <v/>
      </c>
      <c r="O946" s="19">
        <f>IF(N946="","",IF(I946="","待开奖",IF(ISNUMBER(SEARCH(I946,N946)),"命中","未命中")))</f>
        <v/>
      </c>
    </row>
    <row r="947">
      <c r="A947" s="19" t="n">
        <v>946</v>
      </c>
      <c r="B947" s="19">
        <f>IF(COUNTA(C947:E947)=0,"",B946+1)</f>
        <v/>
      </c>
      <c r="C947" s="19" t="inlineStr"/>
      <c r="D947" s="19" t="n"/>
      <c r="E947" s="19" t="n"/>
      <c r="F947" s="19">
        <f>IF(COUNTA(D947:E947)=0,"",N(D947)-N(E947))</f>
        <v/>
      </c>
      <c r="G947" s="19">
        <f>IFERROR(VLOOKUP($B947,'开奖记录'!$A:$K,2,FALSE),"")</f>
        <v/>
      </c>
      <c r="H947" s="19">
        <f>IFERROR(VLOOKUP($B947,'开奖记录'!$A:$K,9,FALSE),"")</f>
        <v/>
      </c>
      <c r="I947" s="19">
        <f>IFERROR(VLOOKUP($B947,'开奖记录'!$A:$K,11,FALSE),"")</f>
        <v/>
      </c>
      <c r="J947" s="19">
        <f>IF($B947="","",IF(ISNUMBER($D947),"命中",IF(ISNUMBER($E947),"未命中","")))</f>
        <v/>
      </c>
      <c r="K947" s="19" t="inlineStr"/>
      <c r="L947" s="19">
        <f>IFERROR(TEXT(VLOOKUP($B947-1,开奖记录!$A:$L,3,FALSE),"00")&amp;"+5="&amp;VLOOKUP(MOD(VLOOKUP($B947-1,开奖记录!$A:$L,3,FALSE)+4,49)+1,规律参数!$A:$C,3,FALSE),"")</f>
        <v/>
      </c>
      <c r="M947" s="19">
        <f>IF(L947="","",IF(I947="","待开奖",IF(ISNUMBER(SEARCH(I947,L947)),"命中","未命中")))</f>
        <v/>
      </c>
      <c r="N947" s="19">
        <f>IFERROR(VLOOKUP(VLOOKUP($B947-1,开奖记录!$A:$L,11,FALSE),八肖参数!$A:$B,2,FALSE),"")</f>
        <v/>
      </c>
      <c r="O947" s="19">
        <f>IF(N947="","",IF(I947="","待开奖",IF(ISNUMBER(SEARCH(I947,N947)),"命中","未命中")))</f>
        <v/>
      </c>
    </row>
    <row r="948">
      <c r="A948" s="19" t="n">
        <v>947</v>
      </c>
      <c r="B948" s="19">
        <f>IF(COUNTA(C948:E948)=0,"",B947+1)</f>
        <v/>
      </c>
      <c r="C948" s="19" t="inlineStr"/>
      <c r="D948" s="19" t="n"/>
      <c r="E948" s="19" t="n"/>
      <c r="F948" s="19">
        <f>IF(COUNTA(D948:E948)=0,"",N(D948)-N(E948))</f>
        <v/>
      </c>
      <c r="G948" s="19">
        <f>IFERROR(VLOOKUP($B948,'开奖记录'!$A:$K,2,FALSE),"")</f>
        <v/>
      </c>
      <c r="H948" s="19">
        <f>IFERROR(VLOOKUP($B948,'开奖记录'!$A:$K,9,FALSE),"")</f>
        <v/>
      </c>
      <c r="I948" s="19">
        <f>IFERROR(VLOOKUP($B948,'开奖记录'!$A:$K,11,FALSE),"")</f>
        <v/>
      </c>
      <c r="J948" s="19">
        <f>IF($B948="","",IF(ISNUMBER($D948),"命中",IF(ISNUMBER($E948),"未命中","")))</f>
        <v/>
      </c>
      <c r="K948" s="19" t="inlineStr"/>
      <c r="L948" s="19">
        <f>IFERROR(TEXT(VLOOKUP($B948-1,开奖记录!$A:$L,3,FALSE),"00")&amp;"+5="&amp;VLOOKUP(MOD(VLOOKUP($B948-1,开奖记录!$A:$L,3,FALSE)+4,49)+1,规律参数!$A:$C,3,FALSE),"")</f>
        <v/>
      </c>
      <c r="M948" s="19">
        <f>IF(L948="","",IF(I948="","待开奖",IF(ISNUMBER(SEARCH(I948,L948)),"命中","未命中")))</f>
        <v/>
      </c>
      <c r="N948" s="19">
        <f>IFERROR(VLOOKUP(VLOOKUP($B948-1,开奖记录!$A:$L,11,FALSE),八肖参数!$A:$B,2,FALSE),"")</f>
        <v/>
      </c>
      <c r="O948" s="19">
        <f>IF(N948="","",IF(I948="","待开奖",IF(ISNUMBER(SEARCH(I948,N948)),"命中","未命中")))</f>
        <v/>
      </c>
    </row>
    <row r="949">
      <c r="A949" s="19" t="n">
        <v>948</v>
      </c>
      <c r="B949" s="19">
        <f>IF(COUNTA(C949:E949)=0,"",B948+1)</f>
        <v/>
      </c>
      <c r="C949" s="19" t="inlineStr"/>
      <c r="D949" s="19" t="n"/>
      <c r="E949" s="19" t="n"/>
      <c r="F949" s="19">
        <f>IF(COUNTA(D949:E949)=0,"",N(D949)-N(E949))</f>
        <v/>
      </c>
      <c r="G949" s="19">
        <f>IFERROR(VLOOKUP($B949,'开奖记录'!$A:$K,2,FALSE),"")</f>
        <v/>
      </c>
      <c r="H949" s="19">
        <f>IFERROR(VLOOKUP($B949,'开奖记录'!$A:$K,9,FALSE),"")</f>
        <v/>
      </c>
      <c r="I949" s="19">
        <f>IFERROR(VLOOKUP($B949,'开奖记录'!$A:$K,11,FALSE),"")</f>
        <v/>
      </c>
      <c r="J949" s="19">
        <f>IF($B949="","",IF(ISNUMBER($D949),"命中",IF(ISNUMBER($E949),"未命中","")))</f>
        <v/>
      </c>
      <c r="K949" s="19" t="inlineStr"/>
      <c r="L949" s="19">
        <f>IFERROR(TEXT(VLOOKUP($B949-1,开奖记录!$A:$L,3,FALSE),"00")&amp;"+5="&amp;VLOOKUP(MOD(VLOOKUP($B949-1,开奖记录!$A:$L,3,FALSE)+4,49)+1,规律参数!$A:$C,3,FALSE),"")</f>
        <v/>
      </c>
      <c r="M949" s="19">
        <f>IF(L949="","",IF(I949="","待开奖",IF(ISNUMBER(SEARCH(I949,L949)),"命中","未命中")))</f>
        <v/>
      </c>
      <c r="N949" s="19">
        <f>IFERROR(VLOOKUP(VLOOKUP($B949-1,开奖记录!$A:$L,11,FALSE),八肖参数!$A:$B,2,FALSE),"")</f>
        <v/>
      </c>
      <c r="O949" s="19">
        <f>IF(N949="","",IF(I949="","待开奖",IF(ISNUMBER(SEARCH(I949,N949)),"命中","未命中")))</f>
        <v/>
      </c>
    </row>
    <row r="950">
      <c r="A950" s="19" t="n">
        <v>949</v>
      </c>
      <c r="B950" s="19">
        <f>IF(COUNTA(C950:E950)=0,"",B949+1)</f>
        <v/>
      </c>
      <c r="C950" s="19" t="inlineStr"/>
      <c r="D950" s="19" t="n"/>
      <c r="E950" s="19" t="n"/>
      <c r="F950" s="19">
        <f>IF(COUNTA(D950:E950)=0,"",N(D950)-N(E950))</f>
        <v/>
      </c>
      <c r="G950" s="19">
        <f>IFERROR(VLOOKUP($B950,'开奖记录'!$A:$K,2,FALSE),"")</f>
        <v/>
      </c>
      <c r="H950" s="19">
        <f>IFERROR(VLOOKUP($B950,'开奖记录'!$A:$K,9,FALSE),"")</f>
        <v/>
      </c>
      <c r="I950" s="19">
        <f>IFERROR(VLOOKUP($B950,'开奖记录'!$A:$K,11,FALSE),"")</f>
        <v/>
      </c>
      <c r="J950" s="19">
        <f>IF($B950="","",IF(ISNUMBER($D950),"命中",IF(ISNUMBER($E950),"未命中","")))</f>
        <v/>
      </c>
      <c r="K950" s="19" t="inlineStr"/>
      <c r="L950" s="19">
        <f>IFERROR(TEXT(VLOOKUP($B950-1,开奖记录!$A:$L,3,FALSE),"00")&amp;"+5="&amp;VLOOKUP(MOD(VLOOKUP($B950-1,开奖记录!$A:$L,3,FALSE)+4,49)+1,规律参数!$A:$C,3,FALSE),"")</f>
        <v/>
      </c>
      <c r="M950" s="19">
        <f>IF(L950="","",IF(I950="","待开奖",IF(ISNUMBER(SEARCH(I950,L950)),"命中","未命中")))</f>
        <v/>
      </c>
      <c r="N950" s="19">
        <f>IFERROR(VLOOKUP(VLOOKUP($B950-1,开奖记录!$A:$L,11,FALSE),八肖参数!$A:$B,2,FALSE),"")</f>
        <v/>
      </c>
      <c r="O950" s="19">
        <f>IF(N950="","",IF(I950="","待开奖",IF(ISNUMBER(SEARCH(I950,N950)),"命中","未命中")))</f>
        <v/>
      </c>
    </row>
    <row r="951">
      <c r="A951" s="19" t="n">
        <v>950</v>
      </c>
      <c r="B951" s="19">
        <f>IF(COUNTA(C951:E951)=0,"",B950+1)</f>
        <v/>
      </c>
      <c r="C951" s="19" t="inlineStr"/>
      <c r="D951" s="19" t="n"/>
      <c r="E951" s="19" t="n"/>
      <c r="F951" s="19">
        <f>IF(COUNTA(D951:E951)=0,"",N(D951)-N(E951))</f>
        <v/>
      </c>
      <c r="G951" s="19">
        <f>IFERROR(VLOOKUP($B951,'开奖记录'!$A:$K,2,FALSE),"")</f>
        <v/>
      </c>
      <c r="H951" s="19">
        <f>IFERROR(VLOOKUP($B951,'开奖记录'!$A:$K,9,FALSE),"")</f>
        <v/>
      </c>
      <c r="I951" s="19">
        <f>IFERROR(VLOOKUP($B951,'开奖记录'!$A:$K,11,FALSE),"")</f>
        <v/>
      </c>
      <c r="J951" s="19">
        <f>IF($B951="","",IF(ISNUMBER($D951),"命中",IF(ISNUMBER($E951),"未命中","")))</f>
        <v/>
      </c>
      <c r="K951" s="19" t="inlineStr"/>
      <c r="L951" s="19">
        <f>IFERROR(TEXT(VLOOKUP($B951-1,开奖记录!$A:$L,3,FALSE),"00")&amp;"+5="&amp;VLOOKUP(MOD(VLOOKUP($B951-1,开奖记录!$A:$L,3,FALSE)+4,49)+1,规律参数!$A:$C,3,FALSE),"")</f>
        <v/>
      </c>
      <c r="M951" s="19">
        <f>IF(L951="","",IF(I951="","待开奖",IF(ISNUMBER(SEARCH(I951,L951)),"命中","未命中")))</f>
        <v/>
      </c>
      <c r="N951" s="19">
        <f>IFERROR(VLOOKUP(VLOOKUP($B951-1,开奖记录!$A:$L,11,FALSE),八肖参数!$A:$B,2,FALSE),"")</f>
        <v/>
      </c>
      <c r="O951" s="19">
        <f>IF(N951="","",IF(I951="","待开奖",IF(ISNUMBER(SEARCH(I951,N951)),"命中","未命中")))</f>
        <v/>
      </c>
    </row>
    <row r="952">
      <c r="A952" s="19" t="n">
        <v>951</v>
      </c>
      <c r="B952" s="19">
        <f>IF(COUNTA(C952:E952)=0,"",B951+1)</f>
        <v/>
      </c>
      <c r="C952" s="19" t="inlineStr"/>
      <c r="D952" s="19" t="n"/>
      <c r="E952" s="19" t="n"/>
      <c r="F952" s="19">
        <f>IF(COUNTA(D952:E952)=0,"",N(D952)-N(E952))</f>
        <v/>
      </c>
      <c r="G952" s="19">
        <f>IFERROR(VLOOKUP($B952,'开奖记录'!$A:$K,2,FALSE),"")</f>
        <v/>
      </c>
      <c r="H952" s="19">
        <f>IFERROR(VLOOKUP($B952,'开奖记录'!$A:$K,9,FALSE),"")</f>
        <v/>
      </c>
      <c r="I952" s="19">
        <f>IFERROR(VLOOKUP($B952,'开奖记录'!$A:$K,11,FALSE),"")</f>
        <v/>
      </c>
      <c r="J952" s="19">
        <f>IF($B952="","",IF(ISNUMBER($D952),"命中",IF(ISNUMBER($E952),"未命中","")))</f>
        <v/>
      </c>
      <c r="K952" s="19" t="inlineStr"/>
      <c r="L952" s="19">
        <f>IFERROR(TEXT(VLOOKUP($B952-1,开奖记录!$A:$L,3,FALSE),"00")&amp;"+5="&amp;VLOOKUP(MOD(VLOOKUP($B952-1,开奖记录!$A:$L,3,FALSE)+4,49)+1,规律参数!$A:$C,3,FALSE),"")</f>
        <v/>
      </c>
      <c r="M952" s="19">
        <f>IF(L952="","",IF(I952="","待开奖",IF(ISNUMBER(SEARCH(I952,L952)),"命中","未命中")))</f>
        <v/>
      </c>
      <c r="N952" s="19">
        <f>IFERROR(VLOOKUP(VLOOKUP($B952-1,开奖记录!$A:$L,11,FALSE),八肖参数!$A:$B,2,FALSE),"")</f>
        <v/>
      </c>
      <c r="O952" s="19">
        <f>IF(N952="","",IF(I952="","待开奖",IF(ISNUMBER(SEARCH(I952,N952)),"命中","未命中")))</f>
        <v/>
      </c>
    </row>
    <row r="953">
      <c r="A953" s="19" t="n">
        <v>952</v>
      </c>
      <c r="B953" s="19">
        <f>IF(COUNTA(C953:E953)=0,"",B952+1)</f>
        <v/>
      </c>
      <c r="C953" s="19" t="inlineStr"/>
      <c r="D953" s="19" t="n"/>
      <c r="E953" s="19" t="n"/>
      <c r="F953" s="19">
        <f>IF(COUNTA(D953:E953)=0,"",N(D953)-N(E953))</f>
        <v/>
      </c>
      <c r="G953" s="19">
        <f>IFERROR(VLOOKUP($B953,'开奖记录'!$A:$K,2,FALSE),"")</f>
        <v/>
      </c>
      <c r="H953" s="19">
        <f>IFERROR(VLOOKUP($B953,'开奖记录'!$A:$K,9,FALSE),"")</f>
        <v/>
      </c>
      <c r="I953" s="19">
        <f>IFERROR(VLOOKUP($B953,'开奖记录'!$A:$K,11,FALSE),"")</f>
        <v/>
      </c>
      <c r="J953" s="19">
        <f>IF($B953="","",IF(ISNUMBER($D953),"命中",IF(ISNUMBER($E953),"未命中","")))</f>
        <v/>
      </c>
      <c r="K953" s="19" t="inlineStr"/>
      <c r="L953" s="19">
        <f>IFERROR(TEXT(VLOOKUP($B953-1,开奖记录!$A:$L,3,FALSE),"00")&amp;"+5="&amp;VLOOKUP(MOD(VLOOKUP($B953-1,开奖记录!$A:$L,3,FALSE)+4,49)+1,规律参数!$A:$C,3,FALSE),"")</f>
        <v/>
      </c>
      <c r="M953" s="19">
        <f>IF(L953="","",IF(I953="","待开奖",IF(ISNUMBER(SEARCH(I953,L953)),"命中","未命中")))</f>
        <v/>
      </c>
      <c r="N953" s="19">
        <f>IFERROR(VLOOKUP(VLOOKUP($B953-1,开奖记录!$A:$L,11,FALSE),八肖参数!$A:$B,2,FALSE),"")</f>
        <v/>
      </c>
      <c r="O953" s="19">
        <f>IF(N953="","",IF(I953="","待开奖",IF(ISNUMBER(SEARCH(I953,N953)),"命中","未命中")))</f>
        <v/>
      </c>
    </row>
    <row r="954">
      <c r="A954" s="19" t="n">
        <v>953</v>
      </c>
      <c r="B954" s="19">
        <f>IF(COUNTA(C954:E954)=0,"",B953+1)</f>
        <v/>
      </c>
      <c r="C954" s="19" t="inlineStr"/>
      <c r="D954" s="19" t="n"/>
      <c r="E954" s="19" t="n"/>
      <c r="F954" s="19">
        <f>IF(COUNTA(D954:E954)=0,"",N(D954)-N(E954))</f>
        <v/>
      </c>
      <c r="G954" s="19">
        <f>IFERROR(VLOOKUP($B954,'开奖记录'!$A:$K,2,FALSE),"")</f>
        <v/>
      </c>
      <c r="H954" s="19">
        <f>IFERROR(VLOOKUP($B954,'开奖记录'!$A:$K,9,FALSE),"")</f>
        <v/>
      </c>
      <c r="I954" s="19">
        <f>IFERROR(VLOOKUP($B954,'开奖记录'!$A:$K,11,FALSE),"")</f>
        <v/>
      </c>
      <c r="J954" s="19">
        <f>IF($B954="","",IF(ISNUMBER($D954),"命中",IF(ISNUMBER($E954),"未命中","")))</f>
        <v/>
      </c>
      <c r="K954" s="19" t="inlineStr"/>
      <c r="L954" s="19">
        <f>IFERROR(TEXT(VLOOKUP($B954-1,开奖记录!$A:$L,3,FALSE),"00")&amp;"+5="&amp;VLOOKUP(MOD(VLOOKUP($B954-1,开奖记录!$A:$L,3,FALSE)+4,49)+1,规律参数!$A:$C,3,FALSE),"")</f>
        <v/>
      </c>
      <c r="M954" s="19">
        <f>IF(L954="","",IF(I954="","待开奖",IF(ISNUMBER(SEARCH(I954,L954)),"命中","未命中")))</f>
        <v/>
      </c>
      <c r="N954" s="19">
        <f>IFERROR(VLOOKUP(VLOOKUP($B954-1,开奖记录!$A:$L,11,FALSE),八肖参数!$A:$B,2,FALSE),"")</f>
        <v/>
      </c>
      <c r="O954" s="19">
        <f>IF(N954="","",IF(I954="","待开奖",IF(ISNUMBER(SEARCH(I954,N954)),"命中","未命中")))</f>
        <v/>
      </c>
    </row>
    <row r="955">
      <c r="A955" s="19" t="n">
        <v>954</v>
      </c>
      <c r="B955" s="19">
        <f>IF(COUNTA(C955:E955)=0,"",B954+1)</f>
        <v/>
      </c>
      <c r="C955" s="19" t="inlineStr"/>
      <c r="D955" s="19" t="n"/>
      <c r="E955" s="19" t="n"/>
      <c r="F955" s="19">
        <f>IF(COUNTA(D955:E955)=0,"",N(D955)-N(E955))</f>
        <v/>
      </c>
      <c r="G955" s="19">
        <f>IFERROR(VLOOKUP($B955,'开奖记录'!$A:$K,2,FALSE),"")</f>
        <v/>
      </c>
      <c r="H955" s="19">
        <f>IFERROR(VLOOKUP($B955,'开奖记录'!$A:$K,9,FALSE),"")</f>
        <v/>
      </c>
      <c r="I955" s="19">
        <f>IFERROR(VLOOKUP($B955,'开奖记录'!$A:$K,11,FALSE),"")</f>
        <v/>
      </c>
      <c r="J955" s="19">
        <f>IF($B955="","",IF(ISNUMBER($D955),"命中",IF(ISNUMBER($E955),"未命中","")))</f>
        <v/>
      </c>
      <c r="K955" s="19" t="inlineStr"/>
      <c r="L955" s="19">
        <f>IFERROR(TEXT(VLOOKUP($B955-1,开奖记录!$A:$L,3,FALSE),"00")&amp;"+5="&amp;VLOOKUP(MOD(VLOOKUP($B955-1,开奖记录!$A:$L,3,FALSE)+4,49)+1,规律参数!$A:$C,3,FALSE),"")</f>
        <v/>
      </c>
      <c r="M955" s="19">
        <f>IF(L955="","",IF(I955="","待开奖",IF(ISNUMBER(SEARCH(I955,L955)),"命中","未命中")))</f>
        <v/>
      </c>
      <c r="N955" s="19">
        <f>IFERROR(VLOOKUP(VLOOKUP($B955-1,开奖记录!$A:$L,11,FALSE),八肖参数!$A:$B,2,FALSE),"")</f>
        <v/>
      </c>
      <c r="O955" s="19">
        <f>IF(N955="","",IF(I955="","待开奖",IF(ISNUMBER(SEARCH(I955,N955)),"命中","未命中")))</f>
        <v/>
      </c>
    </row>
    <row r="956">
      <c r="A956" s="19" t="n">
        <v>955</v>
      </c>
      <c r="B956" s="19">
        <f>IF(COUNTA(C956:E956)=0,"",B955+1)</f>
        <v/>
      </c>
      <c r="C956" s="19" t="inlineStr"/>
      <c r="D956" s="19" t="n"/>
      <c r="E956" s="19" t="n"/>
      <c r="F956" s="19">
        <f>IF(COUNTA(D956:E956)=0,"",N(D956)-N(E956))</f>
        <v/>
      </c>
      <c r="G956" s="19">
        <f>IFERROR(VLOOKUP($B956,'开奖记录'!$A:$K,2,FALSE),"")</f>
        <v/>
      </c>
      <c r="H956" s="19">
        <f>IFERROR(VLOOKUP($B956,'开奖记录'!$A:$K,9,FALSE),"")</f>
        <v/>
      </c>
      <c r="I956" s="19">
        <f>IFERROR(VLOOKUP($B956,'开奖记录'!$A:$K,11,FALSE),"")</f>
        <v/>
      </c>
      <c r="J956" s="19">
        <f>IF($B956="","",IF(ISNUMBER($D956),"命中",IF(ISNUMBER($E956),"未命中","")))</f>
        <v/>
      </c>
      <c r="K956" s="19" t="inlineStr"/>
      <c r="L956" s="19">
        <f>IFERROR(TEXT(VLOOKUP($B956-1,开奖记录!$A:$L,3,FALSE),"00")&amp;"+5="&amp;VLOOKUP(MOD(VLOOKUP($B956-1,开奖记录!$A:$L,3,FALSE)+4,49)+1,规律参数!$A:$C,3,FALSE),"")</f>
        <v/>
      </c>
      <c r="M956" s="19">
        <f>IF(L956="","",IF(I956="","待开奖",IF(ISNUMBER(SEARCH(I956,L956)),"命中","未命中")))</f>
        <v/>
      </c>
      <c r="N956" s="19">
        <f>IFERROR(VLOOKUP(VLOOKUP($B956-1,开奖记录!$A:$L,11,FALSE),八肖参数!$A:$B,2,FALSE),"")</f>
        <v/>
      </c>
      <c r="O956" s="19">
        <f>IF(N956="","",IF(I956="","待开奖",IF(ISNUMBER(SEARCH(I956,N956)),"命中","未命中")))</f>
        <v/>
      </c>
    </row>
    <row r="957">
      <c r="A957" s="19" t="n">
        <v>956</v>
      </c>
      <c r="B957" s="19">
        <f>IF(COUNTA(C957:E957)=0,"",B956+1)</f>
        <v/>
      </c>
      <c r="C957" s="19" t="inlineStr"/>
      <c r="D957" s="19" t="n"/>
      <c r="E957" s="19" t="n"/>
      <c r="F957" s="19">
        <f>IF(COUNTA(D957:E957)=0,"",N(D957)-N(E957))</f>
        <v/>
      </c>
      <c r="G957" s="19">
        <f>IFERROR(VLOOKUP($B957,'开奖记录'!$A:$K,2,FALSE),"")</f>
        <v/>
      </c>
      <c r="H957" s="19">
        <f>IFERROR(VLOOKUP($B957,'开奖记录'!$A:$K,9,FALSE),"")</f>
        <v/>
      </c>
      <c r="I957" s="19">
        <f>IFERROR(VLOOKUP($B957,'开奖记录'!$A:$K,11,FALSE),"")</f>
        <v/>
      </c>
      <c r="J957" s="19">
        <f>IF($B957="","",IF(ISNUMBER($D957),"命中",IF(ISNUMBER($E957),"未命中","")))</f>
        <v/>
      </c>
      <c r="K957" s="19" t="inlineStr"/>
      <c r="L957" s="19">
        <f>IFERROR(TEXT(VLOOKUP($B957-1,开奖记录!$A:$L,3,FALSE),"00")&amp;"+5="&amp;VLOOKUP(MOD(VLOOKUP($B957-1,开奖记录!$A:$L,3,FALSE)+4,49)+1,规律参数!$A:$C,3,FALSE),"")</f>
        <v/>
      </c>
      <c r="M957" s="19">
        <f>IF(L957="","",IF(I957="","待开奖",IF(ISNUMBER(SEARCH(I957,L957)),"命中","未命中")))</f>
        <v/>
      </c>
      <c r="N957" s="19">
        <f>IFERROR(VLOOKUP(VLOOKUP($B957-1,开奖记录!$A:$L,11,FALSE),八肖参数!$A:$B,2,FALSE),"")</f>
        <v/>
      </c>
      <c r="O957" s="19">
        <f>IF(N957="","",IF(I957="","待开奖",IF(ISNUMBER(SEARCH(I957,N957)),"命中","未命中")))</f>
        <v/>
      </c>
    </row>
    <row r="958">
      <c r="A958" s="19" t="n">
        <v>957</v>
      </c>
      <c r="B958" s="19">
        <f>IF(COUNTA(C958:E958)=0,"",B957+1)</f>
        <v/>
      </c>
      <c r="C958" s="19" t="inlineStr"/>
      <c r="D958" s="19" t="n"/>
      <c r="E958" s="19" t="n"/>
      <c r="F958" s="19">
        <f>IF(COUNTA(D958:E958)=0,"",N(D958)-N(E958))</f>
        <v/>
      </c>
      <c r="G958" s="19">
        <f>IFERROR(VLOOKUP($B958,'开奖记录'!$A:$K,2,FALSE),"")</f>
        <v/>
      </c>
      <c r="H958" s="19">
        <f>IFERROR(VLOOKUP($B958,'开奖记录'!$A:$K,9,FALSE),"")</f>
        <v/>
      </c>
      <c r="I958" s="19">
        <f>IFERROR(VLOOKUP($B958,'开奖记录'!$A:$K,11,FALSE),"")</f>
        <v/>
      </c>
      <c r="J958" s="19">
        <f>IF($B958="","",IF(ISNUMBER($D958),"命中",IF(ISNUMBER($E958),"未命中","")))</f>
        <v/>
      </c>
      <c r="K958" s="19" t="inlineStr"/>
      <c r="L958" s="19">
        <f>IFERROR(TEXT(VLOOKUP($B958-1,开奖记录!$A:$L,3,FALSE),"00")&amp;"+5="&amp;VLOOKUP(MOD(VLOOKUP($B958-1,开奖记录!$A:$L,3,FALSE)+4,49)+1,规律参数!$A:$C,3,FALSE),"")</f>
        <v/>
      </c>
      <c r="M958" s="19">
        <f>IF(L958="","",IF(I958="","待开奖",IF(ISNUMBER(SEARCH(I958,L958)),"命中","未命中")))</f>
        <v/>
      </c>
      <c r="N958" s="19">
        <f>IFERROR(VLOOKUP(VLOOKUP($B958-1,开奖记录!$A:$L,11,FALSE),八肖参数!$A:$B,2,FALSE),"")</f>
        <v/>
      </c>
      <c r="O958" s="19">
        <f>IF(N958="","",IF(I958="","待开奖",IF(ISNUMBER(SEARCH(I958,N958)),"命中","未命中")))</f>
        <v/>
      </c>
    </row>
    <row r="959">
      <c r="A959" s="19" t="n">
        <v>958</v>
      </c>
      <c r="B959" s="19">
        <f>IF(COUNTA(C959:E959)=0,"",B958+1)</f>
        <v/>
      </c>
      <c r="C959" s="19" t="inlineStr"/>
      <c r="D959" s="19" t="n"/>
      <c r="E959" s="19" t="n"/>
      <c r="F959" s="19">
        <f>IF(COUNTA(D959:E959)=0,"",N(D959)-N(E959))</f>
        <v/>
      </c>
      <c r="G959" s="19">
        <f>IFERROR(VLOOKUP($B959,'开奖记录'!$A:$K,2,FALSE),"")</f>
        <v/>
      </c>
      <c r="H959" s="19">
        <f>IFERROR(VLOOKUP($B959,'开奖记录'!$A:$K,9,FALSE),"")</f>
        <v/>
      </c>
      <c r="I959" s="19">
        <f>IFERROR(VLOOKUP($B959,'开奖记录'!$A:$K,11,FALSE),"")</f>
        <v/>
      </c>
      <c r="J959" s="19">
        <f>IF($B959="","",IF(ISNUMBER($D959),"命中",IF(ISNUMBER($E959),"未命中","")))</f>
        <v/>
      </c>
      <c r="K959" s="19" t="inlineStr"/>
      <c r="L959" s="19">
        <f>IFERROR(TEXT(VLOOKUP($B959-1,开奖记录!$A:$L,3,FALSE),"00")&amp;"+5="&amp;VLOOKUP(MOD(VLOOKUP($B959-1,开奖记录!$A:$L,3,FALSE)+4,49)+1,规律参数!$A:$C,3,FALSE),"")</f>
        <v/>
      </c>
      <c r="M959" s="19">
        <f>IF(L959="","",IF(I959="","待开奖",IF(ISNUMBER(SEARCH(I959,L959)),"命中","未命中")))</f>
        <v/>
      </c>
      <c r="N959" s="19">
        <f>IFERROR(VLOOKUP(VLOOKUP($B959-1,开奖记录!$A:$L,11,FALSE),八肖参数!$A:$B,2,FALSE),"")</f>
        <v/>
      </c>
      <c r="O959" s="19">
        <f>IF(N959="","",IF(I959="","待开奖",IF(ISNUMBER(SEARCH(I959,N959)),"命中","未命中")))</f>
        <v/>
      </c>
    </row>
    <row r="960">
      <c r="A960" s="19" t="n">
        <v>959</v>
      </c>
      <c r="B960" s="19">
        <f>IF(COUNTA(C960:E960)=0,"",B959+1)</f>
        <v/>
      </c>
      <c r="C960" s="19" t="inlineStr"/>
      <c r="D960" s="19" t="n"/>
      <c r="E960" s="19" t="n"/>
      <c r="F960" s="19">
        <f>IF(COUNTA(D960:E960)=0,"",N(D960)-N(E960))</f>
        <v/>
      </c>
      <c r="G960" s="19">
        <f>IFERROR(VLOOKUP($B960,'开奖记录'!$A:$K,2,FALSE),"")</f>
        <v/>
      </c>
      <c r="H960" s="19">
        <f>IFERROR(VLOOKUP($B960,'开奖记录'!$A:$K,9,FALSE),"")</f>
        <v/>
      </c>
      <c r="I960" s="19">
        <f>IFERROR(VLOOKUP($B960,'开奖记录'!$A:$K,11,FALSE),"")</f>
        <v/>
      </c>
      <c r="J960" s="19">
        <f>IF($B960="","",IF(ISNUMBER($D960),"命中",IF(ISNUMBER($E960),"未命中","")))</f>
        <v/>
      </c>
      <c r="K960" s="19" t="inlineStr"/>
      <c r="L960" s="19">
        <f>IFERROR(TEXT(VLOOKUP($B960-1,开奖记录!$A:$L,3,FALSE),"00")&amp;"+5="&amp;VLOOKUP(MOD(VLOOKUP($B960-1,开奖记录!$A:$L,3,FALSE)+4,49)+1,规律参数!$A:$C,3,FALSE),"")</f>
        <v/>
      </c>
      <c r="M960" s="19">
        <f>IF(L960="","",IF(I960="","待开奖",IF(ISNUMBER(SEARCH(I960,L960)),"命中","未命中")))</f>
        <v/>
      </c>
      <c r="N960" s="19">
        <f>IFERROR(VLOOKUP(VLOOKUP($B960-1,开奖记录!$A:$L,11,FALSE),八肖参数!$A:$B,2,FALSE),"")</f>
        <v/>
      </c>
      <c r="O960" s="19">
        <f>IF(N960="","",IF(I960="","待开奖",IF(ISNUMBER(SEARCH(I960,N960)),"命中","未命中")))</f>
        <v/>
      </c>
    </row>
    <row r="961">
      <c r="A961" s="19" t="n">
        <v>960</v>
      </c>
      <c r="B961" s="19">
        <f>IF(COUNTA(C961:E961)=0,"",B960+1)</f>
        <v/>
      </c>
      <c r="C961" s="19" t="inlineStr"/>
      <c r="D961" s="19" t="n"/>
      <c r="E961" s="19" t="n"/>
      <c r="F961" s="19">
        <f>IF(COUNTA(D961:E961)=0,"",N(D961)-N(E961))</f>
        <v/>
      </c>
      <c r="G961" s="19">
        <f>IFERROR(VLOOKUP($B961,'开奖记录'!$A:$K,2,FALSE),"")</f>
        <v/>
      </c>
      <c r="H961" s="19">
        <f>IFERROR(VLOOKUP($B961,'开奖记录'!$A:$K,9,FALSE),"")</f>
        <v/>
      </c>
      <c r="I961" s="19">
        <f>IFERROR(VLOOKUP($B961,'开奖记录'!$A:$K,11,FALSE),"")</f>
        <v/>
      </c>
      <c r="J961" s="19">
        <f>IF($B961="","",IF(ISNUMBER($D961),"命中",IF(ISNUMBER($E961),"未命中","")))</f>
        <v/>
      </c>
      <c r="K961" s="19" t="inlineStr"/>
      <c r="L961" s="19">
        <f>IFERROR(TEXT(VLOOKUP($B961-1,开奖记录!$A:$L,3,FALSE),"00")&amp;"+5="&amp;VLOOKUP(MOD(VLOOKUP($B961-1,开奖记录!$A:$L,3,FALSE)+4,49)+1,规律参数!$A:$C,3,FALSE),"")</f>
        <v/>
      </c>
      <c r="M961" s="19">
        <f>IF(L961="","",IF(I961="","待开奖",IF(ISNUMBER(SEARCH(I961,L961)),"命中","未命中")))</f>
        <v/>
      </c>
      <c r="N961" s="19">
        <f>IFERROR(VLOOKUP(VLOOKUP($B961-1,开奖记录!$A:$L,11,FALSE),八肖参数!$A:$B,2,FALSE),"")</f>
        <v/>
      </c>
      <c r="O961" s="19">
        <f>IF(N961="","",IF(I961="","待开奖",IF(ISNUMBER(SEARCH(I961,N961)),"命中","未命中")))</f>
        <v/>
      </c>
    </row>
    <row r="962">
      <c r="A962" s="19" t="n">
        <v>961</v>
      </c>
      <c r="B962" s="19">
        <f>IF(COUNTA(C962:E962)=0,"",B961+1)</f>
        <v/>
      </c>
      <c r="C962" s="19" t="inlineStr"/>
      <c r="D962" s="19" t="n"/>
      <c r="E962" s="19" t="n"/>
      <c r="F962" s="19">
        <f>IF(COUNTA(D962:E962)=0,"",N(D962)-N(E962))</f>
        <v/>
      </c>
      <c r="G962" s="19">
        <f>IFERROR(VLOOKUP($B962,'开奖记录'!$A:$K,2,FALSE),"")</f>
        <v/>
      </c>
      <c r="H962" s="19">
        <f>IFERROR(VLOOKUP($B962,'开奖记录'!$A:$K,9,FALSE),"")</f>
        <v/>
      </c>
      <c r="I962" s="19">
        <f>IFERROR(VLOOKUP($B962,'开奖记录'!$A:$K,11,FALSE),"")</f>
        <v/>
      </c>
      <c r="J962" s="19">
        <f>IF($B962="","",IF(ISNUMBER($D962),"命中",IF(ISNUMBER($E962),"未命中","")))</f>
        <v/>
      </c>
      <c r="K962" s="19" t="inlineStr"/>
      <c r="L962" s="19">
        <f>IFERROR(TEXT(VLOOKUP($B962-1,开奖记录!$A:$L,3,FALSE),"00")&amp;"+5="&amp;VLOOKUP(MOD(VLOOKUP($B962-1,开奖记录!$A:$L,3,FALSE)+4,49)+1,规律参数!$A:$C,3,FALSE),"")</f>
        <v/>
      </c>
      <c r="M962" s="19">
        <f>IF(L962="","",IF(I962="","待开奖",IF(ISNUMBER(SEARCH(I962,L962)),"命中","未命中")))</f>
        <v/>
      </c>
      <c r="N962" s="19">
        <f>IFERROR(VLOOKUP(VLOOKUP($B962-1,开奖记录!$A:$L,11,FALSE),八肖参数!$A:$B,2,FALSE),"")</f>
        <v/>
      </c>
      <c r="O962" s="19">
        <f>IF(N962="","",IF(I962="","待开奖",IF(ISNUMBER(SEARCH(I962,N962)),"命中","未命中")))</f>
        <v/>
      </c>
    </row>
    <row r="963">
      <c r="A963" s="19" t="n">
        <v>962</v>
      </c>
      <c r="B963" s="19">
        <f>IF(COUNTA(C963:E963)=0,"",B962+1)</f>
        <v/>
      </c>
      <c r="C963" s="19" t="inlineStr"/>
      <c r="D963" s="19" t="n"/>
      <c r="E963" s="19" t="n"/>
      <c r="F963" s="19">
        <f>IF(COUNTA(D963:E963)=0,"",N(D963)-N(E963))</f>
        <v/>
      </c>
      <c r="G963" s="19">
        <f>IFERROR(VLOOKUP($B963,'开奖记录'!$A:$K,2,FALSE),"")</f>
        <v/>
      </c>
      <c r="H963" s="19">
        <f>IFERROR(VLOOKUP($B963,'开奖记录'!$A:$K,9,FALSE),"")</f>
        <v/>
      </c>
      <c r="I963" s="19">
        <f>IFERROR(VLOOKUP($B963,'开奖记录'!$A:$K,11,FALSE),"")</f>
        <v/>
      </c>
      <c r="J963" s="19">
        <f>IF($B963="","",IF(ISNUMBER($D963),"命中",IF(ISNUMBER($E963),"未命中","")))</f>
        <v/>
      </c>
      <c r="K963" s="19" t="inlineStr"/>
      <c r="L963" s="19">
        <f>IFERROR(TEXT(VLOOKUP($B963-1,开奖记录!$A:$L,3,FALSE),"00")&amp;"+5="&amp;VLOOKUP(MOD(VLOOKUP($B963-1,开奖记录!$A:$L,3,FALSE)+4,49)+1,规律参数!$A:$C,3,FALSE),"")</f>
        <v/>
      </c>
      <c r="M963" s="19">
        <f>IF(L963="","",IF(I963="","待开奖",IF(ISNUMBER(SEARCH(I963,L963)),"命中","未命中")))</f>
        <v/>
      </c>
      <c r="N963" s="19">
        <f>IFERROR(VLOOKUP(VLOOKUP($B963-1,开奖记录!$A:$L,11,FALSE),八肖参数!$A:$B,2,FALSE),"")</f>
        <v/>
      </c>
      <c r="O963" s="19">
        <f>IF(N963="","",IF(I963="","待开奖",IF(ISNUMBER(SEARCH(I963,N963)),"命中","未命中")))</f>
        <v/>
      </c>
    </row>
    <row r="964">
      <c r="A964" s="19" t="n">
        <v>963</v>
      </c>
      <c r="B964" s="19">
        <f>IF(COUNTA(C964:E964)=0,"",B963+1)</f>
        <v/>
      </c>
      <c r="C964" s="19" t="inlineStr"/>
      <c r="D964" s="19" t="n"/>
      <c r="E964" s="19" t="n"/>
      <c r="F964" s="19">
        <f>IF(COUNTA(D964:E964)=0,"",N(D964)-N(E964))</f>
        <v/>
      </c>
      <c r="G964" s="19">
        <f>IFERROR(VLOOKUP($B964,'开奖记录'!$A:$K,2,FALSE),"")</f>
        <v/>
      </c>
      <c r="H964" s="19">
        <f>IFERROR(VLOOKUP($B964,'开奖记录'!$A:$K,9,FALSE),"")</f>
        <v/>
      </c>
      <c r="I964" s="19">
        <f>IFERROR(VLOOKUP($B964,'开奖记录'!$A:$K,11,FALSE),"")</f>
        <v/>
      </c>
      <c r="J964" s="19">
        <f>IF($B964="","",IF(ISNUMBER($D964),"命中",IF(ISNUMBER($E964),"未命中","")))</f>
        <v/>
      </c>
      <c r="K964" s="19" t="inlineStr"/>
      <c r="L964" s="19">
        <f>IFERROR(TEXT(VLOOKUP($B964-1,开奖记录!$A:$L,3,FALSE),"00")&amp;"+5="&amp;VLOOKUP(MOD(VLOOKUP($B964-1,开奖记录!$A:$L,3,FALSE)+4,49)+1,规律参数!$A:$C,3,FALSE),"")</f>
        <v/>
      </c>
      <c r="M964" s="19">
        <f>IF(L964="","",IF(I964="","待开奖",IF(ISNUMBER(SEARCH(I964,L964)),"命中","未命中")))</f>
        <v/>
      </c>
      <c r="N964" s="19">
        <f>IFERROR(VLOOKUP(VLOOKUP($B964-1,开奖记录!$A:$L,11,FALSE),八肖参数!$A:$B,2,FALSE),"")</f>
        <v/>
      </c>
      <c r="O964" s="19">
        <f>IF(N964="","",IF(I964="","待开奖",IF(ISNUMBER(SEARCH(I964,N964)),"命中","未命中")))</f>
        <v/>
      </c>
    </row>
    <row r="965">
      <c r="A965" s="19" t="n">
        <v>964</v>
      </c>
      <c r="B965" s="19">
        <f>IF(COUNTA(C965:E965)=0,"",B964+1)</f>
        <v/>
      </c>
      <c r="C965" s="19" t="inlineStr"/>
      <c r="D965" s="19" t="n"/>
      <c r="E965" s="19" t="n"/>
      <c r="F965" s="19">
        <f>IF(COUNTA(D965:E965)=0,"",N(D965)-N(E965))</f>
        <v/>
      </c>
      <c r="G965" s="19">
        <f>IFERROR(VLOOKUP($B965,'开奖记录'!$A:$K,2,FALSE),"")</f>
        <v/>
      </c>
      <c r="H965" s="19">
        <f>IFERROR(VLOOKUP($B965,'开奖记录'!$A:$K,9,FALSE),"")</f>
        <v/>
      </c>
      <c r="I965" s="19">
        <f>IFERROR(VLOOKUP($B965,'开奖记录'!$A:$K,11,FALSE),"")</f>
        <v/>
      </c>
      <c r="J965" s="19">
        <f>IF($B965="","",IF(ISNUMBER($D965),"命中",IF(ISNUMBER($E965),"未命中","")))</f>
        <v/>
      </c>
      <c r="K965" s="19" t="inlineStr"/>
      <c r="L965" s="19">
        <f>IFERROR(TEXT(VLOOKUP($B965-1,开奖记录!$A:$L,3,FALSE),"00")&amp;"+5="&amp;VLOOKUP(MOD(VLOOKUP($B965-1,开奖记录!$A:$L,3,FALSE)+4,49)+1,规律参数!$A:$C,3,FALSE),"")</f>
        <v/>
      </c>
      <c r="M965" s="19">
        <f>IF(L965="","",IF(I965="","待开奖",IF(ISNUMBER(SEARCH(I965,L965)),"命中","未命中")))</f>
        <v/>
      </c>
      <c r="N965" s="19">
        <f>IFERROR(VLOOKUP(VLOOKUP($B965-1,开奖记录!$A:$L,11,FALSE),八肖参数!$A:$B,2,FALSE),"")</f>
        <v/>
      </c>
      <c r="O965" s="19">
        <f>IF(N965="","",IF(I965="","待开奖",IF(ISNUMBER(SEARCH(I965,N965)),"命中","未命中")))</f>
        <v/>
      </c>
    </row>
    <row r="966">
      <c r="A966" s="19" t="n">
        <v>965</v>
      </c>
      <c r="B966" s="19">
        <f>IF(COUNTA(C966:E966)=0,"",B965+1)</f>
        <v/>
      </c>
      <c r="C966" s="19" t="inlineStr"/>
      <c r="D966" s="19" t="n"/>
      <c r="E966" s="19" t="n"/>
      <c r="F966" s="19">
        <f>IF(COUNTA(D966:E966)=0,"",N(D966)-N(E966))</f>
        <v/>
      </c>
      <c r="G966" s="19">
        <f>IFERROR(VLOOKUP($B966,'开奖记录'!$A:$K,2,FALSE),"")</f>
        <v/>
      </c>
      <c r="H966" s="19">
        <f>IFERROR(VLOOKUP($B966,'开奖记录'!$A:$K,9,FALSE),"")</f>
        <v/>
      </c>
      <c r="I966" s="19">
        <f>IFERROR(VLOOKUP($B966,'开奖记录'!$A:$K,11,FALSE),"")</f>
        <v/>
      </c>
      <c r="J966" s="19">
        <f>IF($B966="","",IF(ISNUMBER($D966),"命中",IF(ISNUMBER($E966),"未命中","")))</f>
        <v/>
      </c>
      <c r="K966" s="19" t="inlineStr"/>
      <c r="L966" s="19">
        <f>IFERROR(TEXT(VLOOKUP($B966-1,开奖记录!$A:$L,3,FALSE),"00")&amp;"+5="&amp;VLOOKUP(MOD(VLOOKUP($B966-1,开奖记录!$A:$L,3,FALSE)+4,49)+1,规律参数!$A:$C,3,FALSE),"")</f>
        <v/>
      </c>
      <c r="M966" s="19">
        <f>IF(L966="","",IF(I966="","待开奖",IF(ISNUMBER(SEARCH(I966,L966)),"命中","未命中")))</f>
        <v/>
      </c>
      <c r="N966" s="19">
        <f>IFERROR(VLOOKUP(VLOOKUP($B966-1,开奖记录!$A:$L,11,FALSE),八肖参数!$A:$B,2,FALSE),"")</f>
        <v/>
      </c>
      <c r="O966" s="19">
        <f>IF(N966="","",IF(I966="","待开奖",IF(ISNUMBER(SEARCH(I966,N966)),"命中","未命中")))</f>
        <v/>
      </c>
    </row>
    <row r="967">
      <c r="A967" s="19" t="n">
        <v>966</v>
      </c>
      <c r="B967" s="19">
        <f>IF(COUNTA(C967:E967)=0,"",B966+1)</f>
        <v/>
      </c>
      <c r="C967" s="19" t="inlineStr"/>
      <c r="D967" s="19" t="n"/>
      <c r="E967" s="19" t="n"/>
      <c r="F967" s="19">
        <f>IF(COUNTA(D967:E967)=0,"",N(D967)-N(E967))</f>
        <v/>
      </c>
      <c r="G967" s="19">
        <f>IFERROR(VLOOKUP($B967,'开奖记录'!$A:$K,2,FALSE),"")</f>
        <v/>
      </c>
      <c r="H967" s="19">
        <f>IFERROR(VLOOKUP($B967,'开奖记录'!$A:$K,9,FALSE),"")</f>
        <v/>
      </c>
      <c r="I967" s="19">
        <f>IFERROR(VLOOKUP($B967,'开奖记录'!$A:$K,11,FALSE),"")</f>
        <v/>
      </c>
      <c r="J967" s="19">
        <f>IF($B967="","",IF(ISNUMBER($D967),"命中",IF(ISNUMBER($E967),"未命中","")))</f>
        <v/>
      </c>
      <c r="K967" s="19" t="inlineStr"/>
      <c r="L967" s="19">
        <f>IFERROR(TEXT(VLOOKUP($B967-1,开奖记录!$A:$L,3,FALSE),"00")&amp;"+5="&amp;VLOOKUP(MOD(VLOOKUP($B967-1,开奖记录!$A:$L,3,FALSE)+4,49)+1,规律参数!$A:$C,3,FALSE),"")</f>
        <v/>
      </c>
      <c r="M967" s="19">
        <f>IF(L967="","",IF(I967="","待开奖",IF(ISNUMBER(SEARCH(I967,L967)),"命中","未命中")))</f>
        <v/>
      </c>
      <c r="N967" s="19">
        <f>IFERROR(VLOOKUP(VLOOKUP($B967-1,开奖记录!$A:$L,11,FALSE),八肖参数!$A:$B,2,FALSE),"")</f>
        <v/>
      </c>
      <c r="O967" s="19">
        <f>IF(N967="","",IF(I967="","待开奖",IF(ISNUMBER(SEARCH(I967,N967)),"命中","未命中")))</f>
        <v/>
      </c>
    </row>
    <row r="968">
      <c r="A968" s="19" t="n">
        <v>967</v>
      </c>
      <c r="B968" s="19">
        <f>IF(COUNTA(C968:E968)=0,"",B967+1)</f>
        <v/>
      </c>
      <c r="C968" s="19" t="inlineStr"/>
      <c r="D968" s="19" t="n"/>
      <c r="E968" s="19" t="n"/>
      <c r="F968" s="19">
        <f>IF(COUNTA(D968:E968)=0,"",N(D968)-N(E968))</f>
        <v/>
      </c>
      <c r="G968" s="19">
        <f>IFERROR(VLOOKUP($B968,'开奖记录'!$A:$K,2,FALSE),"")</f>
        <v/>
      </c>
      <c r="H968" s="19">
        <f>IFERROR(VLOOKUP($B968,'开奖记录'!$A:$K,9,FALSE),"")</f>
        <v/>
      </c>
      <c r="I968" s="19">
        <f>IFERROR(VLOOKUP($B968,'开奖记录'!$A:$K,11,FALSE),"")</f>
        <v/>
      </c>
      <c r="J968" s="19">
        <f>IF($B968="","",IF(ISNUMBER($D968),"命中",IF(ISNUMBER($E968),"未命中","")))</f>
        <v/>
      </c>
      <c r="K968" s="19" t="inlineStr"/>
      <c r="L968" s="19">
        <f>IFERROR(TEXT(VLOOKUP($B968-1,开奖记录!$A:$L,3,FALSE),"00")&amp;"+5="&amp;VLOOKUP(MOD(VLOOKUP($B968-1,开奖记录!$A:$L,3,FALSE)+4,49)+1,规律参数!$A:$C,3,FALSE),"")</f>
        <v/>
      </c>
      <c r="M968" s="19">
        <f>IF(L968="","",IF(I968="","待开奖",IF(ISNUMBER(SEARCH(I968,L968)),"命中","未命中")))</f>
        <v/>
      </c>
      <c r="N968" s="19">
        <f>IFERROR(VLOOKUP(VLOOKUP($B968-1,开奖记录!$A:$L,11,FALSE),八肖参数!$A:$B,2,FALSE),"")</f>
        <v/>
      </c>
      <c r="O968" s="19">
        <f>IF(N968="","",IF(I968="","待开奖",IF(ISNUMBER(SEARCH(I968,N968)),"命中","未命中")))</f>
        <v/>
      </c>
    </row>
    <row r="969">
      <c r="A969" s="19" t="n">
        <v>968</v>
      </c>
      <c r="B969" s="19">
        <f>IF(COUNTA(C969:E969)=0,"",B968+1)</f>
        <v/>
      </c>
      <c r="C969" s="19" t="inlineStr"/>
      <c r="D969" s="19" t="n"/>
      <c r="E969" s="19" t="n"/>
      <c r="F969" s="19">
        <f>IF(COUNTA(D969:E969)=0,"",N(D969)-N(E969))</f>
        <v/>
      </c>
      <c r="G969" s="19">
        <f>IFERROR(VLOOKUP($B969,'开奖记录'!$A:$K,2,FALSE),"")</f>
        <v/>
      </c>
      <c r="H969" s="19">
        <f>IFERROR(VLOOKUP($B969,'开奖记录'!$A:$K,9,FALSE),"")</f>
        <v/>
      </c>
      <c r="I969" s="19">
        <f>IFERROR(VLOOKUP($B969,'开奖记录'!$A:$K,11,FALSE),"")</f>
        <v/>
      </c>
      <c r="J969" s="19">
        <f>IF($B969="","",IF(ISNUMBER($D969),"命中",IF(ISNUMBER($E969),"未命中","")))</f>
        <v/>
      </c>
      <c r="K969" s="19" t="inlineStr"/>
      <c r="L969" s="19">
        <f>IFERROR(TEXT(VLOOKUP($B969-1,开奖记录!$A:$L,3,FALSE),"00")&amp;"+5="&amp;VLOOKUP(MOD(VLOOKUP($B969-1,开奖记录!$A:$L,3,FALSE)+4,49)+1,规律参数!$A:$C,3,FALSE),"")</f>
        <v/>
      </c>
      <c r="M969" s="19">
        <f>IF(L969="","",IF(I969="","待开奖",IF(ISNUMBER(SEARCH(I969,L969)),"命中","未命中")))</f>
        <v/>
      </c>
      <c r="N969" s="19">
        <f>IFERROR(VLOOKUP(VLOOKUP($B969-1,开奖记录!$A:$L,11,FALSE),八肖参数!$A:$B,2,FALSE),"")</f>
        <v/>
      </c>
      <c r="O969" s="19">
        <f>IF(N969="","",IF(I969="","待开奖",IF(ISNUMBER(SEARCH(I969,N969)),"命中","未命中")))</f>
        <v/>
      </c>
    </row>
    <row r="970">
      <c r="A970" s="19" t="n">
        <v>969</v>
      </c>
      <c r="B970" s="19">
        <f>IF(COUNTA(C970:E970)=0,"",B969+1)</f>
        <v/>
      </c>
      <c r="C970" s="19" t="inlineStr"/>
      <c r="D970" s="19" t="n"/>
      <c r="E970" s="19" t="n"/>
      <c r="F970" s="19">
        <f>IF(COUNTA(D970:E970)=0,"",N(D970)-N(E970))</f>
        <v/>
      </c>
      <c r="G970" s="19">
        <f>IFERROR(VLOOKUP($B970,'开奖记录'!$A:$K,2,FALSE),"")</f>
        <v/>
      </c>
      <c r="H970" s="19">
        <f>IFERROR(VLOOKUP($B970,'开奖记录'!$A:$K,9,FALSE),"")</f>
        <v/>
      </c>
      <c r="I970" s="19">
        <f>IFERROR(VLOOKUP($B970,'开奖记录'!$A:$K,11,FALSE),"")</f>
        <v/>
      </c>
      <c r="J970" s="19">
        <f>IF($B970="","",IF(ISNUMBER($D970),"命中",IF(ISNUMBER($E970),"未命中","")))</f>
        <v/>
      </c>
      <c r="K970" s="19" t="inlineStr"/>
      <c r="L970" s="19">
        <f>IFERROR(TEXT(VLOOKUP($B970-1,开奖记录!$A:$L,3,FALSE),"00")&amp;"+5="&amp;VLOOKUP(MOD(VLOOKUP($B970-1,开奖记录!$A:$L,3,FALSE)+4,49)+1,规律参数!$A:$C,3,FALSE),"")</f>
        <v/>
      </c>
      <c r="M970" s="19">
        <f>IF(L970="","",IF(I970="","待开奖",IF(ISNUMBER(SEARCH(I970,L970)),"命中","未命中")))</f>
        <v/>
      </c>
      <c r="N970" s="19">
        <f>IFERROR(VLOOKUP(VLOOKUP($B970-1,开奖记录!$A:$L,11,FALSE),八肖参数!$A:$B,2,FALSE),"")</f>
        <v/>
      </c>
      <c r="O970" s="19">
        <f>IF(N970="","",IF(I970="","待开奖",IF(ISNUMBER(SEARCH(I970,N970)),"命中","未命中")))</f>
        <v/>
      </c>
    </row>
    <row r="971">
      <c r="A971" s="19" t="n">
        <v>970</v>
      </c>
      <c r="B971" s="19">
        <f>IF(COUNTA(C971:E971)=0,"",B970+1)</f>
        <v/>
      </c>
      <c r="C971" s="19" t="inlineStr"/>
      <c r="D971" s="19" t="n"/>
      <c r="E971" s="19" t="n"/>
      <c r="F971" s="19">
        <f>IF(COUNTA(D971:E971)=0,"",N(D971)-N(E971))</f>
        <v/>
      </c>
      <c r="G971" s="19">
        <f>IFERROR(VLOOKUP($B971,'开奖记录'!$A:$K,2,FALSE),"")</f>
        <v/>
      </c>
      <c r="H971" s="19">
        <f>IFERROR(VLOOKUP($B971,'开奖记录'!$A:$K,9,FALSE),"")</f>
        <v/>
      </c>
      <c r="I971" s="19">
        <f>IFERROR(VLOOKUP($B971,'开奖记录'!$A:$K,11,FALSE),"")</f>
        <v/>
      </c>
      <c r="J971" s="19">
        <f>IF($B971="","",IF(ISNUMBER($D971),"命中",IF(ISNUMBER($E971),"未命中","")))</f>
        <v/>
      </c>
      <c r="K971" s="19" t="inlineStr"/>
      <c r="L971" s="19">
        <f>IFERROR(TEXT(VLOOKUP($B971-1,开奖记录!$A:$L,3,FALSE),"00")&amp;"+5="&amp;VLOOKUP(MOD(VLOOKUP($B971-1,开奖记录!$A:$L,3,FALSE)+4,49)+1,规律参数!$A:$C,3,FALSE),"")</f>
        <v/>
      </c>
      <c r="M971" s="19">
        <f>IF(L971="","",IF(I971="","待开奖",IF(ISNUMBER(SEARCH(I971,L971)),"命中","未命中")))</f>
        <v/>
      </c>
      <c r="N971" s="19">
        <f>IFERROR(VLOOKUP(VLOOKUP($B971-1,开奖记录!$A:$L,11,FALSE),八肖参数!$A:$B,2,FALSE),"")</f>
        <v/>
      </c>
      <c r="O971" s="19">
        <f>IF(N971="","",IF(I971="","待开奖",IF(ISNUMBER(SEARCH(I971,N971)),"命中","未命中")))</f>
        <v/>
      </c>
    </row>
    <row r="972">
      <c r="A972" s="19" t="n">
        <v>971</v>
      </c>
      <c r="B972" s="19">
        <f>IF(COUNTA(C972:E972)=0,"",B971+1)</f>
        <v/>
      </c>
      <c r="C972" s="19" t="inlineStr"/>
      <c r="D972" s="19" t="n"/>
      <c r="E972" s="19" t="n"/>
      <c r="F972" s="19">
        <f>IF(COUNTA(D972:E972)=0,"",N(D972)-N(E972))</f>
        <v/>
      </c>
      <c r="G972" s="19">
        <f>IFERROR(VLOOKUP($B972,'开奖记录'!$A:$K,2,FALSE),"")</f>
        <v/>
      </c>
      <c r="H972" s="19">
        <f>IFERROR(VLOOKUP($B972,'开奖记录'!$A:$K,9,FALSE),"")</f>
        <v/>
      </c>
      <c r="I972" s="19">
        <f>IFERROR(VLOOKUP($B972,'开奖记录'!$A:$K,11,FALSE),"")</f>
        <v/>
      </c>
      <c r="J972" s="19">
        <f>IF($B972="","",IF(ISNUMBER($D972),"命中",IF(ISNUMBER($E972),"未命中","")))</f>
        <v/>
      </c>
      <c r="K972" s="19" t="inlineStr"/>
      <c r="L972" s="19">
        <f>IFERROR(TEXT(VLOOKUP($B972-1,开奖记录!$A:$L,3,FALSE),"00")&amp;"+5="&amp;VLOOKUP(MOD(VLOOKUP($B972-1,开奖记录!$A:$L,3,FALSE)+4,49)+1,规律参数!$A:$C,3,FALSE),"")</f>
        <v/>
      </c>
      <c r="M972" s="19">
        <f>IF(L972="","",IF(I972="","待开奖",IF(ISNUMBER(SEARCH(I972,L972)),"命中","未命中")))</f>
        <v/>
      </c>
      <c r="N972" s="19">
        <f>IFERROR(VLOOKUP(VLOOKUP($B972-1,开奖记录!$A:$L,11,FALSE),八肖参数!$A:$B,2,FALSE),"")</f>
        <v/>
      </c>
      <c r="O972" s="19">
        <f>IF(N972="","",IF(I972="","待开奖",IF(ISNUMBER(SEARCH(I972,N972)),"命中","未命中")))</f>
        <v/>
      </c>
    </row>
    <row r="973">
      <c r="A973" s="19" t="n">
        <v>972</v>
      </c>
      <c r="B973" s="19">
        <f>IF(COUNTA(C973:E973)=0,"",B972+1)</f>
        <v/>
      </c>
      <c r="C973" s="19" t="inlineStr"/>
      <c r="D973" s="19" t="n"/>
      <c r="E973" s="19" t="n"/>
      <c r="F973" s="19">
        <f>IF(COUNTA(D973:E973)=0,"",N(D973)-N(E973))</f>
        <v/>
      </c>
      <c r="G973" s="19">
        <f>IFERROR(VLOOKUP($B973,'开奖记录'!$A:$K,2,FALSE),"")</f>
        <v/>
      </c>
      <c r="H973" s="19">
        <f>IFERROR(VLOOKUP($B973,'开奖记录'!$A:$K,9,FALSE),"")</f>
        <v/>
      </c>
      <c r="I973" s="19">
        <f>IFERROR(VLOOKUP($B973,'开奖记录'!$A:$K,11,FALSE),"")</f>
        <v/>
      </c>
      <c r="J973" s="19">
        <f>IF($B973="","",IF(ISNUMBER($D973),"命中",IF(ISNUMBER($E973),"未命中","")))</f>
        <v/>
      </c>
      <c r="K973" s="19" t="inlineStr"/>
      <c r="L973" s="19">
        <f>IFERROR(TEXT(VLOOKUP($B973-1,开奖记录!$A:$L,3,FALSE),"00")&amp;"+5="&amp;VLOOKUP(MOD(VLOOKUP($B973-1,开奖记录!$A:$L,3,FALSE)+4,49)+1,规律参数!$A:$C,3,FALSE),"")</f>
        <v/>
      </c>
      <c r="M973" s="19">
        <f>IF(L973="","",IF(I973="","待开奖",IF(ISNUMBER(SEARCH(I973,L973)),"命中","未命中")))</f>
        <v/>
      </c>
      <c r="N973" s="19">
        <f>IFERROR(VLOOKUP(VLOOKUP($B973-1,开奖记录!$A:$L,11,FALSE),八肖参数!$A:$B,2,FALSE),"")</f>
        <v/>
      </c>
      <c r="O973" s="19">
        <f>IF(N973="","",IF(I973="","待开奖",IF(ISNUMBER(SEARCH(I973,N973)),"命中","未命中")))</f>
        <v/>
      </c>
    </row>
    <row r="974">
      <c r="A974" s="19" t="n">
        <v>973</v>
      </c>
      <c r="B974" s="19">
        <f>IF(COUNTA(C974:E974)=0,"",B973+1)</f>
        <v/>
      </c>
      <c r="C974" s="19" t="inlineStr"/>
      <c r="D974" s="19" t="n"/>
      <c r="E974" s="19" t="n"/>
      <c r="F974" s="19">
        <f>IF(COUNTA(D974:E974)=0,"",N(D974)-N(E974))</f>
        <v/>
      </c>
      <c r="G974" s="19">
        <f>IFERROR(VLOOKUP($B974,'开奖记录'!$A:$K,2,FALSE),"")</f>
        <v/>
      </c>
      <c r="H974" s="19">
        <f>IFERROR(VLOOKUP($B974,'开奖记录'!$A:$K,9,FALSE),"")</f>
        <v/>
      </c>
      <c r="I974" s="19">
        <f>IFERROR(VLOOKUP($B974,'开奖记录'!$A:$K,11,FALSE),"")</f>
        <v/>
      </c>
      <c r="J974" s="19">
        <f>IF($B974="","",IF(ISNUMBER($D974),"命中",IF(ISNUMBER($E974),"未命中","")))</f>
        <v/>
      </c>
      <c r="K974" s="19" t="inlineStr"/>
      <c r="L974" s="19">
        <f>IFERROR(TEXT(VLOOKUP($B974-1,开奖记录!$A:$L,3,FALSE),"00")&amp;"+5="&amp;VLOOKUP(MOD(VLOOKUP($B974-1,开奖记录!$A:$L,3,FALSE)+4,49)+1,规律参数!$A:$C,3,FALSE),"")</f>
        <v/>
      </c>
      <c r="M974" s="19">
        <f>IF(L974="","",IF(I974="","待开奖",IF(ISNUMBER(SEARCH(I974,L974)),"命中","未命中")))</f>
        <v/>
      </c>
      <c r="N974" s="19">
        <f>IFERROR(VLOOKUP(VLOOKUP($B974-1,开奖记录!$A:$L,11,FALSE),八肖参数!$A:$B,2,FALSE),"")</f>
        <v/>
      </c>
      <c r="O974" s="19">
        <f>IF(N974="","",IF(I974="","待开奖",IF(ISNUMBER(SEARCH(I974,N974)),"命中","未命中")))</f>
        <v/>
      </c>
    </row>
    <row r="975">
      <c r="A975" s="19" t="n">
        <v>974</v>
      </c>
      <c r="B975" s="19">
        <f>IF(COUNTA(C975:E975)=0,"",B974+1)</f>
        <v/>
      </c>
      <c r="C975" s="19" t="inlineStr"/>
      <c r="D975" s="19" t="n"/>
      <c r="E975" s="19" t="n"/>
      <c r="F975" s="19">
        <f>IF(COUNTA(D975:E975)=0,"",N(D975)-N(E975))</f>
        <v/>
      </c>
      <c r="G975" s="19">
        <f>IFERROR(VLOOKUP($B975,'开奖记录'!$A:$K,2,FALSE),"")</f>
        <v/>
      </c>
      <c r="H975" s="19">
        <f>IFERROR(VLOOKUP($B975,'开奖记录'!$A:$K,9,FALSE),"")</f>
        <v/>
      </c>
      <c r="I975" s="19">
        <f>IFERROR(VLOOKUP($B975,'开奖记录'!$A:$K,11,FALSE),"")</f>
        <v/>
      </c>
      <c r="J975" s="19">
        <f>IF($B975="","",IF(ISNUMBER($D975),"命中",IF(ISNUMBER($E975),"未命中","")))</f>
        <v/>
      </c>
      <c r="K975" s="19" t="inlineStr"/>
      <c r="L975" s="19">
        <f>IFERROR(TEXT(VLOOKUP($B975-1,开奖记录!$A:$L,3,FALSE),"00")&amp;"+5="&amp;VLOOKUP(MOD(VLOOKUP($B975-1,开奖记录!$A:$L,3,FALSE)+4,49)+1,规律参数!$A:$C,3,FALSE),"")</f>
        <v/>
      </c>
      <c r="M975" s="19">
        <f>IF(L975="","",IF(I975="","待开奖",IF(ISNUMBER(SEARCH(I975,L975)),"命中","未命中")))</f>
        <v/>
      </c>
      <c r="N975" s="19">
        <f>IFERROR(VLOOKUP(VLOOKUP($B975-1,开奖记录!$A:$L,11,FALSE),八肖参数!$A:$B,2,FALSE),"")</f>
        <v/>
      </c>
      <c r="O975" s="19">
        <f>IF(N975="","",IF(I975="","待开奖",IF(ISNUMBER(SEARCH(I975,N975)),"命中","未命中")))</f>
        <v/>
      </c>
    </row>
    <row r="976">
      <c r="A976" s="19" t="n">
        <v>975</v>
      </c>
      <c r="B976" s="19">
        <f>IF(COUNTA(C976:E976)=0,"",B975+1)</f>
        <v/>
      </c>
      <c r="C976" s="19" t="inlineStr"/>
      <c r="D976" s="19" t="n"/>
      <c r="E976" s="19" t="n"/>
      <c r="F976" s="19">
        <f>IF(COUNTA(D976:E976)=0,"",N(D976)-N(E976))</f>
        <v/>
      </c>
      <c r="G976" s="19">
        <f>IFERROR(VLOOKUP($B976,'开奖记录'!$A:$K,2,FALSE),"")</f>
        <v/>
      </c>
      <c r="H976" s="19">
        <f>IFERROR(VLOOKUP($B976,'开奖记录'!$A:$K,9,FALSE),"")</f>
        <v/>
      </c>
      <c r="I976" s="19">
        <f>IFERROR(VLOOKUP($B976,'开奖记录'!$A:$K,11,FALSE),"")</f>
        <v/>
      </c>
      <c r="J976" s="19">
        <f>IF($B976="","",IF(ISNUMBER($D976),"命中",IF(ISNUMBER($E976),"未命中","")))</f>
        <v/>
      </c>
      <c r="K976" s="19" t="inlineStr"/>
      <c r="L976" s="19">
        <f>IFERROR(TEXT(VLOOKUP($B976-1,开奖记录!$A:$L,3,FALSE),"00")&amp;"+5="&amp;VLOOKUP(MOD(VLOOKUP($B976-1,开奖记录!$A:$L,3,FALSE)+4,49)+1,规律参数!$A:$C,3,FALSE),"")</f>
        <v/>
      </c>
      <c r="M976" s="19">
        <f>IF(L976="","",IF(I976="","待开奖",IF(ISNUMBER(SEARCH(I976,L976)),"命中","未命中")))</f>
        <v/>
      </c>
      <c r="N976" s="19">
        <f>IFERROR(VLOOKUP(VLOOKUP($B976-1,开奖记录!$A:$L,11,FALSE),八肖参数!$A:$B,2,FALSE),"")</f>
        <v/>
      </c>
      <c r="O976" s="19">
        <f>IF(N976="","",IF(I976="","待开奖",IF(ISNUMBER(SEARCH(I976,N976)),"命中","未命中")))</f>
        <v/>
      </c>
    </row>
    <row r="977">
      <c r="A977" s="19" t="n">
        <v>976</v>
      </c>
      <c r="B977" s="19">
        <f>IF(COUNTA(C977:E977)=0,"",B976+1)</f>
        <v/>
      </c>
      <c r="C977" s="19" t="inlineStr"/>
      <c r="D977" s="19" t="n"/>
      <c r="E977" s="19" t="n"/>
      <c r="F977" s="19">
        <f>IF(COUNTA(D977:E977)=0,"",N(D977)-N(E977))</f>
        <v/>
      </c>
      <c r="G977" s="19">
        <f>IFERROR(VLOOKUP($B977,'开奖记录'!$A:$K,2,FALSE),"")</f>
        <v/>
      </c>
      <c r="H977" s="19">
        <f>IFERROR(VLOOKUP($B977,'开奖记录'!$A:$K,9,FALSE),"")</f>
        <v/>
      </c>
      <c r="I977" s="19">
        <f>IFERROR(VLOOKUP($B977,'开奖记录'!$A:$K,11,FALSE),"")</f>
        <v/>
      </c>
      <c r="J977" s="19">
        <f>IF($B977="","",IF(ISNUMBER($D977),"命中",IF(ISNUMBER($E977),"未命中","")))</f>
        <v/>
      </c>
      <c r="K977" s="19" t="inlineStr"/>
      <c r="L977" s="19">
        <f>IFERROR(TEXT(VLOOKUP($B977-1,开奖记录!$A:$L,3,FALSE),"00")&amp;"+5="&amp;VLOOKUP(MOD(VLOOKUP($B977-1,开奖记录!$A:$L,3,FALSE)+4,49)+1,规律参数!$A:$C,3,FALSE),"")</f>
        <v/>
      </c>
      <c r="M977" s="19">
        <f>IF(L977="","",IF(I977="","待开奖",IF(ISNUMBER(SEARCH(I977,L977)),"命中","未命中")))</f>
        <v/>
      </c>
      <c r="N977" s="19">
        <f>IFERROR(VLOOKUP(VLOOKUP($B977-1,开奖记录!$A:$L,11,FALSE),八肖参数!$A:$B,2,FALSE),"")</f>
        <v/>
      </c>
      <c r="O977" s="19">
        <f>IF(N977="","",IF(I977="","待开奖",IF(ISNUMBER(SEARCH(I977,N977)),"命中","未命中")))</f>
        <v/>
      </c>
    </row>
    <row r="978">
      <c r="A978" s="19" t="n">
        <v>977</v>
      </c>
      <c r="B978" s="19">
        <f>IF(COUNTA(C978:E978)=0,"",B977+1)</f>
        <v/>
      </c>
      <c r="C978" s="19" t="inlineStr"/>
      <c r="D978" s="19" t="n"/>
      <c r="E978" s="19" t="n"/>
      <c r="F978" s="19">
        <f>IF(COUNTA(D978:E978)=0,"",N(D978)-N(E978))</f>
        <v/>
      </c>
      <c r="G978" s="19">
        <f>IFERROR(VLOOKUP($B978,'开奖记录'!$A:$K,2,FALSE),"")</f>
        <v/>
      </c>
      <c r="H978" s="19">
        <f>IFERROR(VLOOKUP($B978,'开奖记录'!$A:$K,9,FALSE),"")</f>
        <v/>
      </c>
      <c r="I978" s="19">
        <f>IFERROR(VLOOKUP($B978,'开奖记录'!$A:$K,11,FALSE),"")</f>
        <v/>
      </c>
      <c r="J978" s="19">
        <f>IF($B978="","",IF(ISNUMBER($D978),"命中",IF(ISNUMBER($E978),"未命中","")))</f>
        <v/>
      </c>
      <c r="K978" s="19" t="inlineStr"/>
      <c r="L978" s="19">
        <f>IFERROR(TEXT(VLOOKUP($B978-1,开奖记录!$A:$L,3,FALSE),"00")&amp;"+5="&amp;VLOOKUP(MOD(VLOOKUP($B978-1,开奖记录!$A:$L,3,FALSE)+4,49)+1,规律参数!$A:$C,3,FALSE),"")</f>
        <v/>
      </c>
      <c r="M978" s="19">
        <f>IF(L978="","",IF(I978="","待开奖",IF(ISNUMBER(SEARCH(I978,L978)),"命中","未命中")))</f>
        <v/>
      </c>
      <c r="N978" s="19">
        <f>IFERROR(VLOOKUP(VLOOKUP($B978-1,开奖记录!$A:$L,11,FALSE),八肖参数!$A:$B,2,FALSE),"")</f>
        <v/>
      </c>
      <c r="O978" s="19">
        <f>IF(N978="","",IF(I978="","待开奖",IF(ISNUMBER(SEARCH(I978,N978)),"命中","未命中")))</f>
        <v/>
      </c>
    </row>
    <row r="979">
      <c r="A979" s="19" t="n">
        <v>978</v>
      </c>
      <c r="B979" s="19">
        <f>IF(COUNTA(C979:E979)=0,"",B978+1)</f>
        <v/>
      </c>
      <c r="C979" s="19" t="inlineStr"/>
      <c r="D979" s="19" t="n"/>
      <c r="E979" s="19" t="n"/>
      <c r="F979" s="19">
        <f>IF(COUNTA(D979:E979)=0,"",N(D979)-N(E979))</f>
        <v/>
      </c>
      <c r="G979" s="19">
        <f>IFERROR(VLOOKUP($B979,'开奖记录'!$A:$K,2,FALSE),"")</f>
        <v/>
      </c>
      <c r="H979" s="19">
        <f>IFERROR(VLOOKUP($B979,'开奖记录'!$A:$K,9,FALSE),"")</f>
        <v/>
      </c>
      <c r="I979" s="19">
        <f>IFERROR(VLOOKUP($B979,'开奖记录'!$A:$K,11,FALSE),"")</f>
        <v/>
      </c>
      <c r="J979" s="19">
        <f>IF($B979="","",IF(ISNUMBER($D979),"命中",IF(ISNUMBER($E979),"未命中","")))</f>
        <v/>
      </c>
      <c r="K979" s="19" t="inlineStr"/>
      <c r="L979" s="19">
        <f>IFERROR(TEXT(VLOOKUP($B979-1,开奖记录!$A:$L,3,FALSE),"00")&amp;"+5="&amp;VLOOKUP(MOD(VLOOKUP($B979-1,开奖记录!$A:$L,3,FALSE)+4,49)+1,规律参数!$A:$C,3,FALSE),"")</f>
        <v/>
      </c>
      <c r="M979" s="19">
        <f>IF(L979="","",IF(I979="","待开奖",IF(ISNUMBER(SEARCH(I979,L979)),"命中","未命中")))</f>
        <v/>
      </c>
      <c r="N979" s="19">
        <f>IFERROR(VLOOKUP(VLOOKUP($B979-1,开奖记录!$A:$L,11,FALSE),八肖参数!$A:$B,2,FALSE),"")</f>
        <v/>
      </c>
      <c r="O979" s="19">
        <f>IF(N979="","",IF(I979="","待开奖",IF(ISNUMBER(SEARCH(I979,N979)),"命中","未命中")))</f>
        <v/>
      </c>
    </row>
    <row r="980">
      <c r="A980" s="19" t="n">
        <v>979</v>
      </c>
      <c r="B980" s="19">
        <f>IF(COUNTA(C980:E980)=0,"",B979+1)</f>
        <v/>
      </c>
      <c r="C980" s="19" t="inlineStr"/>
      <c r="D980" s="19" t="n"/>
      <c r="E980" s="19" t="n"/>
      <c r="F980" s="19">
        <f>IF(COUNTA(D980:E980)=0,"",N(D980)-N(E980))</f>
        <v/>
      </c>
      <c r="G980" s="19">
        <f>IFERROR(VLOOKUP($B980,'开奖记录'!$A:$K,2,FALSE),"")</f>
        <v/>
      </c>
      <c r="H980" s="19">
        <f>IFERROR(VLOOKUP($B980,'开奖记录'!$A:$K,9,FALSE),"")</f>
        <v/>
      </c>
      <c r="I980" s="19">
        <f>IFERROR(VLOOKUP($B980,'开奖记录'!$A:$K,11,FALSE),"")</f>
        <v/>
      </c>
      <c r="J980" s="19">
        <f>IF($B980="","",IF(ISNUMBER($D980),"命中",IF(ISNUMBER($E980),"未命中","")))</f>
        <v/>
      </c>
      <c r="K980" s="19" t="inlineStr"/>
      <c r="L980" s="19">
        <f>IFERROR(TEXT(VLOOKUP($B980-1,开奖记录!$A:$L,3,FALSE),"00")&amp;"+5="&amp;VLOOKUP(MOD(VLOOKUP($B980-1,开奖记录!$A:$L,3,FALSE)+4,49)+1,规律参数!$A:$C,3,FALSE),"")</f>
        <v/>
      </c>
      <c r="M980" s="19">
        <f>IF(L980="","",IF(I980="","待开奖",IF(ISNUMBER(SEARCH(I980,L980)),"命中","未命中")))</f>
        <v/>
      </c>
      <c r="N980" s="19">
        <f>IFERROR(VLOOKUP(VLOOKUP($B980-1,开奖记录!$A:$L,11,FALSE),八肖参数!$A:$B,2,FALSE),"")</f>
        <v/>
      </c>
      <c r="O980" s="19">
        <f>IF(N980="","",IF(I980="","待开奖",IF(ISNUMBER(SEARCH(I980,N980)),"命中","未命中")))</f>
        <v/>
      </c>
    </row>
    <row r="981">
      <c r="A981" s="19" t="n">
        <v>980</v>
      </c>
      <c r="B981" s="19">
        <f>IF(COUNTA(C981:E981)=0,"",B980+1)</f>
        <v/>
      </c>
      <c r="C981" s="19" t="inlineStr"/>
      <c r="D981" s="19" t="n"/>
      <c r="E981" s="19" t="n"/>
      <c r="F981" s="19">
        <f>IF(COUNTA(D981:E981)=0,"",N(D981)-N(E981))</f>
        <v/>
      </c>
      <c r="G981" s="19">
        <f>IFERROR(VLOOKUP($B981,'开奖记录'!$A:$K,2,FALSE),"")</f>
        <v/>
      </c>
      <c r="H981" s="19">
        <f>IFERROR(VLOOKUP($B981,'开奖记录'!$A:$K,9,FALSE),"")</f>
        <v/>
      </c>
      <c r="I981" s="19">
        <f>IFERROR(VLOOKUP($B981,'开奖记录'!$A:$K,11,FALSE),"")</f>
        <v/>
      </c>
      <c r="J981" s="19">
        <f>IF($B981="","",IF(ISNUMBER($D981),"命中",IF(ISNUMBER($E981),"未命中","")))</f>
        <v/>
      </c>
      <c r="K981" s="19" t="inlineStr"/>
      <c r="L981" s="19">
        <f>IFERROR(TEXT(VLOOKUP($B981-1,开奖记录!$A:$L,3,FALSE),"00")&amp;"+5="&amp;VLOOKUP(MOD(VLOOKUP($B981-1,开奖记录!$A:$L,3,FALSE)+4,49)+1,规律参数!$A:$C,3,FALSE),"")</f>
        <v/>
      </c>
      <c r="M981" s="19">
        <f>IF(L981="","",IF(I981="","待开奖",IF(ISNUMBER(SEARCH(I981,L981)),"命中","未命中")))</f>
        <v/>
      </c>
      <c r="N981" s="19">
        <f>IFERROR(VLOOKUP(VLOOKUP($B981-1,开奖记录!$A:$L,11,FALSE),八肖参数!$A:$B,2,FALSE),"")</f>
        <v/>
      </c>
      <c r="O981" s="19">
        <f>IF(N981="","",IF(I981="","待开奖",IF(ISNUMBER(SEARCH(I981,N981)),"命中","未命中")))</f>
        <v/>
      </c>
    </row>
    <row r="982">
      <c r="A982" s="19" t="n">
        <v>981</v>
      </c>
      <c r="B982" s="19">
        <f>IF(COUNTA(C982:E982)=0,"",B981+1)</f>
        <v/>
      </c>
      <c r="C982" s="19" t="inlineStr"/>
      <c r="D982" s="19" t="n"/>
      <c r="E982" s="19" t="n"/>
      <c r="F982" s="19">
        <f>IF(COUNTA(D982:E982)=0,"",N(D982)-N(E982))</f>
        <v/>
      </c>
      <c r="G982" s="19">
        <f>IFERROR(VLOOKUP($B982,'开奖记录'!$A:$K,2,FALSE),"")</f>
        <v/>
      </c>
      <c r="H982" s="19">
        <f>IFERROR(VLOOKUP($B982,'开奖记录'!$A:$K,9,FALSE),"")</f>
        <v/>
      </c>
      <c r="I982" s="19">
        <f>IFERROR(VLOOKUP($B982,'开奖记录'!$A:$K,11,FALSE),"")</f>
        <v/>
      </c>
      <c r="J982" s="19">
        <f>IF($B982="","",IF(ISNUMBER($D982),"命中",IF(ISNUMBER($E982),"未命中","")))</f>
        <v/>
      </c>
      <c r="K982" s="19" t="inlineStr"/>
      <c r="L982" s="19">
        <f>IFERROR(TEXT(VLOOKUP($B982-1,开奖记录!$A:$L,3,FALSE),"00")&amp;"+5="&amp;VLOOKUP(MOD(VLOOKUP($B982-1,开奖记录!$A:$L,3,FALSE)+4,49)+1,规律参数!$A:$C,3,FALSE),"")</f>
        <v/>
      </c>
      <c r="M982" s="19">
        <f>IF(L982="","",IF(I982="","待开奖",IF(ISNUMBER(SEARCH(I982,L982)),"命中","未命中")))</f>
        <v/>
      </c>
      <c r="N982" s="19">
        <f>IFERROR(VLOOKUP(VLOOKUP($B982-1,开奖记录!$A:$L,11,FALSE),八肖参数!$A:$B,2,FALSE),"")</f>
        <v/>
      </c>
      <c r="O982" s="19">
        <f>IF(N982="","",IF(I982="","待开奖",IF(ISNUMBER(SEARCH(I982,N982)),"命中","未命中")))</f>
        <v/>
      </c>
    </row>
    <row r="983">
      <c r="A983" s="19" t="n">
        <v>982</v>
      </c>
      <c r="B983" s="19">
        <f>IF(COUNTA(C983:E983)=0,"",B982+1)</f>
        <v/>
      </c>
      <c r="C983" s="19" t="inlineStr"/>
      <c r="D983" s="19" t="n"/>
      <c r="E983" s="19" t="n"/>
      <c r="F983" s="19">
        <f>IF(COUNTA(D983:E983)=0,"",N(D983)-N(E983))</f>
        <v/>
      </c>
      <c r="G983" s="19">
        <f>IFERROR(VLOOKUP($B983,'开奖记录'!$A:$K,2,FALSE),"")</f>
        <v/>
      </c>
      <c r="H983" s="19">
        <f>IFERROR(VLOOKUP($B983,'开奖记录'!$A:$K,9,FALSE),"")</f>
        <v/>
      </c>
      <c r="I983" s="19">
        <f>IFERROR(VLOOKUP($B983,'开奖记录'!$A:$K,11,FALSE),"")</f>
        <v/>
      </c>
      <c r="J983" s="19">
        <f>IF($B983="","",IF(ISNUMBER($D983),"命中",IF(ISNUMBER($E983),"未命中","")))</f>
        <v/>
      </c>
      <c r="K983" s="19" t="inlineStr"/>
      <c r="L983" s="19">
        <f>IFERROR(TEXT(VLOOKUP($B983-1,开奖记录!$A:$L,3,FALSE),"00")&amp;"+5="&amp;VLOOKUP(MOD(VLOOKUP($B983-1,开奖记录!$A:$L,3,FALSE)+4,49)+1,规律参数!$A:$C,3,FALSE),"")</f>
        <v/>
      </c>
      <c r="M983" s="19">
        <f>IF(L983="","",IF(I983="","待开奖",IF(ISNUMBER(SEARCH(I983,L983)),"命中","未命中")))</f>
        <v/>
      </c>
      <c r="N983" s="19">
        <f>IFERROR(VLOOKUP(VLOOKUP($B983-1,开奖记录!$A:$L,11,FALSE),八肖参数!$A:$B,2,FALSE),"")</f>
        <v/>
      </c>
      <c r="O983" s="19">
        <f>IF(N983="","",IF(I983="","待开奖",IF(ISNUMBER(SEARCH(I983,N983)),"命中","未命中")))</f>
        <v/>
      </c>
    </row>
    <row r="984">
      <c r="A984" s="19" t="n">
        <v>983</v>
      </c>
      <c r="B984" s="19">
        <f>IF(COUNTA(C984:E984)=0,"",B983+1)</f>
        <v/>
      </c>
      <c r="C984" s="19" t="inlineStr"/>
      <c r="D984" s="19" t="n"/>
      <c r="E984" s="19" t="n"/>
      <c r="F984" s="19">
        <f>IF(COUNTA(D984:E984)=0,"",N(D984)-N(E984))</f>
        <v/>
      </c>
      <c r="G984" s="19">
        <f>IFERROR(VLOOKUP($B984,'开奖记录'!$A:$K,2,FALSE),"")</f>
        <v/>
      </c>
      <c r="H984" s="19">
        <f>IFERROR(VLOOKUP($B984,'开奖记录'!$A:$K,9,FALSE),"")</f>
        <v/>
      </c>
      <c r="I984" s="19">
        <f>IFERROR(VLOOKUP($B984,'开奖记录'!$A:$K,11,FALSE),"")</f>
        <v/>
      </c>
      <c r="J984" s="19">
        <f>IF($B984="","",IF(ISNUMBER($D984),"命中",IF(ISNUMBER($E984),"未命中","")))</f>
        <v/>
      </c>
      <c r="K984" s="19" t="inlineStr"/>
      <c r="L984" s="19">
        <f>IFERROR(TEXT(VLOOKUP($B984-1,开奖记录!$A:$L,3,FALSE),"00")&amp;"+5="&amp;VLOOKUP(MOD(VLOOKUP($B984-1,开奖记录!$A:$L,3,FALSE)+4,49)+1,规律参数!$A:$C,3,FALSE),"")</f>
        <v/>
      </c>
      <c r="M984" s="19">
        <f>IF(L984="","",IF(I984="","待开奖",IF(ISNUMBER(SEARCH(I984,L984)),"命中","未命中")))</f>
        <v/>
      </c>
      <c r="N984" s="19">
        <f>IFERROR(VLOOKUP(VLOOKUP($B984-1,开奖记录!$A:$L,11,FALSE),八肖参数!$A:$B,2,FALSE),"")</f>
        <v/>
      </c>
      <c r="O984" s="19">
        <f>IF(N984="","",IF(I984="","待开奖",IF(ISNUMBER(SEARCH(I984,N984)),"命中","未命中")))</f>
        <v/>
      </c>
    </row>
    <row r="985">
      <c r="A985" s="19" t="n">
        <v>984</v>
      </c>
      <c r="B985" s="19">
        <f>IF(COUNTA(C985:E985)=0,"",B984+1)</f>
        <v/>
      </c>
      <c r="C985" s="19" t="inlineStr"/>
      <c r="D985" s="19" t="n"/>
      <c r="E985" s="19" t="n"/>
      <c r="F985" s="19">
        <f>IF(COUNTA(D985:E985)=0,"",N(D985)-N(E985))</f>
        <v/>
      </c>
      <c r="G985" s="19">
        <f>IFERROR(VLOOKUP($B985,'开奖记录'!$A:$K,2,FALSE),"")</f>
        <v/>
      </c>
      <c r="H985" s="19">
        <f>IFERROR(VLOOKUP($B985,'开奖记录'!$A:$K,9,FALSE),"")</f>
        <v/>
      </c>
      <c r="I985" s="19">
        <f>IFERROR(VLOOKUP($B985,'开奖记录'!$A:$K,11,FALSE),"")</f>
        <v/>
      </c>
      <c r="J985" s="19">
        <f>IF($B985="","",IF(ISNUMBER($D985),"命中",IF(ISNUMBER($E985),"未命中","")))</f>
        <v/>
      </c>
      <c r="K985" s="19" t="inlineStr"/>
      <c r="L985" s="19">
        <f>IFERROR(TEXT(VLOOKUP($B985-1,开奖记录!$A:$L,3,FALSE),"00")&amp;"+5="&amp;VLOOKUP(MOD(VLOOKUP($B985-1,开奖记录!$A:$L,3,FALSE)+4,49)+1,规律参数!$A:$C,3,FALSE),"")</f>
        <v/>
      </c>
      <c r="M985" s="19">
        <f>IF(L985="","",IF(I985="","待开奖",IF(ISNUMBER(SEARCH(I985,L985)),"命中","未命中")))</f>
        <v/>
      </c>
      <c r="N985" s="19">
        <f>IFERROR(VLOOKUP(VLOOKUP($B985-1,开奖记录!$A:$L,11,FALSE),八肖参数!$A:$B,2,FALSE),"")</f>
        <v/>
      </c>
      <c r="O985" s="19">
        <f>IF(N985="","",IF(I985="","待开奖",IF(ISNUMBER(SEARCH(I985,N985)),"命中","未命中")))</f>
        <v/>
      </c>
    </row>
    <row r="986">
      <c r="A986" s="19" t="n">
        <v>985</v>
      </c>
      <c r="B986" s="19">
        <f>IF(COUNTA(C986:E986)=0,"",B985+1)</f>
        <v/>
      </c>
      <c r="C986" s="19" t="inlineStr"/>
      <c r="D986" s="19" t="n"/>
      <c r="E986" s="19" t="n"/>
      <c r="F986" s="19">
        <f>IF(COUNTA(D986:E986)=0,"",N(D986)-N(E986))</f>
        <v/>
      </c>
      <c r="G986" s="19">
        <f>IFERROR(VLOOKUP($B986,'开奖记录'!$A:$K,2,FALSE),"")</f>
        <v/>
      </c>
      <c r="H986" s="19">
        <f>IFERROR(VLOOKUP($B986,'开奖记录'!$A:$K,9,FALSE),"")</f>
        <v/>
      </c>
      <c r="I986" s="19">
        <f>IFERROR(VLOOKUP($B986,'开奖记录'!$A:$K,11,FALSE),"")</f>
        <v/>
      </c>
      <c r="J986" s="19">
        <f>IF($B986="","",IF(ISNUMBER($D986),"命中",IF(ISNUMBER($E986),"未命中","")))</f>
        <v/>
      </c>
      <c r="K986" s="19" t="inlineStr"/>
      <c r="L986" s="19">
        <f>IFERROR(TEXT(VLOOKUP($B986-1,开奖记录!$A:$L,3,FALSE),"00")&amp;"+5="&amp;VLOOKUP(MOD(VLOOKUP($B986-1,开奖记录!$A:$L,3,FALSE)+4,49)+1,规律参数!$A:$C,3,FALSE),"")</f>
        <v/>
      </c>
      <c r="M986" s="19">
        <f>IF(L986="","",IF(I986="","待开奖",IF(ISNUMBER(SEARCH(I986,L986)),"命中","未命中")))</f>
        <v/>
      </c>
      <c r="N986" s="19">
        <f>IFERROR(VLOOKUP(VLOOKUP($B986-1,开奖记录!$A:$L,11,FALSE),八肖参数!$A:$B,2,FALSE),"")</f>
        <v/>
      </c>
      <c r="O986" s="19">
        <f>IF(N986="","",IF(I986="","待开奖",IF(ISNUMBER(SEARCH(I986,N986)),"命中","未命中")))</f>
        <v/>
      </c>
    </row>
    <row r="987">
      <c r="A987" s="19" t="n">
        <v>986</v>
      </c>
      <c r="B987" s="19">
        <f>IF(COUNTA(C987:E987)=0,"",B986+1)</f>
        <v/>
      </c>
      <c r="C987" s="19" t="inlineStr"/>
      <c r="D987" s="19" t="n"/>
      <c r="E987" s="19" t="n"/>
      <c r="F987" s="19">
        <f>IF(COUNTA(D987:E987)=0,"",N(D987)-N(E987))</f>
        <v/>
      </c>
      <c r="G987" s="19">
        <f>IFERROR(VLOOKUP($B987,'开奖记录'!$A:$K,2,FALSE),"")</f>
        <v/>
      </c>
      <c r="H987" s="19">
        <f>IFERROR(VLOOKUP($B987,'开奖记录'!$A:$K,9,FALSE),"")</f>
        <v/>
      </c>
      <c r="I987" s="19">
        <f>IFERROR(VLOOKUP($B987,'开奖记录'!$A:$K,11,FALSE),"")</f>
        <v/>
      </c>
      <c r="J987" s="19">
        <f>IF($B987="","",IF(ISNUMBER($D987),"命中",IF(ISNUMBER($E987),"未命中","")))</f>
        <v/>
      </c>
      <c r="K987" s="19" t="inlineStr"/>
      <c r="L987" s="19">
        <f>IFERROR(TEXT(VLOOKUP($B987-1,开奖记录!$A:$L,3,FALSE),"00")&amp;"+5="&amp;VLOOKUP(MOD(VLOOKUP($B987-1,开奖记录!$A:$L,3,FALSE)+4,49)+1,规律参数!$A:$C,3,FALSE),"")</f>
        <v/>
      </c>
      <c r="M987" s="19">
        <f>IF(L987="","",IF(I987="","待开奖",IF(ISNUMBER(SEARCH(I987,L987)),"命中","未命中")))</f>
        <v/>
      </c>
      <c r="N987" s="19">
        <f>IFERROR(VLOOKUP(VLOOKUP($B987-1,开奖记录!$A:$L,11,FALSE),八肖参数!$A:$B,2,FALSE),"")</f>
        <v/>
      </c>
      <c r="O987" s="19">
        <f>IF(N987="","",IF(I987="","待开奖",IF(ISNUMBER(SEARCH(I987,N987)),"命中","未命中")))</f>
        <v/>
      </c>
    </row>
    <row r="988">
      <c r="A988" s="19" t="n">
        <v>987</v>
      </c>
      <c r="B988" s="19">
        <f>IF(COUNTA(C988:E988)=0,"",B987+1)</f>
        <v/>
      </c>
      <c r="C988" s="19" t="inlineStr"/>
      <c r="D988" s="19" t="n"/>
      <c r="E988" s="19" t="n"/>
      <c r="F988" s="19">
        <f>IF(COUNTA(D988:E988)=0,"",N(D988)-N(E988))</f>
        <v/>
      </c>
      <c r="G988" s="19">
        <f>IFERROR(VLOOKUP($B988,'开奖记录'!$A:$K,2,FALSE),"")</f>
        <v/>
      </c>
      <c r="H988" s="19">
        <f>IFERROR(VLOOKUP($B988,'开奖记录'!$A:$K,9,FALSE),"")</f>
        <v/>
      </c>
      <c r="I988" s="19">
        <f>IFERROR(VLOOKUP($B988,'开奖记录'!$A:$K,11,FALSE),"")</f>
        <v/>
      </c>
      <c r="J988" s="19">
        <f>IF($B988="","",IF(ISNUMBER($D988),"命中",IF(ISNUMBER($E988),"未命中","")))</f>
        <v/>
      </c>
      <c r="K988" s="19" t="inlineStr"/>
      <c r="L988" s="19">
        <f>IFERROR(TEXT(VLOOKUP($B988-1,开奖记录!$A:$L,3,FALSE),"00")&amp;"+5="&amp;VLOOKUP(MOD(VLOOKUP($B988-1,开奖记录!$A:$L,3,FALSE)+4,49)+1,规律参数!$A:$C,3,FALSE),"")</f>
        <v/>
      </c>
      <c r="M988" s="19">
        <f>IF(L988="","",IF(I988="","待开奖",IF(ISNUMBER(SEARCH(I988,L988)),"命中","未命中")))</f>
        <v/>
      </c>
      <c r="N988" s="19">
        <f>IFERROR(VLOOKUP(VLOOKUP($B988-1,开奖记录!$A:$L,11,FALSE),八肖参数!$A:$B,2,FALSE),"")</f>
        <v/>
      </c>
      <c r="O988" s="19">
        <f>IF(N988="","",IF(I988="","待开奖",IF(ISNUMBER(SEARCH(I988,N988)),"命中","未命中")))</f>
        <v/>
      </c>
    </row>
    <row r="989">
      <c r="A989" s="19" t="n">
        <v>988</v>
      </c>
      <c r="B989" s="19">
        <f>IF(COUNTA(C989:E989)=0,"",B988+1)</f>
        <v/>
      </c>
      <c r="C989" s="19" t="inlineStr"/>
      <c r="D989" s="19" t="n"/>
      <c r="E989" s="19" t="n"/>
      <c r="F989" s="19">
        <f>IF(COUNTA(D989:E989)=0,"",N(D989)-N(E989))</f>
        <v/>
      </c>
      <c r="G989" s="19">
        <f>IFERROR(VLOOKUP($B989,'开奖记录'!$A:$K,2,FALSE),"")</f>
        <v/>
      </c>
      <c r="H989" s="19">
        <f>IFERROR(VLOOKUP($B989,'开奖记录'!$A:$K,9,FALSE),"")</f>
        <v/>
      </c>
      <c r="I989" s="19">
        <f>IFERROR(VLOOKUP($B989,'开奖记录'!$A:$K,11,FALSE),"")</f>
        <v/>
      </c>
      <c r="J989" s="19">
        <f>IF($B989="","",IF(ISNUMBER($D989),"命中",IF(ISNUMBER($E989),"未命中","")))</f>
        <v/>
      </c>
      <c r="K989" s="19" t="inlineStr"/>
      <c r="L989" s="19">
        <f>IFERROR(TEXT(VLOOKUP($B989-1,开奖记录!$A:$L,3,FALSE),"00")&amp;"+5="&amp;VLOOKUP(MOD(VLOOKUP($B989-1,开奖记录!$A:$L,3,FALSE)+4,49)+1,规律参数!$A:$C,3,FALSE),"")</f>
        <v/>
      </c>
      <c r="M989" s="19">
        <f>IF(L989="","",IF(I989="","待开奖",IF(ISNUMBER(SEARCH(I989,L989)),"命中","未命中")))</f>
        <v/>
      </c>
      <c r="N989" s="19">
        <f>IFERROR(VLOOKUP(VLOOKUP($B989-1,开奖记录!$A:$L,11,FALSE),八肖参数!$A:$B,2,FALSE),"")</f>
        <v/>
      </c>
      <c r="O989" s="19">
        <f>IF(N989="","",IF(I989="","待开奖",IF(ISNUMBER(SEARCH(I989,N989)),"命中","未命中")))</f>
        <v/>
      </c>
    </row>
    <row r="990">
      <c r="A990" s="19" t="n">
        <v>989</v>
      </c>
      <c r="B990" s="19">
        <f>IF(COUNTA(C990:E990)=0,"",B989+1)</f>
        <v/>
      </c>
      <c r="C990" s="19" t="inlineStr"/>
      <c r="D990" s="19" t="n"/>
      <c r="E990" s="19" t="n"/>
      <c r="F990" s="19">
        <f>IF(COUNTA(D990:E990)=0,"",N(D990)-N(E990))</f>
        <v/>
      </c>
      <c r="G990" s="19">
        <f>IFERROR(VLOOKUP($B990,'开奖记录'!$A:$K,2,FALSE),"")</f>
        <v/>
      </c>
      <c r="H990" s="19">
        <f>IFERROR(VLOOKUP($B990,'开奖记录'!$A:$K,9,FALSE),"")</f>
        <v/>
      </c>
      <c r="I990" s="19">
        <f>IFERROR(VLOOKUP($B990,'开奖记录'!$A:$K,11,FALSE),"")</f>
        <v/>
      </c>
      <c r="J990" s="19">
        <f>IF($B990="","",IF(ISNUMBER($D990),"命中",IF(ISNUMBER($E990),"未命中","")))</f>
        <v/>
      </c>
      <c r="K990" s="19" t="inlineStr"/>
      <c r="L990" s="19">
        <f>IFERROR(TEXT(VLOOKUP($B990-1,开奖记录!$A:$L,3,FALSE),"00")&amp;"+5="&amp;VLOOKUP(MOD(VLOOKUP($B990-1,开奖记录!$A:$L,3,FALSE)+4,49)+1,规律参数!$A:$C,3,FALSE),"")</f>
        <v/>
      </c>
      <c r="M990" s="19">
        <f>IF(L990="","",IF(I990="","待开奖",IF(ISNUMBER(SEARCH(I990,L990)),"命中","未命中")))</f>
        <v/>
      </c>
      <c r="N990" s="19">
        <f>IFERROR(VLOOKUP(VLOOKUP($B990-1,开奖记录!$A:$L,11,FALSE),八肖参数!$A:$B,2,FALSE),"")</f>
        <v/>
      </c>
      <c r="O990" s="19">
        <f>IF(N990="","",IF(I990="","待开奖",IF(ISNUMBER(SEARCH(I990,N990)),"命中","未命中")))</f>
        <v/>
      </c>
    </row>
    <row r="991">
      <c r="A991" s="19" t="n">
        <v>990</v>
      </c>
      <c r="B991" s="19">
        <f>IF(COUNTA(C991:E991)=0,"",B990+1)</f>
        <v/>
      </c>
      <c r="C991" s="19" t="inlineStr"/>
      <c r="D991" s="19" t="n"/>
      <c r="E991" s="19" t="n"/>
      <c r="F991" s="19">
        <f>IF(COUNTA(D991:E991)=0,"",N(D991)-N(E991))</f>
        <v/>
      </c>
      <c r="G991" s="19">
        <f>IFERROR(VLOOKUP($B991,'开奖记录'!$A:$K,2,FALSE),"")</f>
        <v/>
      </c>
      <c r="H991" s="19">
        <f>IFERROR(VLOOKUP($B991,'开奖记录'!$A:$K,9,FALSE),"")</f>
        <v/>
      </c>
      <c r="I991" s="19">
        <f>IFERROR(VLOOKUP($B991,'开奖记录'!$A:$K,11,FALSE),"")</f>
        <v/>
      </c>
      <c r="J991" s="19">
        <f>IF($B991="","",IF(ISNUMBER($D991),"命中",IF(ISNUMBER($E991),"未命中","")))</f>
        <v/>
      </c>
      <c r="K991" s="19" t="inlineStr"/>
      <c r="L991" s="19">
        <f>IFERROR(TEXT(VLOOKUP($B991-1,开奖记录!$A:$L,3,FALSE),"00")&amp;"+5="&amp;VLOOKUP(MOD(VLOOKUP($B991-1,开奖记录!$A:$L,3,FALSE)+4,49)+1,规律参数!$A:$C,3,FALSE),"")</f>
        <v/>
      </c>
      <c r="M991" s="19">
        <f>IF(L991="","",IF(I991="","待开奖",IF(ISNUMBER(SEARCH(I991,L991)),"命中","未命中")))</f>
        <v/>
      </c>
      <c r="N991" s="19">
        <f>IFERROR(VLOOKUP(VLOOKUP($B991-1,开奖记录!$A:$L,11,FALSE),八肖参数!$A:$B,2,FALSE),"")</f>
        <v/>
      </c>
      <c r="O991" s="19">
        <f>IF(N991="","",IF(I991="","待开奖",IF(ISNUMBER(SEARCH(I991,N991)),"命中","未命中")))</f>
        <v/>
      </c>
    </row>
    <row r="992">
      <c r="A992" s="19" t="n">
        <v>991</v>
      </c>
      <c r="B992" s="19">
        <f>IF(COUNTA(C992:E992)=0,"",B991+1)</f>
        <v/>
      </c>
      <c r="C992" s="19" t="inlineStr"/>
      <c r="D992" s="19" t="n"/>
      <c r="E992" s="19" t="n"/>
      <c r="F992" s="19">
        <f>IF(COUNTA(D992:E992)=0,"",N(D992)-N(E992))</f>
        <v/>
      </c>
      <c r="G992" s="19">
        <f>IFERROR(VLOOKUP($B992,'开奖记录'!$A:$K,2,FALSE),"")</f>
        <v/>
      </c>
      <c r="H992" s="19">
        <f>IFERROR(VLOOKUP($B992,'开奖记录'!$A:$K,9,FALSE),"")</f>
        <v/>
      </c>
      <c r="I992" s="19">
        <f>IFERROR(VLOOKUP($B992,'开奖记录'!$A:$K,11,FALSE),"")</f>
        <v/>
      </c>
      <c r="J992" s="19">
        <f>IF($B992="","",IF(ISNUMBER($D992),"命中",IF(ISNUMBER($E992),"未命中","")))</f>
        <v/>
      </c>
      <c r="K992" s="19" t="inlineStr"/>
      <c r="L992" s="19">
        <f>IFERROR(TEXT(VLOOKUP($B992-1,开奖记录!$A:$L,3,FALSE),"00")&amp;"+5="&amp;VLOOKUP(MOD(VLOOKUP($B992-1,开奖记录!$A:$L,3,FALSE)+4,49)+1,规律参数!$A:$C,3,FALSE),"")</f>
        <v/>
      </c>
      <c r="M992" s="19">
        <f>IF(L992="","",IF(I992="","待开奖",IF(ISNUMBER(SEARCH(I992,L992)),"命中","未命中")))</f>
        <v/>
      </c>
      <c r="N992" s="19">
        <f>IFERROR(VLOOKUP(VLOOKUP($B992-1,开奖记录!$A:$L,11,FALSE),八肖参数!$A:$B,2,FALSE),"")</f>
        <v/>
      </c>
      <c r="O992" s="19">
        <f>IF(N992="","",IF(I992="","待开奖",IF(ISNUMBER(SEARCH(I992,N992)),"命中","未命中")))</f>
        <v/>
      </c>
    </row>
    <row r="993">
      <c r="A993" s="19" t="n">
        <v>992</v>
      </c>
      <c r="B993" s="19">
        <f>IF(COUNTA(C993:E993)=0,"",B992+1)</f>
        <v/>
      </c>
      <c r="C993" s="19" t="inlineStr"/>
      <c r="D993" s="19" t="n"/>
      <c r="E993" s="19" t="n"/>
      <c r="F993" s="19">
        <f>IF(COUNTA(D993:E993)=0,"",N(D993)-N(E993))</f>
        <v/>
      </c>
      <c r="G993" s="19">
        <f>IFERROR(VLOOKUP($B993,'开奖记录'!$A:$K,2,FALSE),"")</f>
        <v/>
      </c>
      <c r="H993" s="19">
        <f>IFERROR(VLOOKUP($B993,'开奖记录'!$A:$K,9,FALSE),"")</f>
        <v/>
      </c>
      <c r="I993" s="19">
        <f>IFERROR(VLOOKUP($B993,'开奖记录'!$A:$K,11,FALSE),"")</f>
        <v/>
      </c>
      <c r="J993" s="19">
        <f>IF($B993="","",IF(ISNUMBER($D993),"命中",IF(ISNUMBER($E993),"未命中","")))</f>
        <v/>
      </c>
      <c r="K993" s="19" t="inlineStr"/>
      <c r="L993" s="19">
        <f>IFERROR(TEXT(VLOOKUP($B993-1,开奖记录!$A:$L,3,FALSE),"00")&amp;"+5="&amp;VLOOKUP(MOD(VLOOKUP($B993-1,开奖记录!$A:$L,3,FALSE)+4,49)+1,规律参数!$A:$C,3,FALSE),"")</f>
        <v/>
      </c>
      <c r="M993" s="19">
        <f>IF(L993="","",IF(I993="","待开奖",IF(ISNUMBER(SEARCH(I993,L993)),"命中","未命中")))</f>
        <v/>
      </c>
      <c r="N993" s="19">
        <f>IFERROR(VLOOKUP(VLOOKUP($B993-1,开奖记录!$A:$L,11,FALSE),八肖参数!$A:$B,2,FALSE),"")</f>
        <v/>
      </c>
      <c r="O993" s="19">
        <f>IF(N993="","",IF(I993="","待开奖",IF(ISNUMBER(SEARCH(I993,N993)),"命中","未命中")))</f>
        <v/>
      </c>
    </row>
    <row r="994">
      <c r="A994" s="19" t="n">
        <v>993</v>
      </c>
      <c r="B994" s="19">
        <f>IF(COUNTA(C994:E994)=0,"",B993+1)</f>
        <v/>
      </c>
      <c r="C994" s="19" t="inlineStr"/>
      <c r="D994" s="19" t="n"/>
      <c r="E994" s="19" t="n"/>
      <c r="F994" s="19">
        <f>IF(COUNTA(D994:E994)=0,"",N(D994)-N(E994))</f>
        <v/>
      </c>
      <c r="G994" s="19">
        <f>IFERROR(VLOOKUP($B994,'开奖记录'!$A:$K,2,FALSE),"")</f>
        <v/>
      </c>
      <c r="H994" s="19">
        <f>IFERROR(VLOOKUP($B994,'开奖记录'!$A:$K,9,FALSE),"")</f>
        <v/>
      </c>
      <c r="I994" s="19">
        <f>IFERROR(VLOOKUP($B994,'开奖记录'!$A:$K,11,FALSE),"")</f>
        <v/>
      </c>
      <c r="J994" s="19">
        <f>IF($B994="","",IF(ISNUMBER($D994),"命中",IF(ISNUMBER($E994),"未命中","")))</f>
        <v/>
      </c>
      <c r="K994" s="19" t="inlineStr"/>
      <c r="L994" s="19">
        <f>IFERROR(TEXT(VLOOKUP($B994-1,开奖记录!$A:$L,3,FALSE),"00")&amp;"+5="&amp;VLOOKUP(MOD(VLOOKUP($B994-1,开奖记录!$A:$L,3,FALSE)+4,49)+1,规律参数!$A:$C,3,FALSE),"")</f>
        <v/>
      </c>
      <c r="M994" s="19">
        <f>IF(L994="","",IF(I994="","待开奖",IF(ISNUMBER(SEARCH(I994,L994)),"命中","未命中")))</f>
        <v/>
      </c>
      <c r="N994" s="19">
        <f>IFERROR(VLOOKUP(VLOOKUP($B994-1,开奖记录!$A:$L,11,FALSE),八肖参数!$A:$B,2,FALSE),"")</f>
        <v/>
      </c>
      <c r="O994" s="19">
        <f>IF(N994="","",IF(I994="","待开奖",IF(ISNUMBER(SEARCH(I994,N994)),"命中","未命中")))</f>
        <v/>
      </c>
    </row>
    <row r="995">
      <c r="A995" s="19" t="n">
        <v>994</v>
      </c>
      <c r="B995" s="19">
        <f>IF(COUNTA(C995:E995)=0,"",B994+1)</f>
        <v/>
      </c>
      <c r="C995" s="19" t="inlineStr"/>
      <c r="D995" s="19" t="n"/>
      <c r="E995" s="19" t="n"/>
      <c r="F995" s="19">
        <f>IF(COUNTA(D995:E995)=0,"",N(D995)-N(E995))</f>
        <v/>
      </c>
      <c r="G995" s="19">
        <f>IFERROR(VLOOKUP($B995,'开奖记录'!$A:$K,2,FALSE),"")</f>
        <v/>
      </c>
      <c r="H995" s="19">
        <f>IFERROR(VLOOKUP($B995,'开奖记录'!$A:$K,9,FALSE),"")</f>
        <v/>
      </c>
      <c r="I995" s="19">
        <f>IFERROR(VLOOKUP($B995,'开奖记录'!$A:$K,11,FALSE),"")</f>
        <v/>
      </c>
      <c r="J995" s="19">
        <f>IF($B995="","",IF(ISNUMBER($D995),"命中",IF(ISNUMBER($E995),"未命中","")))</f>
        <v/>
      </c>
      <c r="K995" s="19" t="inlineStr"/>
      <c r="L995" s="19">
        <f>IFERROR(TEXT(VLOOKUP($B995-1,开奖记录!$A:$L,3,FALSE),"00")&amp;"+5="&amp;VLOOKUP(MOD(VLOOKUP($B995-1,开奖记录!$A:$L,3,FALSE)+4,49)+1,规律参数!$A:$C,3,FALSE),"")</f>
        <v/>
      </c>
      <c r="M995" s="19">
        <f>IF(L995="","",IF(I995="","待开奖",IF(ISNUMBER(SEARCH(I995,L995)),"命中","未命中")))</f>
        <v/>
      </c>
      <c r="N995" s="19">
        <f>IFERROR(VLOOKUP(VLOOKUP($B995-1,开奖记录!$A:$L,11,FALSE),八肖参数!$A:$B,2,FALSE),"")</f>
        <v/>
      </c>
      <c r="O995" s="19">
        <f>IF(N995="","",IF(I995="","待开奖",IF(ISNUMBER(SEARCH(I995,N995)),"命中","未命中")))</f>
        <v/>
      </c>
    </row>
    <row r="996">
      <c r="A996" s="19" t="n">
        <v>995</v>
      </c>
      <c r="B996" s="19">
        <f>IF(COUNTA(C996:E996)=0,"",B995+1)</f>
        <v/>
      </c>
      <c r="C996" s="19" t="inlineStr"/>
      <c r="D996" s="19" t="n"/>
      <c r="E996" s="19" t="n"/>
      <c r="F996" s="19">
        <f>IF(COUNTA(D996:E996)=0,"",N(D996)-N(E996))</f>
        <v/>
      </c>
      <c r="G996" s="19">
        <f>IFERROR(VLOOKUP($B996,'开奖记录'!$A:$K,2,FALSE),"")</f>
        <v/>
      </c>
      <c r="H996" s="19">
        <f>IFERROR(VLOOKUP($B996,'开奖记录'!$A:$K,9,FALSE),"")</f>
        <v/>
      </c>
      <c r="I996" s="19">
        <f>IFERROR(VLOOKUP($B996,'开奖记录'!$A:$K,11,FALSE),"")</f>
        <v/>
      </c>
      <c r="J996" s="19">
        <f>IF($B996="","",IF(ISNUMBER($D996),"命中",IF(ISNUMBER($E996),"未命中","")))</f>
        <v/>
      </c>
      <c r="K996" s="19" t="inlineStr"/>
      <c r="L996" s="19">
        <f>IFERROR(TEXT(VLOOKUP($B996-1,开奖记录!$A:$L,3,FALSE),"00")&amp;"+5="&amp;VLOOKUP(MOD(VLOOKUP($B996-1,开奖记录!$A:$L,3,FALSE)+4,49)+1,规律参数!$A:$C,3,FALSE),"")</f>
        <v/>
      </c>
      <c r="M996" s="19">
        <f>IF(L996="","",IF(I996="","待开奖",IF(ISNUMBER(SEARCH(I996,L996)),"命中","未命中")))</f>
        <v/>
      </c>
      <c r="N996" s="19">
        <f>IFERROR(VLOOKUP(VLOOKUP($B996-1,开奖记录!$A:$L,11,FALSE),八肖参数!$A:$B,2,FALSE),"")</f>
        <v/>
      </c>
      <c r="O996" s="19">
        <f>IF(N996="","",IF(I996="","待开奖",IF(ISNUMBER(SEARCH(I996,N996)),"命中","未命中")))</f>
        <v/>
      </c>
    </row>
    <row r="997">
      <c r="A997" s="19" t="n">
        <v>996</v>
      </c>
      <c r="B997" s="19">
        <f>IF(COUNTA(C997:E997)=0,"",B996+1)</f>
        <v/>
      </c>
      <c r="C997" s="19" t="inlineStr"/>
      <c r="D997" s="19" t="n"/>
      <c r="E997" s="19" t="n"/>
      <c r="F997" s="19">
        <f>IF(COUNTA(D997:E997)=0,"",N(D997)-N(E997))</f>
        <v/>
      </c>
      <c r="G997" s="19">
        <f>IFERROR(VLOOKUP($B997,'开奖记录'!$A:$K,2,FALSE),"")</f>
        <v/>
      </c>
      <c r="H997" s="19">
        <f>IFERROR(VLOOKUP($B997,'开奖记录'!$A:$K,9,FALSE),"")</f>
        <v/>
      </c>
      <c r="I997" s="19">
        <f>IFERROR(VLOOKUP($B997,'开奖记录'!$A:$K,11,FALSE),"")</f>
        <v/>
      </c>
      <c r="J997" s="19">
        <f>IF($B997="","",IF(ISNUMBER($D997),"命中",IF(ISNUMBER($E997),"未命中","")))</f>
        <v/>
      </c>
      <c r="K997" s="19" t="inlineStr"/>
      <c r="L997" s="19">
        <f>IFERROR(TEXT(VLOOKUP($B997-1,开奖记录!$A:$L,3,FALSE),"00")&amp;"+5="&amp;VLOOKUP(MOD(VLOOKUP($B997-1,开奖记录!$A:$L,3,FALSE)+4,49)+1,规律参数!$A:$C,3,FALSE),"")</f>
        <v/>
      </c>
      <c r="M997" s="19">
        <f>IF(L997="","",IF(I997="","待开奖",IF(ISNUMBER(SEARCH(I997,L997)),"命中","未命中")))</f>
        <v/>
      </c>
      <c r="N997" s="19">
        <f>IFERROR(VLOOKUP(VLOOKUP($B997-1,开奖记录!$A:$L,11,FALSE),八肖参数!$A:$B,2,FALSE),"")</f>
        <v/>
      </c>
      <c r="O997" s="19">
        <f>IF(N997="","",IF(I997="","待开奖",IF(ISNUMBER(SEARCH(I997,N997)),"命中","未命中")))</f>
        <v/>
      </c>
    </row>
    <row r="998">
      <c r="A998" s="19" t="n">
        <v>997</v>
      </c>
      <c r="B998" s="19">
        <f>IF(COUNTA(C998:E998)=0,"",B997+1)</f>
        <v/>
      </c>
      <c r="C998" s="19" t="inlineStr"/>
      <c r="D998" s="19" t="n"/>
      <c r="E998" s="19" t="n"/>
      <c r="F998" s="19">
        <f>IF(COUNTA(D998:E998)=0,"",N(D998)-N(E998))</f>
        <v/>
      </c>
      <c r="G998" s="19">
        <f>IFERROR(VLOOKUP($B998,'开奖记录'!$A:$K,2,FALSE),"")</f>
        <v/>
      </c>
      <c r="H998" s="19">
        <f>IFERROR(VLOOKUP($B998,'开奖记录'!$A:$K,9,FALSE),"")</f>
        <v/>
      </c>
      <c r="I998" s="19">
        <f>IFERROR(VLOOKUP($B998,'开奖记录'!$A:$K,11,FALSE),"")</f>
        <v/>
      </c>
      <c r="J998" s="19">
        <f>IF($B998="","",IF(ISNUMBER($D998),"命中",IF(ISNUMBER($E998),"未命中","")))</f>
        <v/>
      </c>
      <c r="K998" s="19" t="inlineStr"/>
      <c r="L998" s="19">
        <f>IFERROR(TEXT(VLOOKUP($B998-1,开奖记录!$A:$L,3,FALSE),"00")&amp;"+5="&amp;VLOOKUP(MOD(VLOOKUP($B998-1,开奖记录!$A:$L,3,FALSE)+4,49)+1,规律参数!$A:$C,3,FALSE),"")</f>
        <v/>
      </c>
      <c r="M998" s="19">
        <f>IF(L998="","",IF(I998="","待开奖",IF(ISNUMBER(SEARCH(I998,L998)),"命中","未命中")))</f>
        <v/>
      </c>
      <c r="N998" s="19">
        <f>IFERROR(VLOOKUP(VLOOKUP($B998-1,开奖记录!$A:$L,11,FALSE),八肖参数!$A:$B,2,FALSE),"")</f>
        <v/>
      </c>
      <c r="O998" s="19">
        <f>IF(N998="","",IF(I998="","待开奖",IF(ISNUMBER(SEARCH(I998,N998)),"命中","未命中")))</f>
        <v/>
      </c>
    </row>
    <row r="999">
      <c r="A999" s="19" t="n">
        <v>998</v>
      </c>
      <c r="B999" s="19">
        <f>IF(COUNTA(C999:E999)=0,"",B998+1)</f>
        <v/>
      </c>
      <c r="C999" s="19" t="inlineStr"/>
      <c r="D999" s="19" t="n"/>
      <c r="E999" s="19" t="n"/>
      <c r="F999" s="19">
        <f>IF(COUNTA(D999:E999)=0,"",N(D999)-N(E999))</f>
        <v/>
      </c>
      <c r="G999" s="19">
        <f>IFERROR(VLOOKUP($B999,'开奖记录'!$A:$K,2,FALSE),"")</f>
        <v/>
      </c>
      <c r="H999" s="19">
        <f>IFERROR(VLOOKUP($B999,'开奖记录'!$A:$K,9,FALSE),"")</f>
        <v/>
      </c>
      <c r="I999" s="19">
        <f>IFERROR(VLOOKUP($B999,'开奖记录'!$A:$K,11,FALSE),"")</f>
        <v/>
      </c>
      <c r="J999" s="19">
        <f>IF($B999="","",IF(ISNUMBER($D999),"命中",IF(ISNUMBER($E999),"未命中","")))</f>
        <v/>
      </c>
      <c r="K999" s="19" t="inlineStr"/>
      <c r="L999" s="19">
        <f>IFERROR(TEXT(VLOOKUP($B999-1,开奖记录!$A:$L,3,FALSE),"00")&amp;"+5="&amp;VLOOKUP(MOD(VLOOKUP($B999-1,开奖记录!$A:$L,3,FALSE)+4,49)+1,规律参数!$A:$C,3,FALSE),"")</f>
        <v/>
      </c>
      <c r="M999" s="19">
        <f>IF(L999="","",IF(I999="","待开奖",IF(ISNUMBER(SEARCH(I999,L999)),"命中","未命中")))</f>
        <v/>
      </c>
      <c r="N999" s="19">
        <f>IFERROR(VLOOKUP(VLOOKUP($B999-1,开奖记录!$A:$L,11,FALSE),八肖参数!$A:$B,2,FALSE),"")</f>
        <v/>
      </c>
      <c r="O999" s="19">
        <f>IF(N999="","",IF(I999="","待开奖",IF(ISNUMBER(SEARCH(I999,N999)),"命中","未命中")))</f>
        <v/>
      </c>
    </row>
    <row r="1000">
      <c r="A1000" s="19" t="n">
        <v>999</v>
      </c>
      <c r="B1000" s="19">
        <f>IF(COUNTA(C1000:E1000)=0,"",B999+1)</f>
        <v/>
      </c>
      <c r="C1000" s="19" t="inlineStr"/>
      <c r="D1000" s="19" t="n"/>
      <c r="E1000" s="19" t="n"/>
      <c r="F1000" s="19">
        <f>IF(COUNTA(D1000:E1000)=0,"",N(D1000)-N(E1000))</f>
        <v/>
      </c>
      <c r="G1000" s="19">
        <f>IFERROR(VLOOKUP($B1000,'开奖记录'!$A:$K,2,FALSE),"")</f>
        <v/>
      </c>
      <c r="H1000" s="19">
        <f>IFERROR(VLOOKUP($B1000,'开奖记录'!$A:$K,9,FALSE),"")</f>
        <v/>
      </c>
      <c r="I1000" s="19">
        <f>IFERROR(VLOOKUP($B1000,'开奖记录'!$A:$K,11,FALSE),"")</f>
        <v/>
      </c>
      <c r="J1000" s="19">
        <f>IF($B1000="","",IF(ISNUMBER($D1000),"命中",IF(ISNUMBER($E1000),"未命中","")))</f>
        <v/>
      </c>
      <c r="K1000" s="19" t="inlineStr"/>
      <c r="L1000" s="19">
        <f>IFERROR(TEXT(VLOOKUP($B1000-1,开奖记录!$A:$L,3,FALSE),"00")&amp;"+5="&amp;VLOOKUP(MOD(VLOOKUP($B1000-1,开奖记录!$A:$L,3,FALSE)+4,49)+1,规律参数!$A:$C,3,FALSE),"")</f>
        <v/>
      </c>
      <c r="M1000" s="19">
        <f>IF(L1000="","",IF(I1000="","待开奖",IF(ISNUMBER(SEARCH(I1000,L1000)),"命中","未命中")))</f>
        <v/>
      </c>
      <c r="N1000" s="19">
        <f>IFERROR(VLOOKUP(VLOOKUP($B1000-1,开奖记录!$A:$L,11,FALSE),八肖参数!$A:$B,2,FALSE),"")</f>
        <v/>
      </c>
      <c r="O1000" s="19">
        <f>IF(N1000="","",IF(I1000="","待开奖",IF(ISNUMBER(SEARCH(I1000,N1000)),"命中","未命中")))</f>
        <v/>
      </c>
    </row>
    <row r="1001">
      <c r="A1001" s="19" t="n">
        <v>1000</v>
      </c>
      <c r="B1001" s="19">
        <f>IF(COUNTA(C1001:E1001)=0,"",B1000+1)</f>
        <v/>
      </c>
      <c r="C1001" s="19" t="inlineStr"/>
      <c r="D1001" s="19" t="n"/>
      <c r="E1001" s="19" t="n"/>
      <c r="F1001" s="19">
        <f>IF(COUNTA(D1001:E1001)=0,"",N(D1001)-N(E1001))</f>
        <v/>
      </c>
      <c r="G1001" s="19">
        <f>IFERROR(VLOOKUP($B1001,'开奖记录'!$A:$K,2,FALSE),"")</f>
        <v/>
      </c>
      <c r="H1001" s="19">
        <f>IFERROR(VLOOKUP($B1001,'开奖记录'!$A:$K,9,FALSE),"")</f>
        <v/>
      </c>
      <c r="I1001" s="19">
        <f>IFERROR(VLOOKUP($B1001,'开奖记录'!$A:$K,11,FALSE),"")</f>
        <v/>
      </c>
      <c r="J1001" s="19">
        <f>IF($B1001="","",IF(ISNUMBER($D1001),"命中",IF(ISNUMBER($E1001),"未命中","")))</f>
        <v/>
      </c>
      <c r="K1001" s="19" t="inlineStr"/>
      <c r="L1001" s="19">
        <f>IFERROR(TEXT(VLOOKUP($B1001-1,开奖记录!$A:$L,3,FALSE),"00")&amp;"+5="&amp;VLOOKUP(MOD(VLOOKUP($B1001-1,开奖记录!$A:$L,3,FALSE)+4,49)+1,规律参数!$A:$C,3,FALSE),"")</f>
        <v/>
      </c>
      <c r="M1001" s="19">
        <f>IF(L1001="","",IF(I1001="","待开奖",IF(ISNUMBER(SEARCH(I1001,L1001)),"命中","未命中")))</f>
        <v/>
      </c>
      <c r="N1001" s="19">
        <f>IFERROR(VLOOKUP(VLOOKUP($B1001-1,开奖记录!$A:$L,11,FALSE),八肖参数!$A:$B,2,FALSE),"")</f>
        <v/>
      </c>
      <c r="O1001" s="19">
        <f>IF(N1001="","",IF(I1001="","待开奖",IF(ISNUMBER(SEARCH(I1001,N1001)),"命中","未命中")))</f>
        <v/>
      </c>
    </row>
  </sheetData>
  <autoFilter ref="A1:O1001"/>
  <conditionalFormatting sqref="H2:H1001">
    <cfRule type="cellIs" priority="1" operator="greaterThan" dxfId="17">
      <formula>0</formula>
    </cfRule>
    <cfRule type="cellIs" priority="2" operator="lessThan" dxfId="18">
      <formula>0</formula>
    </cfRule>
  </conditionalFormatting>
  <conditionalFormatting sqref="L2:L1001">
    <cfRule type="expression" priority="3" dxfId="19">
      <formula>L2="命中"</formula>
    </cfRule>
    <cfRule type="expression" priority="4" dxfId="20">
      <formula>L2="未命中"</formula>
    </cfRule>
  </conditionalFormatting>
  <conditionalFormatting sqref="N2:N1001">
    <cfRule type="expression" priority="5" dxfId="19">
      <formula>$O2="命中"</formula>
    </cfRule>
  </conditionalFormatting>
  <conditionalFormatting sqref="O2:O1001">
    <cfRule type="expression" priority="6" dxfId="19">
      <formula>O2="命中"</formula>
    </cfRule>
  </conditionalFormatting>
  <conditionalFormatting sqref="P2:P1001">
    <cfRule type="expression" priority="7" dxfId="19">
      <formula>$Q2="命中"</formula>
    </cfRule>
  </conditionalFormatting>
  <conditionalFormatting sqref="Q2:Q1001">
    <cfRule type="expression" priority="8" dxfId="19">
      <formula>Q2="命中"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36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1" min="1" max="1"/>
    <col width="15" customWidth="1" style="21" min="2" max="2"/>
    <col width="13" customWidth="1" style="21" min="3" max="3"/>
    <col width="13" customWidth="1" style="21" min="4" max="4"/>
    <col width="18" customWidth="1" style="21" min="5" max="5"/>
    <col width="13" customWidth="1" style="21" min="6" max="6"/>
    <col width="16" customWidth="1" style="21" min="7" max="7"/>
    <col width="13" customWidth="1" style="21" min="8" max="8"/>
    <col width="24" customWidth="1" style="21" min="9" max="9"/>
  </cols>
  <sheetData>
    <row r="1" ht="30" customHeight="1" s="21">
      <c r="A1" s="31" t="inlineStr">
        <is>
          <t>期号</t>
        </is>
      </c>
      <c r="B1" s="31" t="inlineStr">
        <is>
          <t>上期第1平码</t>
        </is>
      </c>
      <c r="C1" s="31" t="inlineStr">
        <is>
          <t>加5后号码</t>
        </is>
      </c>
      <c r="D1" s="31" t="inlineStr">
        <is>
          <t>加5后生肖</t>
        </is>
      </c>
      <c r="E1" s="31" t="inlineStr">
        <is>
          <t>建议4肖</t>
        </is>
      </c>
      <c r="F1" s="31" t="inlineStr">
        <is>
          <t>本期特玛</t>
        </is>
      </c>
      <c r="G1" s="31" t="inlineStr">
        <is>
          <t>本期特玛生肖</t>
        </is>
      </c>
      <c r="H1" s="31" t="inlineStr">
        <is>
          <t>验算结果</t>
        </is>
      </c>
      <c r="I1" s="31" t="inlineStr">
        <is>
          <t>规律说明</t>
        </is>
      </c>
    </row>
    <row r="2" ht="23" customHeight="1" s="21">
      <c r="A2" s="32">
        <f>IFERROR(LARGE(开奖记录!$A$2:$A$400,1),"")</f>
        <v/>
      </c>
      <c r="B2" s="32">
        <f>IF($A2="","",IFERROR(VLOOKUP($A2-1,开奖记录!$A:$L,3,FALSE),""))</f>
        <v/>
      </c>
      <c r="C2" s="32">
        <f>IF(B2="","",MOD(B2+4,49)+1)</f>
        <v/>
      </c>
      <c r="D2" s="32">
        <f>IF(C2="","",IFERROR(VLOOKUP(C2,规律参数!$A:$C,2,FALSE),""))</f>
        <v/>
      </c>
      <c r="E2" s="36">
        <f>IF(C2="","",IFERROR(VLOOKUP(C2,规律参数!$A:$C,3,FALSE),""))</f>
        <v/>
      </c>
      <c r="F2" s="32">
        <f>IF($A2="","",IFERROR(VLOOKUP($A2,开奖记录!$A:$L,9,FALSE),""))</f>
        <v/>
      </c>
      <c r="G2" s="32">
        <f>IF($A2="","",IFERROR(VLOOKUP($A2,开奖记录!$A:$L,11,FALSE),""))</f>
        <v/>
      </c>
      <c r="H2" s="32">
        <f>IF(A2="","",IF(B2="","缺上期数据",IF(G2="","待开奖",IF(ISNUMBER(SEARCH(G2,E2)),"命中","未命中"))))</f>
        <v/>
      </c>
      <c r="I2" s="32">
        <f>IF(B2="","",TEXT(B2,"00")&amp;"+5="&amp;E2)</f>
        <v/>
      </c>
    </row>
    <row r="3" ht="23" customHeight="1" s="21">
      <c r="A3" s="32">
        <f>IFERROR(LARGE(开奖记录!$A$2:$A$400,2),"")</f>
        <v/>
      </c>
      <c r="B3" s="32">
        <f>IF($A3="","",IFERROR(VLOOKUP($A3-1,开奖记录!$A:$L,3,FALSE),""))</f>
        <v/>
      </c>
      <c r="C3" s="32">
        <f>IF(B3="","",MOD(B3+4,49)+1)</f>
        <v/>
      </c>
      <c r="D3" s="32">
        <f>IF(C3="","",IFERROR(VLOOKUP(C3,规律参数!$A:$C,2,FALSE),""))</f>
        <v/>
      </c>
      <c r="E3" s="36">
        <f>IF(C3="","",IFERROR(VLOOKUP(C3,规律参数!$A:$C,3,FALSE),""))</f>
        <v/>
      </c>
      <c r="F3" s="32">
        <f>IF($A3="","",IFERROR(VLOOKUP($A3,开奖记录!$A:$L,9,FALSE),""))</f>
        <v/>
      </c>
      <c r="G3" s="32">
        <f>IF($A3="","",IFERROR(VLOOKUP($A3,开奖记录!$A:$L,11,FALSE),""))</f>
        <v/>
      </c>
      <c r="H3" s="32">
        <f>IF(A3="","",IF(B3="","缺上期数据",IF(G3="","待开奖",IF(ISNUMBER(SEARCH(G3,E3)),"命中","未命中"))))</f>
        <v/>
      </c>
      <c r="I3" s="32">
        <f>IF(B3="","",TEXT(B3,"00")&amp;"+5="&amp;E3)</f>
        <v/>
      </c>
    </row>
    <row r="4" ht="23" customHeight="1" s="21">
      <c r="A4" s="32">
        <f>IFERROR(LARGE(开奖记录!$A$2:$A$400,3),"")</f>
        <v/>
      </c>
      <c r="B4" s="32">
        <f>IF($A4="","",IFERROR(VLOOKUP($A4-1,开奖记录!$A:$L,3,FALSE),""))</f>
        <v/>
      </c>
      <c r="C4" s="32">
        <f>IF(B4="","",MOD(B4+4,49)+1)</f>
        <v/>
      </c>
      <c r="D4" s="32">
        <f>IF(C4="","",IFERROR(VLOOKUP(C4,规律参数!$A:$C,2,FALSE),""))</f>
        <v/>
      </c>
      <c r="E4" s="36">
        <f>IF(C4="","",IFERROR(VLOOKUP(C4,规律参数!$A:$C,3,FALSE),""))</f>
        <v/>
      </c>
      <c r="F4" s="32">
        <f>IF($A4="","",IFERROR(VLOOKUP($A4,开奖记录!$A:$L,9,FALSE),""))</f>
        <v/>
      </c>
      <c r="G4" s="32">
        <f>IF($A4="","",IFERROR(VLOOKUP($A4,开奖记录!$A:$L,11,FALSE),""))</f>
        <v/>
      </c>
      <c r="H4" s="32">
        <f>IF(A4="","",IF(B4="","缺上期数据",IF(G4="","待开奖",IF(ISNUMBER(SEARCH(G4,E4)),"命中","未命中"))))</f>
        <v/>
      </c>
      <c r="I4" s="32">
        <f>IF(B4="","",TEXT(B4,"00")&amp;"+5="&amp;E4)</f>
        <v/>
      </c>
    </row>
    <row r="5" ht="23" customHeight="1" s="21">
      <c r="A5" s="32">
        <f>IFERROR(LARGE(开奖记录!$A$2:$A$400,4),"")</f>
        <v/>
      </c>
      <c r="B5" s="32">
        <f>IF($A5="","",IFERROR(VLOOKUP($A5-1,开奖记录!$A:$L,3,FALSE),""))</f>
        <v/>
      </c>
      <c r="C5" s="32">
        <f>IF(B5="","",MOD(B5+4,49)+1)</f>
        <v/>
      </c>
      <c r="D5" s="32">
        <f>IF(C5="","",IFERROR(VLOOKUP(C5,规律参数!$A:$C,2,FALSE),""))</f>
        <v/>
      </c>
      <c r="E5" s="36">
        <f>IF(C5="","",IFERROR(VLOOKUP(C5,规律参数!$A:$C,3,FALSE),""))</f>
        <v/>
      </c>
      <c r="F5" s="32">
        <f>IF($A5="","",IFERROR(VLOOKUP($A5,开奖记录!$A:$L,9,FALSE),""))</f>
        <v/>
      </c>
      <c r="G5" s="32">
        <f>IF($A5="","",IFERROR(VLOOKUP($A5,开奖记录!$A:$L,11,FALSE),""))</f>
        <v/>
      </c>
      <c r="H5" s="32">
        <f>IF(A5="","",IF(B5="","缺上期数据",IF(G5="","待开奖",IF(ISNUMBER(SEARCH(G5,E5)),"命中","未命中"))))</f>
        <v/>
      </c>
      <c r="I5" s="32">
        <f>IF(B5="","",TEXT(B5,"00")&amp;"+5="&amp;E5)</f>
        <v/>
      </c>
    </row>
    <row r="6" ht="23" customHeight="1" s="21">
      <c r="A6" s="32">
        <f>IFERROR(LARGE(开奖记录!$A$2:$A$400,5),"")</f>
        <v/>
      </c>
      <c r="B6" s="32">
        <f>IF($A6="","",IFERROR(VLOOKUP($A6-1,开奖记录!$A:$L,3,FALSE),""))</f>
        <v/>
      </c>
      <c r="C6" s="32">
        <f>IF(B6="","",MOD(B6+4,49)+1)</f>
        <v/>
      </c>
      <c r="D6" s="32">
        <f>IF(C6="","",IFERROR(VLOOKUP(C6,规律参数!$A:$C,2,FALSE),""))</f>
        <v/>
      </c>
      <c r="E6" s="36">
        <f>IF(C6="","",IFERROR(VLOOKUP(C6,规律参数!$A:$C,3,FALSE),""))</f>
        <v/>
      </c>
      <c r="F6" s="32">
        <f>IF($A6="","",IFERROR(VLOOKUP($A6,开奖记录!$A:$L,9,FALSE),""))</f>
        <v/>
      </c>
      <c r="G6" s="32">
        <f>IF($A6="","",IFERROR(VLOOKUP($A6,开奖记录!$A:$L,11,FALSE),""))</f>
        <v/>
      </c>
      <c r="H6" s="32">
        <f>IF(A6="","",IF(B6="","缺上期数据",IF(G6="","待开奖",IF(ISNUMBER(SEARCH(G6,E6)),"命中","未命中"))))</f>
        <v/>
      </c>
      <c r="I6" s="32">
        <f>IF(B6="","",TEXT(B6,"00")&amp;"+5="&amp;E6)</f>
        <v/>
      </c>
    </row>
    <row r="7" ht="23" customHeight="1" s="21">
      <c r="A7" s="32">
        <f>IFERROR(LARGE(开奖记录!$A$2:$A$400,6),"")</f>
        <v/>
      </c>
      <c r="B7" s="32">
        <f>IF($A7="","",IFERROR(VLOOKUP($A7-1,开奖记录!$A:$L,3,FALSE),""))</f>
        <v/>
      </c>
      <c r="C7" s="32">
        <f>IF(B7="","",MOD(B7+4,49)+1)</f>
        <v/>
      </c>
      <c r="D7" s="32">
        <f>IF(C7="","",IFERROR(VLOOKUP(C7,规律参数!$A:$C,2,FALSE),""))</f>
        <v/>
      </c>
      <c r="E7" s="36">
        <f>IF(C7="","",IFERROR(VLOOKUP(C7,规律参数!$A:$C,3,FALSE),""))</f>
        <v/>
      </c>
      <c r="F7" s="32">
        <f>IF($A7="","",IFERROR(VLOOKUP($A7,开奖记录!$A:$L,9,FALSE),""))</f>
        <v/>
      </c>
      <c r="G7" s="32">
        <f>IF($A7="","",IFERROR(VLOOKUP($A7,开奖记录!$A:$L,11,FALSE),""))</f>
        <v/>
      </c>
      <c r="H7" s="32">
        <f>IF(A7="","",IF(B7="","缺上期数据",IF(G7="","待开奖",IF(ISNUMBER(SEARCH(G7,E7)),"命中","未命中"))))</f>
        <v/>
      </c>
      <c r="I7" s="32">
        <f>IF(B7="","",TEXT(B7,"00")&amp;"+5="&amp;E7)</f>
        <v/>
      </c>
    </row>
    <row r="8" ht="23" customHeight="1" s="21">
      <c r="A8" s="32">
        <f>IFERROR(LARGE(开奖记录!$A$2:$A$400,7),"")</f>
        <v/>
      </c>
      <c r="B8" s="32">
        <f>IF($A8="","",IFERROR(VLOOKUP($A8-1,开奖记录!$A:$L,3,FALSE),""))</f>
        <v/>
      </c>
      <c r="C8" s="32">
        <f>IF(B8="","",MOD(B8+4,49)+1)</f>
        <v/>
      </c>
      <c r="D8" s="32">
        <f>IF(C8="","",IFERROR(VLOOKUP(C8,规律参数!$A:$C,2,FALSE),""))</f>
        <v/>
      </c>
      <c r="E8" s="36">
        <f>IF(C8="","",IFERROR(VLOOKUP(C8,规律参数!$A:$C,3,FALSE),""))</f>
        <v/>
      </c>
      <c r="F8" s="32">
        <f>IF($A8="","",IFERROR(VLOOKUP($A8,开奖记录!$A:$L,9,FALSE),""))</f>
        <v/>
      </c>
      <c r="G8" s="32">
        <f>IF($A8="","",IFERROR(VLOOKUP($A8,开奖记录!$A:$L,11,FALSE),""))</f>
        <v/>
      </c>
      <c r="H8" s="32">
        <f>IF(A8="","",IF(B8="","缺上期数据",IF(G8="","待开奖",IF(ISNUMBER(SEARCH(G8,E8)),"命中","未命中"))))</f>
        <v/>
      </c>
      <c r="I8" s="32">
        <f>IF(B8="","",TEXT(B8,"00")&amp;"+5="&amp;E8)</f>
        <v/>
      </c>
    </row>
    <row r="9" ht="23" customHeight="1" s="21">
      <c r="A9" s="32">
        <f>IFERROR(LARGE(开奖记录!$A$2:$A$400,8),"")</f>
        <v/>
      </c>
      <c r="B9" s="32">
        <f>IF($A9="","",IFERROR(VLOOKUP($A9-1,开奖记录!$A:$L,3,FALSE),""))</f>
        <v/>
      </c>
      <c r="C9" s="32">
        <f>IF(B9="","",MOD(B9+4,49)+1)</f>
        <v/>
      </c>
      <c r="D9" s="32">
        <f>IF(C9="","",IFERROR(VLOOKUP(C9,规律参数!$A:$C,2,FALSE),""))</f>
        <v/>
      </c>
      <c r="E9" s="36">
        <f>IF(C9="","",IFERROR(VLOOKUP(C9,规律参数!$A:$C,3,FALSE),""))</f>
        <v/>
      </c>
      <c r="F9" s="32">
        <f>IF($A9="","",IFERROR(VLOOKUP($A9,开奖记录!$A:$L,9,FALSE),""))</f>
        <v/>
      </c>
      <c r="G9" s="32">
        <f>IF($A9="","",IFERROR(VLOOKUP($A9,开奖记录!$A:$L,11,FALSE),""))</f>
        <v/>
      </c>
      <c r="H9" s="32">
        <f>IF(A9="","",IF(B9="","缺上期数据",IF(G9="","待开奖",IF(ISNUMBER(SEARCH(G9,E9)),"命中","未命中"))))</f>
        <v/>
      </c>
      <c r="I9" s="32">
        <f>IF(B9="","",TEXT(B9,"00")&amp;"+5="&amp;E9)</f>
        <v/>
      </c>
    </row>
    <row r="10" ht="23" customHeight="1" s="21">
      <c r="A10" s="32">
        <f>IFERROR(LARGE(开奖记录!$A$2:$A$400,9),"")</f>
        <v/>
      </c>
      <c r="B10" s="32">
        <f>IF($A10="","",IFERROR(VLOOKUP($A10-1,开奖记录!$A:$L,3,FALSE),""))</f>
        <v/>
      </c>
      <c r="C10" s="32">
        <f>IF(B10="","",MOD(B10+4,49)+1)</f>
        <v/>
      </c>
      <c r="D10" s="32">
        <f>IF(C10="","",IFERROR(VLOOKUP(C10,规律参数!$A:$C,2,FALSE),""))</f>
        <v/>
      </c>
      <c r="E10" s="36">
        <f>IF(C10="","",IFERROR(VLOOKUP(C10,规律参数!$A:$C,3,FALSE),""))</f>
        <v/>
      </c>
      <c r="F10" s="32">
        <f>IF($A10="","",IFERROR(VLOOKUP($A10,开奖记录!$A:$L,9,FALSE),""))</f>
        <v/>
      </c>
      <c r="G10" s="32">
        <f>IF($A10="","",IFERROR(VLOOKUP($A10,开奖记录!$A:$L,11,FALSE),""))</f>
        <v/>
      </c>
      <c r="H10" s="32">
        <f>IF(A10="","",IF(B10="","缺上期数据",IF(G10="","待开奖",IF(ISNUMBER(SEARCH(G10,E10)),"命中","未命中"))))</f>
        <v/>
      </c>
      <c r="I10" s="32">
        <f>IF(B10="","",TEXT(B10,"00")&amp;"+5="&amp;E10)</f>
        <v/>
      </c>
    </row>
    <row r="11" ht="23" customHeight="1" s="21">
      <c r="A11" s="32">
        <f>IFERROR(LARGE(开奖记录!$A$2:$A$400,10),"")</f>
        <v/>
      </c>
      <c r="B11" s="32">
        <f>IF($A11="","",IFERROR(VLOOKUP($A11-1,开奖记录!$A:$L,3,FALSE),""))</f>
        <v/>
      </c>
      <c r="C11" s="32">
        <f>IF(B11="","",MOD(B11+4,49)+1)</f>
        <v/>
      </c>
      <c r="D11" s="32">
        <f>IF(C11="","",IFERROR(VLOOKUP(C11,规律参数!$A:$C,2,FALSE),""))</f>
        <v/>
      </c>
      <c r="E11" s="36">
        <f>IF(C11="","",IFERROR(VLOOKUP(C11,规律参数!$A:$C,3,FALSE),""))</f>
        <v/>
      </c>
      <c r="F11" s="32">
        <f>IF($A11="","",IFERROR(VLOOKUP($A11,开奖记录!$A:$L,9,FALSE),""))</f>
        <v/>
      </c>
      <c r="G11" s="32">
        <f>IF($A11="","",IFERROR(VLOOKUP($A11,开奖记录!$A:$L,11,FALSE),""))</f>
        <v/>
      </c>
      <c r="H11" s="32">
        <f>IF(A11="","",IF(B11="","缺上期数据",IF(G11="","待开奖",IF(ISNUMBER(SEARCH(G11,E11)),"命中","未命中"))))</f>
        <v/>
      </c>
      <c r="I11" s="32">
        <f>IF(B11="","",TEXT(B11,"00")&amp;"+5="&amp;E11)</f>
        <v/>
      </c>
    </row>
    <row r="12" ht="23" customHeight="1" s="21">
      <c r="A12" s="32">
        <f>IFERROR(LARGE(开奖记录!$A$2:$A$400,11),"")</f>
        <v/>
      </c>
      <c r="B12" s="32">
        <f>IF($A12="","",IFERROR(VLOOKUP($A12-1,开奖记录!$A:$L,3,FALSE),""))</f>
        <v/>
      </c>
      <c r="C12" s="32">
        <f>IF(B12="","",MOD(B12+4,49)+1)</f>
        <v/>
      </c>
      <c r="D12" s="32">
        <f>IF(C12="","",IFERROR(VLOOKUP(C12,规律参数!$A:$C,2,FALSE),""))</f>
        <v/>
      </c>
      <c r="E12" s="36">
        <f>IF(C12="","",IFERROR(VLOOKUP(C12,规律参数!$A:$C,3,FALSE),""))</f>
        <v/>
      </c>
      <c r="F12" s="32">
        <f>IF($A12="","",IFERROR(VLOOKUP($A12,开奖记录!$A:$L,9,FALSE),""))</f>
        <v/>
      </c>
      <c r="G12" s="32">
        <f>IF($A12="","",IFERROR(VLOOKUP($A12,开奖记录!$A:$L,11,FALSE),""))</f>
        <v/>
      </c>
      <c r="H12" s="32">
        <f>IF(A12="","",IF(B12="","缺上期数据",IF(G12="","待开奖",IF(ISNUMBER(SEARCH(G12,E12)),"命中","未命中"))))</f>
        <v/>
      </c>
      <c r="I12" s="32">
        <f>IF(B12="","",TEXT(B12,"00")&amp;"+5="&amp;E12)</f>
        <v/>
      </c>
    </row>
    <row r="13" ht="23" customHeight="1" s="21">
      <c r="A13" s="32">
        <f>IFERROR(LARGE(开奖记录!$A$2:$A$400,12),"")</f>
        <v/>
      </c>
      <c r="B13" s="32">
        <f>IF($A13="","",IFERROR(VLOOKUP($A13-1,开奖记录!$A:$L,3,FALSE),""))</f>
        <v/>
      </c>
      <c r="C13" s="32">
        <f>IF(B13="","",MOD(B13+4,49)+1)</f>
        <v/>
      </c>
      <c r="D13" s="32">
        <f>IF(C13="","",IFERROR(VLOOKUP(C13,规律参数!$A:$C,2,FALSE),""))</f>
        <v/>
      </c>
      <c r="E13" s="36">
        <f>IF(C13="","",IFERROR(VLOOKUP(C13,规律参数!$A:$C,3,FALSE),""))</f>
        <v/>
      </c>
      <c r="F13" s="32">
        <f>IF($A13="","",IFERROR(VLOOKUP($A13,开奖记录!$A:$L,9,FALSE),""))</f>
        <v/>
      </c>
      <c r="G13" s="32">
        <f>IF($A13="","",IFERROR(VLOOKUP($A13,开奖记录!$A:$L,11,FALSE),""))</f>
        <v/>
      </c>
      <c r="H13" s="32">
        <f>IF(A13="","",IF(B13="","缺上期数据",IF(G13="","待开奖",IF(ISNUMBER(SEARCH(G13,E13)),"命中","未命中"))))</f>
        <v/>
      </c>
      <c r="I13" s="32">
        <f>IF(B13="","",TEXT(B13,"00")&amp;"+5="&amp;E13)</f>
        <v/>
      </c>
    </row>
    <row r="14" ht="23" customHeight="1" s="21">
      <c r="A14" s="32">
        <f>IFERROR(LARGE(开奖记录!$A$2:$A$400,13),"")</f>
        <v/>
      </c>
      <c r="B14" s="32">
        <f>IF($A14="","",IFERROR(VLOOKUP($A14-1,开奖记录!$A:$L,3,FALSE),""))</f>
        <v/>
      </c>
      <c r="C14" s="32">
        <f>IF(B14="","",MOD(B14+4,49)+1)</f>
        <v/>
      </c>
      <c r="D14" s="32">
        <f>IF(C14="","",IFERROR(VLOOKUP(C14,规律参数!$A:$C,2,FALSE),""))</f>
        <v/>
      </c>
      <c r="E14" s="36">
        <f>IF(C14="","",IFERROR(VLOOKUP(C14,规律参数!$A:$C,3,FALSE),""))</f>
        <v/>
      </c>
      <c r="F14" s="32">
        <f>IF($A14="","",IFERROR(VLOOKUP($A14,开奖记录!$A:$L,9,FALSE),""))</f>
        <v/>
      </c>
      <c r="G14" s="32">
        <f>IF($A14="","",IFERROR(VLOOKUP($A14,开奖记录!$A:$L,11,FALSE),""))</f>
        <v/>
      </c>
      <c r="H14" s="32">
        <f>IF(A14="","",IF(B14="","缺上期数据",IF(G14="","待开奖",IF(ISNUMBER(SEARCH(G14,E14)),"命中","未命中"))))</f>
        <v/>
      </c>
      <c r="I14" s="32">
        <f>IF(B14="","",TEXT(B14,"00")&amp;"+5="&amp;E14)</f>
        <v/>
      </c>
    </row>
    <row r="15" ht="23" customHeight="1" s="21">
      <c r="A15" s="32">
        <f>IFERROR(LARGE(开奖记录!$A$2:$A$400,14),"")</f>
        <v/>
      </c>
      <c r="B15" s="32">
        <f>IF($A15="","",IFERROR(VLOOKUP($A15-1,开奖记录!$A:$L,3,FALSE),""))</f>
        <v/>
      </c>
      <c r="C15" s="32">
        <f>IF(B15="","",MOD(B15+4,49)+1)</f>
        <v/>
      </c>
      <c r="D15" s="32">
        <f>IF(C15="","",IFERROR(VLOOKUP(C15,规律参数!$A:$C,2,FALSE),""))</f>
        <v/>
      </c>
      <c r="E15" s="36">
        <f>IF(C15="","",IFERROR(VLOOKUP(C15,规律参数!$A:$C,3,FALSE),""))</f>
        <v/>
      </c>
      <c r="F15" s="32">
        <f>IF($A15="","",IFERROR(VLOOKUP($A15,开奖记录!$A:$L,9,FALSE),""))</f>
        <v/>
      </c>
      <c r="G15" s="32">
        <f>IF($A15="","",IFERROR(VLOOKUP($A15,开奖记录!$A:$L,11,FALSE),""))</f>
        <v/>
      </c>
      <c r="H15" s="32">
        <f>IF(A15="","",IF(B15="","缺上期数据",IF(G15="","待开奖",IF(ISNUMBER(SEARCH(G15,E15)),"命中","未命中"))))</f>
        <v/>
      </c>
      <c r="I15" s="32">
        <f>IF(B15="","",TEXT(B15,"00")&amp;"+5="&amp;E15)</f>
        <v/>
      </c>
    </row>
    <row r="16" ht="23" customHeight="1" s="21">
      <c r="A16" s="32">
        <f>IFERROR(LARGE(开奖记录!$A$2:$A$400,15),"")</f>
        <v/>
      </c>
      <c r="B16" s="32">
        <f>IF($A16="","",IFERROR(VLOOKUP($A16-1,开奖记录!$A:$L,3,FALSE),""))</f>
        <v/>
      </c>
      <c r="C16" s="32">
        <f>IF(B16="","",MOD(B16+4,49)+1)</f>
        <v/>
      </c>
      <c r="D16" s="32">
        <f>IF(C16="","",IFERROR(VLOOKUP(C16,规律参数!$A:$C,2,FALSE),""))</f>
        <v/>
      </c>
      <c r="E16" s="36">
        <f>IF(C16="","",IFERROR(VLOOKUP(C16,规律参数!$A:$C,3,FALSE),""))</f>
        <v/>
      </c>
      <c r="F16" s="32">
        <f>IF($A16="","",IFERROR(VLOOKUP($A16,开奖记录!$A:$L,9,FALSE),""))</f>
        <v/>
      </c>
      <c r="G16" s="32">
        <f>IF($A16="","",IFERROR(VLOOKUP($A16,开奖记录!$A:$L,11,FALSE),""))</f>
        <v/>
      </c>
      <c r="H16" s="32">
        <f>IF(A16="","",IF(B16="","缺上期数据",IF(G16="","待开奖",IF(ISNUMBER(SEARCH(G16,E16)),"命中","未命中"))))</f>
        <v/>
      </c>
      <c r="I16" s="32">
        <f>IF(B16="","",TEXT(B16,"00")&amp;"+5="&amp;E16)</f>
        <v/>
      </c>
    </row>
    <row r="17" ht="23" customHeight="1" s="21">
      <c r="A17" s="32">
        <f>IFERROR(LARGE(开奖记录!$A$2:$A$400,16),"")</f>
        <v/>
      </c>
      <c r="B17" s="32">
        <f>IF($A17="","",IFERROR(VLOOKUP($A17-1,开奖记录!$A:$L,3,FALSE),""))</f>
        <v/>
      </c>
      <c r="C17" s="32">
        <f>IF(B17="","",MOD(B17+4,49)+1)</f>
        <v/>
      </c>
      <c r="D17" s="32">
        <f>IF(C17="","",IFERROR(VLOOKUP(C17,规律参数!$A:$C,2,FALSE),""))</f>
        <v/>
      </c>
      <c r="E17" s="36">
        <f>IF(C17="","",IFERROR(VLOOKUP(C17,规律参数!$A:$C,3,FALSE),""))</f>
        <v/>
      </c>
      <c r="F17" s="32">
        <f>IF($A17="","",IFERROR(VLOOKUP($A17,开奖记录!$A:$L,9,FALSE),""))</f>
        <v/>
      </c>
      <c r="G17" s="32">
        <f>IF($A17="","",IFERROR(VLOOKUP($A17,开奖记录!$A:$L,11,FALSE),""))</f>
        <v/>
      </c>
      <c r="H17" s="32">
        <f>IF(A17="","",IF(B17="","缺上期数据",IF(G17="","待开奖",IF(ISNUMBER(SEARCH(G17,E17)),"命中","未命中"))))</f>
        <v/>
      </c>
      <c r="I17" s="32">
        <f>IF(B17="","",TEXT(B17,"00")&amp;"+5="&amp;E17)</f>
        <v/>
      </c>
    </row>
    <row r="18" ht="23" customHeight="1" s="21">
      <c r="A18" s="32">
        <f>IFERROR(LARGE(开奖记录!$A$2:$A$400,17),"")</f>
        <v/>
      </c>
      <c r="B18" s="32">
        <f>IF($A18="","",IFERROR(VLOOKUP($A18-1,开奖记录!$A:$L,3,FALSE),""))</f>
        <v/>
      </c>
      <c r="C18" s="32">
        <f>IF(B18="","",MOD(B18+4,49)+1)</f>
        <v/>
      </c>
      <c r="D18" s="32">
        <f>IF(C18="","",IFERROR(VLOOKUP(C18,规律参数!$A:$C,2,FALSE),""))</f>
        <v/>
      </c>
      <c r="E18" s="36">
        <f>IF(C18="","",IFERROR(VLOOKUP(C18,规律参数!$A:$C,3,FALSE),""))</f>
        <v/>
      </c>
      <c r="F18" s="32">
        <f>IF($A18="","",IFERROR(VLOOKUP($A18,开奖记录!$A:$L,9,FALSE),""))</f>
        <v/>
      </c>
      <c r="G18" s="32">
        <f>IF($A18="","",IFERROR(VLOOKUP($A18,开奖记录!$A:$L,11,FALSE),""))</f>
        <v/>
      </c>
      <c r="H18" s="32">
        <f>IF(A18="","",IF(B18="","缺上期数据",IF(G18="","待开奖",IF(ISNUMBER(SEARCH(G18,E18)),"命中","未命中"))))</f>
        <v/>
      </c>
      <c r="I18" s="32">
        <f>IF(B18="","",TEXT(B18,"00")&amp;"+5="&amp;E18)</f>
        <v/>
      </c>
    </row>
    <row r="19" ht="23" customHeight="1" s="21">
      <c r="A19" s="32">
        <f>IFERROR(LARGE(开奖记录!$A$2:$A$400,18),"")</f>
        <v/>
      </c>
      <c r="B19" s="32">
        <f>IF($A19="","",IFERROR(VLOOKUP($A19-1,开奖记录!$A:$L,3,FALSE),""))</f>
        <v/>
      </c>
      <c r="C19" s="32">
        <f>IF(B19="","",MOD(B19+4,49)+1)</f>
        <v/>
      </c>
      <c r="D19" s="32">
        <f>IF(C19="","",IFERROR(VLOOKUP(C19,规律参数!$A:$C,2,FALSE),""))</f>
        <v/>
      </c>
      <c r="E19" s="36">
        <f>IF(C19="","",IFERROR(VLOOKUP(C19,规律参数!$A:$C,3,FALSE),""))</f>
        <v/>
      </c>
      <c r="F19" s="32">
        <f>IF($A19="","",IFERROR(VLOOKUP($A19,开奖记录!$A:$L,9,FALSE),""))</f>
        <v/>
      </c>
      <c r="G19" s="32">
        <f>IF($A19="","",IFERROR(VLOOKUP($A19,开奖记录!$A:$L,11,FALSE),""))</f>
        <v/>
      </c>
      <c r="H19" s="32">
        <f>IF(A19="","",IF(B19="","缺上期数据",IF(G19="","待开奖",IF(ISNUMBER(SEARCH(G19,E19)),"命中","未命中"))))</f>
        <v/>
      </c>
      <c r="I19" s="32">
        <f>IF(B19="","",TEXT(B19,"00")&amp;"+5="&amp;E19)</f>
        <v/>
      </c>
    </row>
    <row r="20" ht="23" customHeight="1" s="21">
      <c r="A20" s="32">
        <f>IFERROR(LARGE(开奖记录!$A$2:$A$400,19),"")</f>
        <v/>
      </c>
      <c r="B20" s="32">
        <f>IF($A20="","",IFERROR(VLOOKUP($A20-1,开奖记录!$A:$L,3,FALSE),""))</f>
        <v/>
      </c>
      <c r="C20" s="32">
        <f>IF(B20="","",MOD(B20+4,49)+1)</f>
        <v/>
      </c>
      <c r="D20" s="32">
        <f>IF(C20="","",IFERROR(VLOOKUP(C20,规律参数!$A:$C,2,FALSE),""))</f>
        <v/>
      </c>
      <c r="E20" s="36">
        <f>IF(C20="","",IFERROR(VLOOKUP(C20,规律参数!$A:$C,3,FALSE),""))</f>
        <v/>
      </c>
      <c r="F20" s="32">
        <f>IF($A20="","",IFERROR(VLOOKUP($A20,开奖记录!$A:$L,9,FALSE),""))</f>
        <v/>
      </c>
      <c r="G20" s="32">
        <f>IF($A20="","",IFERROR(VLOOKUP($A20,开奖记录!$A:$L,11,FALSE),""))</f>
        <v/>
      </c>
      <c r="H20" s="32">
        <f>IF(A20="","",IF(B20="","缺上期数据",IF(G20="","待开奖",IF(ISNUMBER(SEARCH(G20,E20)),"命中","未命中"))))</f>
        <v/>
      </c>
      <c r="I20" s="32">
        <f>IF(B20="","",TEXT(B20,"00")&amp;"+5="&amp;E20)</f>
        <v/>
      </c>
    </row>
    <row r="21" ht="23" customHeight="1" s="21">
      <c r="A21" s="32">
        <f>IFERROR(LARGE(开奖记录!$A$2:$A$400,20),"")</f>
        <v/>
      </c>
      <c r="B21" s="32">
        <f>IF($A21="","",IFERROR(VLOOKUP($A21-1,开奖记录!$A:$L,3,FALSE),""))</f>
        <v/>
      </c>
      <c r="C21" s="32">
        <f>IF(B21="","",MOD(B21+4,49)+1)</f>
        <v/>
      </c>
      <c r="D21" s="32">
        <f>IF(C21="","",IFERROR(VLOOKUP(C21,规律参数!$A:$C,2,FALSE),""))</f>
        <v/>
      </c>
      <c r="E21" s="36">
        <f>IF(C21="","",IFERROR(VLOOKUP(C21,规律参数!$A:$C,3,FALSE),""))</f>
        <v/>
      </c>
      <c r="F21" s="32">
        <f>IF($A21="","",IFERROR(VLOOKUP($A21,开奖记录!$A:$L,9,FALSE),""))</f>
        <v/>
      </c>
      <c r="G21" s="32">
        <f>IF($A21="","",IFERROR(VLOOKUP($A21,开奖记录!$A:$L,11,FALSE),""))</f>
        <v/>
      </c>
      <c r="H21" s="32">
        <f>IF(A21="","",IF(B21="","缺上期数据",IF(G21="","待开奖",IF(ISNUMBER(SEARCH(G21,E21)),"命中","未命中"))))</f>
        <v/>
      </c>
      <c r="I21" s="32">
        <f>IF(B21="","",TEXT(B21,"00")&amp;"+5="&amp;E21)</f>
        <v/>
      </c>
    </row>
    <row r="22" ht="23" customHeight="1" s="21">
      <c r="A22" s="32">
        <f>IFERROR(LARGE(开奖记录!$A$2:$A$400,21),"")</f>
        <v/>
      </c>
      <c r="B22" s="32">
        <f>IF($A22="","",IFERROR(VLOOKUP($A22-1,开奖记录!$A:$L,3,FALSE),""))</f>
        <v/>
      </c>
      <c r="C22" s="32">
        <f>IF(B22="","",MOD(B22+4,49)+1)</f>
        <v/>
      </c>
      <c r="D22" s="32">
        <f>IF(C22="","",IFERROR(VLOOKUP(C22,规律参数!$A:$C,2,FALSE),""))</f>
        <v/>
      </c>
      <c r="E22" s="36">
        <f>IF(C22="","",IFERROR(VLOOKUP(C22,规律参数!$A:$C,3,FALSE),""))</f>
        <v/>
      </c>
      <c r="F22" s="32">
        <f>IF($A22="","",IFERROR(VLOOKUP($A22,开奖记录!$A:$L,9,FALSE),""))</f>
        <v/>
      </c>
      <c r="G22" s="32">
        <f>IF($A22="","",IFERROR(VLOOKUP($A22,开奖记录!$A:$L,11,FALSE),""))</f>
        <v/>
      </c>
      <c r="H22" s="32">
        <f>IF(A22="","",IF(B22="","缺上期数据",IF(G22="","待开奖",IF(ISNUMBER(SEARCH(G22,E22)),"命中","未命中"))))</f>
        <v/>
      </c>
      <c r="I22" s="32">
        <f>IF(B22="","",TEXT(B22,"00")&amp;"+5="&amp;E22)</f>
        <v/>
      </c>
    </row>
    <row r="23" ht="23" customHeight="1" s="21">
      <c r="A23" s="32">
        <f>IFERROR(LARGE(开奖记录!$A$2:$A$400,22),"")</f>
        <v/>
      </c>
      <c r="B23" s="32">
        <f>IF($A23="","",IFERROR(VLOOKUP($A23-1,开奖记录!$A:$L,3,FALSE),""))</f>
        <v/>
      </c>
      <c r="C23" s="32">
        <f>IF(B23="","",MOD(B23+4,49)+1)</f>
        <v/>
      </c>
      <c r="D23" s="32">
        <f>IF(C23="","",IFERROR(VLOOKUP(C23,规律参数!$A:$C,2,FALSE),""))</f>
        <v/>
      </c>
      <c r="E23" s="36">
        <f>IF(C23="","",IFERROR(VLOOKUP(C23,规律参数!$A:$C,3,FALSE),""))</f>
        <v/>
      </c>
      <c r="F23" s="32">
        <f>IF($A23="","",IFERROR(VLOOKUP($A23,开奖记录!$A:$L,9,FALSE),""))</f>
        <v/>
      </c>
      <c r="G23" s="32">
        <f>IF($A23="","",IFERROR(VLOOKUP($A23,开奖记录!$A:$L,11,FALSE),""))</f>
        <v/>
      </c>
      <c r="H23" s="32">
        <f>IF(A23="","",IF(B23="","缺上期数据",IF(G23="","待开奖",IF(ISNUMBER(SEARCH(G23,E23)),"命中","未命中"))))</f>
        <v/>
      </c>
      <c r="I23" s="32">
        <f>IF(B23="","",TEXT(B23,"00")&amp;"+5="&amp;E23)</f>
        <v/>
      </c>
    </row>
    <row r="24" ht="23" customHeight="1" s="21">
      <c r="A24" s="32">
        <f>IFERROR(LARGE(开奖记录!$A$2:$A$400,23),"")</f>
        <v/>
      </c>
      <c r="B24" s="32">
        <f>IF($A24="","",IFERROR(VLOOKUP($A24-1,开奖记录!$A:$L,3,FALSE),""))</f>
        <v/>
      </c>
      <c r="C24" s="32">
        <f>IF(B24="","",MOD(B24+4,49)+1)</f>
        <v/>
      </c>
      <c r="D24" s="32">
        <f>IF(C24="","",IFERROR(VLOOKUP(C24,规律参数!$A:$C,2,FALSE),""))</f>
        <v/>
      </c>
      <c r="E24" s="36">
        <f>IF(C24="","",IFERROR(VLOOKUP(C24,规律参数!$A:$C,3,FALSE),""))</f>
        <v/>
      </c>
      <c r="F24" s="32">
        <f>IF($A24="","",IFERROR(VLOOKUP($A24,开奖记录!$A:$L,9,FALSE),""))</f>
        <v/>
      </c>
      <c r="G24" s="32">
        <f>IF($A24="","",IFERROR(VLOOKUP($A24,开奖记录!$A:$L,11,FALSE),""))</f>
        <v/>
      </c>
      <c r="H24" s="32">
        <f>IF(A24="","",IF(B24="","缺上期数据",IF(G24="","待开奖",IF(ISNUMBER(SEARCH(G24,E24)),"命中","未命中"))))</f>
        <v/>
      </c>
      <c r="I24" s="32">
        <f>IF(B24="","",TEXT(B24,"00")&amp;"+5="&amp;E24)</f>
        <v/>
      </c>
    </row>
    <row r="25" ht="23" customHeight="1" s="21">
      <c r="A25" s="32">
        <f>IFERROR(LARGE(开奖记录!$A$2:$A$400,24),"")</f>
        <v/>
      </c>
      <c r="B25" s="32">
        <f>IF($A25="","",IFERROR(VLOOKUP($A25-1,开奖记录!$A:$L,3,FALSE),""))</f>
        <v/>
      </c>
      <c r="C25" s="32">
        <f>IF(B25="","",MOD(B25+4,49)+1)</f>
        <v/>
      </c>
      <c r="D25" s="32">
        <f>IF(C25="","",IFERROR(VLOOKUP(C25,规律参数!$A:$C,2,FALSE),""))</f>
        <v/>
      </c>
      <c r="E25" s="36">
        <f>IF(C25="","",IFERROR(VLOOKUP(C25,规律参数!$A:$C,3,FALSE),""))</f>
        <v/>
      </c>
      <c r="F25" s="32">
        <f>IF($A25="","",IFERROR(VLOOKUP($A25,开奖记录!$A:$L,9,FALSE),""))</f>
        <v/>
      </c>
      <c r="G25" s="32">
        <f>IF($A25="","",IFERROR(VLOOKUP($A25,开奖记录!$A:$L,11,FALSE),""))</f>
        <v/>
      </c>
      <c r="H25" s="32">
        <f>IF(A25="","",IF(B25="","缺上期数据",IF(G25="","待开奖",IF(ISNUMBER(SEARCH(G25,E25)),"命中","未命中"))))</f>
        <v/>
      </c>
      <c r="I25" s="32">
        <f>IF(B25="","",TEXT(B25,"00")&amp;"+5="&amp;E25)</f>
        <v/>
      </c>
    </row>
    <row r="26" ht="23" customHeight="1" s="21">
      <c r="A26" s="32">
        <f>IFERROR(LARGE(开奖记录!$A$2:$A$400,25),"")</f>
        <v/>
      </c>
      <c r="B26" s="32">
        <f>IF($A26="","",IFERROR(VLOOKUP($A26-1,开奖记录!$A:$L,3,FALSE),""))</f>
        <v/>
      </c>
      <c r="C26" s="32">
        <f>IF(B26="","",MOD(B26+4,49)+1)</f>
        <v/>
      </c>
      <c r="D26" s="32">
        <f>IF(C26="","",IFERROR(VLOOKUP(C26,规律参数!$A:$C,2,FALSE),""))</f>
        <v/>
      </c>
      <c r="E26" s="36">
        <f>IF(C26="","",IFERROR(VLOOKUP(C26,规律参数!$A:$C,3,FALSE),""))</f>
        <v/>
      </c>
      <c r="F26" s="32">
        <f>IF($A26="","",IFERROR(VLOOKUP($A26,开奖记录!$A:$L,9,FALSE),""))</f>
        <v/>
      </c>
      <c r="G26" s="32">
        <f>IF($A26="","",IFERROR(VLOOKUP($A26,开奖记录!$A:$L,11,FALSE),""))</f>
        <v/>
      </c>
      <c r="H26" s="32">
        <f>IF(A26="","",IF(B26="","缺上期数据",IF(G26="","待开奖",IF(ISNUMBER(SEARCH(G26,E26)),"命中","未命中"))))</f>
        <v/>
      </c>
      <c r="I26" s="32">
        <f>IF(B26="","",TEXT(B26,"00")&amp;"+5="&amp;E26)</f>
        <v/>
      </c>
    </row>
    <row r="27" ht="23" customHeight="1" s="21">
      <c r="A27" s="32">
        <f>IFERROR(LARGE(开奖记录!$A$2:$A$400,26),"")</f>
        <v/>
      </c>
      <c r="B27" s="32">
        <f>IF($A27="","",IFERROR(VLOOKUP($A27-1,开奖记录!$A:$L,3,FALSE),""))</f>
        <v/>
      </c>
      <c r="C27" s="32">
        <f>IF(B27="","",MOD(B27+4,49)+1)</f>
        <v/>
      </c>
      <c r="D27" s="32">
        <f>IF(C27="","",IFERROR(VLOOKUP(C27,规律参数!$A:$C,2,FALSE),""))</f>
        <v/>
      </c>
      <c r="E27" s="36">
        <f>IF(C27="","",IFERROR(VLOOKUP(C27,规律参数!$A:$C,3,FALSE),""))</f>
        <v/>
      </c>
      <c r="F27" s="32">
        <f>IF($A27="","",IFERROR(VLOOKUP($A27,开奖记录!$A:$L,9,FALSE),""))</f>
        <v/>
      </c>
      <c r="G27" s="32">
        <f>IF($A27="","",IFERROR(VLOOKUP($A27,开奖记录!$A:$L,11,FALSE),""))</f>
        <v/>
      </c>
      <c r="H27" s="32">
        <f>IF(A27="","",IF(B27="","缺上期数据",IF(G27="","待开奖",IF(ISNUMBER(SEARCH(G27,E27)),"命中","未命中"))))</f>
        <v/>
      </c>
      <c r="I27" s="32">
        <f>IF(B27="","",TEXT(B27,"00")&amp;"+5="&amp;E27)</f>
        <v/>
      </c>
    </row>
    <row r="28" ht="23" customHeight="1" s="21">
      <c r="A28" s="32">
        <f>IFERROR(LARGE(开奖记录!$A$2:$A$400,27),"")</f>
        <v/>
      </c>
      <c r="B28" s="32">
        <f>IF($A28="","",IFERROR(VLOOKUP($A28-1,开奖记录!$A:$L,3,FALSE),""))</f>
        <v/>
      </c>
      <c r="C28" s="32">
        <f>IF(B28="","",MOD(B28+4,49)+1)</f>
        <v/>
      </c>
      <c r="D28" s="32">
        <f>IF(C28="","",IFERROR(VLOOKUP(C28,规律参数!$A:$C,2,FALSE),""))</f>
        <v/>
      </c>
      <c r="E28" s="36">
        <f>IF(C28="","",IFERROR(VLOOKUP(C28,规律参数!$A:$C,3,FALSE),""))</f>
        <v/>
      </c>
      <c r="F28" s="32">
        <f>IF($A28="","",IFERROR(VLOOKUP($A28,开奖记录!$A:$L,9,FALSE),""))</f>
        <v/>
      </c>
      <c r="G28" s="32">
        <f>IF($A28="","",IFERROR(VLOOKUP($A28,开奖记录!$A:$L,11,FALSE),""))</f>
        <v/>
      </c>
      <c r="H28" s="32">
        <f>IF(A28="","",IF(B28="","缺上期数据",IF(G28="","待开奖",IF(ISNUMBER(SEARCH(G28,E28)),"命中","未命中"))))</f>
        <v/>
      </c>
      <c r="I28" s="32">
        <f>IF(B28="","",TEXT(B28,"00")&amp;"+5="&amp;E28)</f>
        <v/>
      </c>
    </row>
    <row r="29" ht="23" customHeight="1" s="21">
      <c r="A29" s="32">
        <f>IFERROR(LARGE(开奖记录!$A$2:$A$400,28),"")</f>
        <v/>
      </c>
      <c r="B29" s="32">
        <f>IF($A29="","",IFERROR(VLOOKUP($A29-1,开奖记录!$A:$L,3,FALSE),""))</f>
        <v/>
      </c>
      <c r="C29" s="32">
        <f>IF(B29="","",MOD(B29+4,49)+1)</f>
        <v/>
      </c>
      <c r="D29" s="32">
        <f>IF(C29="","",IFERROR(VLOOKUP(C29,规律参数!$A:$C,2,FALSE),""))</f>
        <v/>
      </c>
      <c r="E29" s="36">
        <f>IF(C29="","",IFERROR(VLOOKUP(C29,规律参数!$A:$C,3,FALSE),""))</f>
        <v/>
      </c>
      <c r="F29" s="32">
        <f>IF($A29="","",IFERROR(VLOOKUP($A29,开奖记录!$A:$L,9,FALSE),""))</f>
        <v/>
      </c>
      <c r="G29" s="32">
        <f>IF($A29="","",IFERROR(VLOOKUP($A29,开奖记录!$A:$L,11,FALSE),""))</f>
        <v/>
      </c>
      <c r="H29" s="32">
        <f>IF(A29="","",IF(B29="","缺上期数据",IF(G29="","待开奖",IF(ISNUMBER(SEARCH(G29,E29)),"命中","未命中"))))</f>
        <v/>
      </c>
      <c r="I29" s="32">
        <f>IF(B29="","",TEXT(B29,"00")&amp;"+5="&amp;E29)</f>
        <v/>
      </c>
    </row>
    <row r="30" ht="23" customHeight="1" s="21">
      <c r="A30" s="32">
        <f>IFERROR(LARGE(开奖记录!$A$2:$A$400,29),"")</f>
        <v/>
      </c>
      <c r="B30" s="32">
        <f>IF($A30="","",IFERROR(VLOOKUP($A30-1,开奖记录!$A:$L,3,FALSE),""))</f>
        <v/>
      </c>
      <c r="C30" s="32">
        <f>IF(B30="","",MOD(B30+4,49)+1)</f>
        <v/>
      </c>
      <c r="D30" s="32">
        <f>IF(C30="","",IFERROR(VLOOKUP(C30,规律参数!$A:$C,2,FALSE),""))</f>
        <v/>
      </c>
      <c r="E30" s="36">
        <f>IF(C30="","",IFERROR(VLOOKUP(C30,规律参数!$A:$C,3,FALSE),""))</f>
        <v/>
      </c>
      <c r="F30" s="32">
        <f>IF($A30="","",IFERROR(VLOOKUP($A30,开奖记录!$A:$L,9,FALSE),""))</f>
        <v/>
      </c>
      <c r="G30" s="32">
        <f>IF($A30="","",IFERROR(VLOOKUP($A30,开奖记录!$A:$L,11,FALSE),""))</f>
        <v/>
      </c>
      <c r="H30" s="32">
        <f>IF(A30="","",IF(B30="","缺上期数据",IF(G30="","待开奖",IF(ISNUMBER(SEARCH(G30,E30)),"命中","未命中"))))</f>
        <v/>
      </c>
      <c r="I30" s="32">
        <f>IF(B30="","",TEXT(B30,"00")&amp;"+5="&amp;E30)</f>
        <v/>
      </c>
    </row>
    <row r="31" ht="23" customHeight="1" s="21">
      <c r="A31" s="32">
        <f>IFERROR(LARGE(开奖记录!$A$2:$A$400,30),"")</f>
        <v/>
      </c>
      <c r="B31" s="32">
        <f>IF($A31="","",IFERROR(VLOOKUP($A31-1,开奖记录!$A:$L,3,FALSE),""))</f>
        <v/>
      </c>
      <c r="C31" s="32">
        <f>IF(B31="","",MOD(B31+4,49)+1)</f>
        <v/>
      </c>
      <c r="D31" s="32">
        <f>IF(C31="","",IFERROR(VLOOKUP(C31,规律参数!$A:$C,2,FALSE),""))</f>
        <v/>
      </c>
      <c r="E31" s="36">
        <f>IF(C31="","",IFERROR(VLOOKUP(C31,规律参数!$A:$C,3,FALSE),""))</f>
        <v/>
      </c>
      <c r="F31" s="32">
        <f>IF($A31="","",IFERROR(VLOOKUP($A31,开奖记录!$A:$L,9,FALSE),""))</f>
        <v/>
      </c>
      <c r="G31" s="32">
        <f>IF($A31="","",IFERROR(VLOOKUP($A31,开奖记录!$A:$L,11,FALSE),""))</f>
        <v/>
      </c>
      <c r="H31" s="32">
        <f>IF(A31="","",IF(B31="","缺上期数据",IF(G31="","待开奖",IF(ISNUMBER(SEARCH(G31,E31)),"命中","未命中"))))</f>
        <v/>
      </c>
      <c r="I31" s="32">
        <f>IF(B31="","",TEXT(B31,"00")&amp;"+5="&amp;E31)</f>
        <v/>
      </c>
    </row>
    <row r="32" ht="23" customHeight="1" s="21">
      <c r="A32" s="32">
        <f>IFERROR(LARGE(开奖记录!$A$2:$A$400,31),"")</f>
        <v/>
      </c>
      <c r="B32" s="32">
        <f>IF($A32="","",IFERROR(VLOOKUP($A32-1,开奖记录!$A:$L,3,FALSE),""))</f>
        <v/>
      </c>
      <c r="C32" s="32">
        <f>IF(B32="","",MOD(B32+4,49)+1)</f>
        <v/>
      </c>
      <c r="D32" s="32">
        <f>IF(C32="","",IFERROR(VLOOKUP(C32,规律参数!$A:$C,2,FALSE),""))</f>
        <v/>
      </c>
      <c r="E32" s="36">
        <f>IF(C32="","",IFERROR(VLOOKUP(C32,规律参数!$A:$C,3,FALSE),""))</f>
        <v/>
      </c>
      <c r="F32" s="32">
        <f>IF($A32="","",IFERROR(VLOOKUP($A32,开奖记录!$A:$L,9,FALSE),""))</f>
        <v/>
      </c>
      <c r="G32" s="32">
        <f>IF($A32="","",IFERROR(VLOOKUP($A32,开奖记录!$A:$L,11,FALSE),""))</f>
        <v/>
      </c>
      <c r="H32" s="32">
        <f>IF(A32="","",IF(B32="","缺上期数据",IF(G32="","待开奖",IF(ISNUMBER(SEARCH(G32,E32)),"命中","未命中"))))</f>
        <v/>
      </c>
      <c r="I32" s="32">
        <f>IF(B32="","",TEXT(B32,"00")&amp;"+5="&amp;E32)</f>
        <v/>
      </c>
    </row>
    <row r="33" ht="23" customHeight="1" s="21">
      <c r="A33" s="32">
        <f>IFERROR(LARGE(开奖记录!$A$2:$A$400,32),"")</f>
        <v/>
      </c>
      <c r="B33" s="32">
        <f>IF($A33="","",IFERROR(VLOOKUP($A33-1,开奖记录!$A:$L,3,FALSE),""))</f>
        <v/>
      </c>
      <c r="C33" s="32">
        <f>IF(B33="","",MOD(B33+4,49)+1)</f>
        <v/>
      </c>
      <c r="D33" s="32">
        <f>IF(C33="","",IFERROR(VLOOKUP(C33,规律参数!$A:$C,2,FALSE),""))</f>
        <v/>
      </c>
      <c r="E33" s="36">
        <f>IF(C33="","",IFERROR(VLOOKUP(C33,规律参数!$A:$C,3,FALSE),""))</f>
        <v/>
      </c>
      <c r="F33" s="32">
        <f>IF($A33="","",IFERROR(VLOOKUP($A33,开奖记录!$A:$L,9,FALSE),""))</f>
        <v/>
      </c>
      <c r="G33" s="32">
        <f>IF($A33="","",IFERROR(VLOOKUP($A33,开奖记录!$A:$L,11,FALSE),""))</f>
        <v/>
      </c>
      <c r="H33" s="32">
        <f>IF(A33="","",IF(B33="","缺上期数据",IF(G33="","待开奖",IF(ISNUMBER(SEARCH(G33,E33)),"命中","未命中"))))</f>
        <v/>
      </c>
      <c r="I33" s="32">
        <f>IF(B33="","",TEXT(B33,"00")&amp;"+5="&amp;E33)</f>
        <v/>
      </c>
    </row>
    <row r="34" ht="23" customHeight="1" s="21">
      <c r="A34" s="32">
        <f>IFERROR(LARGE(开奖记录!$A$2:$A$400,33),"")</f>
        <v/>
      </c>
      <c r="B34" s="32">
        <f>IF($A34="","",IFERROR(VLOOKUP($A34-1,开奖记录!$A:$L,3,FALSE),""))</f>
        <v/>
      </c>
      <c r="C34" s="32">
        <f>IF(B34="","",MOD(B34+4,49)+1)</f>
        <v/>
      </c>
      <c r="D34" s="32">
        <f>IF(C34="","",IFERROR(VLOOKUP(C34,规律参数!$A:$C,2,FALSE),""))</f>
        <v/>
      </c>
      <c r="E34" s="36">
        <f>IF(C34="","",IFERROR(VLOOKUP(C34,规律参数!$A:$C,3,FALSE),""))</f>
        <v/>
      </c>
      <c r="F34" s="32">
        <f>IF($A34="","",IFERROR(VLOOKUP($A34,开奖记录!$A:$L,9,FALSE),""))</f>
        <v/>
      </c>
      <c r="G34" s="32">
        <f>IF($A34="","",IFERROR(VLOOKUP($A34,开奖记录!$A:$L,11,FALSE),""))</f>
        <v/>
      </c>
      <c r="H34" s="32">
        <f>IF(A34="","",IF(B34="","缺上期数据",IF(G34="","待开奖",IF(ISNUMBER(SEARCH(G34,E34)),"命中","未命中"))))</f>
        <v/>
      </c>
      <c r="I34" s="32">
        <f>IF(B34="","",TEXT(B34,"00")&amp;"+5="&amp;E34)</f>
        <v/>
      </c>
    </row>
    <row r="35" ht="23" customHeight="1" s="21">
      <c r="A35" s="32">
        <f>IFERROR(LARGE(开奖记录!$A$2:$A$400,34),"")</f>
        <v/>
      </c>
      <c r="B35" s="32">
        <f>IF($A35="","",IFERROR(VLOOKUP($A35-1,开奖记录!$A:$L,3,FALSE),""))</f>
        <v/>
      </c>
      <c r="C35" s="32">
        <f>IF(B35="","",MOD(B35+4,49)+1)</f>
        <v/>
      </c>
      <c r="D35" s="32">
        <f>IF(C35="","",IFERROR(VLOOKUP(C35,规律参数!$A:$C,2,FALSE),""))</f>
        <v/>
      </c>
      <c r="E35" s="36">
        <f>IF(C35="","",IFERROR(VLOOKUP(C35,规律参数!$A:$C,3,FALSE),""))</f>
        <v/>
      </c>
      <c r="F35" s="32">
        <f>IF($A35="","",IFERROR(VLOOKUP($A35,开奖记录!$A:$L,9,FALSE),""))</f>
        <v/>
      </c>
      <c r="G35" s="32">
        <f>IF($A35="","",IFERROR(VLOOKUP($A35,开奖记录!$A:$L,11,FALSE),""))</f>
        <v/>
      </c>
      <c r="H35" s="32">
        <f>IF(A35="","",IF(B35="","缺上期数据",IF(G35="","待开奖",IF(ISNUMBER(SEARCH(G35,E35)),"命中","未命中"))))</f>
        <v/>
      </c>
      <c r="I35" s="32">
        <f>IF(B35="","",TEXT(B35,"00")&amp;"+5="&amp;E35)</f>
        <v/>
      </c>
    </row>
    <row r="36" ht="23" customHeight="1" s="21">
      <c r="A36" s="32">
        <f>IFERROR(LARGE(开奖记录!$A$2:$A$400,35),"")</f>
        <v/>
      </c>
      <c r="B36" s="32">
        <f>IF($A36="","",IFERROR(VLOOKUP($A36-1,开奖记录!$A:$L,3,FALSE),""))</f>
        <v/>
      </c>
      <c r="C36" s="32">
        <f>IF(B36="","",MOD(B36+4,49)+1)</f>
        <v/>
      </c>
      <c r="D36" s="32">
        <f>IF(C36="","",IFERROR(VLOOKUP(C36,规律参数!$A:$C,2,FALSE),""))</f>
        <v/>
      </c>
      <c r="E36" s="36">
        <f>IF(C36="","",IFERROR(VLOOKUP(C36,规律参数!$A:$C,3,FALSE),""))</f>
        <v/>
      </c>
      <c r="F36" s="32">
        <f>IF($A36="","",IFERROR(VLOOKUP($A36,开奖记录!$A:$L,9,FALSE),""))</f>
        <v/>
      </c>
      <c r="G36" s="32">
        <f>IF($A36="","",IFERROR(VLOOKUP($A36,开奖记录!$A:$L,11,FALSE),""))</f>
        <v/>
      </c>
      <c r="H36" s="32">
        <f>IF(A36="","",IF(B36="","缺上期数据",IF(G36="","待开奖",IF(ISNUMBER(SEARCH(G36,E36)),"命中","未命中"))))</f>
        <v/>
      </c>
      <c r="I36" s="32">
        <f>IF(B36="","",TEXT(B36,"00")&amp;"+5="&amp;E36)</f>
        <v/>
      </c>
    </row>
    <row r="37" ht="23" customHeight="1" s="21">
      <c r="A37" s="32">
        <f>IFERROR(LARGE(开奖记录!$A$2:$A$400,36),"")</f>
        <v/>
      </c>
      <c r="B37" s="32">
        <f>IF($A37="","",IFERROR(VLOOKUP($A37-1,开奖记录!$A:$L,3,FALSE),""))</f>
        <v/>
      </c>
      <c r="C37" s="32">
        <f>IF(B37="","",MOD(B37+4,49)+1)</f>
        <v/>
      </c>
      <c r="D37" s="32">
        <f>IF(C37="","",IFERROR(VLOOKUP(C37,规律参数!$A:$C,2,FALSE),""))</f>
        <v/>
      </c>
      <c r="E37" s="36">
        <f>IF(C37="","",IFERROR(VLOOKUP(C37,规律参数!$A:$C,3,FALSE),""))</f>
        <v/>
      </c>
      <c r="F37" s="32">
        <f>IF($A37="","",IFERROR(VLOOKUP($A37,开奖记录!$A:$L,9,FALSE),""))</f>
        <v/>
      </c>
      <c r="G37" s="32">
        <f>IF($A37="","",IFERROR(VLOOKUP($A37,开奖记录!$A:$L,11,FALSE),""))</f>
        <v/>
      </c>
      <c r="H37" s="32">
        <f>IF(A37="","",IF(B37="","缺上期数据",IF(G37="","待开奖",IF(ISNUMBER(SEARCH(G37,E37)),"命中","未命中"))))</f>
        <v/>
      </c>
      <c r="I37" s="32">
        <f>IF(B37="","",TEXT(B37,"00")&amp;"+5="&amp;E37)</f>
        <v/>
      </c>
    </row>
    <row r="38" ht="23" customHeight="1" s="21">
      <c r="A38" s="32">
        <f>IFERROR(LARGE(开奖记录!$A$2:$A$400,37),"")</f>
        <v/>
      </c>
      <c r="B38" s="32">
        <f>IF($A38="","",IFERROR(VLOOKUP($A38-1,开奖记录!$A:$L,3,FALSE),""))</f>
        <v/>
      </c>
      <c r="C38" s="32">
        <f>IF(B38="","",MOD(B38+4,49)+1)</f>
        <v/>
      </c>
      <c r="D38" s="32">
        <f>IF(C38="","",IFERROR(VLOOKUP(C38,规律参数!$A:$C,2,FALSE),""))</f>
        <v/>
      </c>
      <c r="E38" s="36">
        <f>IF(C38="","",IFERROR(VLOOKUP(C38,规律参数!$A:$C,3,FALSE),""))</f>
        <v/>
      </c>
      <c r="F38" s="32">
        <f>IF($A38="","",IFERROR(VLOOKUP($A38,开奖记录!$A:$L,9,FALSE),""))</f>
        <v/>
      </c>
      <c r="G38" s="32">
        <f>IF($A38="","",IFERROR(VLOOKUP($A38,开奖记录!$A:$L,11,FALSE),""))</f>
        <v/>
      </c>
      <c r="H38" s="32">
        <f>IF(A38="","",IF(B38="","缺上期数据",IF(G38="","待开奖",IF(ISNUMBER(SEARCH(G38,E38)),"命中","未命中"))))</f>
        <v/>
      </c>
      <c r="I38" s="32">
        <f>IF(B38="","",TEXT(B38,"00")&amp;"+5="&amp;E38)</f>
        <v/>
      </c>
    </row>
    <row r="39" ht="23" customHeight="1" s="21">
      <c r="A39" s="32">
        <f>IFERROR(LARGE(开奖记录!$A$2:$A$400,38),"")</f>
        <v/>
      </c>
      <c r="B39" s="32">
        <f>IF($A39="","",IFERROR(VLOOKUP($A39-1,开奖记录!$A:$L,3,FALSE),""))</f>
        <v/>
      </c>
      <c r="C39" s="32">
        <f>IF(B39="","",MOD(B39+4,49)+1)</f>
        <v/>
      </c>
      <c r="D39" s="32">
        <f>IF(C39="","",IFERROR(VLOOKUP(C39,规律参数!$A:$C,2,FALSE),""))</f>
        <v/>
      </c>
      <c r="E39" s="36">
        <f>IF(C39="","",IFERROR(VLOOKUP(C39,规律参数!$A:$C,3,FALSE),""))</f>
        <v/>
      </c>
      <c r="F39" s="32">
        <f>IF($A39="","",IFERROR(VLOOKUP($A39,开奖记录!$A:$L,9,FALSE),""))</f>
        <v/>
      </c>
      <c r="G39" s="32">
        <f>IF($A39="","",IFERROR(VLOOKUP($A39,开奖记录!$A:$L,11,FALSE),""))</f>
        <v/>
      </c>
      <c r="H39" s="32">
        <f>IF(A39="","",IF(B39="","缺上期数据",IF(G39="","待开奖",IF(ISNUMBER(SEARCH(G39,E39)),"命中","未命中"))))</f>
        <v/>
      </c>
      <c r="I39" s="32">
        <f>IF(B39="","",TEXT(B39,"00")&amp;"+5="&amp;E39)</f>
        <v/>
      </c>
    </row>
    <row r="40" ht="23" customHeight="1" s="21">
      <c r="A40" s="32">
        <f>IFERROR(LARGE(开奖记录!$A$2:$A$400,39),"")</f>
        <v/>
      </c>
      <c r="B40" s="32">
        <f>IF($A40="","",IFERROR(VLOOKUP($A40-1,开奖记录!$A:$L,3,FALSE),""))</f>
        <v/>
      </c>
      <c r="C40" s="32">
        <f>IF(B40="","",MOD(B40+4,49)+1)</f>
        <v/>
      </c>
      <c r="D40" s="32">
        <f>IF(C40="","",IFERROR(VLOOKUP(C40,规律参数!$A:$C,2,FALSE),""))</f>
        <v/>
      </c>
      <c r="E40" s="36">
        <f>IF(C40="","",IFERROR(VLOOKUP(C40,规律参数!$A:$C,3,FALSE),""))</f>
        <v/>
      </c>
      <c r="F40" s="32">
        <f>IF($A40="","",IFERROR(VLOOKUP($A40,开奖记录!$A:$L,9,FALSE),""))</f>
        <v/>
      </c>
      <c r="G40" s="32">
        <f>IF($A40="","",IFERROR(VLOOKUP($A40,开奖记录!$A:$L,11,FALSE),""))</f>
        <v/>
      </c>
      <c r="H40" s="32">
        <f>IF(A40="","",IF(B40="","缺上期数据",IF(G40="","待开奖",IF(ISNUMBER(SEARCH(G40,E40)),"命中","未命中"))))</f>
        <v/>
      </c>
      <c r="I40" s="32">
        <f>IF(B40="","",TEXT(B40,"00")&amp;"+5="&amp;E40)</f>
        <v/>
      </c>
    </row>
    <row r="41" ht="23" customHeight="1" s="21">
      <c r="A41" s="32">
        <f>IFERROR(LARGE(开奖记录!$A$2:$A$400,40),"")</f>
        <v/>
      </c>
      <c r="B41" s="32">
        <f>IF($A41="","",IFERROR(VLOOKUP($A41-1,开奖记录!$A:$L,3,FALSE),""))</f>
        <v/>
      </c>
      <c r="C41" s="32">
        <f>IF(B41="","",MOD(B41+4,49)+1)</f>
        <v/>
      </c>
      <c r="D41" s="32">
        <f>IF(C41="","",IFERROR(VLOOKUP(C41,规律参数!$A:$C,2,FALSE),""))</f>
        <v/>
      </c>
      <c r="E41" s="36">
        <f>IF(C41="","",IFERROR(VLOOKUP(C41,规律参数!$A:$C,3,FALSE),""))</f>
        <v/>
      </c>
      <c r="F41" s="32">
        <f>IF($A41="","",IFERROR(VLOOKUP($A41,开奖记录!$A:$L,9,FALSE),""))</f>
        <v/>
      </c>
      <c r="G41" s="32">
        <f>IF($A41="","",IFERROR(VLOOKUP($A41,开奖记录!$A:$L,11,FALSE),""))</f>
        <v/>
      </c>
      <c r="H41" s="32">
        <f>IF(A41="","",IF(B41="","缺上期数据",IF(G41="","待开奖",IF(ISNUMBER(SEARCH(G41,E41)),"命中","未命中"))))</f>
        <v/>
      </c>
      <c r="I41" s="32">
        <f>IF(B41="","",TEXT(B41,"00")&amp;"+5="&amp;E41)</f>
        <v/>
      </c>
    </row>
    <row r="42" ht="23" customHeight="1" s="21">
      <c r="A42" s="32">
        <f>IFERROR(LARGE(开奖记录!$A$2:$A$400,41),"")</f>
        <v/>
      </c>
      <c r="B42" s="32">
        <f>IF($A42="","",IFERROR(VLOOKUP($A42-1,开奖记录!$A:$L,3,FALSE),""))</f>
        <v/>
      </c>
      <c r="C42" s="32">
        <f>IF(B42="","",MOD(B42+4,49)+1)</f>
        <v/>
      </c>
      <c r="D42" s="32">
        <f>IF(C42="","",IFERROR(VLOOKUP(C42,规律参数!$A:$C,2,FALSE),""))</f>
        <v/>
      </c>
      <c r="E42" s="36">
        <f>IF(C42="","",IFERROR(VLOOKUP(C42,规律参数!$A:$C,3,FALSE),""))</f>
        <v/>
      </c>
      <c r="F42" s="32">
        <f>IF($A42="","",IFERROR(VLOOKUP($A42,开奖记录!$A:$L,9,FALSE),""))</f>
        <v/>
      </c>
      <c r="G42" s="32">
        <f>IF($A42="","",IFERROR(VLOOKUP($A42,开奖记录!$A:$L,11,FALSE),""))</f>
        <v/>
      </c>
      <c r="H42" s="32">
        <f>IF(A42="","",IF(B42="","缺上期数据",IF(G42="","待开奖",IF(ISNUMBER(SEARCH(G42,E42)),"命中","未命中"))))</f>
        <v/>
      </c>
      <c r="I42" s="32">
        <f>IF(B42="","",TEXT(B42,"00")&amp;"+5="&amp;E42)</f>
        <v/>
      </c>
    </row>
    <row r="43" ht="23" customHeight="1" s="21">
      <c r="A43" s="32">
        <f>IFERROR(LARGE(开奖记录!$A$2:$A$400,42),"")</f>
        <v/>
      </c>
      <c r="B43" s="32">
        <f>IF($A43="","",IFERROR(VLOOKUP($A43-1,开奖记录!$A:$L,3,FALSE),""))</f>
        <v/>
      </c>
      <c r="C43" s="32">
        <f>IF(B43="","",MOD(B43+4,49)+1)</f>
        <v/>
      </c>
      <c r="D43" s="32">
        <f>IF(C43="","",IFERROR(VLOOKUP(C43,规律参数!$A:$C,2,FALSE),""))</f>
        <v/>
      </c>
      <c r="E43" s="36">
        <f>IF(C43="","",IFERROR(VLOOKUP(C43,规律参数!$A:$C,3,FALSE),""))</f>
        <v/>
      </c>
      <c r="F43" s="32">
        <f>IF($A43="","",IFERROR(VLOOKUP($A43,开奖记录!$A:$L,9,FALSE),""))</f>
        <v/>
      </c>
      <c r="G43" s="32">
        <f>IF($A43="","",IFERROR(VLOOKUP($A43,开奖记录!$A:$L,11,FALSE),""))</f>
        <v/>
      </c>
      <c r="H43" s="32">
        <f>IF(A43="","",IF(B43="","缺上期数据",IF(G43="","待开奖",IF(ISNUMBER(SEARCH(G43,E43)),"命中","未命中"))))</f>
        <v/>
      </c>
      <c r="I43" s="32">
        <f>IF(B43="","",TEXT(B43,"00")&amp;"+5="&amp;E43)</f>
        <v/>
      </c>
    </row>
    <row r="44" ht="23" customHeight="1" s="21">
      <c r="A44" s="32">
        <f>IFERROR(LARGE(开奖记录!$A$2:$A$400,43),"")</f>
        <v/>
      </c>
      <c r="B44" s="32">
        <f>IF($A44="","",IFERROR(VLOOKUP($A44-1,开奖记录!$A:$L,3,FALSE),""))</f>
        <v/>
      </c>
      <c r="C44" s="32">
        <f>IF(B44="","",MOD(B44+4,49)+1)</f>
        <v/>
      </c>
      <c r="D44" s="32">
        <f>IF(C44="","",IFERROR(VLOOKUP(C44,规律参数!$A:$C,2,FALSE),""))</f>
        <v/>
      </c>
      <c r="E44" s="36">
        <f>IF(C44="","",IFERROR(VLOOKUP(C44,规律参数!$A:$C,3,FALSE),""))</f>
        <v/>
      </c>
      <c r="F44" s="32">
        <f>IF($A44="","",IFERROR(VLOOKUP($A44,开奖记录!$A:$L,9,FALSE),""))</f>
        <v/>
      </c>
      <c r="G44" s="32">
        <f>IF($A44="","",IFERROR(VLOOKUP($A44,开奖记录!$A:$L,11,FALSE),""))</f>
        <v/>
      </c>
      <c r="H44" s="32">
        <f>IF(A44="","",IF(B44="","缺上期数据",IF(G44="","待开奖",IF(ISNUMBER(SEARCH(G44,E44)),"命中","未命中"))))</f>
        <v/>
      </c>
      <c r="I44" s="32">
        <f>IF(B44="","",TEXT(B44,"00")&amp;"+5="&amp;E44)</f>
        <v/>
      </c>
    </row>
    <row r="45" ht="23" customHeight="1" s="21">
      <c r="A45" s="32">
        <f>IFERROR(LARGE(开奖记录!$A$2:$A$400,44),"")</f>
        <v/>
      </c>
      <c r="B45" s="32">
        <f>IF($A45="","",IFERROR(VLOOKUP($A45-1,开奖记录!$A:$L,3,FALSE),""))</f>
        <v/>
      </c>
      <c r="C45" s="32">
        <f>IF(B45="","",MOD(B45+4,49)+1)</f>
        <v/>
      </c>
      <c r="D45" s="32">
        <f>IF(C45="","",IFERROR(VLOOKUP(C45,规律参数!$A:$C,2,FALSE),""))</f>
        <v/>
      </c>
      <c r="E45" s="36">
        <f>IF(C45="","",IFERROR(VLOOKUP(C45,规律参数!$A:$C,3,FALSE),""))</f>
        <v/>
      </c>
      <c r="F45" s="32">
        <f>IF($A45="","",IFERROR(VLOOKUP($A45,开奖记录!$A:$L,9,FALSE),""))</f>
        <v/>
      </c>
      <c r="G45" s="32">
        <f>IF($A45="","",IFERROR(VLOOKUP($A45,开奖记录!$A:$L,11,FALSE),""))</f>
        <v/>
      </c>
      <c r="H45" s="32">
        <f>IF(A45="","",IF(B45="","缺上期数据",IF(G45="","待开奖",IF(ISNUMBER(SEARCH(G45,E45)),"命中","未命中"))))</f>
        <v/>
      </c>
      <c r="I45" s="32">
        <f>IF(B45="","",TEXT(B45,"00")&amp;"+5="&amp;E45)</f>
        <v/>
      </c>
    </row>
    <row r="46" ht="23" customHeight="1" s="21">
      <c r="A46" s="32">
        <f>IFERROR(LARGE(开奖记录!$A$2:$A$400,45),"")</f>
        <v/>
      </c>
      <c r="B46" s="32">
        <f>IF($A46="","",IFERROR(VLOOKUP($A46-1,开奖记录!$A:$L,3,FALSE),""))</f>
        <v/>
      </c>
      <c r="C46" s="32">
        <f>IF(B46="","",MOD(B46+4,49)+1)</f>
        <v/>
      </c>
      <c r="D46" s="32">
        <f>IF(C46="","",IFERROR(VLOOKUP(C46,规律参数!$A:$C,2,FALSE),""))</f>
        <v/>
      </c>
      <c r="E46" s="36">
        <f>IF(C46="","",IFERROR(VLOOKUP(C46,规律参数!$A:$C,3,FALSE),""))</f>
        <v/>
      </c>
      <c r="F46" s="32">
        <f>IF($A46="","",IFERROR(VLOOKUP($A46,开奖记录!$A:$L,9,FALSE),""))</f>
        <v/>
      </c>
      <c r="G46" s="32">
        <f>IF($A46="","",IFERROR(VLOOKUP($A46,开奖记录!$A:$L,11,FALSE),""))</f>
        <v/>
      </c>
      <c r="H46" s="32">
        <f>IF(A46="","",IF(B46="","缺上期数据",IF(G46="","待开奖",IF(ISNUMBER(SEARCH(G46,E46)),"命中","未命中"))))</f>
        <v/>
      </c>
      <c r="I46" s="32">
        <f>IF(B46="","",TEXT(B46,"00")&amp;"+5="&amp;E46)</f>
        <v/>
      </c>
    </row>
    <row r="47" ht="23" customHeight="1" s="21">
      <c r="A47" s="32">
        <f>IFERROR(LARGE(开奖记录!$A$2:$A$400,46),"")</f>
        <v/>
      </c>
      <c r="B47" s="32">
        <f>IF($A47="","",IFERROR(VLOOKUP($A47-1,开奖记录!$A:$L,3,FALSE),""))</f>
        <v/>
      </c>
      <c r="C47" s="32">
        <f>IF(B47="","",MOD(B47+4,49)+1)</f>
        <v/>
      </c>
      <c r="D47" s="32">
        <f>IF(C47="","",IFERROR(VLOOKUP(C47,规律参数!$A:$C,2,FALSE),""))</f>
        <v/>
      </c>
      <c r="E47" s="36">
        <f>IF(C47="","",IFERROR(VLOOKUP(C47,规律参数!$A:$C,3,FALSE),""))</f>
        <v/>
      </c>
      <c r="F47" s="32">
        <f>IF($A47="","",IFERROR(VLOOKUP($A47,开奖记录!$A:$L,9,FALSE),""))</f>
        <v/>
      </c>
      <c r="G47" s="32">
        <f>IF($A47="","",IFERROR(VLOOKUP($A47,开奖记录!$A:$L,11,FALSE),""))</f>
        <v/>
      </c>
      <c r="H47" s="32">
        <f>IF(A47="","",IF(B47="","缺上期数据",IF(G47="","待开奖",IF(ISNUMBER(SEARCH(G47,E47)),"命中","未命中"))))</f>
        <v/>
      </c>
      <c r="I47" s="32">
        <f>IF(B47="","",TEXT(B47,"00")&amp;"+5="&amp;E47)</f>
        <v/>
      </c>
    </row>
    <row r="48" ht="23" customHeight="1" s="21">
      <c r="A48" s="32">
        <f>IFERROR(LARGE(开奖记录!$A$2:$A$400,47),"")</f>
        <v/>
      </c>
      <c r="B48" s="32">
        <f>IF($A48="","",IFERROR(VLOOKUP($A48-1,开奖记录!$A:$L,3,FALSE),""))</f>
        <v/>
      </c>
      <c r="C48" s="32">
        <f>IF(B48="","",MOD(B48+4,49)+1)</f>
        <v/>
      </c>
      <c r="D48" s="32">
        <f>IF(C48="","",IFERROR(VLOOKUP(C48,规律参数!$A:$C,2,FALSE),""))</f>
        <v/>
      </c>
      <c r="E48" s="36">
        <f>IF(C48="","",IFERROR(VLOOKUP(C48,规律参数!$A:$C,3,FALSE),""))</f>
        <v/>
      </c>
      <c r="F48" s="32">
        <f>IF($A48="","",IFERROR(VLOOKUP($A48,开奖记录!$A:$L,9,FALSE),""))</f>
        <v/>
      </c>
      <c r="G48" s="32">
        <f>IF($A48="","",IFERROR(VLOOKUP($A48,开奖记录!$A:$L,11,FALSE),""))</f>
        <v/>
      </c>
      <c r="H48" s="32">
        <f>IF(A48="","",IF(B48="","缺上期数据",IF(G48="","待开奖",IF(ISNUMBER(SEARCH(G48,E48)),"命中","未命中"))))</f>
        <v/>
      </c>
      <c r="I48" s="32">
        <f>IF(B48="","",TEXT(B48,"00")&amp;"+5="&amp;E48)</f>
        <v/>
      </c>
    </row>
    <row r="49" ht="23" customHeight="1" s="21">
      <c r="A49" s="32">
        <f>IFERROR(LARGE(开奖记录!$A$2:$A$400,48),"")</f>
        <v/>
      </c>
      <c r="B49" s="32">
        <f>IF($A49="","",IFERROR(VLOOKUP($A49-1,开奖记录!$A:$L,3,FALSE),""))</f>
        <v/>
      </c>
      <c r="C49" s="32">
        <f>IF(B49="","",MOD(B49+4,49)+1)</f>
        <v/>
      </c>
      <c r="D49" s="32">
        <f>IF(C49="","",IFERROR(VLOOKUP(C49,规律参数!$A:$C,2,FALSE),""))</f>
        <v/>
      </c>
      <c r="E49" s="36">
        <f>IF(C49="","",IFERROR(VLOOKUP(C49,规律参数!$A:$C,3,FALSE),""))</f>
        <v/>
      </c>
      <c r="F49" s="32">
        <f>IF($A49="","",IFERROR(VLOOKUP($A49,开奖记录!$A:$L,9,FALSE),""))</f>
        <v/>
      </c>
      <c r="G49" s="32">
        <f>IF($A49="","",IFERROR(VLOOKUP($A49,开奖记录!$A:$L,11,FALSE),""))</f>
        <v/>
      </c>
      <c r="H49" s="32">
        <f>IF(A49="","",IF(B49="","缺上期数据",IF(G49="","待开奖",IF(ISNUMBER(SEARCH(G49,E49)),"命中","未命中"))))</f>
        <v/>
      </c>
      <c r="I49" s="32">
        <f>IF(B49="","",TEXT(B49,"00")&amp;"+5="&amp;E49)</f>
        <v/>
      </c>
    </row>
    <row r="50" ht="23" customHeight="1" s="21">
      <c r="A50" s="32">
        <f>IFERROR(LARGE(开奖记录!$A$2:$A$400,49),"")</f>
        <v/>
      </c>
      <c r="B50" s="32">
        <f>IF($A50="","",IFERROR(VLOOKUP($A50-1,开奖记录!$A:$L,3,FALSE),""))</f>
        <v/>
      </c>
      <c r="C50" s="32">
        <f>IF(B50="","",MOD(B50+4,49)+1)</f>
        <v/>
      </c>
      <c r="D50" s="32">
        <f>IF(C50="","",IFERROR(VLOOKUP(C50,规律参数!$A:$C,2,FALSE),""))</f>
        <v/>
      </c>
      <c r="E50" s="36">
        <f>IF(C50="","",IFERROR(VLOOKUP(C50,规律参数!$A:$C,3,FALSE),""))</f>
        <v/>
      </c>
      <c r="F50" s="32">
        <f>IF($A50="","",IFERROR(VLOOKUP($A50,开奖记录!$A:$L,9,FALSE),""))</f>
        <v/>
      </c>
      <c r="G50" s="32">
        <f>IF($A50="","",IFERROR(VLOOKUP($A50,开奖记录!$A:$L,11,FALSE),""))</f>
        <v/>
      </c>
      <c r="H50" s="32">
        <f>IF(A50="","",IF(B50="","缺上期数据",IF(G50="","待开奖",IF(ISNUMBER(SEARCH(G50,E50)),"命中","未命中"))))</f>
        <v/>
      </c>
      <c r="I50" s="32">
        <f>IF(B50="","",TEXT(B50,"00")&amp;"+5="&amp;E50)</f>
        <v/>
      </c>
    </row>
    <row r="51" ht="23" customHeight="1" s="21">
      <c r="A51" s="32">
        <f>IFERROR(LARGE(开奖记录!$A$2:$A$400,50),"")</f>
        <v/>
      </c>
      <c r="B51" s="32">
        <f>IF($A51="","",IFERROR(VLOOKUP($A51-1,开奖记录!$A:$L,3,FALSE),""))</f>
        <v/>
      </c>
      <c r="C51" s="32">
        <f>IF(B51="","",MOD(B51+4,49)+1)</f>
        <v/>
      </c>
      <c r="D51" s="32">
        <f>IF(C51="","",IFERROR(VLOOKUP(C51,规律参数!$A:$C,2,FALSE),""))</f>
        <v/>
      </c>
      <c r="E51" s="36">
        <f>IF(C51="","",IFERROR(VLOOKUP(C51,规律参数!$A:$C,3,FALSE),""))</f>
        <v/>
      </c>
      <c r="F51" s="32">
        <f>IF($A51="","",IFERROR(VLOOKUP($A51,开奖记录!$A:$L,9,FALSE),""))</f>
        <v/>
      </c>
      <c r="G51" s="32">
        <f>IF($A51="","",IFERROR(VLOOKUP($A51,开奖记录!$A:$L,11,FALSE),""))</f>
        <v/>
      </c>
      <c r="H51" s="32">
        <f>IF(A51="","",IF(B51="","缺上期数据",IF(G51="","待开奖",IF(ISNUMBER(SEARCH(G51,E51)),"命中","未命中"))))</f>
        <v/>
      </c>
      <c r="I51" s="32">
        <f>IF(B51="","",TEXT(B51,"00")&amp;"+5="&amp;E51)</f>
        <v/>
      </c>
    </row>
    <row r="52" ht="23" customHeight="1" s="21">
      <c r="A52" s="32">
        <f>IFERROR(LARGE(开奖记录!$A$2:$A$400,51),"")</f>
        <v/>
      </c>
      <c r="B52" s="32">
        <f>IF($A52="","",IFERROR(VLOOKUP($A52-1,开奖记录!$A:$L,3,FALSE),""))</f>
        <v/>
      </c>
      <c r="C52" s="32">
        <f>IF(B52="","",MOD(B52+4,49)+1)</f>
        <v/>
      </c>
      <c r="D52" s="32">
        <f>IF(C52="","",IFERROR(VLOOKUP(C52,规律参数!$A:$C,2,FALSE),""))</f>
        <v/>
      </c>
      <c r="E52" s="36">
        <f>IF(C52="","",IFERROR(VLOOKUP(C52,规律参数!$A:$C,3,FALSE),""))</f>
        <v/>
      </c>
      <c r="F52" s="32">
        <f>IF($A52="","",IFERROR(VLOOKUP($A52,开奖记录!$A:$L,9,FALSE),""))</f>
        <v/>
      </c>
      <c r="G52" s="32">
        <f>IF($A52="","",IFERROR(VLOOKUP($A52,开奖记录!$A:$L,11,FALSE),""))</f>
        <v/>
      </c>
      <c r="H52" s="32">
        <f>IF(A52="","",IF(B52="","缺上期数据",IF(G52="","待开奖",IF(ISNUMBER(SEARCH(G52,E52)),"命中","未命中"))))</f>
        <v/>
      </c>
      <c r="I52" s="32">
        <f>IF(B52="","",TEXT(B52,"00")&amp;"+5="&amp;E52)</f>
        <v/>
      </c>
    </row>
    <row r="53" ht="23" customHeight="1" s="21">
      <c r="A53" s="32">
        <f>IFERROR(LARGE(开奖记录!$A$2:$A$400,52),"")</f>
        <v/>
      </c>
      <c r="B53" s="32">
        <f>IF($A53="","",IFERROR(VLOOKUP($A53-1,开奖记录!$A:$L,3,FALSE),""))</f>
        <v/>
      </c>
      <c r="C53" s="32">
        <f>IF(B53="","",MOD(B53+4,49)+1)</f>
        <v/>
      </c>
      <c r="D53" s="32">
        <f>IF(C53="","",IFERROR(VLOOKUP(C53,规律参数!$A:$C,2,FALSE),""))</f>
        <v/>
      </c>
      <c r="E53" s="36">
        <f>IF(C53="","",IFERROR(VLOOKUP(C53,规律参数!$A:$C,3,FALSE),""))</f>
        <v/>
      </c>
      <c r="F53" s="32">
        <f>IF($A53="","",IFERROR(VLOOKUP($A53,开奖记录!$A:$L,9,FALSE),""))</f>
        <v/>
      </c>
      <c r="G53" s="32">
        <f>IF($A53="","",IFERROR(VLOOKUP($A53,开奖记录!$A:$L,11,FALSE),""))</f>
        <v/>
      </c>
      <c r="H53" s="32">
        <f>IF(A53="","",IF(B53="","缺上期数据",IF(G53="","待开奖",IF(ISNUMBER(SEARCH(G53,E53)),"命中","未命中"))))</f>
        <v/>
      </c>
      <c r="I53" s="32">
        <f>IF(B53="","",TEXT(B53,"00")&amp;"+5="&amp;E53)</f>
        <v/>
      </c>
    </row>
    <row r="54" ht="23" customHeight="1" s="21">
      <c r="A54" s="32">
        <f>IFERROR(LARGE(开奖记录!$A$2:$A$400,53),"")</f>
        <v/>
      </c>
      <c r="B54" s="32">
        <f>IF($A54="","",IFERROR(VLOOKUP($A54-1,开奖记录!$A:$L,3,FALSE),""))</f>
        <v/>
      </c>
      <c r="C54" s="32">
        <f>IF(B54="","",MOD(B54+4,49)+1)</f>
        <v/>
      </c>
      <c r="D54" s="32">
        <f>IF(C54="","",IFERROR(VLOOKUP(C54,规律参数!$A:$C,2,FALSE),""))</f>
        <v/>
      </c>
      <c r="E54" s="36">
        <f>IF(C54="","",IFERROR(VLOOKUP(C54,规律参数!$A:$C,3,FALSE),""))</f>
        <v/>
      </c>
      <c r="F54" s="32">
        <f>IF($A54="","",IFERROR(VLOOKUP($A54,开奖记录!$A:$L,9,FALSE),""))</f>
        <v/>
      </c>
      <c r="G54" s="32">
        <f>IF($A54="","",IFERROR(VLOOKUP($A54,开奖记录!$A:$L,11,FALSE),""))</f>
        <v/>
      </c>
      <c r="H54" s="32">
        <f>IF(A54="","",IF(B54="","缺上期数据",IF(G54="","待开奖",IF(ISNUMBER(SEARCH(G54,E54)),"命中","未命中"))))</f>
        <v/>
      </c>
      <c r="I54" s="32">
        <f>IF(B54="","",TEXT(B54,"00")&amp;"+5="&amp;E54)</f>
        <v/>
      </c>
    </row>
    <row r="55" ht="23" customHeight="1" s="21">
      <c r="A55" s="32">
        <f>IFERROR(LARGE(开奖记录!$A$2:$A$400,54),"")</f>
        <v/>
      </c>
      <c r="B55" s="32">
        <f>IF($A55="","",IFERROR(VLOOKUP($A55-1,开奖记录!$A:$L,3,FALSE),""))</f>
        <v/>
      </c>
      <c r="C55" s="32">
        <f>IF(B55="","",MOD(B55+4,49)+1)</f>
        <v/>
      </c>
      <c r="D55" s="32">
        <f>IF(C55="","",IFERROR(VLOOKUP(C55,规律参数!$A:$C,2,FALSE),""))</f>
        <v/>
      </c>
      <c r="E55" s="36">
        <f>IF(C55="","",IFERROR(VLOOKUP(C55,规律参数!$A:$C,3,FALSE),""))</f>
        <v/>
      </c>
      <c r="F55" s="32">
        <f>IF($A55="","",IFERROR(VLOOKUP($A55,开奖记录!$A:$L,9,FALSE),""))</f>
        <v/>
      </c>
      <c r="G55" s="32">
        <f>IF($A55="","",IFERROR(VLOOKUP($A55,开奖记录!$A:$L,11,FALSE),""))</f>
        <v/>
      </c>
      <c r="H55" s="32">
        <f>IF(A55="","",IF(B55="","缺上期数据",IF(G55="","待开奖",IF(ISNUMBER(SEARCH(G55,E55)),"命中","未命中"))))</f>
        <v/>
      </c>
      <c r="I55" s="32">
        <f>IF(B55="","",TEXT(B55,"00")&amp;"+5="&amp;E55)</f>
        <v/>
      </c>
    </row>
    <row r="56" ht="23" customHeight="1" s="21">
      <c r="A56" s="32">
        <f>IFERROR(LARGE(开奖记录!$A$2:$A$400,55),"")</f>
        <v/>
      </c>
      <c r="B56" s="32">
        <f>IF($A56="","",IFERROR(VLOOKUP($A56-1,开奖记录!$A:$L,3,FALSE),""))</f>
        <v/>
      </c>
      <c r="C56" s="32">
        <f>IF(B56="","",MOD(B56+4,49)+1)</f>
        <v/>
      </c>
      <c r="D56" s="32">
        <f>IF(C56="","",IFERROR(VLOOKUP(C56,规律参数!$A:$C,2,FALSE),""))</f>
        <v/>
      </c>
      <c r="E56" s="36">
        <f>IF(C56="","",IFERROR(VLOOKUP(C56,规律参数!$A:$C,3,FALSE),""))</f>
        <v/>
      </c>
      <c r="F56" s="32">
        <f>IF($A56="","",IFERROR(VLOOKUP($A56,开奖记录!$A:$L,9,FALSE),""))</f>
        <v/>
      </c>
      <c r="G56" s="32">
        <f>IF($A56="","",IFERROR(VLOOKUP($A56,开奖记录!$A:$L,11,FALSE),""))</f>
        <v/>
      </c>
      <c r="H56" s="32">
        <f>IF(A56="","",IF(B56="","缺上期数据",IF(G56="","待开奖",IF(ISNUMBER(SEARCH(G56,E56)),"命中","未命中"))))</f>
        <v/>
      </c>
      <c r="I56" s="32">
        <f>IF(B56="","",TEXT(B56,"00")&amp;"+5="&amp;E56)</f>
        <v/>
      </c>
    </row>
    <row r="57" ht="23" customHeight="1" s="21">
      <c r="A57" s="32">
        <f>IFERROR(LARGE(开奖记录!$A$2:$A$400,56),"")</f>
        <v/>
      </c>
      <c r="B57" s="32">
        <f>IF($A57="","",IFERROR(VLOOKUP($A57-1,开奖记录!$A:$L,3,FALSE),""))</f>
        <v/>
      </c>
      <c r="C57" s="32">
        <f>IF(B57="","",MOD(B57+4,49)+1)</f>
        <v/>
      </c>
      <c r="D57" s="32">
        <f>IF(C57="","",IFERROR(VLOOKUP(C57,规律参数!$A:$C,2,FALSE),""))</f>
        <v/>
      </c>
      <c r="E57" s="36">
        <f>IF(C57="","",IFERROR(VLOOKUP(C57,规律参数!$A:$C,3,FALSE),""))</f>
        <v/>
      </c>
      <c r="F57" s="32">
        <f>IF($A57="","",IFERROR(VLOOKUP($A57,开奖记录!$A:$L,9,FALSE),""))</f>
        <v/>
      </c>
      <c r="G57" s="32">
        <f>IF($A57="","",IFERROR(VLOOKUP($A57,开奖记录!$A:$L,11,FALSE),""))</f>
        <v/>
      </c>
      <c r="H57" s="32">
        <f>IF(A57="","",IF(B57="","缺上期数据",IF(G57="","待开奖",IF(ISNUMBER(SEARCH(G57,E57)),"命中","未命中"))))</f>
        <v/>
      </c>
      <c r="I57" s="32">
        <f>IF(B57="","",TEXT(B57,"00")&amp;"+5="&amp;E57)</f>
        <v/>
      </c>
    </row>
    <row r="58" ht="23" customHeight="1" s="21">
      <c r="A58" s="32">
        <f>IFERROR(LARGE(开奖记录!$A$2:$A$400,57),"")</f>
        <v/>
      </c>
      <c r="B58" s="32">
        <f>IF($A58="","",IFERROR(VLOOKUP($A58-1,开奖记录!$A:$L,3,FALSE),""))</f>
        <v/>
      </c>
      <c r="C58" s="32">
        <f>IF(B58="","",MOD(B58+4,49)+1)</f>
        <v/>
      </c>
      <c r="D58" s="32">
        <f>IF(C58="","",IFERROR(VLOOKUP(C58,规律参数!$A:$C,2,FALSE),""))</f>
        <v/>
      </c>
      <c r="E58" s="36">
        <f>IF(C58="","",IFERROR(VLOOKUP(C58,规律参数!$A:$C,3,FALSE),""))</f>
        <v/>
      </c>
      <c r="F58" s="32">
        <f>IF($A58="","",IFERROR(VLOOKUP($A58,开奖记录!$A:$L,9,FALSE),""))</f>
        <v/>
      </c>
      <c r="G58" s="32">
        <f>IF($A58="","",IFERROR(VLOOKUP($A58,开奖记录!$A:$L,11,FALSE),""))</f>
        <v/>
      </c>
      <c r="H58" s="32">
        <f>IF(A58="","",IF(B58="","缺上期数据",IF(G58="","待开奖",IF(ISNUMBER(SEARCH(G58,E58)),"命中","未命中"))))</f>
        <v/>
      </c>
      <c r="I58" s="32">
        <f>IF(B58="","",TEXT(B58,"00")&amp;"+5="&amp;E58)</f>
        <v/>
      </c>
    </row>
    <row r="59" ht="23" customHeight="1" s="21">
      <c r="A59" s="32">
        <f>IFERROR(LARGE(开奖记录!$A$2:$A$400,58),"")</f>
        <v/>
      </c>
      <c r="B59" s="32">
        <f>IF($A59="","",IFERROR(VLOOKUP($A59-1,开奖记录!$A:$L,3,FALSE),""))</f>
        <v/>
      </c>
      <c r="C59" s="32">
        <f>IF(B59="","",MOD(B59+4,49)+1)</f>
        <v/>
      </c>
      <c r="D59" s="32">
        <f>IF(C59="","",IFERROR(VLOOKUP(C59,规律参数!$A:$C,2,FALSE),""))</f>
        <v/>
      </c>
      <c r="E59" s="36">
        <f>IF(C59="","",IFERROR(VLOOKUP(C59,规律参数!$A:$C,3,FALSE),""))</f>
        <v/>
      </c>
      <c r="F59" s="32">
        <f>IF($A59="","",IFERROR(VLOOKUP($A59,开奖记录!$A:$L,9,FALSE),""))</f>
        <v/>
      </c>
      <c r="G59" s="32">
        <f>IF($A59="","",IFERROR(VLOOKUP($A59,开奖记录!$A:$L,11,FALSE),""))</f>
        <v/>
      </c>
      <c r="H59" s="32">
        <f>IF(A59="","",IF(B59="","缺上期数据",IF(G59="","待开奖",IF(ISNUMBER(SEARCH(G59,E59)),"命中","未命中"))))</f>
        <v/>
      </c>
      <c r="I59" s="32">
        <f>IF(B59="","",TEXT(B59,"00")&amp;"+5="&amp;E59)</f>
        <v/>
      </c>
    </row>
    <row r="60" ht="23" customHeight="1" s="21">
      <c r="A60" s="32">
        <f>IFERROR(LARGE(开奖记录!$A$2:$A$400,59),"")</f>
        <v/>
      </c>
      <c r="B60" s="32">
        <f>IF($A60="","",IFERROR(VLOOKUP($A60-1,开奖记录!$A:$L,3,FALSE),""))</f>
        <v/>
      </c>
      <c r="C60" s="32">
        <f>IF(B60="","",MOD(B60+4,49)+1)</f>
        <v/>
      </c>
      <c r="D60" s="32">
        <f>IF(C60="","",IFERROR(VLOOKUP(C60,规律参数!$A:$C,2,FALSE),""))</f>
        <v/>
      </c>
      <c r="E60" s="36">
        <f>IF(C60="","",IFERROR(VLOOKUP(C60,规律参数!$A:$C,3,FALSE),""))</f>
        <v/>
      </c>
      <c r="F60" s="32">
        <f>IF($A60="","",IFERROR(VLOOKUP($A60,开奖记录!$A:$L,9,FALSE),""))</f>
        <v/>
      </c>
      <c r="G60" s="32">
        <f>IF($A60="","",IFERROR(VLOOKUP($A60,开奖记录!$A:$L,11,FALSE),""))</f>
        <v/>
      </c>
      <c r="H60" s="32">
        <f>IF(A60="","",IF(B60="","缺上期数据",IF(G60="","待开奖",IF(ISNUMBER(SEARCH(G60,E60)),"命中","未命中"))))</f>
        <v/>
      </c>
      <c r="I60" s="32">
        <f>IF(B60="","",TEXT(B60,"00")&amp;"+5="&amp;E60)</f>
        <v/>
      </c>
    </row>
    <row r="61" ht="23" customHeight="1" s="21">
      <c r="A61" s="32">
        <f>IFERROR(LARGE(开奖记录!$A$2:$A$400,60),"")</f>
        <v/>
      </c>
      <c r="B61" s="32">
        <f>IF($A61="","",IFERROR(VLOOKUP($A61-1,开奖记录!$A:$L,3,FALSE),""))</f>
        <v/>
      </c>
      <c r="C61" s="32">
        <f>IF(B61="","",MOD(B61+4,49)+1)</f>
        <v/>
      </c>
      <c r="D61" s="32">
        <f>IF(C61="","",IFERROR(VLOOKUP(C61,规律参数!$A:$C,2,FALSE),""))</f>
        <v/>
      </c>
      <c r="E61" s="36">
        <f>IF(C61="","",IFERROR(VLOOKUP(C61,规律参数!$A:$C,3,FALSE),""))</f>
        <v/>
      </c>
      <c r="F61" s="32">
        <f>IF($A61="","",IFERROR(VLOOKUP($A61,开奖记录!$A:$L,9,FALSE),""))</f>
        <v/>
      </c>
      <c r="G61" s="32">
        <f>IF($A61="","",IFERROR(VLOOKUP($A61,开奖记录!$A:$L,11,FALSE),""))</f>
        <v/>
      </c>
      <c r="H61" s="32">
        <f>IF(A61="","",IF(B61="","缺上期数据",IF(G61="","待开奖",IF(ISNUMBER(SEARCH(G61,E61)),"命中","未命中"))))</f>
        <v/>
      </c>
      <c r="I61" s="32">
        <f>IF(B61="","",TEXT(B61,"00")&amp;"+5="&amp;E61)</f>
        <v/>
      </c>
    </row>
    <row r="62" ht="23" customHeight="1" s="21">
      <c r="A62" s="32">
        <f>IFERROR(LARGE(开奖记录!$A$2:$A$400,61),"")</f>
        <v/>
      </c>
      <c r="B62" s="32">
        <f>IF($A62="","",IFERROR(VLOOKUP($A62-1,开奖记录!$A:$L,3,FALSE),""))</f>
        <v/>
      </c>
      <c r="C62" s="32">
        <f>IF(B62="","",MOD(B62+4,49)+1)</f>
        <v/>
      </c>
      <c r="D62" s="32">
        <f>IF(C62="","",IFERROR(VLOOKUP(C62,规律参数!$A:$C,2,FALSE),""))</f>
        <v/>
      </c>
      <c r="E62" s="36">
        <f>IF(C62="","",IFERROR(VLOOKUP(C62,规律参数!$A:$C,3,FALSE),""))</f>
        <v/>
      </c>
      <c r="F62" s="32">
        <f>IF($A62="","",IFERROR(VLOOKUP($A62,开奖记录!$A:$L,9,FALSE),""))</f>
        <v/>
      </c>
      <c r="G62" s="32">
        <f>IF($A62="","",IFERROR(VLOOKUP($A62,开奖记录!$A:$L,11,FALSE),""))</f>
        <v/>
      </c>
      <c r="H62" s="32">
        <f>IF(A62="","",IF(B62="","缺上期数据",IF(G62="","待开奖",IF(ISNUMBER(SEARCH(G62,E62)),"命中","未命中"))))</f>
        <v/>
      </c>
      <c r="I62" s="32">
        <f>IF(B62="","",TEXT(B62,"00")&amp;"+5="&amp;E62)</f>
        <v/>
      </c>
    </row>
    <row r="63" ht="23" customHeight="1" s="21">
      <c r="A63" s="32">
        <f>IFERROR(LARGE(开奖记录!$A$2:$A$400,62),"")</f>
        <v/>
      </c>
      <c r="B63" s="32">
        <f>IF($A63="","",IFERROR(VLOOKUP($A63-1,开奖记录!$A:$L,3,FALSE),""))</f>
        <v/>
      </c>
      <c r="C63" s="32">
        <f>IF(B63="","",MOD(B63+4,49)+1)</f>
        <v/>
      </c>
      <c r="D63" s="32">
        <f>IF(C63="","",IFERROR(VLOOKUP(C63,规律参数!$A:$C,2,FALSE),""))</f>
        <v/>
      </c>
      <c r="E63" s="36">
        <f>IF(C63="","",IFERROR(VLOOKUP(C63,规律参数!$A:$C,3,FALSE),""))</f>
        <v/>
      </c>
      <c r="F63" s="32">
        <f>IF($A63="","",IFERROR(VLOOKUP($A63,开奖记录!$A:$L,9,FALSE),""))</f>
        <v/>
      </c>
      <c r="G63" s="32">
        <f>IF($A63="","",IFERROR(VLOOKUP($A63,开奖记录!$A:$L,11,FALSE),""))</f>
        <v/>
      </c>
      <c r="H63" s="32">
        <f>IF(A63="","",IF(B63="","缺上期数据",IF(G63="","待开奖",IF(ISNUMBER(SEARCH(G63,E63)),"命中","未命中"))))</f>
        <v/>
      </c>
      <c r="I63" s="32">
        <f>IF(B63="","",TEXT(B63,"00")&amp;"+5="&amp;E63)</f>
        <v/>
      </c>
    </row>
    <row r="64" ht="23" customHeight="1" s="21">
      <c r="A64" s="32">
        <f>IFERROR(LARGE(开奖记录!$A$2:$A$400,63),"")</f>
        <v/>
      </c>
      <c r="B64" s="32">
        <f>IF($A64="","",IFERROR(VLOOKUP($A64-1,开奖记录!$A:$L,3,FALSE),""))</f>
        <v/>
      </c>
      <c r="C64" s="32">
        <f>IF(B64="","",MOD(B64+4,49)+1)</f>
        <v/>
      </c>
      <c r="D64" s="32">
        <f>IF(C64="","",IFERROR(VLOOKUP(C64,规律参数!$A:$C,2,FALSE),""))</f>
        <v/>
      </c>
      <c r="E64" s="36">
        <f>IF(C64="","",IFERROR(VLOOKUP(C64,规律参数!$A:$C,3,FALSE),""))</f>
        <v/>
      </c>
      <c r="F64" s="32">
        <f>IF($A64="","",IFERROR(VLOOKUP($A64,开奖记录!$A:$L,9,FALSE),""))</f>
        <v/>
      </c>
      <c r="G64" s="32">
        <f>IF($A64="","",IFERROR(VLOOKUP($A64,开奖记录!$A:$L,11,FALSE),""))</f>
        <v/>
      </c>
      <c r="H64" s="32">
        <f>IF(A64="","",IF(B64="","缺上期数据",IF(G64="","待开奖",IF(ISNUMBER(SEARCH(G64,E64)),"命中","未命中"))))</f>
        <v/>
      </c>
      <c r="I64" s="32">
        <f>IF(B64="","",TEXT(B64,"00")&amp;"+5="&amp;E64)</f>
        <v/>
      </c>
    </row>
    <row r="65" ht="23" customHeight="1" s="21">
      <c r="A65" s="32">
        <f>IFERROR(LARGE(开奖记录!$A$2:$A$400,64),"")</f>
        <v/>
      </c>
      <c r="B65" s="32">
        <f>IF($A65="","",IFERROR(VLOOKUP($A65-1,开奖记录!$A:$L,3,FALSE),""))</f>
        <v/>
      </c>
      <c r="C65" s="32">
        <f>IF(B65="","",MOD(B65+4,49)+1)</f>
        <v/>
      </c>
      <c r="D65" s="32">
        <f>IF(C65="","",IFERROR(VLOOKUP(C65,规律参数!$A:$C,2,FALSE),""))</f>
        <v/>
      </c>
      <c r="E65" s="36">
        <f>IF(C65="","",IFERROR(VLOOKUP(C65,规律参数!$A:$C,3,FALSE),""))</f>
        <v/>
      </c>
      <c r="F65" s="32">
        <f>IF($A65="","",IFERROR(VLOOKUP($A65,开奖记录!$A:$L,9,FALSE),""))</f>
        <v/>
      </c>
      <c r="G65" s="32">
        <f>IF($A65="","",IFERROR(VLOOKUP($A65,开奖记录!$A:$L,11,FALSE),""))</f>
        <v/>
      </c>
      <c r="H65" s="32">
        <f>IF(A65="","",IF(B65="","缺上期数据",IF(G65="","待开奖",IF(ISNUMBER(SEARCH(G65,E65)),"命中","未命中"))))</f>
        <v/>
      </c>
      <c r="I65" s="32">
        <f>IF(B65="","",TEXT(B65,"00")&amp;"+5="&amp;E65)</f>
        <v/>
      </c>
    </row>
    <row r="66" ht="23" customHeight="1" s="21">
      <c r="A66" s="32">
        <f>IFERROR(LARGE(开奖记录!$A$2:$A$400,65),"")</f>
        <v/>
      </c>
      <c r="B66" s="32">
        <f>IF($A66="","",IFERROR(VLOOKUP($A66-1,开奖记录!$A:$L,3,FALSE),""))</f>
        <v/>
      </c>
      <c r="C66" s="32">
        <f>IF(B66="","",MOD(B66+4,49)+1)</f>
        <v/>
      </c>
      <c r="D66" s="32">
        <f>IF(C66="","",IFERROR(VLOOKUP(C66,规律参数!$A:$C,2,FALSE),""))</f>
        <v/>
      </c>
      <c r="E66" s="36">
        <f>IF(C66="","",IFERROR(VLOOKUP(C66,规律参数!$A:$C,3,FALSE),""))</f>
        <v/>
      </c>
      <c r="F66" s="32">
        <f>IF($A66="","",IFERROR(VLOOKUP($A66,开奖记录!$A:$L,9,FALSE),""))</f>
        <v/>
      </c>
      <c r="G66" s="32">
        <f>IF($A66="","",IFERROR(VLOOKUP($A66,开奖记录!$A:$L,11,FALSE),""))</f>
        <v/>
      </c>
      <c r="H66" s="32">
        <f>IF(A66="","",IF(B66="","缺上期数据",IF(G66="","待开奖",IF(ISNUMBER(SEARCH(G66,E66)),"命中","未命中"))))</f>
        <v/>
      </c>
      <c r="I66" s="32">
        <f>IF(B66="","",TEXT(B66,"00")&amp;"+5="&amp;E66)</f>
        <v/>
      </c>
    </row>
    <row r="67" ht="23" customHeight="1" s="21">
      <c r="A67" s="32">
        <f>IFERROR(LARGE(开奖记录!$A$2:$A$400,66),"")</f>
        <v/>
      </c>
      <c r="B67" s="32">
        <f>IF($A67="","",IFERROR(VLOOKUP($A67-1,开奖记录!$A:$L,3,FALSE),""))</f>
        <v/>
      </c>
      <c r="C67" s="32">
        <f>IF(B67="","",MOD(B67+4,49)+1)</f>
        <v/>
      </c>
      <c r="D67" s="32">
        <f>IF(C67="","",IFERROR(VLOOKUP(C67,规律参数!$A:$C,2,FALSE),""))</f>
        <v/>
      </c>
      <c r="E67" s="36">
        <f>IF(C67="","",IFERROR(VLOOKUP(C67,规律参数!$A:$C,3,FALSE),""))</f>
        <v/>
      </c>
      <c r="F67" s="32">
        <f>IF($A67="","",IFERROR(VLOOKUP($A67,开奖记录!$A:$L,9,FALSE),""))</f>
        <v/>
      </c>
      <c r="G67" s="32">
        <f>IF($A67="","",IFERROR(VLOOKUP($A67,开奖记录!$A:$L,11,FALSE),""))</f>
        <v/>
      </c>
      <c r="H67" s="32">
        <f>IF(A67="","",IF(B67="","缺上期数据",IF(G67="","待开奖",IF(ISNUMBER(SEARCH(G67,E67)),"命中","未命中"))))</f>
        <v/>
      </c>
      <c r="I67" s="32">
        <f>IF(B67="","",TEXT(B67,"00")&amp;"+5="&amp;E67)</f>
        <v/>
      </c>
    </row>
    <row r="68" ht="23" customHeight="1" s="21">
      <c r="A68" s="32">
        <f>IFERROR(LARGE(开奖记录!$A$2:$A$400,67),"")</f>
        <v/>
      </c>
      <c r="B68" s="32">
        <f>IF($A68="","",IFERROR(VLOOKUP($A68-1,开奖记录!$A:$L,3,FALSE),""))</f>
        <v/>
      </c>
      <c r="C68" s="32">
        <f>IF(B68="","",MOD(B68+4,49)+1)</f>
        <v/>
      </c>
      <c r="D68" s="32">
        <f>IF(C68="","",IFERROR(VLOOKUP(C68,规律参数!$A:$C,2,FALSE),""))</f>
        <v/>
      </c>
      <c r="E68" s="36">
        <f>IF(C68="","",IFERROR(VLOOKUP(C68,规律参数!$A:$C,3,FALSE),""))</f>
        <v/>
      </c>
      <c r="F68" s="32">
        <f>IF($A68="","",IFERROR(VLOOKUP($A68,开奖记录!$A:$L,9,FALSE),""))</f>
        <v/>
      </c>
      <c r="G68" s="32">
        <f>IF($A68="","",IFERROR(VLOOKUP($A68,开奖记录!$A:$L,11,FALSE),""))</f>
        <v/>
      </c>
      <c r="H68" s="32">
        <f>IF(A68="","",IF(B68="","缺上期数据",IF(G68="","待开奖",IF(ISNUMBER(SEARCH(G68,E68)),"命中","未命中"))))</f>
        <v/>
      </c>
      <c r="I68" s="32">
        <f>IF(B68="","",TEXT(B68,"00")&amp;"+5="&amp;E68)</f>
        <v/>
      </c>
    </row>
    <row r="69" ht="23" customHeight="1" s="21">
      <c r="A69" s="32">
        <f>IFERROR(LARGE(开奖记录!$A$2:$A$400,68),"")</f>
        <v/>
      </c>
      <c r="B69" s="32">
        <f>IF($A69="","",IFERROR(VLOOKUP($A69-1,开奖记录!$A:$L,3,FALSE),""))</f>
        <v/>
      </c>
      <c r="C69" s="32">
        <f>IF(B69="","",MOD(B69+4,49)+1)</f>
        <v/>
      </c>
      <c r="D69" s="32">
        <f>IF(C69="","",IFERROR(VLOOKUP(C69,规律参数!$A:$C,2,FALSE),""))</f>
        <v/>
      </c>
      <c r="E69" s="36">
        <f>IF(C69="","",IFERROR(VLOOKUP(C69,规律参数!$A:$C,3,FALSE),""))</f>
        <v/>
      </c>
      <c r="F69" s="32">
        <f>IF($A69="","",IFERROR(VLOOKUP($A69,开奖记录!$A:$L,9,FALSE),""))</f>
        <v/>
      </c>
      <c r="G69" s="32">
        <f>IF($A69="","",IFERROR(VLOOKUP($A69,开奖记录!$A:$L,11,FALSE),""))</f>
        <v/>
      </c>
      <c r="H69" s="32">
        <f>IF(A69="","",IF(B69="","缺上期数据",IF(G69="","待开奖",IF(ISNUMBER(SEARCH(G69,E69)),"命中","未命中"))))</f>
        <v/>
      </c>
      <c r="I69" s="32">
        <f>IF(B69="","",TEXT(B69,"00")&amp;"+5="&amp;E69)</f>
        <v/>
      </c>
    </row>
    <row r="70" ht="23" customHeight="1" s="21">
      <c r="A70" s="32">
        <f>IFERROR(LARGE(开奖记录!$A$2:$A$400,69),"")</f>
        <v/>
      </c>
      <c r="B70" s="32">
        <f>IF($A70="","",IFERROR(VLOOKUP($A70-1,开奖记录!$A:$L,3,FALSE),""))</f>
        <v/>
      </c>
      <c r="C70" s="32">
        <f>IF(B70="","",MOD(B70+4,49)+1)</f>
        <v/>
      </c>
      <c r="D70" s="32">
        <f>IF(C70="","",IFERROR(VLOOKUP(C70,规律参数!$A:$C,2,FALSE),""))</f>
        <v/>
      </c>
      <c r="E70" s="36">
        <f>IF(C70="","",IFERROR(VLOOKUP(C70,规律参数!$A:$C,3,FALSE),""))</f>
        <v/>
      </c>
      <c r="F70" s="32">
        <f>IF($A70="","",IFERROR(VLOOKUP($A70,开奖记录!$A:$L,9,FALSE),""))</f>
        <v/>
      </c>
      <c r="G70" s="32">
        <f>IF($A70="","",IFERROR(VLOOKUP($A70,开奖记录!$A:$L,11,FALSE),""))</f>
        <v/>
      </c>
      <c r="H70" s="32">
        <f>IF(A70="","",IF(B70="","缺上期数据",IF(G70="","待开奖",IF(ISNUMBER(SEARCH(G70,E70)),"命中","未命中"))))</f>
        <v/>
      </c>
      <c r="I70" s="32">
        <f>IF(B70="","",TEXT(B70,"00")&amp;"+5="&amp;E70)</f>
        <v/>
      </c>
    </row>
    <row r="71" ht="23" customHeight="1" s="21">
      <c r="A71" s="32">
        <f>IFERROR(LARGE(开奖记录!$A$2:$A$400,70),"")</f>
        <v/>
      </c>
      <c r="B71" s="32">
        <f>IF($A71="","",IFERROR(VLOOKUP($A71-1,开奖记录!$A:$L,3,FALSE),""))</f>
        <v/>
      </c>
      <c r="C71" s="32">
        <f>IF(B71="","",MOD(B71+4,49)+1)</f>
        <v/>
      </c>
      <c r="D71" s="32">
        <f>IF(C71="","",IFERROR(VLOOKUP(C71,规律参数!$A:$C,2,FALSE),""))</f>
        <v/>
      </c>
      <c r="E71" s="36">
        <f>IF(C71="","",IFERROR(VLOOKUP(C71,规律参数!$A:$C,3,FALSE),""))</f>
        <v/>
      </c>
      <c r="F71" s="32">
        <f>IF($A71="","",IFERROR(VLOOKUP($A71,开奖记录!$A:$L,9,FALSE),""))</f>
        <v/>
      </c>
      <c r="G71" s="32">
        <f>IF($A71="","",IFERROR(VLOOKUP($A71,开奖记录!$A:$L,11,FALSE),""))</f>
        <v/>
      </c>
      <c r="H71" s="32">
        <f>IF(A71="","",IF(B71="","缺上期数据",IF(G71="","待开奖",IF(ISNUMBER(SEARCH(G71,E71)),"命中","未命中"))))</f>
        <v/>
      </c>
      <c r="I71" s="32">
        <f>IF(B71="","",TEXT(B71,"00")&amp;"+5="&amp;E71)</f>
        <v/>
      </c>
    </row>
    <row r="72" ht="23" customHeight="1" s="21">
      <c r="A72" s="32">
        <f>IFERROR(LARGE(开奖记录!$A$2:$A$400,71),"")</f>
        <v/>
      </c>
      <c r="B72" s="32">
        <f>IF($A72="","",IFERROR(VLOOKUP($A72-1,开奖记录!$A:$L,3,FALSE),""))</f>
        <v/>
      </c>
      <c r="C72" s="32">
        <f>IF(B72="","",MOD(B72+4,49)+1)</f>
        <v/>
      </c>
      <c r="D72" s="32">
        <f>IF(C72="","",IFERROR(VLOOKUP(C72,规律参数!$A:$C,2,FALSE),""))</f>
        <v/>
      </c>
      <c r="E72" s="36">
        <f>IF(C72="","",IFERROR(VLOOKUP(C72,规律参数!$A:$C,3,FALSE),""))</f>
        <v/>
      </c>
      <c r="F72" s="32">
        <f>IF($A72="","",IFERROR(VLOOKUP($A72,开奖记录!$A:$L,9,FALSE),""))</f>
        <v/>
      </c>
      <c r="G72" s="32">
        <f>IF($A72="","",IFERROR(VLOOKUP($A72,开奖记录!$A:$L,11,FALSE),""))</f>
        <v/>
      </c>
      <c r="H72" s="32">
        <f>IF(A72="","",IF(B72="","缺上期数据",IF(G72="","待开奖",IF(ISNUMBER(SEARCH(G72,E72)),"命中","未命中"))))</f>
        <v/>
      </c>
      <c r="I72" s="32">
        <f>IF(B72="","",TEXT(B72,"00")&amp;"+5="&amp;E72)</f>
        <v/>
      </c>
    </row>
    <row r="73" ht="23" customHeight="1" s="21">
      <c r="A73" s="32">
        <f>IFERROR(LARGE(开奖记录!$A$2:$A$400,72),"")</f>
        <v/>
      </c>
      <c r="B73" s="32">
        <f>IF($A73="","",IFERROR(VLOOKUP($A73-1,开奖记录!$A:$L,3,FALSE),""))</f>
        <v/>
      </c>
      <c r="C73" s="32">
        <f>IF(B73="","",MOD(B73+4,49)+1)</f>
        <v/>
      </c>
      <c r="D73" s="32">
        <f>IF(C73="","",IFERROR(VLOOKUP(C73,规律参数!$A:$C,2,FALSE),""))</f>
        <v/>
      </c>
      <c r="E73" s="36">
        <f>IF(C73="","",IFERROR(VLOOKUP(C73,规律参数!$A:$C,3,FALSE),""))</f>
        <v/>
      </c>
      <c r="F73" s="32">
        <f>IF($A73="","",IFERROR(VLOOKUP($A73,开奖记录!$A:$L,9,FALSE),""))</f>
        <v/>
      </c>
      <c r="G73" s="32">
        <f>IF($A73="","",IFERROR(VLOOKUP($A73,开奖记录!$A:$L,11,FALSE),""))</f>
        <v/>
      </c>
      <c r="H73" s="32">
        <f>IF(A73="","",IF(B73="","缺上期数据",IF(G73="","待开奖",IF(ISNUMBER(SEARCH(G73,E73)),"命中","未命中"))))</f>
        <v/>
      </c>
      <c r="I73" s="32">
        <f>IF(B73="","",TEXT(B73,"00")&amp;"+5="&amp;E73)</f>
        <v/>
      </c>
    </row>
    <row r="74" ht="23" customHeight="1" s="21">
      <c r="A74" s="32">
        <f>IFERROR(LARGE(开奖记录!$A$2:$A$400,73),"")</f>
        <v/>
      </c>
      <c r="B74" s="32">
        <f>IF($A74="","",IFERROR(VLOOKUP($A74-1,开奖记录!$A:$L,3,FALSE),""))</f>
        <v/>
      </c>
      <c r="C74" s="32">
        <f>IF(B74="","",MOD(B74+4,49)+1)</f>
        <v/>
      </c>
      <c r="D74" s="32">
        <f>IF(C74="","",IFERROR(VLOOKUP(C74,规律参数!$A:$C,2,FALSE),""))</f>
        <v/>
      </c>
      <c r="E74" s="36">
        <f>IF(C74="","",IFERROR(VLOOKUP(C74,规律参数!$A:$C,3,FALSE),""))</f>
        <v/>
      </c>
      <c r="F74" s="32">
        <f>IF($A74="","",IFERROR(VLOOKUP($A74,开奖记录!$A:$L,9,FALSE),""))</f>
        <v/>
      </c>
      <c r="G74" s="32">
        <f>IF($A74="","",IFERROR(VLOOKUP($A74,开奖记录!$A:$L,11,FALSE),""))</f>
        <v/>
      </c>
      <c r="H74" s="32">
        <f>IF(A74="","",IF(B74="","缺上期数据",IF(G74="","待开奖",IF(ISNUMBER(SEARCH(G74,E74)),"命中","未命中"))))</f>
        <v/>
      </c>
      <c r="I74" s="32">
        <f>IF(B74="","",TEXT(B74,"00")&amp;"+5="&amp;E74)</f>
        <v/>
      </c>
    </row>
    <row r="75" ht="23" customHeight="1" s="21">
      <c r="A75" s="32">
        <f>IFERROR(LARGE(开奖记录!$A$2:$A$400,74),"")</f>
        <v/>
      </c>
      <c r="B75" s="32">
        <f>IF($A75="","",IFERROR(VLOOKUP($A75-1,开奖记录!$A:$L,3,FALSE),""))</f>
        <v/>
      </c>
      <c r="C75" s="32">
        <f>IF(B75="","",MOD(B75+4,49)+1)</f>
        <v/>
      </c>
      <c r="D75" s="32">
        <f>IF(C75="","",IFERROR(VLOOKUP(C75,规律参数!$A:$C,2,FALSE),""))</f>
        <v/>
      </c>
      <c r="E75" s="36">
        <f>IF(C75="","",IFERROR(VLOOKUP(C75,规律参数!$A:$C,3,FALSE),""))</f>
        <v/>
      </c>
      <c r="F75" s="32">
        <f>IF($A75="","",IFERROR(VLOOKUP($A75,开奖记录!$A:$L,9,FALSE),""))</f>
        <v/>
      </c>
      <c r="G75" s="32">
        <f>IF($A75="","",IFERROR(VLOOKUP($A75,开奖记录!$A:$L,11,FALSE),""))</f>
        <v/>
      </c>
      <c r="H75" s="32">
        <f>IF(A75="","",IF(B75="","缺上期数据",IF(G75="","待开奖",IF(ISNUMBER(SEARCH(G75,E75)),"命中","未命中"))))</f>
        <v/>
      </c>
      <c r="I75" s="32">
        <f>IF(B75="","",TEXT(B75,"00")&amp;"+5="&amp;E75)</f>
        <v/>
      </c>
    </row>
    <row r="76" ht="23" customHeight="1" s="21">
      <c r="A76" s="32">
        <f>IFERROR(LARGE(开奖记录!$A$2:$A$400,75),"")</f>
        <v/>
      </c>
      <c r="B76" s="32">
        <f>IF($A76="","",IFERROR(VLOOKUP($A76-1,开奖记录!$A:$L,3,FALSE),""))</f>
        <v/>
      </c>
      <c r="C76" s="32">
        <f>IF(B76="","",MOD(B76+4,49)+1)</f>
        <v/>
      </c>
      <c r="D76" s="32">
        <f>IF(C76="","",IFERROR(VLOOKUP(C76,规律参数!$A:$C,2,FALSE),""))</f>
        <v/>
      </c>
      <c r="E76" s="36">
        <f>IF(C76="","",IFERROR(VLOOKUP(C76,规律参数!$A:$C,3,FALSE),""))</f>
        <v/>
      </c>
      <c r="F76" s="32">
        <f>IF($A76="","",IFERROR(VLOOKUP($A76,开奖记录!$A:$L,9,FALSE),""))</f>
        <v/>
      </c>
      <c r="G76" s="32">
        <f>IF($A76="","",IFERROR(VLOOKUP($A76,开奖记录!$A:$L,11,FALSE),""))</f>
        <v/>
      </c>
      <c r="H76" s="32">
        <f>IF(A76="","",IF(B76="","缺上期数据",IF(G76="","待开奖",IF(ISNUMBER(SEARCH(G76,E76)),"命中","未命中"))))</f>
        <v/>
      </c>
      <c r="I76" s="32">
        <f>IF(B76="","",TEXT(B76,"00")&amp;"+5="&amp;E76)</f>
        <v/>
      </c>
    </row>
    <row r="77" ht="23" customHeight="1" s="21">
      <c r="A77" s="32">
        <f>IFERROR(LARGE(开奖记录!$A$2:$A$400,76),"")</f>
        <v/>
      </c>
      <c r="B77" s="32">
        <f>IF($A77="","",IFERROR(VLOOKUP($A77-1,开奖记录!$A:$L,3,FALSE),""))</f>
        <v/>
      </c>
      <c r="C77" s="32">
        <f>IF(B77="","",MOD(B77+4,49)+1)</f>
        <v/>
      </c>
      <c r="D77" s="32">
        <f>IF(C77="","",IFERROR(VLOOKUP(C77,规律参数!$A:$C,2,FALSE),""))</f>
        <v/>
      </c>
      <c r="E77" s="36">
        <f>IF(C77="","",IFERROR(VLOOKUP(C77,规律参数!$A:$C,3,FALSE),""))</f>
        <v/>
      </c>
      <c r="F77" s="32">
        <f>IF($A77="","",IFERROR(VLOOKUP($A77,开奖记录!$A:$L,9,FALSE),""))</f>
        <v/>
      </c>
      <c r="G77" s="32">
        <f>IF($A77="","",IFERROR(VLOOKUP($A77,开奖记录!$A:$L,11,FALSE),""))</f>
        <v/>
      </c>
      <c r="H77" s="32">
        <f>IF(A77="","",IF(B77="","缺上期数据",IF(G77="","待开奖",IF(ISNUMBER(SEARCH(G77,E77)),"命中","未命中"))))</f>
        <v/>
      </c>
      <c r="I77" s="32">
        <f>IF(B77="","",TEXT(B77,"00")&amp;"+5="&amp;E77)</f>
        <v/>
      </c>
    </row>
    <row r="78" ht="23" customHeight="1" s="21">
      <c r="A78" s="32">
        <f>IFERROR(LARGE(开奖记录!$A$2:$A$400,77),"")</f>
        <v/>
      </c>
      <c r="B78" s="32">
        <f>IF($A78="","",IFERROR(VLOOKUP($A78-1,开奖记录!$A:$L,3,FALSE),""))</f>
        <v/>
      </c>
      <c r="C78" s="32">
        <f>IF(B78="","",MOD(B78+4,49)+1)</f>
        <v/>
      </c>
      <c r="D78" s="32">
        <f>IF(C78="","",IFERROR(VLOOKUP(C78,规律参数!$A:$C,2,FALSE),""))</f>
        <v/>
      </c>
      <c r="E78" s="36">
        <f>IF(C78="","",IFERROR(VLOOKUP(C78,规律参数!$A:$C,3,FALSE),""))</f>
        <v/>
      </c>
      <c r="F78" s="32">
        <f>IF($A78="","",IFERROR(VLOOKUP($A78,开奖记录!$A:$L,9,FALSE),""))</f>
        <v/>
      </c>
      <c r="G78" s="32">
        <f>IF($A78="","",IFERROR(VLOOKUP($A78,开奖记录!$A:$L,11,FALSE),""))</f>
        <v/>
      </c>
      <c r="H78" s="32">
        <f>IF(A78="","",IF(B78="","缺上期数据",IF(G78="","待开奖",IF(ISNUMBER(SEARCH(G78,E78)),"命中","未命中"))))</f>
        <v/>
      </c>
      <c r="I78" s="32">
        <f>IF(B78="","",TEXT(B78,"00")&amp;"+5="&amp;E78)</f>
        <v/>
      </c>
    </row>
    <row r="79" ht="23" customHeight="1" s="21">
      <c r="A79" s="32">
        <f>IFERROR(LARGE(开奖记录!$A$2:$A$400,78),"")</f>
        <v/>
      </c>
      <c r="B79" s="32">
        <f>IF($A79="","",IFERROR(VLOOKUP($A79-1,开奖记录!$A:$L,3,FALSE),""))</f>
        <v/>
      </c>
      <c r="C79" s="32">
        <f>IF(B79="","",MOD(B79+4,49)+1)</f>
        <v/>
      </c>
      <c r="D79" s="32">
        <f>IF(C79="","",IFERROR(VLOOKUP(C79,规律参数!$A:$C,2,FALSE),""))</f>
        <v/>
      </c>
      <c r="E79" s="36">
        <f>IF(C79="","",IFERROR(VLOOKUP(C79,规律参数!$A:$C,3,FALSE),""))</f>
        <v/>
      </c>
      <c r="F79" s="32">
        <f>IF($A79="","",IFERROR(VLOOKUP($A79,开奖记录!$A:$L,9,FALSE),""))</f>
        <v/>
      </c>
      <c r="G79" s="32">
        <f>IF($A79="","",IFERROR(VLOOKUP($A79,开奖记录!$A:$L,11,FALSE),""))</f>
        <v/>
      </c>
      <c r="H79" s="32">
        <f>IF(A79="","",IF(B79="","缺上期数据",IF(G79="","待开奖",IF(ISNUMBER(SEARCH(G79,E79)),"命中","未命中"))))</f>
        <v/>
      </c>
      <c r="I79" s="32">
        <f>IF(B79="","",TEXT(B79,"00")&amp;"+5="&amp;E79)</f>
        <v/>
      </c>
    </row>
    <row r="80" ht="23" customHeight="1" s="21">
      <c r="A80" s="32">
        <f>IFERROR(LARGE(开奖记录!$A$2:$A$400,79),"")</f>
        <v/>
      </c>
      <c r="B80" s="32">
        <f>IF($A80="","",IFERROR(VLOOKUP($A80-1,开奖记录!$A:$L,3,FALSE),""))</f>
        <v/>
      </c>
      <c r="C80" s="32">
        <f>IF(B80="","",MOD(B80+4,49)+1)</f>
        <v/>
      </c>
      <c r="D80" s="32">
        <f>IF(C80="","",IFERROR(VLOOKUP(C80,规律参数!$A:$C,2,FALSE),""))</f>
        <v/>
      </c>
      <c r="E80" s="36">
        <f>IF(C80="","",IFERROR(VLOOKUP(C80,规律参数!$A:$C,3,FALSE),""))</f>
        <v/>
      </c>
      <c r="F80" s="32">
        <f>IF($A80="","",IFERROR(VLOOKUP($A80,开奖记录!$A:$L,9,FALSE),""))</f>
        <v/>
      </c>
      <c r="G80" s="32">
        <f>IF($A80="","",IFERROR(VLOOKUP($A80,开奖记录!$A:$L,11,FALSE),""))</f>
        <v/>
      </c>
      <c r="H80" s="32">
        <f>IF(A80="","",IF(B80="","缺上期数据",IF(G80="","待开奖",IF(ISNUMBER(SEARCH(G80,E80)),"命中","未命中"))))</f>
        <v/>
      </c>
      <c r="I80" s="32">
        <f>IF(B80="","",TEXT(B80,"00")&amp;"+5="&amp;E80)</f>
        <v/>
      </c>
    </row>
    <row r="81" ht="23" customHeight="1" s="21">
      <c r="A81" s="32">
        <f>IFERROR(LARGE(开奖记录!$A$2:$A$400,80),"")</f>
        <v/>
      </c>
      <c r="B81" s="32">
        <f>IF($A81="","",IFERROR(VLOOKUP($A81-1,开奖记录!$A:$L,3,FALSE),""))</f>
        <v/>
      </c>
      <c r="C81" s="32">
        <f>IF(B81="","",MOD(B81+4,49)+1)</f>
        <v/>
      </c>
      <c r="D81" s="32">
        <f>IF(C81="","",IFERROR(VLOOKUP(C81,规律参数!$A:$C,2,FALSE),""))</f>
        <v/>
      </c>
      <c r="E81" s="36">
        <f>IF(C81="","",IFERROR(VLOOKUP(C81,规律参数!$A:$C,3,FALSE),""))</f>
        <v/>
      </c>
      <c r="F81" s="32">
        <f>IF($A81="","",IFERROR(VLOOKUP($A81,开奖记录!$A:$L,9,FALSE),""))</f>
        <v/>
      </c>
      <c r="G81" s="32">
        <f>IF($A81="","",IFERROR(VLOOKUP($A81,开奖记录!$A:$L,11,FALSE),""))</f>
        <v/>
      </c>
      <c r="H81" s="32">
        <f>IF(A81="","",IF(B81="","缺上期数据",IF(G81="","待开奖",IF(ISNUMBER(SEARCH(G81,E81)),"命中","未命中"))))</f>
        <v/>
      </c>
      <c r="I81" s="32">
        <f>IF(B81="","",TEXT(B81,"00")&amp;"+5="&amp;E81)</f>
        <v/>
      </c>
    </row>
    <row r="82" ht="23" customHeight="1" s="21">
      <c r="A82" s="32">
        <f>IFERROR(LARGE(开奖记录!$A$2:$A$400,81),"")</f>
        <v/>
      </c>
      <c r="B82" s="32">
        <f>IF($A82="","",IFERROR(VLOOKUP($A82-1,开奖记录!$A:$L,3,FALSE),""))</f>
        <v/>
      </c>
      <c r="C82" s="32">
        <f>IF(B82="","",MOD(B82+4,49)+1)</f>
        <v/>
      </c>
      <c r="D82" s="32">
        <f>IF(C82="","",IFERROR(VLOOKUP(C82,规律参数!$A:$C,2,FALSE),""))</f>
        <v/>
      </c>
      <c r="E82" s="36">
        <f>IF(C82="","",IFERROR(VLOOKUP(C82,规律参数!$A:$C,3,FALSE),""))</f>
        <v/>
      </c>
      <c r="F82" s="32">
        <f>IF($A82="","",IFERROR(VLOOKUP($A82,开奖记录!$A:$L,9,FALSE),""))</f>
        <v/>
      </c>
      <c r="G82" s="32">
        <f>IF($A82="","",IFERROR(VLOOKUP($A82,开奖记录!$A:$L,11,FALSE),""))</f>
        <v/>
      </c>
      <c r="H82" s="32">
        <f>IF(A82="","",IF(B82="","缺上期数据",IF(G82="","待开奖",IF(ISNUMBER(SEARCH(G82,E82)),"命中","未命中"))))</f>
        <v/>
      </c>
      <c r="I82" s="32">
        <f>IF(B82="","",TEXT(B82,"00")&amp;"+5="&amp;E82)</f>
        <v/>
      </c>
    </row>
    <row r="83" ht="23" customHeight="1" s="21">
      <c r="A83" s="32">
        <f>IFERROR(LARGE(开奖记录!$A$2:$A$400,82),"")</f>
        <v/>
      </c>
      <c r="B83" s="32">
        <f>IF($A83="","",IFERROR(VLOOKUP($A83-1,开奖记录!$A:$L,3,FALSE),""))</f>
        <v/>
      </c>
      <c r="C83" s="32">
        <f>IF(B83="","",MOD(B83+4,49)+1)</f>
        <v/>
      </c>
      <c r="D83" s="32">
        <f>IF(C83="","",IFERROR(VLOOKUP(C83,规律参数!$A:$C,2,FALSE),""))</f>
        <v/>
      </c>
      <c r="E83" s="36">
        <f>IF(C83="","",IFERROR(VLOOKUP(C83,规律参数!$A:$C,3,FALSE),""))</f>
        <v/>
      </c>
      <c r="F83" s="32">
        <f>IF($A83="","",IFERROR(VLOOKUP($A83,开奖记录!$A:$L,9,FALSE),""))</f>
        <v/>
      </c>
      <c r="G83" s="32">
        <f>IF($A83="","",IFERROR(VLOOKUP($A83,开奖记录!$A:$L,11,FALSE),""))</f>
        <v/>
      </c>
      <c r="H83" s="32">
        <f>IF(A83="","",IF(B83="","缺上期数据",IF(G83="","待开奖",IF(ISNUMBER(SEARCH(G83,E83)),"命中","未命中"))))</f>
        <v/>
      </c>
      <c r="I83" s="32">
        <f>IF(B83="","",TEXT(B83,"00")&amp;"+5="&amp;E83)</f>
        <v/>
      </c>
    </row>
    <row r="84" ht="23" customHeight="1" s="21">
      <c r="A84" s="32">
        <f>IFERROR(LARGE(开奖记录!$A$2:$A$400,83),"")</f>
        <v/>
      </c>
      <c r="B84" s="32">
        <f>IF($A84="","",IFERROR(VLOOKUP($A84-1,开奖记录!$A:$L,3,FALSE),""))</f>
        <v/>
      </c>
      <c r="C84" s="32">
        <f>IF(B84="","",MOD(B84+4,49)+1)</f>
        <v/>
      </c>
      <c r="D84" s="32">
        <f>IF(C84="","",IFERROR(VLOOKUP(C84,规律参数!$A:$C,2,FALSE),""))</f>
        <v/>
      </c>
      <c r="E84" s="36">
        <f>IF(C84="","",IFERROR(VLOOKUP(C84,规律参数!$A:$C,3,FALSE),""))</f>
        <v/>
      </c>
      <c r="F84" s="32">
        <f>IF($A84="","",IFERROR(VLOOKUP($A84,开奖记录!$A:$L,9,FALSE),""))</f>
        <v/>
      </c>
      <c r="G84" s="32">
        <f>IF($A84="","",IFERROR(VLOOKUP($A84,开奖记录!$A:$L,11,FALSE),""))</f>
        <v/>
      </c>
      <c r="H84" s="32">
        <f>IF(A84="","",IF(B84="","缺上期数据",IF(G84="","待开奖",IF(ISNUMBER(SEARCH(G84,E84)),"命中","未命中"))))</f>
        <v/>
      </c>
      <c r="I84" s="32">
        <f>IF(B84="","",TEXT(B84,"00")&amp;"+5="&amp;E84)</f>
        <v/>
      </c>
    </row>
    <row r="85" ht="23" customHeight="1" s="21">
      <c r="A85" s="32">
        <f>IFERROR(LARGE(开奖记录!$A$2:$A$400,84),"")</f>
        <v/>
      </c>
      <c r="B85" s="32">
        <f>IF($A85="","",IFERROR(VLOOKUP($A85-1,开奖记录!$A:$L,3,FALSE),""))</f>
        <v/>
      </c>
      <c r="C85" s="32">
        <f>IF(B85="","",MOD(B85+4,49)+1)</f>
        <v/>
      </c>
      <c r="D85" s="32">
        <f>IF(C85="","",IFERROR(VLOOKUP(C85,规律参数!$A:$C,2,FALSE),""))</f>
        <v/>
      </c>
      <c r="E85" s="36">
        <f>IF(C85="","",IFERROR(VLOOKUP(C85,规律参数!$A:$C,3,FALSE),""))</f>
        <v/>
      </c>
      <c r="F85" s="32">
        <f>IF($A85="","",IFERROR(VLOOKUP($A85,开奖记录!$A:$L,9,FALSE),""))</f>
        <v/>
      </c>
      <c r="G85" s="32">
        <f>IF($A85="","",IFERROR(VLOOKUP($A85,开奖记录!$A:$L,11,FALSE),""))</f>
        <v/>
      </c>
      <c r="H85" s="32">
        <f>IF(A85="","",IF(B85="","缺上期数据",IF(G85="","待开奖",IF(ISNUMBER(SEARCH(G85,E85)),"命中","未命中"))))</f>
        <v/>
      </c>
      <c r="I85" s="32">
        <f>IF(B85="","",TEXT(B85,"00")&amp;"+5="&amp;E85)</f>
        <v/>
      </c>
    </row>
    <row r="86" ht="23" customHeight="1" s="21">
      <c r="A86" s="32">
        <f>IFERROR(LARGE(开奖记录!$A$2:$A$400,85),"")</f>
        <v/>
      </c>
      <c r="B86" s="32">
        <f>IF($A86="","",IFERROR(VLOOKUP($A86-1,开奖记录!$A:$L,3,FALSE),""))</f>
        <v/>
      </c>
      <c r="C86" s="32">
        <f>IF(B86="","",MOD(B86+4,49)+1)</f>
        <v/>
      </c>
      <c r="D86" s="32">
        <f>IF(C86="","",IFERROR(VLOOKUP(C86,规律参数!$A:$C,2,FALSE),""))</f>
        <v/>
      </c>
      <c r="E86" s="36">
        <f>IF(C86="","",IFERROR(VLOOKUP(C86,规律参数!$A:$C,3,FALSE),""))</f>
        <v/>
      </c>
      <c r="F86" s="32">
        <f>IF($A86="","",IFERROR(VLOOKUP($A86,开奖记录!$A:$L,9,FALSE),""))</f>
        <v/>
      </c>
      <c r="G86" s="32">
        <f>IF($A86="","",IFERROR(VLOOKUP($A86,开奖记录!$A:$L,11,FALSE),""))</f>
        <v/>
      </c>
      <c r="H86" s="32">
        <f>IF(A86="","",IF(B86="","缺上期数据",IF(G86="","待开奖",IF(ISNUMBER(SEARCH(G86,E86)),"命中","未命中"))))</f>
        <v/>
      </c>
      <c r="I86" s="32">
        <f>IF(B86="","",TEXT(B86,"00")&amp;"+5="&amp;E86)</f>
        <v/>
      </c>
    </row>
    <row r="87" ht="23" customHeight="1" s="21">
      <c r="A87" s="32">
        <f>IFERROR(LARGE(开奖记录!$A$2:$A$400,86),"")</f>
        <v/>
      </c>
      <c r="B87" s="32">
        <f>IF($A87="","",IFERROR(VLOOKUP($A87-1,开奖记录!$A:$L,3,FALSE),""))</f>
        <v/>
      </c>
      <c r="C87" s="32">
        <f>IF(B87="","",MOD(B87+4,49)+1)</f>
        <v/>
      </c>
      <c r="D87" s="32">
        <f>IF(C87="","",IFERROR(VLOOKUP(C87,规律参数!$A:$C,2,FALSE),""))</f>
        <v/>
      </c>
      <c r="E87" s="36">
        <f>IF(C87="","",IFERROR(VLOOKUP(C87,规律参数!$A:$C,3,FALSE),""))</f>
        <v/>
      </c>
      <c r="F87" s="32">
        <f>IF($A87="","",IFERROR(VLOOKUP($A87,开奖记录!$A:$L,9,FALSE),""))</f>
        <v/>
      </c>
      <c r="G87" s="32">
        <f>IF($A87="","",IFERROR(VLOOKUP($A87,开奖记录!$A:$L,11,FALSE),""))</f>
        <v/>
      </c>
      <c r="H87" s="32">
        <f>IF(A87="","",IF(B87="","缺上期数据",IF(G87="","待开奖",IF(ISNUMBER(SEARCH(G87,E87)),"命中","未命中"))))</f>
        <v/>
      </c>
      <c r="I87" s="32">
        <f>IF(B87="","",TEXT(B87,"00")&amp;"+5="&amp;E87)</f>
        <v/>
      </c>
    </row>
    <row r="88" ht="23" customHeight="1" s="21">
      <c r="A88" s="32">
        <f>IFERROR(LARGE(开奖记录!$A$2:$A$400,87),"")</f>
        <v/>
      </c>
      <c r="B88" s="32">
        <f>IF($A88="","",IFERROR(VLOOKUP($A88-1,开奖记录!$A:$L,3,FALSE),""))</f>
        <v/>
      </c>
      <c r="C88" s="32">
        <f>IF(B88="","",MOD(B88+4,49)+1)</f>
        <v/>
      </c>
      <c r="D88" s="32">
        <f>IF(C88="","",IFERROR(VLOOKUP(C88,规律参数!$A:$C,2,FALSE),""))</f>
        <v/>
      </c>
      <c r="E88" s="36">
        <f>IF(C88="","",IFERROR(VLOOKUP(C88,规律参数!$A:$C,3,FALSE),""))</f>
        <v/>
      </c>
      <c r="F88" s="32">
        <f>IF($A88="","",IFERROR(VLOOKUP($A88,开奖记录!$A:$L,9,FALSE),""))</f>
        <v/>
      </c>
      <c r="G88" s="32">
        <f>IF($A88="","",IFERROR(VLOOKUP($A88,开奖记录!$A:$L,11,FALSE),""))</f>
        <v/>
      </c>
      <c r="H88" s="32">
        <f>IF(A88="","",IF(B88="","缺上期数据",IF(G88="","待开奖",IF(ISNUMBER(SEARCH(G88,E88)),"命中","未命中"))))</f>
        <v/>
      </c>
      <c r="I88" s="32">
        <f>IF(B88="","",TEXT(B88,"00")&amp;"+5="&amp;E88)</f>
        <v/>
      </c>
    </row>
    <row r="89" ht="23" customHeight="1" s="21">
      <c r="A89" s="32">
        <f>IFERROR(LARGE(开奖记录!$A$2:$A$400,88),"")</f>
        <v/>
      </c>
      <c r="B89" s="32">
        <f>IF($A89="","",IFERROR(VLOOKUP($A89-1,开奖记录!$A:$L,3,FALSE),""))</f>
        <v/>
      </c>
      <c r="C89" s="32">
        <f>IF(B89="","",MOD(B89+4,49)+1)</f>
        <v/>
      </c>
      <c r="D89" s="32">
        <f>IF(C89="","",IFERROR(VLOOKUP(C89,规律参数!$A:$C,2,FALSE),""))</f>
        <v/>
      </c>
      <c r="E89" s="36">
        <f>IF(C89="","",IFERROR(VLOOKUP(C89,规律参数!$A:$C,3,FALSE),""))</f>
        <v/>
      </c>
      <c r="F89" s="32">
        <f>IF($A89="","",IFERROR(VLOOKUP($A89,开奖记录!$A:$L,9,FALSE),""))</f>
        <v/>
      </c>
      <c r="G89" s="32">
        <f>IF($A89="","",IFERROR(VLOOKUP($A89,开奖记录!$A:$L,11,FALSE),""))</f>
        <v/>
      </c>
      <c r="H89" s="32">
        <f>IF(A89="","",IF(B89="","缺上期数据",IF(G89="","待开奖",IF(ISNUMBER(SEARCH(G89,E89)),"命中","未命中"))))</f>
        <v/>
      </c>
      <c r="I89" s="32">
        <f>IF(B89="","",TEXT(B89,"00")&amp;"+5="&amp;E89)</f>
        <v/>
      </c>
    </row>
    <row r="90" ht="23" customHeight="1" s="21">
      <c r="A90" s="32">
        <f>IFERROR(LARGE(开奖记录!$A$2:$A$400,89),"")</f>
        <v/>
      </c>
      <c r="B90" s="32">
        <f>IF($A90="","",IFERROR(VLOOKUP($A90-1,开奖记录!$A:$L,3,FALSE),""))</f>
        <v/>
      </c>
      <c r="C90" s="32">
        <f>IF(B90="","",MOD(B90+4,49)+1)</f>
        <v/>
      </c>
      <c r="D90" s="32">
        <f>IF(C90="","",IFERROR(VLOOKUP(C90,规律参数!$A:$C,2,FALSE),""))</f>
        <v/>
      </c>
      <c r="E90" s="36">
        <f>IF(C90="","",IFERROR(VLOOKUP(C90,规律参数!$A:$C,3,FALSE),""))</f>
        <v/>
      </c>
      <c r="F90" s="32">
        <f>IF($A90="","",IFERROR(VLOOKUP($A90,开奖记录!$A:$L,9,FALSE),""))</f>
        <v/>
      </c>
      <c r="G90" s="32">
        <f>IF($A90="","",IFERROR(VLOOKUP($A90,开奖记录!$A:$L,11,FALSE),""))</f>
        <v/>
      </c>
      <c r="H90" s="32">
        <f>IF(A90="","",IF(B90="","缺上期数据",IF(G90="","待开奖",IF(ISNUMBER(SEARCH(G90,E90)),"命中","未命中"))))</f>
        <v/>
      </c>
      <c r="I90" s="32">
        <f>IF(B90="","",TEXT(B90,"00")&amp;"+5="&amp;E90)</f>
        <v/>
      </c>
    </row>
    <row r="91" ht="23" customHeight="1" s="21">
      <c r="A91" s="32">
        <f>IFERROR(LARGE(开奖记录!$A$2:$A$400,90),"")</f>
        <v/>
      </c>
      <c r="B91" s="32">
        <f>IF($A91="","",IFERROR(VLOOKUP($A91-1,开奖记录!$A:$L,3,FALSE),""))</f>
        <v/>
      </c>
      <c r="C91" s="32">
        <f>IF(B91="","",MOD(B91+4,49)+1)</f>
        <v/>
      </c>
      <c r="D91" s="32">
        <f>IF(C91="","",IFERROR(VLOOKUP(C91,规律参数!$A:$C,2,FALSE),""))</f>
        <v/>
      </c>
      <c r="E91" s="36">
        <f>IF(C91="","",IFERROR(VLOOKUP(C91,规律参数!$A:$C,3,FALSE),""))</f>
        <v/>
      </c>
      <c r="F91" s="32">
        <f>IF($A91="","",IFERROR(VLOOKUP($A91,开奖记录!$A:$L,9,FALSE),""))</f>
        <v/>
      </c>
      <c r="G91" s="32">
        <f>IF($A91="","",IFERROR(VLOOKUP($A91,开奖记录!$A:$L,11,FALSE),""))</f>
        <v/>
      </c>
      <c r="H91" s="32">
        <f>IF(A91="","",IF(B91="","缺上期数据",IF(G91="","待开奖",IF(ISNUMBER(SEARCH(G91,E91)),"命中","未命中"))))</f>
        <v/>
      </c>
      <c r="I91" s="32">
        <f>IF(B91="","",TEXT(B91,"00")&amp;"+5="&amp;E91)</f>
        <v/>
      </c>
    </row>
    <row r="92" ht="23" customHeight="1" s="21">
      <c r="A92" s="32">
        <f>IFERROR(LARGE(开奖记录!$A$2:$A$400,91),"")</f>
        <v/>
      </c>
      <c r="B92" s="32">
        <f>IF($A92="","",IFERROR(VLOOKUP($A92-1,开奖记录!$A:$L,3,FALSE),""))</f>
        <v/>
      </c>
      <c r="C92" s="32">
        <f>IF(B92="","",MOD(B92+4,49)+1)</f>
        <v/>
      </c>
      <c r="D92" s="32">
        <f>IF(C92="","",IFERROR(VLOOKUP(C92,规律参数!$A:$C,2,FALSE),""))</f>
        <v/>
      </c>
      <c r="E92" s="36">
        <f>IF(C92="","",IFERROR(VLOOKUP(C92,规律参数!$A:$C,3,FALSE),""))</f>
        <v/>
      </c>
      <c r="F92" s="32">
        <f>IF($A92="","",IFERROR(VLOOKUP($A92,开奖记录!$A:$L,9,FALSE),""))</f>
        <v/>
      </c>
      <c r="G92" s="32">
        <f>IF($A92="","",IFERROR(VLOOKUP($A92,开奖记录!$A:$L,11,FALSE),""))</f>
        <v/>
      </c>
      <c r="H92" s="32">
        <f>IF(A92="","",IF(B92="","缺上期数据",IF(G92="","待开奖",IF(ISNUMBER(SEARCH(G92,E92)),"命中","未命中"))))</f>
        <v/>
      </c>
      <c r="I92" s="32">
        <f>IF(B92="","",TEXT(B92,"00")&amp;"+5="&amp;E92)</f>
        <v/>
      </c>
    </row>
    <row r="93" ht="23" customHeight="1" s="21">
      <c r="A93" s="32">
        <f>IFERROR(LARGE(开奖记录!$A$2:$A$400,92),"")</f>
        <v/>
      </c>
      <c r="B93" s="32">
        <f>IF($A93="","",IFERROR(VLOOKUP($A93-1,开奖记录!$A:$L,3,FALSE),""))</f>
        <v/>
      </c>
      <c r="C93" s="32">
        <f>IF(B93="","",MOD(B93+4,49)+1)</f>
        <v/>
      </c>
      <c r="D93" s="32">
        <f>IF(C93="","",IFERROR(VLOOKUP(C93,规律参数!$A:$C,2,FALSE),""))</f>
        <v/>
      </c>
      <c r="E93" s="36">
        <f>IF(C93="","",IFERROR(VLOOKUP(C93,规律参数!$A:$C,3,FALSE),""))</f>
        <v/>
      </c>
      <c r="F93" s="32">
        <f>IF($A93="","",IFERROR(VLOOKUP($A93,开奖记录!$A:$L,9,FALSE),""))</f>
        <v/>
      </c>
      <c r="G93" s="32">
        <f>IF($A93="","",IFERROR(VLOOKUP($A93,开奖记录!$A:$L,11,FALSE),""))</f>
        <v/>
      </c>
      <c r="H93" s="32">
        <f>IF(A93="","",IF(B93="","缺上期数据",IF(G93="","待开奖",IF(ISNUMBER(SEARCH(G93,E93)),"命中","未命中"))))</f>
        <v/>
      </c>
      <c r="I93" s="32">
        <f>IF(B93="","",TEXT(B93,"00")&amp;"+5="&amp;E93)</f>
        <v/>
      </c>
    </row>
    <row r="94" ht="23" customHeight="1" s="21">
      <c r="A94" s="32">
        <f>IFERROR(LARGE(开奖记录!$A$2:$A$400,93),"")</f>
        <v/>
      </c>
      <c r="B94" s="32">
        <f>IF($A94="","",IFERROR(VLOOKUP($A94-1,开奖记录!$A:$L,3,FALSE),""))</f>
        <v/>
      </c>
      <c r="C94" s="32">
        <f>IF(B94="","",MOD(B94+4,49)+1)</f>
        <v/>
      </c>
      <c r="D94" s="32">
        <f>IF(C94="","",IFERROR(VLOOKUP(C94,规律参数!$A:$C,2,FALSE),""))</f>
        <v/>
      </c>
      <c r="E94" s="36">
        <f>IF(C94="","",IFERROR(VLOOKUP(C94,规律参数!$A:$C,3,FALSE),""))</f>
        <v/>
      </c>
      <c r="F94" s="32">
        <f>IF($A94="","",IFERROR(VLOOKUP($A94,开奖记录!$A:$L,9,FALSE),""))</f>
        <v/>
      </c>
      <c r="G94" s="32">
        <f>IF($A94="","",IFERROR(VLOOKUP($A94,开奖记录!$A:$L,11,FALSE),""))</f>
        <v/>
      </c>
      <c r="H94" s="32">
        <f>IF(A94="","",IF(B94="","缺上期数据",IF(G94="","待开奖",IF(ISNUMBER(SEARCH(G94,E94)),"命中","未命中"))))</f>
        <v/>
      </c>
      <c r="I94" s="32">
        <f>IF(B94="","",TEXT(B94,"00")&amp;"+5="&amp;E94)</f>
        <v/>
      </c>
    </row>
    <row r="95" ht="23" customHeight="1" s="21">
      <c r="A95" s="32">
        <f>IFERROR(LARGE(开奖记录!$A$2:$A$400,94),"")</f>
        <v/>
      </c>
      <c r="B95" s="32">
        <f>IF($A95="","",IFERROR(VLOOKUP($A95-1,开奖记录!$A:$L,3,FALSE),""))</f>
        <v/>
      </c>
      <c r="C95" s="32">
        <f>IF(B95="","",MOD(B95+4,49)+1)</f>
        <v/>
      </c>
      <c r="D95" s="32">
        <f>IF(C95="","",IFERROR(VLOOKUP(C95,规律参数!$A:$C,2,FALSE),""))</f>
        <v/>
      </c>
      <c r="E95" s="36">
        <f>IF(C95="","",IFERROR(VLOOKUP(C95,规律参数!$A:$C,3,FALSE),""))</f>
        <v/>
      </c>
      <c r="F95" s="32">
        <f>IF($A95="","",IFERROR(VLOOKUP($A95,开奖记录!$A:$L,9,FALSE),""))</f>
        <v/>
      </c>
      <c r="G95" s="32">
        <f>IF($A95="","",IFERROR(VLOOKUP($A95,开奖记录!$A:$L,11,FALSE),""))</f>
        <v/>
      </c>
      <c r="H95" s="32">
        <f>IF(A95="","",IF(B95="","缺上期数据",IF(G95="","待开奖",IF(ISNUMBER(SEARCH(G95,E95)),"命中","未命中"))))</f>
        <v/>
      </c>
      <c r="I95" s="32">
        <f>IF(B95="","",TEXT(B95,"00")&amp;"+5="&amp;E95)</f>
        <v/>
      </c>
    </row>
    <row r="96" ht="23" customHeight="1" s="21">
      <c r="A96" s="32">
        <f>IFERROR(LARGE(开奖记录!$A$2:$A$400,95),"")</f>
        <v/>
      </c>
      <c r="B96" s="32">
        <f>IF($A96="","",IFERROR(VLOOKUP($A96-1,开奖记录!$A:$L,3,FALSE),""))</f>
        <v/>
      </c>
      <c r="C96" s="32">
        <f>IF(B96="","",MOD(B96+4,49)+1)</f>
        <v/>
      </c>
      <c r="D96" s="32">
        <f>IF(C96="","",IFERROR(VLOOKUP(C96,规律参数!$A:$C,2,FALSE),""))</f>
        <v/>
      </c>
      <c r="E96" s="36">
        <f>IF(C96="","",IFERROR(VLOOKUP(C96,规律参数!$A:$C,3,FALSE),""))</f>
        <v/>
      </c>
      <c r="F96" s="32">
        <f>IF($A96="","",IFERROR(VLOOKUP($A96,开奖记录!$A:$L,9,FALSE),""))</f>
        <v/>
      </c>
      <c r="G96" s="32">
        <f>IF($A96="","",IFERROR(VLOOKUP($A96,开奖记录!$A:$L,11,FALSE),""))</f>
        <v/>
      </c>
      <c r="H96" s="32">
        <f>IF(A96="","",IF(B96="","缺上期数据",IF(G96="","待开奖",IF(ISNUMBER(SEARCH(G96,E96)),"命中","未命中"))))</f>
        <v/>
      </c>
      <c r="I96" s="32">
        <f>IF(B96="","",TEXT(B96,"00")&amp;"+5="&amp;E96)</f>
        <v/>
      </c>
    </row>
    <row r="97" ht="23" customHeight="1" s="21">
      <c r="A97" s="32">
        <f>IFERROR(LARGE(开奖记录!$A$2:$A$400,96),"")</f>
        <v/>
      </c>
      <c r="B97" s="32">
        <f>IF($A97="","",IFERROR(VLOOKUP($A97-1,开奖记录!$A:$L,3,FALSE),""))</f>
        <v/>
      </c>
      <c r="C97" s="32">
        <f>IF(B97="","",MOD(B97+4,49)+1)</f>
        <v/>
      </c>
      <c r="D97" s="32">
        <f>IF(C97="","",IFERROR(VLOOKUP(C97,规律参数!$A:$C,2,FALSE),""))</f>
        <v/>
      </c>
      <c r="E97" s="36">
        <f>IF(C97="","",IFERROR(VLOOKUP(C97,规律参数!$A:$C,3,FALSE),""))</f>
        <v/>
      </c>
      <c r="F97" s="32">
        <f>IF($A97="","",IFERROR(VLOOKUP($A97,开奖记录!$A:$L,9,FALSE),""))</f>
        <v/>
      </c>
      <c r="G97" s="32">
        <f>IF($A97="","",IFERROR(VLOOKUP($A97,开奖记录!$A:$L,11,FALSE),""))</f>
        <v/>
      </c>
      <c r="H97" s="32">
        <f>IF(A97="","",IF(B97="","缺上期数据",IF(G97="","待开奖",IF(ISNUMBER(SEARCH(G97,E97)),"命中","未命中"))))</f>
        <v/>
      </c>
      <c r="I97" s="32">
        <f>IF(B97="","",TEXT(B97,"00")&amp;"+5="&amp;E97)</f>
        <v/>
      </c>
    </row>
    <row r="98" ht="23" customHeight="1" s="21">
      <c r="A98" s="32">
        <f>IFERROR(LARGE(开奖记录!$A$2:$A$400,97),"")</f>
        <v/>
      </c>
      <c r="B98" s="32">
        <f>IF($A98="","",IFERROR(VLOOKUP($A98-1,开奖记录!$A:$L,3,FALSE),""))</f>
        <v/>
      </c>
      <c r="C98" s="32">
        <f>IF(B98="","",MOD(B98+4,49)+1)</f>
        <v/>
      </c>
      <c r="D98" s="32">
        <f>IF(C98="","",IFERROR(VLOOKUP(C98,规律参数!$A:$C,2,FALSE),""))</f>
        <v/>
      </c>
      <c r="E98" s="36">
        <f>IF(C98="","",IFERROR(VLOOKUP(C98,规律参数!$A:$C,3,FALSE),""))</f>
        <v/>
      </c>
      <c r="F98" s="32">
        <f>IF($A98="","",IFERROR(VLOOKUP($A98,开奖记录!$A:$L,9,FALSE),""))</f>
        <v/>
      </c>
      <c r="G98" s="32">
        <f>IF($A98="","",IFERROR(VLOOKUP($A98,开奖记录!$A:$L,11,FALSE),""))</f>
        <v/>
      </c>
      <c r="H98" s="32">
        <f>IF(A98="","",IF(B98="","缺上期数据",IF(G98="","待开奖",IF(ISNUMBER(SEARCH(G98,E98)),"命中","未命中"))))</f>
        <v/>
      </c>
      <c r="I98" s="32">
        <f>IF(B98="","",TEXT(B98,"00")&amp;"+5="&amp;E98)</f>
        <v/>
      </c>
    </row>
    <row r="99" ht="23" customHeight="1" s="21">
      <c r="A99" s="32">
        <f>IFERROR(LARGE(开奖记录!$A$2:$A$400,98),"")</f>
        <v/>
      </c>
      <c r="B99" s="32">
        <f>IF($A99="","",IFERROR(VLOOKUP($A99-1,开奖记录!$A:$L,3,FALSE),""))</f>
        <v/>
      </c>
      <c r="C99" s="32">
        <f>IF(B99="","",MOD(B99+4,49)+1)</f>
        <v/>
      </c>
      <c r="D99" s="32">
        <f>IF(C99="","",IFERROR(VLOOKUP(C99,规律参数!$A:$C,2,FALSE),""))</f>
        <v/>
      </c>
      <c r="E99" s="36">
        <f>IF(C99="","",IFERROR(VLOOKUP(C99,规律参数!$A:$C,3,FALSE),""))</f>
        <v/>
      </c>
      <c r="F99" s="32">
        <f>IF($A99="","",IFERROR(VLOOKUP($A99,开奖记录!$A:$L,9,FALSE),""))</f>
        <v/>
      </c>
      <c r="G99" s="32">
        <f>IF($A99="","",IFERROR(VLOOKUP($A99,开奖记录!$A:$L,11,FALSE),""))</f>
        <v/>
      </c>
      <c r="H99" s="32">
        <f>IF(A99="","",IF(B99="","缺上期数据",IF(G99="","待开奖",IF(ISNUMBER(SEARCH(G99,E99)),"命中","未命中"))))</f>
        <v/>
      </c>
      <c r="I99" s="32">
        <f>IF(B99="","",TEXT(B99,"00")&amp;"+5="&amp;E99)</f>
        <v/>
      </c>
    </row>
    <row r="100" ht="23" customHeight="1" s="21">
      <c r="A100" s="32">
        <f>IFERROR(LARGE(开奖记录!$A$2:$A$400,99),"")</f>
        <v/>
      </c>
      <c r="B100" s="32">
        <f>IF($A100="","",IFERROR(VLOOKUP($A100-1,开奖记录!$A:$L,3,FALSE),""))</f>
        <v/>
      </c>
      <c r="C100" s="32">
        <f>IF(B100="","",MOD(B100+4,49)+1)</f>
        <v/>
      </c>
      <c r="D100" s="32">
        <f>IF(C100="","",IFERROR(VLOOKUP(C100,规律参数!$A:$C,2,FALSE),""))</f>
        <v/>
      </c>
      <c r="E100" s="36">
        <f>IF(C100="","",IFERROR(VLOOKUP(C100,规律参数!$A:$C,3,FALSE),""))</f>
        <v/>
      </c>
      <c r="F100" s="32">
        <f>IF($A100="","",IFERROR(VLOOKUP($A100,开奖记录!$A:$L,9,FALSE),""))</f>
        <v/>
      </c>
      <c r="G100" s="32">
        <f>IF($A100="","",IFERROR(VLOOKUP($A100,开奖记录!$A:$L,11,FALSE),""))</f>
        <v/>
      </c>
      <c r="H100" s="32">
        <f>IF(A100="","",IF(B100="","缺上期数据",IF(G100="","待开奖",IF(ISNUMBER(SEARCH(G100,E100)),"命中","未命中"))))</f>
        <v/>
      </c>
      <c r="I100" s="32">
        <f>IF(B100="","",TEXT(B100,"00")&amp;"+5="&amp;E100)</f>
        <v/>
      </c>
    </row>
    <row r="101" ht="23" customHeight="1" s="21">
      <c r="A101" s="32">
        <f>IFERROR(LARGE(开奖记录!$A$2:$A$400,100),"")</f>
        <v/>
      </c>
      <c r="B101" s="32">
        <f>IF($A101="","",IFERROR(VLOOKUP($A101-1,开奖记录!$A:$L,3,FALSE),""))</f>
        <v/>
      </c>
      <c r="C101" s="32">
        <f>IF(B101="","",MOD(B101+4,49)+1)</f>
        <v/>
      </c>
      <c r="D101" s="32">
        <f>IF(C101="","",IFERROR(VLOOKUP(C101,规律参数!$A:$C,2,FALSE),""))</f>
        <v/>
      </c>
      <c r="E101" s="36">
        <f>IF(C101="","",IFERROR(VLOOKUP(C101,规律参数!$A:$C,3,FALSE),""))</f>
        <v/>
      </c>
      <c r="F101" s="32">
        <f>IF($A101="","",IFERROR(VLOOKUP($A101,开奖记录!$A:$L,9,FALSE),""))</f>
        <v/>
      </c>
      <c r="G101" s="32">
        <f>IF($A101="","",IFERROR(VLOOKUP($A101,开奖记录!$A:$L,11,FALSE),""))</f>
        <v/>
      </c>
      <c r="H101" s="32">
        <f>IF(A101="","",IF(B101="","缺上期数据",IF(G101="","待开奖",IF(ISNUMBER(SEARCH(G101,E101)),"命中","未命中"))))</f>
        <v/>
      </c>
      <c r="I101" s="32">
        <f>IF(B101="","",TEXT(B101,"00")&amp;"+5="&amp;E101)</f>
        <v/>
      </c>
    </row>
    <row r="102" ht="23" customHeight="1" s="21">
      <c r="A102" s="32">
        <f>IFERROR(LARGE(开奖记录!$A$2:$A$400,101),"")</f>
        <v/>
      </c>
      <c r="B102" s="32">
        <f>IF($A102="","",IFERROR(VLOOKUP($A102-1,开奖记录!$A:$L,3,FALSE),""))</f>
        <v/>
      </c>
      <c r="C102" s="32">
        <f>IF(B102="","",MOD(B102+4,49)+1)</f>
        <v/>
      </c>
      <c r="D102" s="32">
        <f>IF(C102="","",IFERROR(VLOOKUP(C102,规律参数!$A:$C,2,FALSE),""))</f>
        <v/>
      </c>
      <c r="E102" s="36">
        <f>IF(C102="","",IFERROR(VLOOKUP(C102,规律参数!$A:$C,3,FALSE),""))</f>
        <v/>
      </c>
      <c r="F102" s="32">
        <f>IF($A102="","",IFERROR(VLOOKUP($A102,开奖记录!$A:$L,9,FALSE),""))</f>
        <v/>
      </c>
      <c r="G102" s="32">
        <f>IF($A102="","",IFERROR(VLOOKUP($A102,开奖记录!$A:$L,11,FALSE),""))</f>
        <v/>
      </c>
      <c r="H102" s="32">
        <f>IF(A102="","",IF(B102="","缺上期数据",IF(G102="","待开奖",IF(ISNUMBER(SEARCH(G102,E102)),"命中","未命中"))))</f>
        <v/>
      </c>
      <c r="I102" s="32">
        <f>IF(B102="","",TEXT(B102,"00")&amp;"+5="&amp;E102)</f>
        <v/>
      </c>
    </row>
    <row r="103" ht="23" customHeight="1" s="21">
      <c r="A103" s="32">
        <f>IFERROR(LARGE(开奖记录!$A$2:$A$400,102),"")</f>
        <v/>
      </c>
      <c r="B103" s="32">
        <f>IF($A103="","",IFERROR(VLOOKUP($A103-1,开奖记录!$A:$L,3,FALSE),""))</f>
        <v/>
      </c>
      <c r="C103" s="32">
        <f>IF(B103="","",MOD(B103+4,49)+1)</f>
        <v/>
      </c>
      <c r="D103" s="32">
        <f>IF(C103="","",IFERROR(VLOOKUP(C103,规律参数!$A:$C,2,FALSE),""))</f>
        <v/>
      </c>
      <c r="E103" s="36">
        <f>IF(C103="","",IFERROR(VLOOKUP(C103,规律参数!$A:$C,3,FALSE),""))</f>
        <v/>
      </c>
      <c r="F103" s="32">
        <f>IF($A103="","",IFERROR(VLOOKUP($A103,开奖记录!$A:$L,9,FALSE),""))</f>
        <v/>
      </c>
      <c r="G103" s="32">
        <f>IF($A103="","",IFERROR(VLOOKUP($A103,开奖记录!$A:$L,11,FALSE),""))</f>
        <v/>
      </c>
      <c r="H103" s="32">
        <f>IF(A103="","",IF(B103="","缺上期数据",IF(G103="","待开奖",IF(ISNUMBER(SEARCH(G103,E103)),"命中","未命中"))))</f>
        <v/>
      </c>
      <c r="I103" s="32">
        <f>IF(B103="","",TEXT(B103,"00")&amp;"+5="&amp;E103)</f>
        <v/>
      </c>
    </row>
    <row r="104" ht="23" customHeight="1" s="21">
      <c r="A104" s="32">
        <f>IFERROR(LARGE(开奖记录!$A$2:$A$400,103),"")</f>
        <v/>
      </c>
      <c r="B104" s="32">
        <f>IF($A104="","",IFERROR(VLOOKUP($A104-1,开奖记录!$A:$L,3,FALSE),""))</f>
        <v/>
      </c>
      <c r="C104" s="32">
        <f>IF(B104="","",MOD(B104+4,49)+1)</f>
        <v/>
      </c>
      <c r="D104" s="32">
        <f>IF(C104="","",IFERROR(VLOOKUP(C104,规律参数!$A:$C,2,FALSE),""))</f>
        <v/>
      </c>
      <c r="E104" s="36">
        <f>IF(C104="","",IFERROR(VLOOKUP(C104,规律参数!$A:$C,3,FALSE),""))</f>
        <v/>
      </c>
      <c r="F104" s="32">
        <f>IF($A104="","",IFERROR(VLOOKUP($A104,开奖记录!$A:$L,9,FALSE),""))</f>
        <v/>
      </c>
      <c r="G104" s="32">
        <f>IF($A104="","",IFERROR(VLOOKUP($A104,开奖记录!$A:$L,11,FALSE),""))</f>
        <v/>
      </c>
      <c r="H104" s="32">
        <f>IF(A104="","",IF(B104="","缺上期数据",IF(G104="","待开奖",IF(ISNUMBER(SEARCH(G104,E104)),"命中","未命中"))))</f>
        <v/>
      </c>
      <c r="I104" s="32">
        <f>IF(B104="","",TEXT(B104,"00")&amp;"+5="&amp;E104)</f>
        <v/>
      </c>
    </row>
    <row r="105" ht="23" customHeight="1" s="21">
      <c r="A105" s="32">
        <f>IFERROR(LARGE(开奖记录!$A$2:$A$400,104),"")</f>
        <v/>
      </c>
      <c r="B105" s="32">
        <f>IF($A105="","",IFERROR(VLOOKUP($A105-1,开奖记录!$A:$L,3,FALSE),""))</f>
        <v/>
      </c>
      <c r="C105" s="32">
        <f>IF(B105="","",MOD(B105+4,49)+1)</f>
        <v/>
      </c>
      <c r="D105" s="32">
        <f>IF(C105="","",IFERROR(VLOOKUP(C105,规律参数!$A:$C,2,FALSE),""))</f>
        <v/>
      </c>
      <c r="E105" s="36">
        <f>IF(C105="","",IFERROR(VLOOKUP(C105,规律参数!$A:$C,3,FALSE),""))</f>
        <v/>
      </c>
      <c r="F105" s="32">
        <f>IF($A105="","",IFERROR(VLOOKUP($A105,开奖记录!$A:$L,9,FALSE),""))</f>
        <v/>
      </c>
      <c r="G105" s="32">
        <f>IF($A105="","",IFERROR(VLOOKUP($A105,开奖记录!$A:$L,11,FALSE),""))</f>
        <v/>
      </c>
      <c r="H105" s="32">
        <f>IF(A105="","",IF(B105="","缺上期数据",IF(G105="","待开奖",IF(ISNUMBER(SEARCH(G105,E105)),"命中","未命中"))))</f>
        <v/>
      </c>
      <c r="I105" s="32">
        <f>IF(B105="","",TEXT(B105,"00")&amp;"+5="&amp;E105)</f>
        <v/>
      </c>
    </row>
    <row r="106" ht="23" customHeight="1" s="21">
      <c r="A106" s="32">
        <f>IFERROR(LARGE(开奖记录!$A$2:$A$400,105),"")</f>
        <v/>
      </c>
      <c r="B106" s="32">
        <f>IF($A106="","",IFERROR(VLOOKUP($A106-1,开奖记录!$A:$L,3,FALSE),""))</f>
        <v/>
      </c>
      <c r="C106" s="32">
        <f>IF(B106="","",MOD(B106+4,49)+1)</f>
        <v/>
      </c>
      <c r="D106" s="32">
        <f>IF(C106="","",IFERROR(VLOOKUP(C106,规律参数!$A:$C,2,FALSE),""))</f>
        <v/>
      </c>
      <c r="E106" s="36">
        <f>IF(C106="","",IFERROR(VLOOKUP(C106,规律参数!$A:$C,3,FALSE),""))</f>
        <v/>
      </c>
      <c r="F106" s="32">
        <f>IF($A106="","",IFERROR(VLOOKUP($A106,开奖记录!$A:$L,9,FALSE),""))</f>
        <v/>
      </c>
      <c r="G106" s="32">
        <f>IF($A106="","",IFERROR(VLOOKUP($A106,开奖记录!$A:$L,11,FALSE),""))</f>
        <v/>
      </c>
      <c r="H106" s="32">
        <f>IF(A106="","",IF(B106="","缺上期数据",IF(G106="","待开奖",IF(ISNUMBER(SEARCH(G106,E106)),"命中","未命中"))))</f>
        <v/>
      </c>
      <c r="I106" s="32">
        <f>IF(B106="","",TEXT(B106,"00")&amp;"+5="&amp;E106)</f>
        <v/>
      </c>
    </row>
    <row r="107" ht="23" customHeight="1" s="21">
      <c r="A107" s="32">
        <f>IFERROR(LARGE(开奖记录!$A$2:$A$400,106),"")</f>
        <v/>
      </c>
      <c r="B107" s="32">
        <f>IF($A107="","",IFERROR(VLOOKUP($A107-1,开奖记录!$A:$L,3,FALSE),""))</f>
        <v/>
      </c>
      <c r="C107" s="32">
        <f>IF(B107="","",MOD(B107+4,49)+1)</f>
        <v/>
      </c>
      <c r="D107" s="32">
        <f>IF(C107="","",IFERROR(VLOOKUP(C107,规律参数!$A:$C,2,FALSE),""))</f>
        <v/>
      </c>
      <c r="E107" s="36">
        <f>IF(C107="","",IFERROR(VLOOKUP(C107,规律参数!$A:$C,3,FALSE),""))</f>
        <v/>
      </c>
      <c r="F107" s="32">
        <f>IF($A107="","",IFERROR(VLOOKUP($A107,开奖记录!$A:$L,9,FALSE),""))</f>
        <v/>
      </c>
      <c r="G107" s="32">
        <f>IF($A107="","",IFERROR(VLOOKUP($A107,开奖记录!$A:$L,11,FALSE),""))</f>
        <v/>
      </c>
      <c r="H107" s="32">
        <f>IF(A107="","",IF(B107="","缺上期数据",IF(G107="","待开奖",IF(ISNUMBER(SEARCH(G107,E107)),"命中","未命中"))))</f>
        <v/>
      </c>
      <c r="I107" s="32">
        <f>IF(B107="","",TEXT(B107,"00")&amp;"+5="&amp;E107)</f>
        <v/>
      </c>
    </row>
    <row r="108" ht="23" customHeight="1" s="21">
      <c r="A108" s="32">
        <f>IFERROR(LARGE(开奖记录!$A$2:$A$400,107),"")</f>
        <v/>
      </c>
      <c r="B108" s="32">
        <f>IF($A108="","",IFERROR(VLOOKUP($A108-1,开奖记录!$A:$L,3,FALSE),""))</f>
        <v/>
      </c>
      <c r="C108" s="32">
        <f>IF(B108="","",MOD(B108+4,49)+1)</f>
        <v/>
      </c>
      <c r="D108" s="32">
        <f>IF(C108="","",IFERROR(VLOOKUP(C108,规律参数!$A:$C,2,FALSE),""))</f>
        <v/>
      </c>
      <c r="E108" s="36">
        <f>IF(C108="","",IFERROR(VLOOKUP(C108,规律参数!$A:$C,3,FALSE),""))</f>
        <v/>
      </c>
      <c r="F108" s="32">
        <f>IF($A108="","",IFERROR(VLOOKUP($A108,开奖记录!$A:$L,9,FALSE),""))</f>
        <v/>
      </c>
      <c r="G108" s="32">
        <f>IF($A108="","",IFERROR(VLOOKUP($A108,开奖记录!$A:$L,11,FALSE),""))</f>
        <v/>
      </c>
      <c r="H108" s="32">
        <f>IF(A108="","",IF(B108="","缺上期数据",IF(G108="","待开奖",IF(ISNUMBER(SEARCH(G108,E108)),"命中","未命中"))))</f>
        <v/>
      </c>
      <c r="I108" s="32">
        <f>IF(B108="","",TEXT(B108,"00")&amp;"+5="&amp;E108)</f>
        <v/>
      </c>
    </row>
    <row r="109" ht="23" customHeight="1" s="21">
      <c r="A109" s="32">
        <f>IFERROR(LARGE(开奖记录!$A$2:$A$400,108),"")</f>
        <v/>
      </c>
      <c r="B109" s="32">
        <f>IF($A109="","",IFERROR(VLOOKUP($A109-1,开奖记录!$A:$L,3,FALSE),""))</f>
        <v/>
      </c>
      <c r="C109" s="32">
        <f>IF(B109="","",MOD(B109+4,49)+1)</f>
        <v/>
      </c>
      <c r="D109" s="32">
        <f>IF(C109="","",IFERROR(VLOOKUP(C109,规律参数!$A:$C,2,FALSE),""))</f>
        <v/>
      </c>
      <c r="E109" s="36">
        <f>IF(C109="","",IFERROR(VLOOKUP(C109,规律参数!$A:$C,3,FALSE),""))</f>
        <v/>
      </c>
      <c r="F109" s="32">
        <f>IF($A109="","",IFERROR(VLOOKUP($A109,开奖记录!$A:$L,9,FALSE),""))</f>
        <v/>
      </c>
      <c r="G109" s="32">
        <f>IF($A109="","",IFERROR(VLOOKUP($A109,开奖记录!$A:$L,11,FALSE),""))</f>
        <v/>
      </c>
      <c r="H109" s="32">
        <f>IF(A109="","",IF(B109="","缺上期数据",IF(G109="","待开奖",IF(ISNUMBER(SEARCH(G109,E109)),"命中","未命中"))))</f>
        <v/>
      </c>
      <c r="I109" s="32">
        <f>IF(B109="","",TEXT(B109,"00")&amp;"+5="&amp;E109)</f>
        <v/>
      </c>
    </row>
    <row r="110" ht="23" customHeight="1" s="21">
      <c r="A110" s="32">
        <f>IFERROR(LARGE(开奖记录!$A$2:$A$400,109),"")</f>
        <v/>
      </c>
      <c r="B110" s="32">
        <f>IF($A110="","",IFERROR(VLOOKUP($A110-1,开奖记录!$A:$L,3,FALSE),""))</f>
        <v/>
      </c>
      <c r="C110" s="32">
        <f>IF(B110="","",MOD(B110+4,49)+1)</f>
        <v/>
      </c>
      <c r="D110" s="32">
        <f>IF(C110="","",IFERROR(VLOOKUP(C110,规律参数!$A:$C,2,FALSE),""))</f>
        <v/>
      </c>
      <c r="E110" s="36">
        <f>IF(C110="","",IFERROR(VLOOKUP(C110,规律参数!$A:$C,3,FALSE),""))</f>
        <v/>
      </c>
      <c r="F110" s="32">
        <f>IF($A110="","",IFERROR(VLOOKUP($A110,开奖记录!$A:$L,9,FALSE),""))</f>
        <v/>
      </c>
      <c r="G110" s="32">
        <f>IF($A110="","",IFERROR(VLOOKUP($A110,开奖记录!$A:$L,11,FALSE),""))</f>
        <v/>
      </c>
      <c r="H110" s="32">
        <f>IF(A110="","",IF(B110="","缺上期数据",IF(G110="","待开奖",IF(ISNUMBER(SEARCH(G110,E110)),"命中","未命中"))))</f>
        <v/>
      </c>
      <c r="I110" s="32">
        <f>IF(B110="","",TEXT(B110,"00")&amp;"+5="&amp;E110)</f>
        <v/>
      </c>
    </row>
    <row r="111" ht="23" customHeight="1" s="21">
      <c r="A111" s="32">
        <f>IFERROR(LARGE(开奖记录!$A$2:$A$400,110),"")</f>
        <v/>
      </c>
      <c r="B111" s="32">
        <f>IF($A111="","",IFERROR(VLOOKUP($A111-1,开奖记录!$A:$L,3,FALSE),""))</f>
        <v/>
      </c>
      <c r="C111" s="32">
        <f>IF(B111="","",MOD(B111+4,49)+1)</f>
        <v/>
      </c>
      <c r="D111" s="32">
        <f>IF(C111="","",IFERROR(VLOOKUP(C111,规律参数!$A:$C,2,FALSE),""))</f>
        <v/>
      </c>
      <c r="E111" s="36">
        <f>IF(C111="","",IFERROR(VLOOKUP(C111,规律参数!$A:$C,3,FALSE),""))</f>
        <v/>
      </c>
      <c r="F111" s="32">
        <f>IF($A111="","",IFERROR(VLOOKUP($A111,开奖记录!$A:$L,9,FALSE),""))</f>
        <v/>
      </c>
      <c r="G111" s="32">
        <f>IF($A111="","",IFERROR(VLOOKUP($A111,开奖记录!$A:$L,11,FALSE),""))</f>
        <v/>
      </c>
      <c r="H111" s="32">
        <f>IF(A111="","",IF(B111="","缺上期数据",IF(G111="","待开奖",IF(ISNUMBER(SEARCH(G111,E111)),"命中","未命中"))))</f>
        <v/>
      </c>
      <c r="I111" s="32">
        <f>IF(B111="","",TEXT(B111,"00")&amp;"+5="&amp;E111)</f>
        <v/>
      </c>
    </row>
    <row r="112" ht="23" customHeight="1" s="21">
      <c r="A112" s="32">
        <f>IFERROR(LARGE(开奖记录!$A$2:$A$400,111),"")</f>
        <v/>
      </c>
      <c r="B112" s="32">
        <f>IF($A112="","",IFERROR(VLOOKUP($A112-1,开奖记录!$A:$L,3,FALSE),""))</f>
        <v/>
      </c>
      <c r="C112" s="32">
        <f>IF(B112="","",MOD(B112+4,49)+1)</f>
        <v/>
      </c>
      <c r="D112" s="32">
        <f>IF(C112="","",IFERROR(VLOOKUP(C112,规律参数!$A:$C,2,FALSE),""))</f>
        <v/>
      </c>
      <c r="E112" s="36">
        <f>IF(C112="","",IFERROR(VLOOKUP(C112,规律参数!$A:$C,3,FALSE),""))</f>
        <v/>
      </c>
      <c r="F112" s="32">
        <f>IF($A112="","",IFERROR(VLOOKUP($A112,开奖记录!$A:$L,9,FALSE),""))</f>
        <v/>
      </c>
      <c r="G112" s="32">
        <f>IF($A112="","",IFERROR(VLOOKUP($A112,开奖记录!$A:$L,11,FALSE),""))</f>
        <v/>
      </c>
      <c r="H112" s="32">
        <f>IF(A112="","",IF(B112="","缺上期数据",IF(G112="","待开奖",IF(ISNUMBER(SEARCH(G112,E112)),"命中","未命中"))))</f>
        <v/>
      </c>
      <c r="I112" s="32">
        <f>IF(B112="","",TEXT(B112,"00")&amp;"+5="&amp;E112)</f>
        <v/>
      </c>
    </row>
    <row r="113" ht="23" customHeight="1" s="21">
      <c r="A113" s="32">
        <f>IFERROR(LARGE(开奖记录!$A$2:$A$400,112),"")</f>
        <v/>
      </c>
      <c r="B113" s="32">
        <f>IF($A113="","",IFERROR(VLOOKUP($A113-1,开奖记录!$A:$L,3,FALSE),""))</f>
        <v/>
      </c>
      <c r="C113" s="32">
        <f>IF(B113="","",MOD(B113+4,49)+1)</f>
        <v/>
      </c>
      <c r="D113" s="32">
        <f>IF(C113="","",IFERROR(VLOOKUP(C113,规律参数!$A:$C,2,FALSE),""))</f>
        <v/>
      </c>
      <c r="E113" s="36">
        <f>IF(C113="","",IFERROR(VLOOKUP(C113,规律参数!$A:$C,3,FALSE),""))</f>
        <v/>
      </c>
      <c r="F113" s="32">
        <f>IF($A113="","",IFERROR(VLOOKUP($A113,开奖记录!$A:$L,9,FALSE),""))</f>
        <v/>
      </c>
      <c r="G113" s="32">
        <f>IF($A113="","",IFERROR(VLOOKUP($A113,开奖记录!$A:$L,11,FALSE),""))</f>
        <v/>
      </c>
      <c r="H113" s="32">
        <f>IF(A113="","",IF(B113="","缺上期数据",IF(G113="","待开奖",IF(ISNUMBER(SEARCH(G113,E113)),"命中","未命中"))))</f>
        <v/>
      </c>
      <c r="I113" s="32">
        <f>IF(B113="","",TEXT(B113,"00")&amp;"+5="&amp;E113)</f>
        <v/>
      </c>
    </row>
    <row r="114" ht="23" customHeight="1" s="21">
      <c r="A114" s="32">
        <f>IFERROR(LARGE(开奖记录!$A$2:$A$400,113),"")</f>
        <v/>
      </c>
      <c r="B114" s="32">
        <f>IF($A114="","",IFERROR(VLOOKUP($A114-1,开奖记录!$A:$L,3,FALSE),""))</f>
        <v/>
      </c>
      <c r="C114" s="32">
        <f>IF(B114="","",MOD(B114+4,49)+1)</f>
        <v/>
      </c>
      <c r="D114" s="32">
        <f>IF(C114="","",IFERROR(VLOOKUP(C114,规律参数!$A:$C,2,FALSE),""))</f>
        <v/>
      </c>
      <c r="E114" s="36">
        <f>IF(C114="","",IFERROR(VLOOKUP(C114,规律参数!$A:$C,3,FALSE),""))</f>
        <v/>
      </c>
      <c r="F114" s="32">
        <f>IF($A114="","",IFERROR(VLOOKUP($A114,开奖记录!$A:$L,9,FALSE),""))</f>
        <v/>
      </c>
      <c r="G114" s="32">
        <f>IF($A114="","",IFERROR(VLOOKUP($A114,开奖记录!$A:$L,11,FALSE),""))</f>
        <v/>
      </c>
      <c r="H114" s="32">
        <f>IF(A114="","",IF(B114="","缺上期数据",IF(G114="","待开奖",IF(ISNUMBER(SEARCH(G114,E114)),"命中","未命中"))))</f>
        <v/>
      </c>
      <c r="I114" s="32">
        <f>IF(B114="","",TEXT(B114,"00")&amp;"+5="&amp;E114)</f>
        <v/>
      </c>
    </row>
    <row r="115" ht="23" customHeight="1" s="21">
      <c r="A115" s="32">
        <f>IFERROR(LARGE(开奖记录!$A$2:$A$400,114),"")</f>
        <v/>
      </c>
      <c r="B115" s="32">
        <f>IF($A115="","",IFERROR(VLOOKUP($A115-1,开奖记录!$A:$L,3,FALSE),""))</f>
        <v/>
      </c>
      <c r="C115" s="32">
        <f>IF(B115="","",MOD(B115+4,49)+1)</f>
        <v/>
      </c>
      <c r="D115" s="32">
        <f>IF(C115="","",IFERROR(VLOOKUP(C115,规律参数!$A:$C,2,FALSE),""))</f>
        <v/>
      </c>
      <c r="E115" s="36">
        <f>IF(C115="","",IFERROR(VLOOKUP(C115,规律参数!$A:$C,3,FALSE),""))</f>
        <v/>
      </c>
      <c r="F115" s="32">
        <f>IF($A115="","",IFERROR(VLOOKUP($A115,开奖记录!$A:$L,9,FALSE),""))</f>
        <v/>
      </c>
      <c r="G115" s="32">
        <f>IF($A115="","",IFERROR(VLOOKUP($A115,开奖记录!$A:$L,11,FALSE),""))</f>
        <v/>
      </c>
      <c r="H115" s="32">
        <f>IF(A115="","",IF(B115="","缺上期数据",IF(G115="","待开奖",IF(ISNUMBER(SEARCH(G115,E115)),"命中","未命中"))))</f>
        <v/>
      </c>
      <c r="I115" s="32">
        <f>IF(B115="","",TEXT(B115,"00")&amp;"+5="&amp;E115)</f>
        <v/>
      </c>
    </row>
    <row r="116" ht="23" customHeight="1" s="21">
      <c r="A116" s="32">
        <f>IFERROR(LARGE(开奖记录!$A$2:$A$400,115),"")</f>
        <v/>
      </c>
      <c r="B116" s="32">
        <f>IF($A116="","",IFERROR(VLOOKUP($A116-1,开奖记录!$A:$L,3,FALSE),""))</f>
        <v/>
      </c>
      <c r="C116" s="32">
        <f>IF(B116="","",MOD(B116+4,49)+1)</f>
        <v/>
      </c>
      <c r="D116" s="32">
        <f>IF(C116="","",IFERROR(VLOOKUP(C116,规律参数!$A:$C,2,FALSE),""))</f>
        <v/>
      </c>
      <c r="E116" s="36">
        <f>IF(C116="","",IFERROR(VLOOKUP(C116,规律参数!$A:$C,3,FALSE),""))</f>
        <v/>
      </c>
      <c r="F116" s="32">
        <f>IF($A116="","",IFERROR(VLOOKUP($A116,开奖记录!$A:$L,9,FALSE),""))</f>
        <v/>
      </c>
      <c r="G116" s="32">
        <f>IF($A116="","",IFERROR(VLOOKUP($A116,开奖记录!$A:$L,11,FALSE),""))</f>
        <v/>
      </c>
      <c r="H116" s="32">
        <f>IF(A116="","",IF(B116="","缺上期数据",IF(G116="","待开奖",IF(ISNUMBER(SEARCH(G116,E116)),"命中","未命中"))))</f>
        <v/>
      </c>
      <c r="I116" s="32">
        <f>IF(B116="","",TEXT(B116,"00")&amp;"+5="&amp;E116)</f>
        <v/>
      </c>
    </row>
    <row r="117" ht="23" customHeight="1" s="21">
      <c r="A117" s="32">
        <f>IFERROR(LARGE(开奖记录!$A$2:$A$400,116),"")</f>
        <v/>
      </c>
      <c r="B117" s="32">
        <f>IF($A117="","",IFERROR(VLOOKUP($A117-1,开奖记录!$A:$L,3,FALSE),""))</f>
        <v/>
      </c>
      <c r="C117" s="32">
        <f>IF(B117="","",MOD(B117+4,49)+1)</f>
        <v/>
      </c>
      <c r="D117" s="32">
        <f>IF(C117="","",IFERROR(VLOOKUP(C117,规律参数!$A:$C,2,FALSE),""))</f>
        <v/>
      </c>
      <c r="E117" s="36">
        <f>IF(C117="","",IFERROR(VLOOKUP(C117,规律参数!$A:$C,3,FALSE),""))</f>
        <v/>
      </c>
      <c r="F117" s="32">
        <f>IF($A117="","",IFERROR(VLOOKUP($A117,开奖记录!$A:$L,9,FALSE),""))</f>
        <v/>
      </c>
      <c r="G117" s="32">
        <f>IF($A117="","",IFERROR(VLOOKUP($A117,开奖记录!$A:$L,11,FALSE),""))</f>
        <v/>
      </c>
      <c r="H117" s="32">
        <f>IF(A117="","",IF(B117="","缺上期数据",IF(G117="","待开奖",IF(ISNUMBER(SEARCH(G117,E117)),"命中","未命中"))))</f>
        <v/>
      </c>
      <c r="I117" s="32">
        <f>IF(B117="","",TEXT(B117,"00")&amp;"+5="&amp;E117)</f>
        <v/>
      </c>
    </row>
    <row r="118" ht="23" customHeight="1" s="21">
      <c r="A118" s="32">
        <f>IFERROR(LARGE(开奖记录!$A$2:$A$400,117),"")</f>
        <v/>
      </c>
      <c r="B118" s="32">
        <f>IF($A118="","",IFERROR(VLOOKUP($A118-1,开奖记录!$A:$L,3,FALSE),""))</f>
        <v/>
      </c>
      <c r="C118" s="32">
        <f>IF(B118="","",MOD(B118+4,49)+1)</f>
        <v/>
      </c>
      <c r="D118" s="32">
        <f>IF(C118="","",IFERROR(VLOOKUP(C118,规律参数!$A:$C,2,FALSE),""))</f>
        <v/>
      </c>
      <c r="E118" s="36">
        <f>IF(C118="","",IFERROR(VLOOKUP(C118,规律参数!$A:$C,3,FALSE),""))</f>
        <v/>
      </c>
      <c r="F118" s="32">
        <f>IF($A118="","",IFERROR(VLOOKUP($A118,开奖记录!$A:$L,9,FALSE),""))</f>
        <v/>
      </c>
      <c r="G118" s="32">
        <f>IF($A118="","",IFERROR(VLOOKUP($A118,开奖记录!$A:$L,11,FALSE),""))</f>
        <v/>
      </c>
      <c r="H118" s="32">
        <f>IF(A118="","",IF(B118="","缺上期数据",IF(G118="","待开奖",IF(ISNUMBER(SEARCH(G118,E118)),"命中","未命中"))))</f>
        <v/>
      </c>
      <c r="I118" s="32">
        <f>IF(B118="","",TEXT(B118,"00")&amp;"+5="&amp;E118)</f>
        <v/>
      </c>
    </row>
    <row r="119" ht="23" customHeight="1" s="21">
      <c r="A119" s="32">
        <f>IFERROR(LARGE(开奖记录!$A$2:$A$400,118),"")</f>
        <v/>
      </c>
      <c r="B119" s="32">
        <f>IF($A119="","",IFERROR(VLOOKUP($A119-1,开奖记录!$A:$L,3,FALSE),""))</f>
        <v/>
      </c>
      <c r="C119" s="32">
        <f>IF(B119="","",MOD(B119+4,49)+1)</f>
        <v/>
      </c>
      <c r="D119" s="32">
        <f>IF(C119="","",IFERROR(VLOOKUP(C119,规律参数!$A:$C,2,FALSE),""))</f>
        <v/>
      </c>
      <c r="E119" s="36">
        <f>IF(C119="","",IFERROR(VLOOKUP(C119,规律参数!$A:$C,3,FALSE),""))</f>
        <v/>
      </c>
      <c r="F119" s="32">
        <f>IF($A119="","",IFERROR(VLOOKUP($A119,开奖记录!$A:$L,9,FALSE),""))</f>
        <v/>
      </c>
      <c r="G119" s="32">
        <f>IF($A119="","",IFERROR(VLOOKUP($A119,开奖记录!$A:$L,11,FALSE),""))</f>
        <v/>
      </c>
      <c r="H119" s="32">
        <f>IF(A119="","",IF(B119="","缺上期数据",IF(G119="","待开奖",IF(ISNUMBER(SEARCH(G119,E119)),"命中","未命中"))))</f>
        <v/>
      </c>
      <c r="I119" s="32">
        <f>IF(B119="","",TEXT(B119,"00")&amp;"+5="&amp;E119)</f>
        <v/>
      </c>
    </row>
    <row r="120" ht="23" customHeight="1" s="21">
      <c r="A120" s="32">
        <f>IFERROR(LARGE(开奖记录!$A$2:$A$400,119),"")</f>
        <v/>
      </c>
      <c r="B120" s="32">
        <f>IF($A120="","",IFERROR(VLOOKUP($A120-1,开奖记录!$A:$L,3,FALSE),""))</f>
        <v/>
      </c>
      <c r="C120" s="32">
        <f>IF(B120="","",MOD(B120+4,49)+1)</f>
        <v/>
      </c>
      <c r="D120" s="32">
        <f>IF(C120="","",IFERROR(VLOOKUP(C120,规律参数!$A:$C,2,FALSE),""))</f>
        <v/>
      </c>
      <c r="E120" s="36">
        <f>IF(C120="","",IFERROR(VLOOKUP(C120,规律参数!$A:$C,3,FALSE),""))</f>
        <v/>
      </c>
      <c r="F120" s="32">
        <f>IF($A120="","",IFERROR(VLOOKUP($A120,开奖记录!$A:$L,9,FALSE),""))</f>
        <v/>
      </c>
      <c r="G120" s="32">
        <f>IF($A120="","",IFERROR(VLOOKUP($A120,开奖记录!$A:$L,11,FALSE),""))</f>
        <v/>
      </c>
      <c r="H120" s="32">
        <f>IF(A120="","",IF(B120="","缺上期数据",IF(G120="","待开奖",IF(ISNUMBER(SEARCH(G120,E120)),"命中","未命中"))))</f>
        <v/>
      </c>
      <c r="I120" s="32">
        <f>IF(B120="","",TEXT(B120,"00")&amp;"+5="&amp;E120)</f>
        <v/>
      </c>
    </row>
    <row r="121" ht="23" customHeight="1" s="21">
      <c r="A121" s="32">
        <f>IFERROR(LARGE(开奖记录!$A$2:$A$400,120),"")</f>
        <v/>
      </c>
      <c r="B121" s="32">
        <f>IF($A121="","",IFERROR(VLOOKUP($A121-1,开奖记录!$A:$L,3,FALSE),""))</f>
        <v/>
      </c>
      <c r="C121" s="32">
        <f>IF(B121="","",MOD(B121+4,49)+1)</f>
        <v/>
      </c>
      <c r="D121" s="32">
        <f>IF(C121="","",IFERROR(VLOOKUP(C121,规律参数!$A:$C,2,FALSE),""))</f>
        <v/>
      </c>
      <c r="E121" s="36">
        <f>IF(C121="","",IFERROR(VLOOKUP(C121,规律参数!$A:$C,3,FALSE),""))</f>
        <v/>
      </c>
      <c r="F121" s="32">
        <f>IF($A121="","",IFERROR(VLOOKUP($A121,开奖记录!$A:$L,9,FALSE),""))</f>
        <v/>
      </c>
      <c r="G121" s="32">
        <f>IF($A121="","",IFERROR(VLOOKUP($A121,开奖记录!$A:$L,11,FALSE),""))</f>
        <v/>
      </c>
      <c r="H121" s="32">
        <f>IF(A121="","",IF(B121="","缺上期数据",IF(G121="","待开奖",IF(ISNUMBER(SEARCH(G121,E121)),"命中","未命中"))))</f>
        <v/>
      </c>
      <c r="I121" s="32">
        <f>IF(B121="","",TEXT(B121,"00")&amp;"+5="&amp;E121)</f>
        <v/>
      </c>
    </row>
    <row r="122" ht="23" customHeight="1" s="21">
      <c r="A122" s="32">
        <f>IFERROR(LARGE(开奖记录!$A$2:$A$400,121),"")</f>
        <v/>
      </c>
      <c r="B122" s="32">
        <f>IF($A122="","",IFERROR(VLOOKUP($A122-1,开奖记录!$A:$L,3,FALSE),""))</f>
        <v/>
      </c>
      <c r="C122" s="32">
        <f>IF(B122="","",MOD(B122+4,49)+1)</f>
        <v/>
      </c>
      <c r="D122" s="32">
        <f>IF(C122="","",IFERROR(VLOOKUP(C122,规律参数!$A:$C,2,FALSE),""))</f>
        <v/>
      </c>
      <c r="E122" s="36">
        <f>IF(C122="","",IFERROR(VLOOKUP(C122,规律参数!$A:$C,3,FALSE),""))</f>
        <v/>
      </c>
      <c r="F122" s="32">
        <f>IF($A122="","",IFERROR(VLOOKUP($A122,开奖记录!$A:$L,9,FALSE),""))</f>
        <v/>
      </c>
      <c r="G122" s="32">
        <f>IF($A122="","",IFERROR(VLOOKUP($A122,开奖记录!$A:$L,11,FALSE),""))</f>
        <v/>
      </c>
      <c r="H122" s="32">
        <f>IF(A122="","",IF(B122="","缺上期数据",IF(G122="","待开奖",IF(ISNUMBER(SEARCH(G122,E122)),"命中","未命中"))))</f>
        <v/>
      </c>
      <c r="I122" s="32">
        <f>IF(B122="","",TEXT(B122,"00")&amp;"+5="&amp;E122)</f>
        <v/>
      </c>
    </row>
    <row r="123" ht="23" customHeight="1" s="21">
      <c r="A123" s="32">
        <f>IFERROR(LARGE(开奖记录!$A$2:$A$400,122),"")</f>
        <v/>
      </c>
      <c r="B123" s="32">
        <f>IF($A123="","",IFERROR(VLOOKUP($A123-1,开奖记录!$A:$L,3,FALSE),""))</f>
        <v/>
      </c>
      <c r="C123" s="32">
        <f>IF(B123="","",MOD(B123+4,49)+1)</f>
        <v/>
      </c>
      <c r="D123" s="32">
        <f>IF(C123="","",IFERROR(VLOOKUP(C123,规律参数!$A:$C,2,FALSE),""))</f>
        <v/>
      </c>
      <c r="E123" s="36">
        <f>IF(C123="","",IFERROR(VLOOKUP(C123,规律参数!$A:$C,3,FALSE),""))</f>
        <v/>
      </c>
      <c r="F123" s="32">
        <f>IF($A123="","",IFERROR(VLOOKUP($A123,开奖记录!$A:$L,9,FALSE),""))</f>
        <v/>
      </c>
      <c r="G123" s="32">
        <f>IF($A123="","",IFERROR(VLOOKUP($A123,开奖记录!$A:$L,11,FALSE),""))</f>
        <v/>
      </c>
      <c r="H123" s="32">
        <f>IF(A123="","",IF(B123="","缺上期数据",IF(G123="","待开奖",IF(ISNUMBER(SEARCH(G123,E123)),"命中","未命中"))))</f>
        <v/>
      </c>
      <c r="I123" s="32">
        <f>IF(B123="","",TEXT(B123,"00")&amp;"+5="&amp;E123)</f>
        <v/>
      </c>
    </row>
    <row r="124" ht="23" customHeight="1" s="21">
      <c r="A124" s="32">
        <f>IFERROR(LARGE(开奖记录!$A$2:$A$400,123),"")</f>
        <v/>
      </c>
      <c r="B124" s="32">
        <f>IF($A124="","",IFERROR(VLOOKUP($A124-1,开奖记录!$A:$L,3,FALSE),""))</f>
        <v/>
      </c>
      <c r="C124" s="32">
        <f>IF(B124="","",MOD(B124+4,49)+1)</f>
        <v/>
      </c>
      <c r="D124" s="32">
        <f>IF(C124="","",IFERROR(VLOOKUP(C124,规律参数!$A:$C,2,FALSE),""))</f>
        <v/>
      </c>
      <c r="E124" s="36">
        <f>IF(C124="","",IFERROR(VLOOKUP(C124,规律参数!$A:$C,3,FALSE),""))</f>
        <v/>
      </c>
      <c r="F124" s="32">
        <f>IF($A124="","",IFERROR(VLOOKUP($A124,开奖记录!$A:$L,9,FALSE),""))</f>
        <v/>
      </c>
      <c r="G124" s="32">
        <f>IF($A124="","",IFERROR(VLOOKUP($A124,开奖记录!$A:$L,11,FALSE),""))</f>
        <v/>
      </c>
      <c r="H124" s="32">
        <f>IF(A124="","",IF(B124="","缺上期数据",IF(G124="","待开奖",IF(ISNUMBER(SEARCH(G124,E124)),"命中","未命中"))))</f>
        <v/>
      </c>
      <c r="I124" s="32">
        <f>IF(B124="","",TEXT(B124,"00")&amp;"+5="&amp;E124)</f>
        <v/>
      </c>
    </row>
    <row r="125" ht="23" customHeight="1" s="21">
      <c r="A125" s="32">
        <f>IFERROR(LARGE(开奖记录!$A$2:$A$400,124),"")</f>
        <v/>
      </c>
      <c r="B125" s="32">
        <f>IF($A125="","",IFERROR(VLOOKUP($A125-1,开奖记录!$A:$L,3,FALSE),""))</f>
        <v/>
      </c>
      <c r="C125" s="32">
        <f>IF(B125="","",MOD(B125+4,49)+1)</f>
        <v/>
      </c>
      <c r="D125" s="32">
        <f>IF(C125="","",IFERROR(VLOOKUP(C125,规律参数!$A:$C,2,FALSE),""))</f>
        <v/>
      </c>
      <c r="E125" s="36">
        <f>IF(C125="","",IFERROR(VLOOKUP(C125,规律参数!$A:$C,3,FALSE),""))</f>
        <v/>
      </c>
      <c r="F125" s="32">
        <f>IF($A125="","",IFERROR(VLOOKUP($A125,开奖记录!$A:$L,9,FALSE),""))</f>
        <v/>
      </c>
      <c r="G125" s="32">
        <f>IF($A125="","",IFERROR(VLOOKUP($A125,开奖记录!$A:$L,11,FALSE),""))</f>
        <v/>
      </c>
      <c r="H125" s="32">
        <f>IF(A125="","",IF(B125="","缺上期数据",IF(G125="","待开奖",IF(ISNUMBER(SEARCH(G125,E125)),"命中","未命中"))))</f>
        <v/>
      </c>
      <c r="I125" s="32">
        <f>IF(B125="","",TEXT(B125,"00")&amp;"+5="&amp;E125)</f>
        <v/>
      </c>
    </row>
    <row r="126" ht="23" customHeight="1" s="21">
      <c r="A126" s="32">
        <f>IFERROR(LARGE(开奖记录!$A$2:$A$400,125),"")</f>
        <v/>
      </c>
      <c r="B126" s="32">
        <f>IF($A126="","",IFERROR(VLOOKUP($A126-1,开奖记录!$A:$L,3,FALSE),""))</f>
        <v/>
      </c>
      <c r="C126" s="32">
        <f>IF(B126="","",MOD(B126+4,49)+1)</f>
        <v/>
      </c>
      <c r="D126" s="32">
        <f>IF(C126="","",IFERROR(VLOOKUP(C126,规律参数!$A:$C,2,FALSE),""))</f>
        <v/>
      </c>
      <c r="E126" s="36">
        <f>IF(C126="","",IFERROR(VLOOKUP(C126,规律参数!$A:$C,3,FALSE),""))</f>
        <v/>
      </c>
      <c r="F126" s="32">
        <f>IF($A126="","",IFERROR(VLOOKUP($A126,开奖记录!$A:$L,9,FALSE),""))</f>
        <v/>
      </c>
      <c r="G126" s="32">
        <f>IF($A126="","",IFERROR(VLOOKUP($A126,开奖记录!$A:$L,11,FALSE),""))</f>
        <v/>
      </c>
      <c r="H126" s="32">
        <f>IF(A126="","",IF(B126="","缺上期数据",IF(G126="","待开奖",IF(ISNUMBER(SEARCH(G126,E126)),"命中","未命中"))))</f>
        <v/>
      </c>
      <c r="I126" s="32">
        <f>IF(B126="","",TEXT(B126,"00")&amp;"+5="&amp;E126)</f>
        <v/>
      </c>
    </row>
    <row r="127" ht="23" customHeight="1" s="21">
      <c r="A127" s="32">
        <f>IFERROR(LARGE(开奖记录!$A$2:$A$400,126),"")</f>
        <v/>
      </c>
      <c r="B127" s="32">
        <f>IF($A127="","",IFERROR(VLOOKUP($A127-1,开奖记录!$A:$L,3,FALSE),""))</f>
        <v/>
      </c>
      <c r="C127" s="32">
        <f>IF(B127="","",MOD(B127+4,49)+1)</f>
        <v/>
      </c>
      <c r="D127" s="32">
        <f>IF(C127="","",IFERROR(VLOOKUP(C127,规律参数!$A:$C,2,FALSE),""))</f>
        <v/>
      </c>
      <c r="E127" s="36">
        <f>IF(C127="","",IFERROR(VLOOKUP(C127,规律参数!$A:$C,3,FALSE),""))</f>
        <v/>
      </c>
      <c r="F127" s="32">
        <f>IF($A127="","",IFERROR(VLOOKUP($A127,开奖记录!$A:$L,9,FALSE),""))</f>
        <v/>
      </c>
      <c r="G127" s="32">
        <f>IF($A127="","",IFERROR(VLOOKUP($A127,开奖记录!$A:$L,11,FALSE),""))</f>
        <v/>
      </c>
      <c r="H127" s="32">
        <f>IF(A127="","",IF(B127="","缺上期数据",IF(G127="","待开奖",IF(ISNUMBER(SEARCH(G127,E127)),"命中","未命中"))))</f>
        <v/>
      </c>
      <c r="I127" s="32">
        <f>IF(B127="","",TEXT(B127,"00")&amp;"+5="&amp;E127)</f>
        <v/>
      </c>
    </row>
    <row r="128" ht="23" customHeight="1" s="21">
      <c r="A128" s="32">
        <f>IFERROR(LARGE(开奖记录!$A$2:$A$400,127),"")</f>
        <v/>
      </c>
      <c r="B128" s="32">
        <f>IF($A128="","",IFERROR(VLOOKUP($A128-1,开奖记录!$A:$L,3,FALSE),""))</f>
        <v/>
      </c>
      <c r="C128" s="32">
        <f>IF(B128="","",MOD(B128+4,49)+1)</f>
        <v/>
      </c>
      <c r="D128" s="32">
        <f>IF(C128="","",IFERROR(VLOOKUP(C128,规律参数!$A:$C,2,FALSE),""))</f>
        <v/>
      </c>
      <c r="E128" s="36">
        <f>IF(C128="","",IFERROR(VLOOKUP(C128,规律参数!$A:$C,3,FALSE),""))</f>
        <v/>
      </c>
      <c r="F128" s="32">
        <f>IF($A128="","",IFERROR(VLOOKUP($A128,开奖记录!$A:$L,9,FALSE),""))</f>
        <v/>
      </c>
      <c r="G128" s="32">
        <f>IF($A128="","",IFERROR(VLOOKUP($A128,开奖记录!$A:$L,11,FALSE),""))</f>
        <v/>
      </c>
      <c r="H128" s="32">
        <f>IF(A128="","",IF(B128="","缺上期数据",IF(G128="","待开奖",IF(ISNUMBER(SEARCH(G128,E128)),"命中","未命中"))))</f>
        <v/>
      </c>
      <c r="I128" s="32">
        <f>IF(B128="","",TEXT(B128,"00")&amp;"+5="&amp;E128)</f>
        <v/>
      </c>
    </row>
    <row r="129" ht="23" customHeight="1" s="21">
      <c r="A129" s="32">
        <f>IFERROR(LARGE(开奖记录!$A$2:$A$400,128),"")</f>
        <v/>
      </c>
      <c r="B129" s="32">
        <f>IF($A129="","",IFERROR(VLOOKUP($A129-1,开奖记录!$A:$L,3,FALSE),""))</f>
        <v/>
      </c>
      <c r="C129" s="32">
        <f>IF(B129="","",MOD(B129+4,49)+1)</f>
        <v/>
      </c>
      <c r="D129" s="32">
        <f>IF(C129="","",IFERROR(VLOOKUP(C129,规律参数!$A:$C,2,FALSE),""))</f>
        <v/>
      </c>
      <c r="E129" s="36">
        <f>IF(C129="","",IFERROR(VLOOKUP(C129,规律参数!$A:$C,3,FALSE),""))</f>
        <v/>
      </c>
      <c r="F129" s="32">
        <f>IF($A129="","",IFERROR(VLOOKUP($A129,开奖记录!$A:$L,9,FALSE),""))</f>
        <v/>
      </c>
      <c r="G129" s="32">
        <f>IF($A129="","",IFERROR(VLOOKUP($A129,开奖记录!$A:$L,11,FALSE),""))</f>
        <v/>
      </c>
      <c r="H129" s="32">
        <f>IF(A129="","",IF(B129="","缺上期数据",IF(G129="","待开奖",IF(ISNUMBER(SEARCH(G129,E129)),"命中","未命中"))))</f>
        <v/>
      </c>
      <c r="I129" s="32">
        <f>IF(B129="","",TEXT(B129,"00")&amp;"+5="&amp;E129)</f>
        <v/>
      </c>
    </row>
    <row r="130" ht="23" customHeight="1" s="21">
      <c r="A130" s="32">
        <f>IFERROR(LARGE(开奖记录!$A$2:$A$400,129),"")</f>
        <v/>
      </c>
      <c r="B130" s="32">
        <f>IF($A130="","",IFERROR(VLOOKUP($A130-1,开奖记录!$A:$L,3,FALSE),""))</f>
        <v/>
      </c>
      <c r="C130" s="32">
        <f>IF(B130="","",MOD(B130+4,49)+1)</f>
        <v/>
      </c>
      <c r="D130" s="32">
        <f>IF(C130="","",IFERROR(VLOOKUP(C130,规律参数!$A:$C,2,FALSE),""))</f>
        <v/>
      </c>
      <c r="E130" s="36">
        <f>IF(C130="","",IFERROR(VLOOKUP(C130,规律参数!$A:$C,3,FALSE),""))</f>
        <v/>
      </c>
      <c r="F130" s="32">
        <f>IF($A130="","",IFERROR(VLOOKUP($A130,开奖记录!$A:$L,9,FALSE),""))</f>
        <v/>
      </c>
      <c r="G130" s="32">
        <f>IF($A130="","",IFERROR(VLOOKUP($A130,开奖记录!$A:$L,11,FALSE),""))</f>
        <v/>
      </c>
      <c r="H130" s="32">
        <f>IF(A130="","",IF(B130="","缺上期数据",IF(G130="","待开奖",IF(ISNUMBER(SEARCH(G130,E130)),"命中","未命中"))))</f>
        <v/>
      </c>
      <c r="I130" s="32">
        <f>IF(B130="","",TEXT(B130,"00")&amp;"+5="&amp;E130)</f>
        <v/>
      </c>
    </row>
    <row r="131" ht="23" customHeight="1" s="21">
      <c r="A131" s="32">
        <f>IFERROR(LARGE(开奖记录!$A$2:$A$400,130),"")</f>
        <v/>
      </c>
      <c r="B131" s="32">
        <f>IF($A131="","",IFERROR(VLOOKUP($A131-1,开奖记录!$A:$L,3,FALSE),""))</f>
        <v/>
      </c>
      <c r="C131" s="32">
        <f>IF(B131="","",MOD(B131+4,49)+1)</f>
        <v/>
      </c>
      <c r="D131" s="32">
        <f>IF(C131="","",IFERROR(VLOOKUP(C131,规律参数!$A:$C,2,FALSE),""))</f>
        <v/>
      </c>
      <c r="E131" s="36">
        <f>IF(C131="","",IFERROR(VLOOKUP(C131,规律参数!$A:$C,3,FALSE),""))</f>
        <v/>
      </c>
      <c r="F131" s="32">
        <f>IF($A131="","",IFERROR(VLOOKUP($A131,开奖记录!$A:$L,9,FALSE),""))</f>
        <v/>
      </c>
      <c r="G131" s="32">
        <f>IF($A131="","",IFERROR(VLOOKUP($A131,开奖记录!$A:$L,11,FALSE),""))</f>
        <v/>
      </c>
      <c r="H131" s="32">
        <f>IF(A131="","",IF(B131="","缺上期数据",IF(G131="","待开奖",IF(ISNUMBER(SEARCH(G131,E131)),"命中","未命中"))))</f>
        <v/>
      </c>
      <c r="I131" s="32">
        <f>IF(B131="","",TEXT(B131,"00")&amp;"+5="&amp;E131)</f>
        <v/>
      </c>
    </row>
    <row r="132" ht="23" customHeight="1" s="21">
      <c r="A132" s="32">
        <f>IFERROR(LARGE(开奖记录!$A$2:$A$400,131),"")</f>
        <v/>
      </c>
      <c r="B132" s="32">
        <f>IF($A132="","",IFERROR(VLOOKUP($A132-1,开奖记录!$A:$L,3,FALSE),""))</f>
        <v/>
      </c>
      <c r="C132" s="32">
        <f>IF(B132="","",MOD(B132+4,49)+1)</f>
        <v/>
      </c>
      <c r="D132" s="32">
        <f>IF(C132="","",IFERROR(VLOOKUP(C132,规律参数!$A:$C,2,FALSE),""))</f>
        <v/>
      </c>
      <c r="E132" s="36">
        <f>IF(C132="","",IFERROR(VLOOKUP(C132,规律参数!$A:$C,3,FALSE),""))</f>
        <v/>
      </c>
      <c r="F132" s="32">
        <f>IF($A132="","",IFERROR(VLOOKUP($A132,开奖记录!$A:$L,9,FALSE),""))</f>
        <v/>
      </c>
      <c r="G132" s="32">
        <f>IF($A132="","",IFERROR(VLOOKUP($A132,开奖记录!$A:$L,11,FALSE),""))</f>
        <v/>
      </c>
      <c r="H132" s="32">
        <f>IF(A132="","",IF(B132="","缺上期数据",IF(G132="","待开奖",IF(ISNUMBER(SEARCH(G132,E132)),"命中","未命中"))))</f>
        <v/>
      </c>
      <c r="I132" s="32">
        <f>IF(B132="","",TEXT(B132,"00")&amp;"+5="&amp;E132)</f>
        <v/>
      </c>
    </row>
    <row r="133" ht="23" customHeight="1" s="21">
      <c r="A133" s="32">
        <f>IFERROR(LARGE(开奖记录!$A$2:$A$400,132),"")</f>
        <v/>
      </c>
      <c r="B133" s="32">
        <f>IF($A133="","",IFERROR(VLOOKUP($A133-1,开奖记录!$A:$L,3,FALSE),""))</f>
        <v/>
      </c>
      <c r="C133" s="32">
        <f>IF(B133="","",MOD(B133+4,49)+1)</f>
        <v/>
      </c>
      <c r="D133" s="32">
        <f>IF(C133="","",IFERROR(VLOOKUP(C133,规律参数!$A:$C,2,FALSE),""))</f>
        <v/>
      </c>
      <c r="E133" s="36">
        <f>IF(C133="","",IFERROR(VLOOKUP(C133,规律参数!$A:$C,3,FALSE),""))</f>
        <v/>
      </c>
      <c r="F133" s="32">
        <f>IF($A133="","",IFERROR(VLOOKUP($A133,开奖记录!$A:$L,9,FALSE),""))</f>
        <v/>
      </c>
      <c r="G133" s="32">
        <f>IF($A133="","",IFERROR(VLOOKUP($A133,开奖记录!$A:$L,11,FALSE),""))</f>
        <v/>
      </c>
      <c r="H133" s="32">
        <f>IF(A133="","",IF(B133="","缺上期数据",IF(G133="","待开奖",IF(ISNUMBER(SEARCH(G133,E133)),"命中","未命中"))))</f>
        <v/>
      </c>
      <c r="I133" s="32">
        <f>IF(B133="","",TEXT(B133,"00")&amp;"+5="&amp;E133)</f>
        <v/>
      </c>
    </row>
    <row r="134" ht="23" customHeight="1" s="21">
      <c r="A134" s="32">
        <f>IFERROR(LARGE(开奖记录!$A$2:$A$400,133),"")</f>
        <v/>
      </c>
      <c r="B134" s="32">
        <f>IF($A134="","",IFERROR(VLOOKUP($A134-1,开奖记录!$A:$L,3,FALSE),""))</f>
        <v/>
      </c>
      <c r="C134" s="32">
        <f>IF(B134="","",MOD(B134+4,49)+1)</f>
        <v/>
      </c>
      <c r="D134" s="32">
        <f>IF(C134="","",IFERROR(VLOOKUP(C134,规律参数!$A:$C,2,FALSE),""))</f>
        <v/>
      </c>
      <c r="E134" s="36">
        <f>IF(C134="","",IFERROR(VLOOKUP(C134,规律参数!$A:$C,3,FALSE),""))</f>
        <v/>
      </c>
      <c r="F134" s="32">
        <f>IF($A134="","",IFERROR(VLOOKUP($A134,开奖记录!$A:$L,9,FALSE),""))</f>
        <v/>
      </c>
      <c r="G134" s="32">
        <f>IF($A134="","",IFERROR(VLOOKUP($A134,开奖记录!$A:$L,11,FALSE),""))</f>
        <v/>
      </c>
      <c r="H134" s="32">
        <f>IF(A134="","",IF(B134="","缺上期数据",IF(G134="","待开奖",IF(ISNUMBER(SEARCH(G134,E134)),"命中","未命中"))))</f>
        <v/>
      </c>
      <c r="I134" s="32">
        <f>IF(B134="","",TEXT(B134,"00")&amp;"+5="&amp;E134)</f>
        <v/>
      </c>
    </row>
    <row r="135" ht="23" customHeight="1" s="21">
      <c r="A135" s="32">
        <f>IFERROR(LARGE(开奖记录!$A$2:$A$400,134),"")</f>
        <v/>
      </c>
      <c r="B135" s="32">
        <f>IF($A135="","",IFERROR(VLOOKUP($A135-1,开奖记录!$A:$L,3,FALSE),""))</f>
        <v/>
      </c>
      <c r="C135" s="32">
        <f>IF(B135="","",MOD(B135+4,49)+1)</f>
        <v/>
      </c>
      <c r="D135" s="32">
        <f>IF(C135="","",IFERROR(VLOOKUP(C135,规律参数!$A:$C,2,FALSE),""))</f>
        <v/>
      </c>
      <c r="E135" s="36">
        <f>IF(C135="","",IFERROR(VLOOKUP(C135,规律参数!$A:$C,3,FALSE),""))</f>
        <v/>
      </c>
      <c r="F135" s="32">
        <f>IF($A135="","",IFERROR(VLOOKUP($A135,开奖记录!$A:$L,9,FALSE),""))</f>
        <v/>
      </c>
      <c r="G135" s="32">
        <f>IF($A135="","",IFERROR(VLOOKUP($A135,开奖记录!$A:$L,11,FALSE),""))</f>
        <v/>
      </c>
      <c r="H135" s="32">
        <f>IF(A135="","",IF(B135="","缺上期数据",IF(G135="","待开奖",IF(ISNUMBER(SEARCH(G135,E135)),"命中","未命中"))))</f>
        <v/>
      </c>
      <c r="I135" s="32">
        <f>IF(B135="","",TEXT(B135,"00")&amp;"+5="&amp;E135)</f>
        <v/>
      </c>
    </row>
    <row r="136" ht="23" customHeight="1" s="21">
      <c r="A136" s="32">
        <f>IFERROR(LARGE(开奖记录!$A$2:$A$400,135),"")</f>
        <v/>
      </c>
      <c r="B136" s="32">
        <f>IF($A136="","",IFERROR(VLOOKUP($A136-1,开奖记录!$A:$L,3,FALSE),""))</f>
        <v/>
      </c>
      <c r="C136" s="32">
        <f>IF(B136="","",MOD(B136+4,49)+1)</f>
        <v/>
      </c>
      <c r="D136" s="32">
        <f>IF(C136="","",IFERROR(VLOOKUP(C136,规律参数!$A:$C,2,FALSE),""))</f>
        <v/>
      </c>
      <c r="E136" s="36">
        <f>IF(C136="","",IFERROR(VLOOKUP(C136,规律参数!$A:$C,3,FALSE),""))</f>
        <v/>
      </c>
      <c r="F136" s="32">
        <f>IF($A136="","",IFERROR(VLOOKUP($A136,开奖记录!$A:$L,9,FALSE),""))</f>
        <v/>
      </c>
      <c r="G136" s="32">
        <f>IF($A136="","",IFERROR(VLOOKUP($A136,开奖记录!$A:$L,11,FALSE),""))</f>
        <v/>
      </c>
      <c r="H136" s="32">
        <f>IF(A136="","",IF(B136="","缺上期数据",IF(G136="","待开奖",IF(ISNUMBER(SEARCH(G136,E136)),"命中","未命中"))))</f>
        <v/>
      </c>
      <c r="I136" s="32">
        <f>IF(B136="","",TEXT(B136,"00")&amp;"+5="&amp;E136)</f>
        <v/>
      </c>
    </row>
    <row r="137" ht="23" customHeight="1" s="21">
      <c r="A137" s="32">
        <f>IFERROR(LARGE(开奖记录!$A$2:$A$400,136),"")</f>
        <v/>
      </c>
      <c r="B137" s="32">
        <f>IF($A137="","",IFERROR(VLOOKUP($A137-1,开奖记录!$A:$L,3,FALSE),""))</f>
        <v/>
      </c>
      <c r="C137" s="32">
        <f>IF(B137="","",MOD(B137+4,49)+1)</f>
        <v/>
      </c>
      <c r="D137" s="32">
        <f>IF(C137="","",IFERROR(VLOOKUP(C137,规律参数!$A:$C,2,FALSE),""))</f>
        <v/>
      </c>
      <c r="E137" s="36">
        <f>IF(C137="","",IFERROR(VLOOKUP(C137,规律参数!$A:$C,3,FALSE),""))</f>
        <v/>
      </c>
      <c r="F137" s="32">
        <f>IF($A137="","",IFERROR(VLOOKUP($A137,开奖记录!$A:$L,9,FALSE),""))</f>
        <v/>
      </c>
      <c r="G137" s="32">
        <f>IF($A137="","",IFERROR(VLOOKUP($A137,开奖记录!$A:$L,11,FALSE),""))</f>
        <v/>
      </c>
      <c r="H137" s="32">
        <f>IF(A137="","",IF(B137="","缺上期数据",IF(G137="","待开奖",IF(ISNUMBER(SEARCH(G137,E137)),"命中","未命中"))))</f>
        <v/>
      </c>
      <c r="I137" s="32">
        <f>IF(B137="","",TEXT(B137,"00")&amp;"+5="&amp;E137)</f>
        <v/>
      </c>
    </row>
    <row r="138" ht="23" customHeight="1" s="21">
      <c r="A138" s="32">
        <f>IFERROR(LARGE(开奖记录!$A$2:$A$400,137),"")</f>
        <v/>
      </c>
      <c r="B138" s="32">
        <f>IF($A138="","",IFERROR(VLOOKUP($A138-1,开奖记录!$A:$L,3,FALSE),""))</f>
        <v/>
      </c>
      <c r="C138" s="32">
        <f>IF(B138="","",MOD(B138+4,49)+1)</f>
        <v/>
      </c>
      <c r="D138" s="32">
        <f>IF(C138="","",IFERROR(VLOOKUP(C138,规律参数!$A:$C,2,FALSE),""))</f>
        <v/>
      </c>
      <c r="E138" s="36">
        <f>IF(C138="","",IFERROR(VLOOKUP(C138,规律参数!$A:$C,3,FALSE),""))</f>
        <v/>
      </c>
      <c r="F138" s="32">
        <f>IF($A138="","",IFERROR(VLOOKUP($A138,开奖记录!$A:$L,9,FALSE),""))</f>
        <v/>
      </c>
      <c r="G138" s="32">
        <f>IF($A138="","",IFERROR(VLOOKUP($A138,开奖记录!$A:$L,11,FALSE),""))</f>
        <v/>
      </c>
      <c r="H138" s="32">
        <f>IF(A138="","",IF(B138="","缺上期数据",IF(G138="","待开奖",IF(ISNUMBER(SEARCH(G138,E138)),"命中","未命中"))))</f>
        <v/>
      </c>
      <c r="I138" s="32">
        <f>IF(B138="","",TEXT(B138,"00")&amp;"+5="&amp;E138)</f>
        <v/>
      </c>
    </row>
    <row r="139" ht="23" customHeight="1" s="21">
      <c r="A139" s="32">
        <f>IFERROR(LARGE(开奖记录!$A$2:$A$400,138),"")</f>
        <v/>
      </c>
      <c r="B139" s="32">
        <f>IF($A139="","",IFERROR(VLOOKUP($A139-1,开奖记录!$A:$L,3,FALSE),""))</f>
        <v/>
      </c>
      <c r="C139" s="32">
        <f>IF(B139="","",MOD(B139+4,49)+1)</f>
        <v/>
      </c>
      <c r="D139" s="32">
        <f>IF(C139="","",IFERROR(VLOOKUP(C139,规律参数!$A:$C,2,FALSE),""))</f>
        <v/>
      </c>
      <c r="E139" s="36">
        <f>IF(C139="","",IFERROR(VLOOKUP(C139,规律参数!$A:$C,3,FALSE),""))</f>
        <v/>
      </c>
      <c r="F139" s="32">
        <f>IF($A139="","",IFERROR(VLOOKUP($A139,开奖记录!$A:$L,9,FALSE),""))</f>
        <v/>
      </c>
      <c r="G139" s="32">
        <f>IF($A139="","",IFERROR(VLOOKUP($A139,开奖记录!$A:$L,11,FALSE),""))</f>
        <v/>
      </c>
      <c r="H139" s="32">
        <f>IF(A139="","",IF(B139="","缺上期数据",IF(G139="","待开奖",IF(ISNUMBER(SEARCH(G139,E139)),"命中","未命中"))))</f>
        <v/>
      </c>
      <c r="I139" s="32">
        <f>IF(B139="","",TEXT(B139,"00")&amp;"+5="&amp;E139)</f>
        <v/>
      </c>
    </row>
    <row r="140" ht="23" customHeight="1" s="21">
      <c r="A140" s="32">
        <f>IFERROR(LARGE(开奖记录!$A$2:$A$400,139),"")</f>
        <v/>
      </c>
      <c r="B140" s="32">
        <f>IF($A140="","",IFERROR(VLOOKUP($A140-1,开奖记录!$A:$L,3,FALSE),""))</f>
        <v/>
      </c>
      <c r="C140" s="32">
        <f>IF(B140="","",MOD(B140+4,49)+1)</f>
        <v/>
      </c>
      <c r="D140" s="32">
        <f>IF(C140="","",IFERROR(VLOOKUP(C140,规律参数!$A:$C,2,FALSE),""))</f>
        <v/>
      </c>
      <c r="E140" s="36">
        <f>IF(C140="","",IFERROR(VLOOKUP(C140,规律参数!$A:$C,3,FALSE),""))</f>
        <v/>
      </c>
      <c r="F140" s="32">
        <f>IF($A140="","",IFERROR(VLOOKUP($A140,开奖记录!$A:$L,9,FALSE),""))</f>
        <v/>
      </c>
      <c r="G140" s="32">
        <f>IF($A140="","",IFERROR(VLOOKUP($A140,开奖记录!$A:$L,11,FALSE),""))</f>
        <v/>
      </c>
      <c r="H140" s="32">
        <f>IF(A140="","",IF(B140="","缺上期数据",IF(G140="","待开奖",IF(ISNUMBER(SEARCH(G140,E140)),"命中","未命中"))))</f>
        <v/>
      </c>
      <c r="I140" s="32">
        <f>IF(B140="","",TEXT(B140,"00")&amp;"+5="&amp;E140)</f>
        <v/>
      </c>
    </row>
    <row r="141" ht="23" customHeight="1" s="21">
      <c r="A141" s="32">
        <f>IFERROR(LARGE(开奖记录!$A$2:$A$400,140),"")</f>
        <v/>
      </c>
      <c r="B141" s="32">
        <f>IF($A141="","",IFERROR(VLOOKUP($A141-1,开奖记录!$A:$L,3,FALSE),""))</f>
        <v/>
      </c>
      <c r="C141" s="32">
        <f>IF(B141="","",MOD(B141+4,49)+1)</f>
        <v/>
      </c>
      <c r="D141" s="32">
        <f>IF(C141="","",IFERROR(VLOOKUP(C141,规律参数!$A:$C,2,FALSE),""))</f>
        <v/>
      </c>
      <c r="E141" s="36">
        <f>IF(C141="","",IFERROR(VLOOKUP(C141,规律参数!$A:$C,3,FALSE),""))</f>
        <v/>
      </c>
      <c r="F141" s="32">
        <f>IF($A141="","",IFERROR(VLOOKUP($A141,开奖记录!$A:$L,9,FALSE),""))</f>
        <v/>
      </c>
      <c r="G141" s="32">
        <f>IF($A141="","",IFERROR(VLOOKUP($A141,开奖记录!$A:$L,11,FALSE),""))</f>
        <v/>
      </c>
      <c r="H141" s="32">
        <f>IF(A141="","",IF(B141="","缺上期数据",IF(G141="","待开奖",IF(ISNUMBER(SEARCH(G141,E141)),"命中","未命中"))))</f>
        <v/>
      </c>
      <c r="I141" s="32">
        <f>IF(B141="","",TEXT(B141,"00")&amp;"+5="&amp;E141)</f>
        <v/>
      </c>
    </row>
    <row r="142" ht="23" customHeight="1" s="21">
      <c r="A142" s="32">
        <f>IFERROR(LARGE(开奖记录!$A$2:$A$400,141),"")</f>
        <v/>
      </c>
      <c r="B142" s="32">
        <f>IF($A142="","",IFERROR(VLOOKUP($A142-1,开奖记录!$A:$L,3,FALSE),""))</f>
        <v/>
      </c>
      <c r="C142" s="32">
        <f>IF(B142="","",MOD(B142+4,49)+1)</f>
        <v/>
      </c>
      <c r="D142" s="32">
        <f>IF(C142="","",IFERROR(VLOOKUP(C142,规律参数!$A:$C,2,FALSE),""))</f>
        <v/>
      </c>
      <c r="E142" s="36">
        <f>IF(C142="","",IFERROR(VLOOKUP(C142,规律参数!$A:$C,3,FALSE),""))</f>
        <v/>
      </c>
      <c r="F142" s="32">
        <f>IF($A142="","",IFERROR(VLOOKUP($A142,开奖记录!$A:$L,9,FALSE),""))</f>
        <v/>
      </c>
      <c r="G142" s="32">
        <f>IF($A142="","",IFERROR(VLOOKUP($A142,开奖记录!$A:$L,11,FALSE),""))</f>
        <v/>
      </c>
      <c r="H142" s="32">
        <f>IF(A142="","",IF(B142="","缺上期数据",IF(G142="","待开奖",IF(ISNUMBER(SEARCH(G142,E142)),"命中","未命中"))))</f>
        <v/>
      </c>
      <c r="I142" s="32">
        <f>IF(B142="","",TEXT(B142,"00")&amp;"+5="&amp;E142)</f>
        <v/>
      </c>
    </row>
    <row r="143" ht="23" customHeight="1" s="21">
      <c r="A143" s="32">
        <f>IFERROR(LARGE(开奖记录!$A$2:$A$400,142),"")</f>
        <v/>
      </c>
      <c r="B143" s="32">
        <f>IF($A143="","",IFERROR(VLOOKUP($A143-1,开奖记录!$A:$L,3,FALSE),""))</f>
        <v/>
      </c>
      <c r="C143" s="32">
        <f>IF(B143="","",MOD(B143+4,49)+1)</f>
        <v/>
      </c>
      <c r="D143" s="32">
        <f>IF(C143="","",IFERROR(VLOOKUP(C143,规律参数!$A:$C,2,FALSE),""))</f>
        <v/>
      </c>
      <c r="E143" s="36">
        <f>IF(C143="","",IFERROR(VLOOKUP(C143,规律参数!$A:$C,3,FALSE),""))</f>
        <v/>
      </c>
      <c r="F143" s="32">
        <f>IF($A143="","",IFERROR(VLOOKUP($A143,开奖记录!$A:$L,9,FALSE),""))</f>
        <v/>
      </c>
      <c r="G143" s="32">
        <f>IF($A143="","",IFERROR(VLOOKUP($A143,开奖记录!$A:$L,11,FALSE),""))</f>
        <v/>
      </c>
      <c r="H143" s="32">
        <f>IF(A143="","",IF(B143="","缺上期数据",IF(G143="","待开奖",IF(ISNUMBER(SEARCH(G143,E143)),"命中","未命中"))))</f>
        <v/>
      </c>
      <c r="I143" s="32">
        <f>IF(B143="","",TEXT(B143,"00")&amp;"+5="&amp;E143)</f>
        <v/>
      </c>
    </row>
    <row r="144" ht="23" customHeight="1" s="21">
      <c r="A144" s="32">
        <f>IFERROR(LARGE(开奖记录!$A$2:$A$400,143),"")</f>
        <v/>
      </c>
      <c r="B144" s="32">
        <f>IF($A144="","",IFERROR(VLOOKUP($A144-1,开奖记录!$A:$L,3,FALSE),""))</f>
        <v/>
      </c>
      <c r="C144" s="32">
        <f>IF(B144="","",MOD(B144+4,49)+1)</f>
        <v/>
      </c>
      <c r="D144" s="32">
        <f>IF(C144="","",IFERROR(VLOOKUP(C144,规律参数!$A:$C,2,FALSE),""))</f>
        <v/>
      </c>
      <c r="E144" s="36">
        <f>IF(C144="","",IFERROR(VLOOKUP(C144,规律参数!$A:$C,3,FALSE),""))</f>
        <v/>
      </c>
      <c r="F144" s="32">
        <f>IF($A144="","",IFERROR(VLOOKUP($A144,开奖记录!$A:$L,9,FALSE),""))</f>
        <v/>
      </c>
      <c r="G144" s="32">
        <f>IF($A144="","",IFERROR(VLOOKUP($A144,开奖记录!$A:$L,11,FALSE),""))</f>
        <v/>
      </c>
      <c r="H144" s="32">
        <f>IF(A144="","",IF(B144="","缺上期数据",IF(G144="","待开奖",IF(ISNUMBER(SEARCH(G144,E144)),"命中","未命中"))))</f>
        <v/>
      </c>
      <c r="I144" s="32">
        <f>IF(B144="","",TEXT(B144,"00")&amp;"+5="&amp;E144)</f>
        <v/>
      </c>
    </row>
    <row r="145" ht="23" customHeight="1" s="21">
      <c r="A145" s="32">
        <f>IFERROR(LARGE(开奖记录!$A$2:$A$400,144),"")</f>
        <v/>
      </c>
      <c r="B145" s="32">
        <f>IF($A145="","",IFERROR(VLOOKUP($A145-1,开奖记录!$A:$L,3,FALSE),""))</f>
        <v/>
      </c>
      <c r="C145" s="32">
        <f>IF(B145="","",MOD(B145+4,49)+1)</f>
        <v/>
      </c>
      <c r="D145" s="32">
        <f>IF(C145="","",IFERROR(VLOOKUP(C145,规律参数!$A:$C,2,FALSE),""))</f>
        <v/>
      </c>
      <c r="E145" s="36">
        <f>IF(C145="","",IFERROR(VLOOKUP(C145,规律参数!$A:$C,3,FALSE),""))</f>
        <v/>
      </c>
      <c r="F145" s="32">
        <f>IF($A145="","",IFERROR(VLOOKUP($A145,开奖记录!$A:$L,9,FALSE),""))</f>
        <v/>
      </c>
      <c r="G145" s="32">
        <f>IF($A145="","",IFERROR(VLOOKUP($A145,开奖记录!$A:$L,11,FALSE),""))</f>
        <v/>
      </c>
      <c r="H145" s="32">
        <f>IF(A145="","",IF(B145="","缺上期数据",IF(G145="","待开奖",IF(ISNUMBER(SEARCH(G145,E145)),"命中","未命中"))))</f>
        <v/>
      </c>
      <c r="I145" s="32">
        <f>IF(B145="","",TEXT(B145,"00")&amp;"+5="&amp;E145)</f>
        <v/>
      </c>
    </row>
    <row r="146" ht="23" customHeight="1" s="21">
      <c r="A146" s="32">
        <f>IFERROR(LARGE(开奖记录!$A$2:$A$400,145),"")</f>
        <v/>
      </c>
      <c r="B146" s="32">
        <f>IF($A146="","",IFERROR(VLOOKUP($A146-1,开奖记录!$A:$L,3,FALSE),""))</f>
        <v/>
      </c>
      <c r="C146" s="32">
        <f>IF(B146="","",MOD(B146+4,49)+1)</f>
        <v/>
      </c>
      <c r="D146" s="32">
        <f>IF(C146="","",IFERROR(VLOOKUP(C146,规律参数!$A:$C,2,FALSE),""))</f>
        <v/>
      </c>
      <c r="E146" s="36">
        <f>IF(C146="","",IFERROR(VLOOKUP(C146,规律参数!$A:$C,3,FALSE),""))</f>
        <v/>
      </c>
      <c r="F146" s="32">
        <f>IF($A146="","",IFERROR(VLOOKUP($A146,开奖记录!$A:$L,9,FALSE),""))</f>
        <v/>
      </c>
      <c r="G146" s="32">
        <f>IF($A146="","",IFERROR(VLOOKUP($A146,开奖记录!$A:$L,11,FALSE),""))</f>
        <v/>
      </c>
      <c r="H146" s="32">
        <f>IF(A146="","",IF(B146="","缺上期数据",IF(G146="","待开奖",IF(ISNUMBER(SEARCH(G146,E146)),"命中","未命中"))))</f>
        <v/>
      </c>
      <c r="I146" s="32">
        <f>IF(B146="","",TEXT(B146,"00")&amp;"+5="&amp;E146)</f>
        <v/>
      </c>
    </row>
    <row r="147" ht="23" customHeight="1" s="21">
      <c r="A147" s="32">
        <f>IFERROR(LARGE(开奖记录!$A$2:$A$400,146),"")</f>
        <v/>
      </c>
      <c r="B147" s="32">
        <f>IF($A147="","",IFERROR(VLOOKUP($A147-1,开奖记录!$A:$L,3,FALSE),""))</f>
        <v/>
      </c>
      <c r="C147" s="32">
        <f>IF(B147="","",MOD(B147+4,49)+1)</f>
        <v/>
      </c>
      <c r="D147" s="32">
        <f>IF(C147="","",IFERROR(VLOOKUP(C147,规律参数!$A:$C,2,FALSE),""))</f>
        <v/>
      </c>
      <c r="E147" s="36">
        <f>IF(C147="","",IFERROR(VLOOKUP(C147,规律参数!$A:$C,3,FALSE),""))</f>
        <v/>
      </c>
      <c r="F147" s="32">
        <f>IF($A147="","",IFERROR(VLOOKUP($A147,开奖记录!$A:$L,9,FALSE),""))</f>
        <v/>
      </c>
      <c r="G147" s="32">
        <f>IF($A147="","",IFERROR(VLOOKUP($A147,开奖记录!$A:$L,11,FALSE),""))</f>
        <v/>
      </c>
      <c r="H147" s="32">
        <f>IF(A147="","",IF(B147="","缺上期数据",IF(G147="","待开奖",IF(ISNUMBER(SEARCH(G147,E147)),"命中","未命中"))))</f>
        <v/>
      </c>
      <c r="I147" s="32">
        <f>IF(B147="","",TEXT(B147,"00")&amp;"+5="&amp;E147)</f>
        <v/>
      </c>
    </row>
    <row r="148" ht="23" customHeight="1" s="21">
      <c r="A148" s="32">
        <f>IFERROR(LARGE(开奖记录!$A$2:$A$400,147),"")</f>
        <v/>
      </c>
      <c r="B148" s="32">
        <f>IF($A148="","",IFERROR(VLOOKUP($A148-1,开奖记录!$A:$L,3,FALSE),""))</f>
        <v/>
      </c>
      <c r="C148" s="32">
        <f>IF(B148="","",MOD(B148+4,49)+1)</f>
        <v/>
      </c>
      <c r="D148" s="32">
        <f>IF(C148="","",IFERROR(VLOOKUP(C148,规律参数!$A:$C,2,FALSE),""))</f>
        <v/>
      </c>
      <c r="E148" s="36">
        <f>IF(C148="","",IFERROR(VLOOKUP(C148,规律参数!$A:$C,3,FALSE),""))</f>
        <v/>
      </c>
      <c r="F148" s="32">
        <f>IF($A148="","",IFERROR(VLOOKUP($A148,开奖记录!$A:$L,9,FALSE),""))</f>
        <v/>
      </c>
      <c r="G148" s="32">
        <f>IF($A148="","",IFERROR(VLOOKUP($A148,开奖记录!$A:$L,11,FALSE),""))</f>
        <v/>
      </c>
      <c r="H148" s="32">
        <f>IF(A148="","",IF(B148="","缺上期数据",IF(G148="","待开奖",IF(ISNUMBER(SEARCH(G148,E148)),"命中","未命中"))))</f>
        <v/>
      </c>
      <c r="I148" s="32">
        <f>IF(B148="","",TEXT(B148,"00")&amp;"+5="&amp;E148)</f>
        <v/>
      </c>
    </row>
    <row r="149" ht="23" customHeight="1" s="21">
      <c r="A149" s="32">
        <f>IFERROR(LARGE(开奖记录!$A$2:$A$400,148),"")</f>
        <v/>
      </c>
      <c r="B149" s="32">
        <f>IF($A149="","",IFERROR(VLOOKUP($A149-1,开奖记录!$A:$L,3,FALSE),""))</f>
        <v/>
      </c>
      <c r="C149" s="32">
        <f>IF(B149="","",MOD(B149+4,49)+1)</f>
        <v/>
      </c>
      <c r="D149" s="32">
        <f>IF(C149="","",IFERROR(VLOOKUP(C149,规律参数!$A:$C,2,FALSE),""))</f>
        <v/>
      </c>
      <c r="E149" s="36">
        <f>IF(C149="","",IFERROR(VLOOKUP(C149,规律参数!$A:$C,3,FALSE),""))</f>
        <v/>
      </c>
      <c r="F149" s="32">
        <f>IF($A149="","",IFERROR(VLOOKUP($A149,开奖记录!$A:$L,9,FALSE),""))</f>
        <v/>
      </c>
      <c r="G149" s="32">
        <f>IF($A149="","",IFERROR(VLOOKUP($A149,开奖记录!$A:$L,11,FALSE),""))</f>
        <v/>
      </c>
      <c r="H149" s="32">
        <f>IF(A149="","",IF(B149="","缺上期数据",IF(G149="","待开奖",IF(ISNUMBER(SEARCH(G149,E149)),"命中","未命中"))))</f>
        <v/>
      </c>
      <c r="I149" s="32">
        <f>IF(B149="","",TEXT(B149,"00")&amp;"+5="&amp;E149)</f>
        <v/>
      </c>
    </row>
    <row r="150" ht="23" customHeight="1" s="21">
      <c r="A150" s="32">
        <f>IFERROR(LARGE(开奖记录!$A$2:$A$400,149),"")</f>
        <v/>
      </c>
      <c r="B150" s="32">
        <f>IF($A150="","",IFERROR(VLOOKUP($A150-1,开奖记录!$A:$L,3,FALSE),""))</f>
        <v/>
      </c>
      <c r="C150" s="32">
        <f>IF(B150="","",MOD(B150+4,49)+1)</f>
        <v/>
      </c>
      <c r="D150" s="32">
        <f>IF(C150="","",IFERROR(VLOOKUP(C150,规律参数!$A:$C,2,FALSE),""))</f>
        <v/>
      </c>
      <c r="E150" s="36">
        <f>IF(C150="","",IFERROR(VLOOKUP(C150,规律参数!$A:$C,3,FALSE),""))</f>
        <v/>
      </c>
      <c r="F150" s="32">
        <f>IF($A150="","",IFERROR(VLOOKUP($A150,开奖记录!$A:$L,9,FALSE),""))</f>
        <v/>
      </c>
      <c r="G150" s="32">
        <f>IF($A150="","",IFERROR(VLOOKUP($A150,开奖记录!$A:$L,11,FALSE),""))</f>
        <v/>
      </c>
      <c r="H150" s="32">
        <f>IF(A150="","",IF(B150="","缺上期数据",IF(G150="","待开奖",IF(ISNUMBER(SEARCH(G150,E150)),"命中","未命中"))))</f>
        <v/>
      </c>
      <c r="I150" s="32">
        <f>IF(B150="","",TEXT(B150,"00")&amp;"+5="&amp;E150)</f>
        <v/>
      </c>
    </row>
    <row r="151" ht="23" customHeight="1" s="21">
      <c r="A151" s="32">
        <f>IFERROR(LARGE(开奖记录!$A$2:$A$400,150),"")</f>
        <v/>
      </c>
      <c r="B151" s="32">
        <f>IF($A151="","",IFERROR(VLOOKUP($A151-1,开奖记录!$A:$L,3,FALSE),""))</f>
        <v/>
      </c>
      <c r="C151" s="32">
        <f>IF(B151="","",MOD(B151+4,49)+1)</f>
        <v/>
      </c>
      <c r="D151" s="32">
        <f>IF(C151="","",IFERROR(VLOOKUP(C151,规律参数!$A:$C,2,FALSE),""))</f>
        <v/>
      </c>
      <c r="E151" s="36">
        <f>IF(C151="","",IFERROR(VLOOKUP(C151,规律参数!$A:$C,3,FALSE),""))</f>
        <v/>
      </c>
      <c r="F151" s="32">
        <f>IF($A151="","",IFERROR(VLOOKUP($A151,开奖记录!$A:$L,9,FALSE),""))</f>
        <v/>
      </c>
      <c r="G151" s="32">
        <f>IF($A151="","",IFERROR(VLOOKUP($A151,开奖记录!$A:$L,11,FALSE),""))</f>
        <v/>
      </c>
      <c r="H151" s="32">
        <f>IF(A151="","",IF(B151="","缺上期数据",IF(G151="","待开奖",IF(ISNUMBER(SEARCH(G151,E151)),"命中","未命中"))))</f>
        <v/>
      </c>
      <c r="I151" s="32">
        <f>IF(B151="","",TEXT(B151,"00")&amp;"+5="&amp;E151)</f>
        <v/>
      </c>
    </row>
    <row r="152" ht="23" customHeight="1" s="21">
      <c r="A152" s="32">
        <f>IFERROR(LARGE(开奖记录!$A$2:$A$400,151),"")</f>
        <v/>
      </c>
      <c r="B152" s="32">
        <f>IF($A152="","",IFERROR(VLOOKUP($A152-1,开奖记录!$A:$L,3,FALSE),""))</f>
        <v/>
      </c>
      <c r="C152" s="32">
        <f>IF(B152="","",MOD(B152+4,49)+1)</f>
        <v/>
      </c>
      <c r="D152" s="32">
        <f>IF(C152="","",IFERROR(VLOOKUP(C152,规律参数!$A:$C,2,FALSE),""))</f>
        <v/>
      </c>
      <c r="E152" s="36">
        <f>IF(C152="","",IFERROR(VLOOKUP(C152,规律参数!$A:$C,3,FALSE),""))</f>
        <v/>
      </c>
      <c r="F152" s="32">
        <f>IF($A152="","",IFERROR(VLOOKUP($A152,开奖记录!$A:$L,9,FALSE),""))</f>
        <v/>
      </c>
      <c r="G152" s="32">
        <f>IF($A152="","",IFERROR(VLOOKUP($A152,开奖记录!$A:$L,11,FALSE),""))</f>
        <v/>
      </c>
      <c r="H152" s="32">
        <f>IF(A152="","",IF(B152="","缺上期数据",IF(G152="","待开奖",IF(ISNUMBER(SEARCH(G152,E152)),"命中","未命中"))))</f>
        <v/>
      </c>
      <c r="I152" s="32">
        <f>IF(B152="","",TEXT(B152,"00")&amp;"+5="&amp;E152)</f>
        <v/>
      </c>
    </row>
    <row r="153" ht="23" customHeight="1" s="21">
      <c r="A153" s="32">
        <f>IFERROR(LARGE(开奖记录!$A$2:$A$400,152),"")</f>
        <v/>
      </c>
      <c r="B153" s="32">
        <f>IF($A153="","",IFERROR(VLOOKUP($A153-1,开奖记录!$A:$L,3,FALSE),""))</f>
        <v/>
      </c>
      <c r="C153" s="32">
        <f>IF(B153="","",MOD(B153+4,49)+1)</f>
        <v/>
      </c>
      <c r="D153" s="32">
        <f>IF(C153="","",IFERROR(VLOOKUP(C153,规律参数!$A:$C,2,FALSE),""))</f>
        <v/>
      </c>
      <c r="E153" s="36">
        <f>IF(C153="","",IFERROR(VLOOKUP(C153,规律参数!$A:$C,3,FALSE),""))</f>
        <v/>
      </c>
      <c r="F153" s="32">
        <f>IF($A153="","",IFERROR(VLOOKUP($A153,开奖记录!$A:$L,9,FALSE),""))</f>
        <v/>
      </c>
      <c r="G153" s="32">
        <f>IF($A153="","",IFERROR(VLOOKUP($A153,开奖记录!$A:$L,11,FALSE),""))</f>
        <v/>
      </c>
      <c r="H153" s="32">
        <f>IF(A153="","",IF(B153="","缺上期数据",IF(G153="","待开奖",IF(ISNUMBER(SEARCH(G153,E153)),"命中","未命中"))))</f>
        <v/>
      </c>
      <c r="I153" s="32">
        <f>IF(B153="","",TEXT(B153,"00")&amp;"+5="&amp;E153)</f>
        <v/>
      </c>
    </row>
    <row r="154" ht="23" customHeight="1" s="21">
      <c r="A154" s="32">
        <f>IFERROR(LARGE(开奖记录!$A$2:$A$400,153),"")</f>
        <v/>
      </c>
      <c r="B154" s="32">
        <f>IF($A154="","",IFERROR(VLOOKUP($A154-1,开奖记录!$A:$L,3,FALSE),""))</f>
        <v/>
      </c>
      <c r="C154" s="32">
        <f>IF(B154="","",MOD(B154+4,49)+1)</f>
        <v/>
      </c>
      <c r="D154" s="32">
        <f>IF(C154="","",IFERROR(VLOOKUP(C154,规律参数!$A:$C,2,FALSE),""))</f>
        <v/>
      </c>
      <c r="E154" s="36">
        <f>IF(C154="","",IFERROR(VLOOKUP(C154,规律参数!$A:$C,3,FALSE),""))</f>
        <v/>
      </c>
      <c r="F154" s="32">
        <f>IF($A154="","",IFERROR(VLOOKUP($A154,开奖记录!$A:$L,9,FALSE),""))</f>
        <v/>
      </c>
      <c r="G154" s="32">
        <f>IF($A154="","",IFERROR(VLOOKUP($A154,开奖记录!$A:$L,11,FALSE),""))</f>
        <v/>
      </c>
      <c r="H154" s="32">
        <f>IF(A154="","",IF(B154="","缺上期数据",IF(G154="","待开奖",IF(ISNUMBER(SEARCH(G154,E154)),"命中","未命中"))))</f>
        <v/>
      </c>
      <c r="I154" s="32">
        <f>IF(B154="","",TEXT(B154,"00")&amp;"+5="&amp;E154)</f>
        <v/>
      </c>
    </row>
    <row r="155" ht="23" customHeight="1" s="21">
      <c r="A155" s="32">
        <f>IFERROR(LARGE(开奖记录!$A$2:$A$400,154),"")</f>
        <v/>
      </c>
      <c r="B155" s="32">
        <f>IF($A155="","",IFERROR(VLOOKUP($A155-1,开奖记录!$A:$L,3,FALSE),""))</f>
        <v/>
      </c>
      <c r="C155" s="32">
        <f>IF(B155="","",MOD(B155+4,49)+1)</f>
        <v/>
      </c>
      <c r="D155" s="32">
        <f>IF(C155="","",IFERROR(VLOOKUP(C155,规律参数!$A:$C,2,FALSE),""))</f>
        <v/>
      </c>
      <c r="E155" s="36">
        <f>IF(C155="","",IFERROR(VLOOKUP(C155,规律参数!$A:$C,3,FALSE),""))</f>
        <v/>
      </c>
      <c r="F155" s="32">
        <f>IF($A155="","",IFERROR(VLOOKUP($A155,开奖记录!$A:$L,9,FALSE),""))</f>
        <v/>
      </c>
      <c r="G155" s="32">
        <f>IF($A155="","",IFERROR(VLOOKUP($A155,开奖记录!$A:$L,11,FALSE),""))</f>
        <v/>
      </c>
      <c r="H155" s="32">
        <f>IF(A155="","",IF(B155="","缺上期数据",IF(G155="","待开奖",IF(ISNUMBER(SEARCH(G155,E155)),"命中","未命中"))))</f>
        <v/>
      </c>
      <c r="I155" s="32">
        <f>IF(B155="","",TEXT(B155,"00")&amp;"+5="&amp;E155)</f>
        <v/>
      </c>
    </row>
    <row r="156" ht="23" customHeight="1" s="21">
      <c r="A156" s="32">
        <f>IFERROR(LARGE(开奖记录!$A$2:$A$400,155),"")</f>
        <v/>
      </c>
      <c r="B156" s="32">
        <f>IF($A156="","",IFERROR(VLOOKUP($A156-1,开奖记录!$A:$L,3,FALSE),""))</f>
        <v/>
      </c>
      <c r="C156" s="32">
        <f>IF(B156="","",MOD(B156+4,49)+1)</f>
        <v/>
      </c>
      <c r="D156" s="32">
        <f>IF(C156="","",IFERROR(VLOOKUP(C156,规律参数!$A:$C,2,FALSE),""))</f>
        <v/>
      </c>
      <c r="E156" s="36">
        <f>IF(C156="","",IFERROR(VLOOKUP(C156,规律参数!$A:$C,3,FALSE),""))</f>
        <v/>
      </c>
      <c r="F156" s="32">
        <f>IF($A156="","",IFERROR(VLOOKUP($A156,开奖记录!$A:$L,9,FALSE),""))</f>
        <v/>
      </c>
      <c r="G156" s="32">
        <f>IF($A156="","",IFERROR(VLOOKUP($A156,开奖记录!$A:$L,11,FALSE),""))</f>
        <v/>
      </c>
      <c r="H156" s="32">
        <f>IF(A156="","",IF(B156="","缺上期数据",IF(G156="","待开奖",IF(ISNUMBER(SEARCH(G156,E156)),"命中","未命中"))))</f>
        <v/>
      </c>
      <c r="I156" s="32">
        <f>IF(B156="","",TEXT(B156,"00")&amp;"+5="&amp;E156)</f>
        <v/>
      </c>
    </row>
    <row r="157" ht="23" customHeight="1" s="21">
      <c r="A157" s="32">
        <f>IFERROR(LARGE(开奖记录!$A$2:$A$400,156),"")</f>
        <v/>
      </c>
      <c r="B157" s="32">
        <f>IF($A157="","",IFERROR(VLOOKUP($A157-1,开奖记录!$A:$L,3,FALSE),""))</f>
        <v/>
      </c>
      <c r="C157" s="32">
        <f>IF(B157="","",MOD(B157+4,49)+1)</f>
        <v/>
      </c>
      <c r="D157" s="32">
        <f>IF(C157="","",IFERROR(VLOOKUP(C157,规律参数!$A:$C,2,FALSE),""))</f>
        <v/>
      </c>
      <c r="E157" s="36">
        <f>IF(C157="","",IFERROR(VLOOKUP(C157,规律参数!$A:$C,3,FALSE),""))</f>
        <v/>
      </c>
      <c r="F157" s="32">
        <f>IF($A157="","",IFERROR(VLOOKUP($A157,开奖记录!$A:$L,9,FALSE),""))</f>
        <v/>
      </c>
      <c r="G157" s="32">
        <f>IF($A157="","",IFERROR(VLOOKUP($A157,开奖记录!$A:$L,11,FALSE),""))</f>
        <v/>
      </c>
      <c r="H157" s="32">
        <f>IF(A157="","",IF(B157="","缺上期数据",IF(G157="","待开奖",IF(ISNUMBER(SEARCH(G157,E157)),"命中","未命中"))))</f>
        <v/>
      </c>
      <c r="I157" s="32">
        <f>IF(B157="","",TEXT(B157,"00")&amp;"+5="&amp;E157)</f>
        <v/>
      </c>
    </row>
    <row r="158" ht="23" customHeight="1" s="21">
      <c r="A158" s="32">
        <f>IFERROR(LARGE(开奖记录!$A$2:$A$400,157),"")</f>
        <v/>
      </c>
      <c r="B158" s="32">
        <f>IF($A158="","",IFERROR(VLOOKUP($A158-1,开奖记录!$A:$L,3,FALSE),""))</f>
        <v/>
      </c>
      <c r="C158" s="32">
        <f>IF(B158="","",MOD(B158+4,49)+1)</f>
        <v/>
      </c>
      <c r="D158" s="32">
        <f>IF(C158="","",IFERROR(VLOOKUP(C158,规律参数!$A:$C,2,FALSE),""))</f>
        <v/>
      </c>
      <c r="E158" s="36">
        <f>IF(C158="","",IFERROR(VLOOKUP(C158,规律参数!$A:$C,3,FALSE),""))</f>
        <v/>
      </c>
      <c r="F158" s="32">
        <f>IF($A158="","",IFERROR(VLOOKUP($A158,开奖记录!$A:$L,9,FALSE),""))</f>
        <v/>
      </c>
      <c r="G158" s="32">
        <f>IF($A158="","",IFERROR(VLOOKUP($A158,开奖记录!$A:$L,11,FALSE),""))</f>
        <v/>
      </c>
      <c r="H158" s="32">
        <f>IF(A158="","",IF(B158="","缺上期数据",IF(G158="","待开奖",IF(ISNUMBER(SEARCH(G158,E158)),"命中","未命中"))))</f>
        <v/>
      </c>
      <c r="I158" s="32">
        <f>IF(B158="","",TEXT(B158,"00")&amp;"+5="&amp;E158)</f>
        <v/>
      </c>
    </row>
    <row r="159" ht="23" customHeight="1" s="21">
      <c r="A159" s="32">
        <f>IFERROR(LARGE(开奖记录!$A$2:$A$400,158),"")</f>
        <v/>
      </c>
      <c r="B159" s="32">
        <f>IF($A159="","",IFERROR(VLOOKUP($A159-1,开奖记录!$A:$L,3,FALSE),""))</f>
        <v/>
      </c>
      <c r="C159" s="32">
        <f>IF(B159="","",MOD(B159+4,49)+1)</f>
        <v/>
      </c>
      <c r="D159" s="32">
        <f>IF(C159="","",IFERROR(VLOOKUP(C159,规律参数!$A:$C,2,FALSE),""))</f>
        <v/>
      </c>
      <c r="E159" s="36">
        <f>IF(C159="","",IFERROR(VLOOKUP(C159,规律参数!$A:$C,3,FALSE),""))</f>
        <v/>
      </c>
      <c r="F159" s="32">
        <f>IF($A159="","",IFERROR(VLOOKUP($A159,开奖记录!$A:$L,9,FALSE),""))</f>
        <v/>
      </c>
      <c r="G159" s="32">
        <f>IF($A159="","",IFERROR(VLOOKUP($A159,开奖记录!$A:$L,11,FALSE),""))</f>
        <v/>
      </c>
      <c r="H159" s="32">
        <f>IF(A159="","",IF(B159="","缺上期数据",IF(G159="","待开奖",IF(ISNUMBER(SEARCH(G159,E159)),"命中","未命中"))))</f>
        <v/>
      </c>
      <c r="I159" s="32">
        <f>IF(B159="","",TEXT(B159,"00")&amp;"+5="&amp;E159)</f>
        <v/>
      </c>
    </row>
    <row r="160" ht="23" customHeight="1" s="21">
      <c r="A160" s="32">
        <f>IFERROR(LARGE(开奖记录!$A$2:$A$400,159),"")</f>
        <v/>
      </c>
      <c r="B160" s="32">
        <f>IF($A160="","",IFERROR(VLOOKUP($A160-1,开奖记录!$A:$L,3,FALSE),""))</f>
        <v/>
      </c>
      <c r="C160" s="32">
        <f>IF(B160="","",MOD(B160+4,49)+1)</f>
        <v/>
      </c>
      <c r="D160" s="32">
        <f>IF(C160="","",IFERROR(VLOOKUP(C160,规律参数!$A:$C,2,FALSE),""))</f>
        <v/>
      </c>
      <c r="E160" s="36">
        <f>IF(C160="","",IFERROR(VLOOKUP(C160,规律参数!$A:$C,3,FALSE),""))</f>
        <v/>
      </c>
      <c r="F160" s="32">
        <f>IF($A160="","",IFERROR(VLOOKUP($A160,开奖记录!$A:$L,9,FALSE),""))</f>
        <v/>
      </c>
      <c r="G160" s="32">
        <f>IF($A160="","",IFERROR(VLOOKUP($A160,开奖记录!$A:$L,11,FALSE),""))</f>
        <v/>
      </c>
      <c r="H160" s="32">
        <f>IF(A160="","",IF(B160="","缺上期数据",IF(G160="","待开奖",IF(ISNUMBER(SEARCH(G160,E160)),"命中","未命中"))))</f>
        <v/>
      </c>
      <c r="I160" s="32">
        <f>IF(B160="","",TEXT(B160,"00")&amp;"+5="&amp;E160)</f>
        <v/>
      </c>
    </row>
    <row r="161" ht="23" customHeight="1" s="21">
      <c r="A161" s="32">
        <f>IFERROR(LARGE(开奖记录!$A$2:$A$400,160),"")</f>
        <v/>
      </c>
      <c r="B161" s="32">
        <f>IF($A161="","",IFERROR(VLOOKUP($A161-1,开奖记录!$A:$L,3,FALSE),""))</f>
        <v/>
      </c>
      <c r="C161" s="32">
        <f>IF(B161="","",MOD(B161+4,49)+1)</f>
        <v/>
      </c>
      <c r="D161" s="32">
        <f>IF(C161="","",IFERROR(VLOOKUP(C161,规律参数!$A:$C,2,FALSE),""))</f>
        <v/>
      </c>
      <c r="E161" s="36">
        <f>IF(C161="","",IFERROR(VLOOKUP(C161,规律参数!$A:$C,3,FALSE),""))</f>
        <v/>
      </c>
      <c r="F161" s="32">
        <f>IF($A161="","",IFERROR(VLOOKUP($A161,开奖记录!$A:$L,9,FALSE),""))</f>
        <v/>
      </c>
      <c r="G161" s="32">
        <f>IF($A161="","",IFERROR(VLOOKUP($A161,开奖记录!$A:$L,11,FALSE),""))</f>
        <v/>
      </c>
      <c r="H161" s="32">
        <f>IF(A161="","",IF(B161="","缺上期数据",IF(G161="","待开奖",IF(ISNUMBER(SEARCH(G161,E161)),"命中","未命中"))))</f>
        <v/>
      </c>
      <c r="I161" s="32">
        <f>IF(B161="","",TEXT(B161,"00")&amp;"+5="&amp;E161)</f>
        <v/>
      </c>
    </row>
    <row r="162" ht="23" customHeight="1" s="21">
      <c r="A162" s="32">
        <f>IFERROR(LARGE(开奖记录!$A$2:$A$400,161),"")</f>
        <v/>
      </c>
      <c r="B162" s="32">
        <f>IF($A162="","",IFERROR(VLOOKUP($A162-1,开奖记录!$A:$L,3,FALSE),""))</f>
        <v/>
      </c>
      <c r="C162" s="32">
        <f>IF(B162="","",MOD(B162+4,49)+1)</f>
        <v/>
      </c>
      <c r="D162" s="32">
        <f>IF(C162="","",IFERROR(VLOOKUP(C162,规律参数!$A:$C,2,FALSE),""))</f>
        <v/>
      </c>
      <c r="E162" s="36">
        <f>IF(C162="","",IFERROR(VLOOKUP(C162,规律参数!$A:$C,3,FALSE),""))</f>
        <v/>
      </c>
      <c r="F162" s="32">
        <f>IF($A162="","",IFERROR(VLOOKUP($A162,开奖记录!$A:$L,9,FALSE),""))</f>
        <v/>
      </c>
      <c r="G162" s="32">
        <f>IF($A162="","",IFERROR(VLOOKUP($A162,开奖记录!$A:$L,11,FALSE),""))</f>
        <v/>
      </c>
      <c r="H162" s="32">
        <f>IF(A162="","",IF(B162="","缺上期数据",IF(G162="","待开奖",IF(ISNUMBER(SEARCH(G162,E162)),"命中","未命中"))))</f>
        <v/>
      </c>
      <c r="I162" s="32">
        <f>IF(B162="","",TEXT(B162,"00")&amp;"+5="&amp;E162)</f>
        <v/>
      </c>
    </row>
    <row r="163" ht="23" customHeight="1" s="21">
      <c r="A163" s="32">
        <f>IFERROR(LARGE(开奖记录!$A$2:$A$400,162),"")</f>
        <v/>
      </c>
      <c r="B163" s="32">
        <f>IF($A163="","",IFERROR(VLOOKUP($A163-1,开奖记录!$A:$L,3,FALSE),""))</f>
        <v/>
      </c>
      <c r="C163" s="32">
        <f>IF(B163="","",MOD(B163+4,49)+1)</f>
        <v/>
      </c>
      <c r="D163" s="32">
        <f>IF(C163="","",IFERROR(VLOOKUP(C163,规律参数!$A:$C,2,FALSE),""))</f>
        <v/>
      </c>
      <c r="E163" s="36">
        <f>IF(C163="","",IFERROR(VLOOKUP(C163,规律参数!$A:$C,3,FALSE),""))</f>
        <v/>
      </c>
      <c r="F163" s="32">
        <f>IF($A163="","",IFERROR(VLOOKUP($A163,开奖记录!$A:$L,9,FALSE),""))</f>
        <v/>
      </c>
      <c r="G163" s="32">
        <f>IF($A163="","",IFERROR(VLOOKUP($A163,开奖记录!$A:$L,11,FALSE),""))</f>
        <v/>
      </c>
      <c r="H163" s="32">
        <f>IF(A163="","",IF(B163="","缺上期数据",IF(G163="","待开奖",IF(ISNUMBER(SEARCH(G163,E163)),"命中","未命中"))))</f>
        <v/>
      </c>
      <c r="I163" s="32">
        <f>IF(B163="","",TEXT(B163,"00")&amp;"+5="&amp;E163)</f>
        <v/>
      </c>
    </row>
    <row r="164" ht="23" customHeight="1" s="21">
      <c r="A164" s="32">
        <f>IFERROR(LARGE(开奖记录!$A$2:$A$400,163),"")</f>
        <v/>
      </c>
      <c r="B164" s="32">
        <f>IF($A164="","",IFERROR(VLOOKUP($A164-1,开奖记录!$A:$L,3,FALSE),""))</f>
        <v/>
      </c>
      <c r="C164" s="32">
        <f>IF(B164="","",MOD(B164+4,49)+1)</f>
        <v/>
      </c>
      <c r="D164" s="32">
        <f>IF(C164="","",IFERROR(VLOOKUP(C164,规律参数!$A:$C,2,FALSE),""))</f>
        <v/>
      </c>
      <c r="E164" s="36">
        <f>IF(C164="","",IFERROR(VLOOKUP(C164,规律参数!$A:$C,3,FALSE),""))</f>
        <v/>
      </c>
      <c r="F164" s="32">
        <f>IF($A164="","",IFERROR(VLOOKUP($A164,开奖记录!$A:$L,9,FALSE),""))</f>
        <v/>
      </c>
      <c r="G164" s="32">
        <f>IF($A164="","",IFERROR(VLOOKUP($A164,开奖记录!$A:$L,11,FALSE),""))</f>
        <v/>
      </c>
      <c r="H164" s="32">
        <f>IF(A164="","",IF(B164="","缺上期数据",IF(G164="","待开奖",IF(ISNUMBER(SEARCH(G164,E164)),"命中","未命中"))))</f>
        <v/>
      </c>
      <c r="I164" s="32">
        <f>IF(B164="","",TEXT(B164,"00")&amp;"+5="&amp;E164)</f>
        <v/>
      </c>
    </row>
    <row r="165" ht="23" customHeight="1" s="21">
      <c r="A165" s="32">
        <f>IFERROR(LARGE(开奖记录!$A$2:$A$400,164),"")</f>
        <v/>
      </c>
      <c r="B165" s="32">
        <f>IF($A165="","",IFERROR(VLOOKUP($A165-1,开奖记录!$A:$L,3,FALSE),""))</f>
        <v/>
      </c>
      <c r="C165" s="32">
        <f>IF(B165="","",MOD(B165+4,49)+1)</f>
        <v/>
      </c>
      <c r="D165" s="32">
        <f>IF(C165="","",IFERROR(VLOOKUP(C165,规律参数!$A:$C,2,FALSE),""))</f>
        <v/>
      </c>
      <c r="E165" s="36">
        <f>IF(C165="","",IFERROR(VLOOKUP(C165,规律参数!$A:$C,3,FALSE),""))</f>
        <v/>
      </c>
      <c r="F165" s="32">
        <f>IF($A165="","",IFERROR(VLOOKUP($A165,开奖记录!$A:$L,9,FALSE),""))</f>
        <v/>
      </c>
      <c r="G165" s="32">
        <f>IF($A165="","",IFERROR(VLOOKUP($A165,开奖记录!$A:$L,11,FALSE),""))</f>
        <v/>
      </c>
      <c r="H165" s="32">
        <f>IF(A165="","",IF(B165="","缺上期数据",IF(G165="","待开奖",IF(ISNUMBER(SEARCH(G165,E165)),"命中","未命中"))))</f>
        <v/>
      </c>
      <c r="I165" s="32">
        <f>IF(B165="","",TEXT(B165,"00")&amp;"+5="&amp;E165)</f>
        <v/>
      </c>
    </row>
    <row r="166" ht="23" customHeight="1" s="21">
      <c r="A166" s="32">
        <f>IFERROR(LARGE(开奖记录!$A$2:$A$400,165),"")</f>
        <v/>
      </c>
      <c r="B166" s="32">
        <f>IF($A166="","",IFERROR(VLOOKUP($A166-1,开奖记录!$A:$L,3,FALSE),""))</f>
        <v/>
      </c>
      <c r="C166" s="32">
        <f>IF(B166="","",MOD(B166+4,49)+1)</f>
        <v/>
      </c>
      <c r="D166" s="32">
        <f>IF(C166="","",IFERROR(VLOOKUP(C166,规律参数!$A:$C,2,FALSE),""))</f>
        <v/>
      </c>
      <c r="E166" s="36">
        <f>IF(C166="","",IFERROR(VLOOKUP(C166,规律参数!$A:$C,3,FALSE),""))</f>
        <v/>
      </c>
      <c r="F166" s="32">
        <f>IF($A166="","",IFERROR(VLOOKUP($A166,开奖记录!$A:$L,9,FALSE),""))</f>
        <v/>
      </c>
      <c r="G166" s="32">
        <f>IF($A166="","",IFERROR(VLOOKUP($A166,开奖记录!$A:$L,11,FALSE),""))</f>
        <v/>
      </c>
      <c r="H166" s="32">
        <f>IF(A166="","",IF(B166="","缺上期数据",IF(G166="","待开奖",IF(ISNUMBER(SEARCH(G166,E166)),"命中","未命中"))))</f>
        <v/>
      </c>
      <c r="I166" s="32">
        <f>IF(B166="","",TEXT(B166,"00")&amp;"+5="&amp;E166)</f>
        <v/>
      </c>
    </row>
    <row r="167" ht="23" customHeight="1" s="21">
      <c r="A167" s="32">
        <f>IFERROR(LARGE(开奖记录!$A$2:$A$400,166),"")</f>
        <v/>
      </c>
      <c r="B167" s="32">
        <f>IF($A167="","",IFERROR(VLOOKUP($A167-1,开奖记录!$A:$L,3,FALSE),""))</f>
        <v/>
      </c>
      <c r="C167" s="32">
        <f>IF(B167="","",MOD(B167+4,49)+1)</f>
        <v/>
      </c>
      <c r="D167" s="32">
        <f>IF(C167="","",IFERROR(VLOOKUP(C167,规律参数!$A:$C,2,FALSE),""))</f>
        <v/>
      </c>
      <c r="E167" s="36">
        <f>IF(C167="","",IFERROR(VLOOKUP(C167,规律参数!$A:$C,3,FALSE),""))</f>
        <v/>
      </c>
      <c r="F167" s="32">
        <f>IF($A167="","",IFERROR(VLOOKUP($A167,开奖记录!$A:$L,9,FALSE),""))</f>
        <v/>
      </c>
      <c r="G167" s="32">
        <f>IF($A167="","",IFERROR(VLOOKUP($A167,开奖记录!$A:$L,11,FALSE),""))</f>
        <v/>
      </c>
      <c r="H167" s="32">
        <f>IF(A167="","",IF(B167="","缺上期数据",IF(G167="","待开奖",IF(ISNUMBER(SEARCH(G167,E167)),"命中","未命中"))))</f>
        <v/>
      </c>
      <c r="I167" s="32">
        <f>IF(B167="","",TEXT(B167,"00")&amp;"+5="&amp;E167)</f>
        <v/>
      </c>
    </row>
    <row r="168" ht="23" customHeight="1" s="21">
      <c r="A168" s="32">
        <f>IFERROR(LARGE(开奖记录!$A$2:$A$400,167),"")</f>
        <v/>
      </c>
      <c r="B168" s="32">
        <f>IF($A168="","",IFERROR(VLOOKUP($A168-1,开奖记录!$A:$L,3,FALSE),""))</f>
        <v/>
      </c>
      <c r="C168" s="32">
        <f>IF(B168="","",MOD(B168+4,49)+1)</f>
        <v/>
      </c>
      <c r="D168" s="32">
        <f>IF(C168="","",IFERROR(VLOOKUP(C168,规律参数!$A:$C,2,FALSE),""))</f>
        <v/>
      </c>
      <c r="E168" s="36">
        <f>IF(C168="","",IFERROR(VLOOKUP(C168,规律参数!$A:$C,3,FALSE),""))</f>
        <v/>
      </c>
      <c r="F168" s="32">
        <f>IF($A168="","",IFERROR(VLOOKUP($A168,开奖记录!$A:$L,9,FALSE),""))</f>
        <v/>
      </c>
      <c r="G168" s="32">
        <f>IF($A168="","",IFERROR(VLOOKUP($A168,开奖记录!$A:$L,11,FALSE),""))</f>
        <v/>
      </c>
      <c r="H168" s="32">
        <f>IF(A168="","",IF(B168="","缺上期数据",IF(G168="","待开奖",IF(ISNUMBER(SEARCH(G168,E168)),"命中","未命中"))))</f>
        <v/>
      </c>
      <c r="I168" s="32">
        <f>IF(B168="","",TEXT(B168,"00")&amp;"+5="&amp;E168)</f>
        <v/>
      </c>
    </row>
    <row r="169" ht="23" customHeight="1" s="21">
      <c r="A169" s="32">
        <f>IFERROR(LARGE(开奖记录!$A$2:$A$400,168),"")</f>
        <v/>
      </c>
      <c r="B169" s="32">
        <f>IF($A169="","",IFERROR(VLOOKUP($A169-1,开奖记录!$A:$L,3,FALSE),""))</f>
        <v/>
      </c>
      <c r="C169" s="32">
        <f>IF(B169="","",MOD(B169+4,49)+1)</f>
        <v/>
      </c>
      <c r="D169" s="32">
        <f>IF(C169="","",IFERROR(VLOOKUP(C169,规律参数!$A:$C,2,FALSE),""))</f>
        <v/>
      </c>
      <c r="E169" s="36">
        <f>IF(C169="","",IFERROR(VLOOKUP(C169,规律参数!$A:$C,3,FALSE),""))</f>
        <v/>
      </c>
      <c r="F169" s="32">
        <f>IF($A169="","",IFERROR(VLOOKUP($A169,开奖记录!$A:$L,9,FALSE),""))</f>
        <v/>
      </c>
      <c r="G169" s="32">
        <f>IF($A169="","",IFERROR(VLOOKUP($A169,开奖记录!$A:$L,11,FALSE),""))</f>
        <v/>
      </c>
      <c r="H169" s="32">
        <f>IF(A169="","",IF(B169="","缺上期数据",IF(G169="","待开奖",IF(ISNUMBER(SEARCH(G169,E169)),"命中","未命中"))))</f>
        <v/>
      </c>
      <c r="I169" s="32">
        <f>IF(B169="","",TEXT(B169,"00")&amp;"+5="&amp;E169)</f>
        <v/>
      </c>
    </row>
    <row r="170" ht="23" customHeight="1" s="21">
      <c r="A170" s="32">
        <f>IFERROR(LARGE(开奖记录!$A$2:$A$400,169),"")</f>
        <v/>
      </c>
      <c r="B170" s="32">
        <f>IF($A170="","",IFERROR(VLOOKUP($A170-1,开奖记录!$A:$L,3,FALSE),""))</f>
        <v/>
      </c>
      <c r="C170" s="32">
        <f>IF(B170="","",MOD(B170+4,49)+1)</f>
        <v/>
      </c>
      <c r="D170" s="32">
        <f>IF(C170="","",IFERROR(VLOOKUP(C170,规律参数!$A:$C,2,FALSE),""))</f>
        <v/>
      </c>
      <c r="E170" s="36">
        <f>IF(C170="","",IFERROR(VLOOKUP(C170,规律参数!$A:$C,3,FALSE),""))</f>
        <v/>
      </c>
      <c r="F170" s="32">
        <f>IF($A170="","",IFERROR(VLOOKUP($A170,开奖记录!$A:$L,9,FALSE),""))</f>
        <v/>
      </c>
      <c r="G170" s="32">
        <f>IF($A170="","",IFERROR(VLOOKUP($A170,开奖记录!$A:$L,11,FALSE),""))</f>
        <v/>
      </c>
      <c r="H170" s="32">
        <f>IF(A170="","",IF(B170="","缺上期数据",IF(G170="","待开奖",IF(ISNUMBER(SEARCH(G170,E170)),"命中","未命中"))))</f>
        <v/>
      </c>
      <c r="I170" s="32">
        <f>IF(B170="","",TEXT(B170,"00")&amp;"+5="&amp;E170)</f>
        <v/>
      </c>
    </row>
    <row r="171" ht="23" customHeight="1" s="21">
      <c r="A171" s="32">
        <f>IFERROR(LARGE(开奖记录!$A$2:$A$400,170),"")</f>
        <v/>
      </c>
      <c r="B171" s="32">
        <f>IF($A171="","",IFERROR(VLOOKUP($A171-1,开奖记录!$A:$L,3,FALSE),""))</f>
        <v/>
      </c>
      <c r="C171" s="32">
        <f>IF(B171="","",MOD(B171+4,49)+1)</f>
        <v/>
      </c>
      <c r="D171" s="32">
        <f>IF(C171="","",IFERROR(VLOOKUP(C171,规律参数!$A:$C,2,FALSE),""))</f>
        <v/>
      </c>
      <c r="E171" s="36">
        <f>IF(C171="","",IFERROR(VLOOKUP(C171,规律参数!$A:$C,3,FALSE),""))</f>
        <v/>
      </c>
      <c r="F171" s="32">
        <f>IF($A171="","",IFERROR(VLOOKUP($A171,开奖记录!$A:$L,9,FALSE),""))</f>
        <v/>
      </c>
      <c r="G171" s="32">
        <f>IF($A171="","",IFERROR(VLOOKUP($A171,开奖记录!$A:$L,11,FALSE),""))</f>
        <v/>
      </c>
      <c r="H171" s="32">
        <f>IF(A171="","",IF(B171="","缺上期数据",IF(G171="","待开奖",IF(ISNUMBER(SEARCH(G171,E171)),"命中","未命中"))))</f>
        <v/>
      </c>
      <c r="I171" s="32">
        <f>IF(B171="","",TEXT(B171,"00")&amp;"+5="&amp;E171)</f>
        <v/>
      </c>
    </row>
    <row r="172" ht="23" customHeight="1" s="21">
      <c r="A172" s="32">
        <f>IFERROR(LARGE(开奖记录!$A$2:$A$400,171),"")</f>
        <v/>
      </c>
      <c r="B172" s="32">
        <f>IF($A172="","",IFERROR(VLOOKUP($A172-1,开奖记录!$A:$L,3,FALSE),""))</f>
        <v/>
      </c>
      <c r="C172" s="32">
        <f>IF(B172="","",MOD(B172+4,49)+1)</f>
        <v/>
      </c>
      <c r="D172" s="32">
        <f>IF(C172="","",IFERROR(VLOOKUP(C172,规律参数!$A:$C,2,FALSE),""))</f>
        <v/>
      </c>
      <c r="E172" s="36">
        <f>IF(C172="","",IFERROR(VLOOKUP(C172,规律参数!$A:$C,3,FALSE),""))</f>
        <v/>
      </c>
      <c r="F172" s="32">
        <f>IF($A172="","",IFERROR(VLOOKUP($A172,开奖记录!$A:$L,9,FALSE),""))</f>
        <v/>
      </c>
      <c r="G172" s="32">
        <f>IF($A172="","",IFERROR(VLOOKUP($A172,开奖记录!$A:$L,11,FALSE),""))</f>
        <v/>
      </c>
      <c r="H172" s="32">
        <f>IF(A172="","",IF(B172="","缺上期数据",IF(G172="","待开奖",IF(ISNUMBER(SEARCH(G172,E172)),"命中","未命中"))))</f>
        <v/>
      </c>
      <c r="I172" s="32">
        <f>IF(B172="","",TEXT(B172,"00")&amp;"+5="&amp;E172)</f>
        <v/>
      </c>
    </row>
    <row r="173" ht="23" customHeight="1" s="21">
      <c r="A173" s="32">
        <f>IFERROR(LARGE(开奖记录!$A$2:$A$400,172),"")</f>
        <v/>
      </c>
      <c r="B173" s="32">
        <f>IF($A173="","",IFERROR(VLOOKUP($A173-1,开奖记录!$A:$L,3,FALSE),""))</f>
        <v/>
      </c>
      <c r="C173" s="32">
        <f>IF(B173="","",MOD(B173+4,49)+1)</f>
        <v/>
      </c>
      <c r="D173" s="32">
        <f>IF(C173="","",IFERROR(VLOOKUP(C173,规律参数!$A:$C,2,FALSE),""))</f>
        <v/>
      </c>
      <c r="E173" s="36">
        <f>IF(C173="","",IFERROR(VLOOKUP(C173,规律参数!$A:$C,3,FALSE),""))</f>
        <v/>
      </c>
      <c r="F173" s="32">
        <f>IF($A173="","",IFERROR(VLOOKUP($A173,开奖记录!$A:$L,9,FALSE),""))</f>
        <v/>
      </c>
      <c r="G173" s="32">
        <f>IF($A173="","",IFERROR(VLOOKUP($A173,开奖记录!$A:$L,11,FALSE),""))</f>
        <v/>
      </c>
      <c r="H173" s="32">
        <f>IF(A173="","",IF(B173="","缺上期数据",IF(G173="","待开奖",IF(ISNUMBER(SEARCH(G173,E173)),"命中","未命中"))))</f>
        <v/>
      </c>
      <c r="I173" s="32">
        <f>IF(B173="","",TEXT(B173,"00")&amp;"+5="&amp;E173)</f>
        <v/>
      </c>
    </row>
    <row r="174" ht="23" customHeight="1" s="21">
      <c r="A174" s="32">
        <f>IFERROR(LARGE(开奖记录!$A$2:$A$400,173),"")</f>
        <v/>
      </c>
      <c r="B174" s="32">
        <f>IF($A174="","",IFERROR(VLOOKUP($A174-1,开奖记录!$A:$L,3,FALSE),""))</f>
        <v/>
      </c>
      <c r="C174" s="32">
        <f>IF(B174="","",MOD(B174+4,49)+1)</f>
        <v/>
      </c>
      <c r="D174" s="32">
        <f>IF(C174="","",IFERROR(VLOOKUP(C174,规律参数!$A:$C,2,FALSE),""))</f>
        <v/>
      </c>
      <c r="E174" s="36">
        <f>IF(C174="","",IFERROR(VLOOKUP(C174,规律参数!$A:$C,3,FALSE),""))</f>
        <v/>
      </c>
      <c r="F174" s="32">
        <f>IF($A174="","",IFERROR(VLOOKUP($A174,开奖记录!$A:$L,9,FALSE),""))</f>
        <v/>
      </c>
      <c r="G174" s="32">
        <f>IF($A174="","",IFERROR(VLOOKUP($A174,开奖记录!$A:$L,11,FALSE),""))</f>
        <v/>
      </c>
      <c r="H174" s="32">
        <f>IF(A174="","",IF(B174="","缺上期数据",IF(G174="","待开奖",IF(ISNUMBER(SEARCH(G174,E174)),"命中","未命中"))))</f>
        <v/>
      </c>
      <c r="I174" s="32">
        <f>IF(B174="","",TEXT(B174,"00")&amp;"+5="&amp;E174)</f>
        <v/>
      </c>
    </row>
    <row r="175" ht="23" customHeight="1" s="21">
      <c r="A175" s="32">
        <f>IFERROR(LARGE(开奖记录!$A$2:$A$400,174),"")</f>
        <v/>
      </c>
      <c r="B175" s="32">
        <f>IF($A175="","",IFERROR(VLOOKUP($A175-1,开奖记录!$A:$L,3,FALSE),""))</f>
        <v/>
      </c>
      <c r="C175" s="32">
        <f>IF(B175="","",MOD(B175+4,49)+1)</f>
        <v/>
      </c>
      <c r="D175" s="32">
        <f>IF(C175="","",IFERROR(VLOOKUP(C175,规律参数!$A:$C,2,FALSE),""))</f>
        <v/>
      </c>
      <c r="E175" s="36">
        <f>IF(C175="","",IFERROR(VLOOKUP(C175,规律参数!$A:$C,3,FALSE),""))</f>
        <v/>
      </c>
      <c r="F175" s="32">
        <f>IF($A175="","",IFERROR(VLOOKUP($A175,开奖记录!$A:$L,9,FALSE),""))</f>
        <v/>
      </c>
      <c r="G175" s="32">
        <f>IF($A175="","",IFERROR(VLOOKUP($A175,开奖记录!$A:$L,11,FALSE),""))</f>
        <v/>
      </c>
      <c r="H175" s="32">
        <f>IF(A175="","",IF(B175="","缺上期数据",IF(G175="","待开奖",IF(ISNUMBER(SEARCH(G175,E175)),"命中","未命中"))))</f>
        <v/>
      </c>
      <c r="I175" s="32">
        <f>IF(B175="","",TEXT(B175,"00")&amp;"+5="&amp;E175)</f>
        <v/>
      </c>
    </row>
    <row r="176" ht="23" customHeight="1" s="21">
      <c r="A176" s="32">
        <f>IFERROR(LARGE(开奖记录!$A$2:$A$400,175),"")</f>
        <v/>
      </c>
      <c r="B176" s="32">
        <f>IF($A176="","",IFERROR(VLOOKUP($A176-1,开奖记录!$A:$L,3,FALSE),""))</f>
        <v/>
      </c>
      <c r="C176" s="32">
        <f>IF(B176="","",MOD(B176+4,49)+1)</f>
        <v/>
      </c>
      <c r="D176" s="32">
        <f>IF(C176="","",IFERROR(VLOOKUP(C176,规律参数!$A:$C,2,FALSE),""))</f>
        <v/>
      </c>
      <c r="E176" s="36">
        <f>IF(C176="","",IFERROR(VLOOKUP(C176,规律参数!$A:$C,3,FALSE),""))</f>
        <v/>
      </c>
      <c r="F176" s="32">
        <f>IF($A176="","",IFERROR(VLOOKUP($A176,开奖记录!$A:$L,9,FALSE),""))</f>
        <v/>
      </c>
      <c r="G176" s="32">
        <f>IF($A176="","",IFERROR(VLOOKUP($A176,开奖记录!$A:$L,11,FALSE),""))</f>
        <v/>
      </c>
      <c r="H176" s="32">
        <f>IF(A176="","",IF(B176="","缺上期数据",IF(G176="","待开奖",IF(ISNUMBER(SEARCH(G176,E176)),"命中","未命中"))))</f>
        <v/>
      </c>
      <c r="I176" s="32">
        <f>IF(B176="","",TEXT(B176,"00")&amp;"+5="&amp;E176)</f>
        <v/>
      </c>
    </row>
    <row r="177" ht="23" customHeight="1" s="21">
      <c r="A177" s="32">
        <f>IFERROR(LARGE(开奖记录!$A$2:$A$400,176),"")</f>
        <v/>
      </c>
      <c r="B177" s="32">
        <f>IF($A177="","",IFERROR(VLOOKUP($A177-1,开奖记录!$A:$L,3,FALSE),""))</f>
        <v/>
      </c>
      <c r="C177" s="32">
        <f>IF(B177="","",MOD(B177+4,49)+1)</f>
        <v/>
      </c>
      <c r="D177" s="32">
        <f>IF(C177="","",IFERROR(VLOOKUP(C177,规律参数!$A:$C,2,FALSE),""))</f>
        <v/>
      </c>
      <c r="E177" s="36">
        <f>IF(C177="","",IFERROR(VLOOKUP(C177,规律参数!$A:$C,3,FALSE),""))</f>
        <v/>
      </c>
      <c r="F177" s="32">
        <f>IF($A177="","",IFERROR(VLOOKUP($A177,开奖记录!$A:$L,9,FALSE),""))</f>
        <v/>
      </c>
      <c r="G177" s="32">
        <f>IF($A177="","",IFERROR(VLOOKUP($A177,开奖记录!$A:$L,11,FALSE),""))</f>
        <v/>
      </c>
      <c r="H177" s="32">
        <f>IF(A177="","",IF(B177="","缺上期数据",IF(G177="","待开奖",IF(ISNUMBER(SEARCH(G177,E177)),"命中","未命中"))))</f>
        <v/>
      </c>
      <c r="I177" s="32">
        <f>IF(B177="","",TEXT(B177,"00")&amp;"+5="&amp;E177)</f>
        <v/>
      </c>
    </row>
    <row r="178" ht="23" customHeight="1" s="21">
      <c r="A178" s="32">
        <f>IFERROR(LARGE(开奖记录!$A$2:$A$400,177),"")</f>
        <v/>
      </c>
      <c r="B178" s="32">
        <f>IF($A178="","",IFERROR(VLOOKUP($A178-1,开奖记录!$A:$L,3,FALSE),""))</f>
        <v/>
      </c>
      <c r="C178" s="32">
        <f>IF(B178="","",MOD(B178+4,49)+1)</f>
        <v/>
      </c>
      <c r="D178" s="32">
        <f>IF(C178="","",IFERROR(VLOOKUP(C178,规律参数!$A:$C,2,FALSE),""))</f>
        <v/>
      </c>
      <c r="E178" s="36">
        <f>IF(C178="","",IFERROR(VLOOKUP(C178,规律参数!$A:$C,3,FALSE),""))</f>
        <v/>
      </c>
      <c r="F178" s="32">
        <f>IF($A178="","",IFERROR(VLOOKUP($A178,开奖记录!$A:$L,9,FALSE),""))</f>
        <v/>
      </c>
      <c r="G178" s="32">
        <f>IF($A178="","",IFERROR(VLOOKUP($A178,开奖记录!$A:$L,11,FALSE),""))</f>
        <v/>
      </c>
      <c r="H178" s="32">
        <f>IF(A178="","",IF(B178="","缺上期数据",IF(G178="","待开奖",IF(ISNUMBER(SEARCH(G178,E178)),"命中","未命中"))))</f>
        <v/>
      </c>
      <c r="I178" s="32">
        <f>IF(B178="","",TEXT(B178,"00")&amp;"+5="&amp;E178)</f>
        <v/>
      </c>
    </row>
    <row r="179" ht="23" customHeight="1" s="21">
      <c r="A179" s="32">
        <f>IFERROR(LARGE(开奖记录!$A$2:$A$400,178),"")</f>
        <v/>
      </c>
      <c r="B179" s="32">
        <f>IF($A179="","",IFERROR(VLOOKUP($A179-1,开奖记录!$A:$L,3,FALSE),""))</f>
        <v/>
      </c>
      <c r="C179" s="32">
        <f>IF(B179="","",MOD(B179+4,49)+1)</f>
        <v/>
      </c>
      <c r="D179" s="32">
        <f>IF(C179="","",IFERROR(VLOOKUP(C179,规律参数!$A:$C,2,FALSE),""))</f>
        <v/>
      </c>
      <c r="E179" s="36">
        <f>IF(C179="","",IFERROR(VLOOKUP(C179,规律参数!$A:$C,3,FALSE),""))</f>
        <v/>
      </c>
      <c r="F179" s="32">
        <f>IF($A179="","",IFERROR(VLOOKUP($A179,开奖记录!$A:$L,9,FALSE),""))</f>
        <v/>
      </c>
      <c r="G179" s="32">
        <f>IF($A179="","",IFERROR(VLOOKUP($A179,开奖记录!$A:$L,11,FALSE),""))</f>
        <v/>
      </c>
      <c r="H179" s="32">
        <f>IF(A179="","",IF(B179="","缺上期数据",IF(G179="","待开奖",IF(ISNUMBER(SEARCH(G179,E179)),"命中","未命中"))))</f>
        <v/>
      </c>
      <c r="I179" s="32">
        <f>IF(B179="","",TEXT(B179,"00")&amp;"+5="&amp;E179)</f>
        <v/>
      </c>
    </row>
    <row r="180" ht="23" customHeight="1" s="21">
      <c r="A180" s="32">
        <f>IFERROR(LARGE(开奖记录!$A$2:$A$400,179),"")</f>
        <v/>
      </c>
      <c r="B180" s="32">
        <f>IF($A180="","",IFERROR(VLOOKUP($A180-1,开奖记录!$A:$L,3,FALSE),""))</f>
        <v/>
      </c>
      <c r="C180" s="32">
        <f>IF(B180="","",MOD(B180+4,49)+1)</f>
        <v/>
      </c>
      <c r="D180" s="32">
        <f>IF(C180="","",IFERROR(VLOOKUP(C180,规律参数!$A:$C,2,FALSE),""))</f>
        <v/>
      </c>
      <c r="E180" s="36">
        <f>IF(C180="","",IFERROR(VLOOKUP(C180,规律参数!$A:$C,3,FALSE),""))</f>
        <v/>
      </c>
      <c r="F180" s="32">
        <f>IF($A180="","",IFERROR(VLOOKUP($A180,开奖记录!$A:$L,9,FALSE),""))</f>
        <v/>
      </c>
      <c r="G180" s="32">
        <f>IF($A180="","",IFERROR(VLOOKUP($A180,开奖记录!$A:$L,11,FALSE),""))</f>
        <v/>
      </c>
      <c r="H180" s="32">
        <f>IF(A180="","",IF(B180="","缺上期数据",IF(G180="","待开奖",IF(ISNUMBER(SEARCH(G180,E180)),"命中","未命中"))))</f>
        <v/>
      </c>
      <c r="I180" s="32">
        <f>IF(B180="","",TEXT(B180,"00")&amp;"+5="&amp;E180)</f>
        <v/>
      </c>
    </row>
    <row r="181" ht="23" customHeight="1" s="21">
      <c r="A181" s="32">
        <f>IFERROR(LARGE(开奖记录!$A$2:$A$400,180),"")</f>
        <v/>
      </c>
      <c r="B181" s="32">
        <f>IF($A181="","",IFERROR(VLOOKUP($A181-1,开奖记录!$A:$L,3,FALSE),""))</f>
        <v/>
      </c>
      <c r="C181" s="32">
        <f>IF(B181="","",MOD(B181+4,49)+1)</f>
        <v/>
      </c>
      <c r="D181" s="32">
        <f>IF(C181="","",IFERROR(VLOOKUP(C181,规律参数!$A:$C,2,FALSE),""))</f>
        <v/>
      </c>
      <c r="E181" s="36">
        <f>IF(C181="","",IFERROR(VLOOKUP(C181,规律参数!$A:$C,3,FALSE),""))</f>
        <v/>
      </c>
      <c r="F181" s="32">
        <f>IF($A181="","",IFERROR(VLOOKUP($A181,开奖记录!$A:$L,9,FALSE),""))</f>
        <v/>
      </c>
      <c r="G181" s="32">
        <f>IF($A181="","",IFERROR(VLOOKUP($A181,开奖记录!$A:$L,11,FALSE),""))</f>
        <v/>
      </c>
      <c r="H181" s="32">
        <f>IF(A181="","",IF(B181="","缺上期数据",IF(G181="","待开奖",IF(ISNUMBER(SEARCH(G181,E181)),"命中","未命中"))))</f>
        <v/>
      </c>
      <c r="I181" s="32">
        <f>IF(B181="","",TEXT(B181,"00")&amp;"+5="&amp;E181)</f>
        <v/>
      </c>
    </row>
    <row r="182" ht="23" customHeight="1" s="21">
      <c r="A182" s="32">
        <f>IFERROR(LARGE(开奖记录!$A$2:$A$400,181),"")</f>
        <v/>
      </c>
      <c r="B182" s="32">
        <f>IF($A182="","",IFERROR(VLOOKUP($A182-1,开奖记录!$A:$L,3,FALSE),""))</f>
        <v/>
      </c>
      <c r="C182" s="32">
        <f>IF(B182="","",MOD(B182+4,49)+1)</f>
        <v/>
      </c>
      <c r="D182" s="32">
        <f>IF(C182="","",IFERROR(VLOOKUP(C182,规律参数!$A:$C,2,FALSE),""))</f>
        <v/>
      </c>
      <c r="E182" s="36">
        <f>IF(C182="","",IFERROR(VLOOKUP(C182,规律参数!$A:$C,3,FALSE),""))</f>
        <v/>
      </c>
      <c r="F182" s="32">
        <f>IF($A182="","",IFERROR(VLOOKUP($A182,开奖记录!$A:$L,9,FALSE),""))</f>
        <v/>
      </c>
      <c r="G182" s="32">
        <f>IF($A182="","",IFERROR(VLOOKUP($A182,开奖记录!$A:$L,11,FALSE),""))</f>
        <v/>
      </c>
      <c r="H182" s="32">
        <f>IF(A182="","",IF(B182="","缺上期数据",IF(G182="","待开奖",IF(ISNUMBER(SEARCH(G182,E182)),"命中","未命中"))))</f>
        <v/>
      </c>
      <c r="I182" s="32">
        <f>IF(B182="","",TEXT(B182,"00")&amp;"+5="&amp;E182)</f>
        <v/>
      </c>
    </row>
    <row r="183" ht="23" customHeight="1" s="21">
      <c r="A183" s="32">
        <f>IFERROR(LARGE(开奖记录!$A$2:$A$400,182),"")</f>
        <v/>
      </c>
      <c r="B183" s="32">
        <f>IF($A183="","",IFERROR(VLOOKUP($A183-1,开奖记录!$A:$L,3,FALSE),""))</f>
        <v/>
      </c>
      <c r="C183" s="32">
        <f>IF(B183="","",MOD(B183+4,49)+1)</f>
        <v/>
      </c>
      <c r="D183" s="32">
        <f>IF(C183="","",IFERROR(VLOOKUP(C183,规律参数!$A:$C,2,FALSE),""))</f>
        <v/>
      </c>
      <c r="E183" s="36">
        <f>IF(C183="","",IFERROR(VLOOKUP(C183,规律参数!$A:$C,3,FALSE),""))</f>
        <v/>
      </c>
      <c r="F183" s="32">
        <f>IF($A183="","",IFERROR(VLOOKUP($A183,开奖记录!$A:$L,9,FALSE),""))</f>
        <v/>
      </c>
      <c r="G183" s="32">
        <f>IF($A183="","",IFERROR(VLOOKUP($A183,开奖记录!$A:$L,11,FALSE),""))</f>
        <v/>
      </c>
      <c r="H183" s="32">
        <f>IF(A183="","",IF(B183="","缺上期数据",IF(G183="","待开奖",IF(ISNUMBER(SEARCH(G183,E183)),"命中","未命中"))))</f>
        <v/>
      </c>
      <c r="I183" s="32">
        <f>IF(B183="","",TEXT(B183,"00")&amp;"+5="&amp;E183)</f>
        <v/>
      </c>
    </row>
    <row r="184" ht="23" customHeight="1" s="21">
      <c r="A184" s="32">
        <f>IFERROR(LARGE(开奖记录!$A$2:$A$400,183),"")</f>
        <v/>
      </c>
      <c r="B184" s="32">
        <f>IF($A184="","",IFERROR(VLOOKUP($A184-1,开奖记录!$A:$L,3,FALSE),""))</f>
        <v/>
      </c>
      <c r="C184" s="32">
        <f>IF(B184="","",MOD(B184+4,49)+1)</f>
        <v/>
      </c>
      <c r="D184" s="32">
        <f>IF(C184="","",IFERROR(VLOOKUP(C184,规律参数!$A:$C,2,FALSE),""))</f>
        <v/>
      </c>
      <c r="E184" s="36">
        <f>IF(C184="","",IFERROR(VLOOKUP(C184,规律参数!$A:$C,3,FALSE),""))</f>
        <v/>
      </c>
      <c r="F184" s="32">
        <f>IF($A184="","",IFERROR(VLOOKUP($A184,开奖记录!$A:$L,9,FALSE),""))</f>
        <v/>
      </c>
      <c r="G184" s="32">
        <f>IF($A184="","",IFERROR(VLOOKUP($A184,开奖记录!$A:$L,11,FALSE),""))</f>
        <v/>
      </c>
      <c r="H184" s="32">
        <f>IF(A184="","",IF(B184="","缺上期数据",IF(G184="","待开奖",IF(ISNUMBER(SEARCH(G184,E184)),"命中","未命中"))))</f>
        <v/>
      </c>
      <c r="I184" s="32">
        <f>IF(B184="","",TEXT(B184,"00")&amp;"+5="&amp;E184)</f>
        <v/>
      </c>
    </row>
    <row r="185" ht="23" customHeight="1" s="21">
      <c r="A185" s="32">
        <f>IFERROR(LARGE(开奖记录!$A$2:$A$400,184),"")</f>
        <v/>
      </c>
      <c r="B185" s="32">
        <f>IF($A185="","",IFERROR(VLOOKUP($A185-1,开奖记录!$A:$L,3,FALSE),""))</f>
        <v/>
      </c>
      <c r="C185" s="32">
        <f>IF(B185="","",MOD(B185+4,49)+1)</f>
        <v/>
      </c>
      <c r="D185" s="32">
        <f>IF(C185="","",IFERROR(VLOOKUP(C185,规律参数!$A:$C,2,FALSE),""))</f>
        <v/>
      </c>
      <c r="E185" s="36">
        <f>IF(C185="","",IFERROR(VLOOKUP(C185,规律参数!$A:$C,3,FALSE),""))</f>
        <v/>
      </c>
      <c r="F185" s="32">
        <f>IF($A185="","",IFERROR(VLOOKUP($A185,开奖记录!$A:$L,9,FALSE),""))</f>
        <v/>
      </c>
      <c r="G185" s="32">
        <f>IF($A185="","",IFERROR(VLOOKUP($A185,开奖记录!$A:$L,11,FALSE),""))</f>
        <v/>
      </c>
      <c r="H185" s="32">
        <f>IF(A185="","",IF(B185="","缺上期数据",IF(G185="","待开奖",IF(ISNUMBER(SEARCH(G185,E185)),"命中","未命中"))))</f>
        <v/>
      </c>
      <c r="I185" s="32">
        <f>IF(B185="","",TEXT(B185,"00")&amp;"+5="&amp;E185)</f>
        <v/>
      </c>
    </row>
    <row r="186" ht="23" customHeight="1" s="21">
      <c r="A186" s="32">
        <f>IFERROR(LARGE(开奖记录!$A$2:$A$400,185),"")</f>
        <v/>
      </c>
      <c r="B186" s="32">
        <f>IF($A186="","",IFERROR(VLOOKUP($A186-1,开奖记录!$A:$L,3,FALSE),""))</f>
        <v/>
      </c>
      <c r="C186" s="32">
        <f>IF(B186="","",MOD(B186+4,49)+1)</f>
        <v/>
      </c>
      <c r="D186" s="32">
        <f>IF(C186="","",IFERROR(VLOOKUP(C186,规律参数!$A:$C,2,FALSE),""))</f>
        <v/>
      </c>
      <c r="E186" s="36">
        <f>IF(C186="","",IFERROR(VLOOKUP(C186,规律参数!$A:$C,3,FALSE),""))</f>
        <v/>
      </c>
      <c r="F186" s="32">
        <f>IF($A186="","",IFERROR(VLOOKUP($A186,开奖记录!$A:$L,9,FALSE),""))</f>
        <v/>
      </c>
      <c r="G186" s="32">
        <f>IF($A186="","",IFERROR(VLOOKUP($A186,开奖记录!$A:$L,11,FALSE),""))</f>
        <v/>
      </c>
      <c r="H186" s="32">
        <f>IF(A186="","",IF(B186="","缺上期数据",IF(G186="","待开奖",IF(ISNUMBER(SEARCH(G186,E186)),"命中","未命中"))))</f>
        <v/>
      </c>
      <c r="I186" s="32">
        <f>IF(B186="","",TEXT(B186,"00")&amp;"+5="&amp;E186)</f>
        <v/>
      </c>
    </row>
    <row r="187" ht="23" customHeight="1" s="21">
      <c r="A187" s="32">
        <f>IFERROR(LARGE(开奖记录!$A$2:$A$400,186),"")</f>
        <v/>
      </c>
      <c r="B187" s="32">
        <f>IF($A187="","",IFERROR(VLOOKUP($A187-1,开奖记录!$A:$L,3,FALSE),""))</f>
        <v/>
      </c>
      <c r="C187" s="32">
        <f>IF(B187="","",MOD(B187+4,49)+1)</f>
        <v/>
      </c>
      <c r="D187" s="32">
        <f>IF(C187="","",IFERROR(VLOOKUP(C187,规律参数!$A:$C,2,FALSE),""))</f>
        <v/>
      </c>
      <c r="E187" s="36">
        <f>IF(C187="","",IFERROR(VLOOKUP(C187,规律参数!$A:$C,3,FALSE),""))</f>
        <v/>
      </c>
      <c r="F187" s="32">
        <f>IF($A187="","",IFERROR(VLOOKUP($A187,开奖记录!$A:$L,9,FALSE),""))</f>
        <v/>
      </c>
      <c r="G187" s="32">
        <f>IF($A187="","",IFERROR(VLOOKUP($A187,开奖记录!$A:$L,11,FALSE),""))</f>
        <v/>
      </c>
      <c r="H187" s="32">
        <f>IF(A187="","",IF(B187="","缺上期数据",IF(G187="","待开奖",IF(ISNUMBER(SEARCH(G187,E187)),"命中","未命中"))))</f>
        <v/>
      </c>
      <c r="I187" s="32">
        <f>IF(B187="","",TEXT(B187,"00")&amp;"+5="&amp;E187)</f>
        <v/>
      </c>
    </row>
    <row r="188" ht="23" customHeight="1" s="21">
      <c r="A188" s="32">
        <f>IFERROR(LARGE(开奖记录!$A$2:$A$400,187),"")</f>
        <v/>
      </c>
      <c r="B188" s="32">
        <f>IF($A188="","",IFERROR(VLOOKUP($A188-1,开奖记录!$A:$L,3,FALSE),""))</f>
        <v/>
      </c>
      <c r="C188" s="32">
        <f>IF(B188="","",MOD(B188+4,49)+1)</f>
        <v/>
      </c>
      <c r="D188" s="32">
        <f>IF(C188="","",IFERROR(VLOOKUP(C188,规律参数!$A:$C,2,FALSE),""))</f>
        <v/>
      </c>
      <c r="E188" s="36">
        <f>IF(C188="","",IFERROR(VLOOKUP(C188,规律参数!$A:$C,3,FALSE),""))</f>
        <v/>
      </c>
      <c r="F188" s="32">
        <f>IF($A188="","",IFERROR(VLOOKUP($A188,开奖记录!$A:$L,9,FALSE),""))</f>
        <v/>
      </c>
      <c r="G188" s="32">
        <f>IF($A188="","",IFERROR(VLOOKUP($A188,开奖记录!$A:$L,11,FALSE),""))</f>
        <v/>
      </c>
      <c r="H188" s="32">
        <f>IF(A188="","",IF(B188="","缺上期数据",IF(G188="","待开奖",IF(ISNUMBER(SEARCH(G188,E188)),"命中","未命中"))))</f>
        <v/>
      </c>
      <c r="I188" s="32">
        <f>IF(B188="","",TEXT(B188,"00")&amp;"+5="&amp;E188)</f>
        <v/>
      </c>
    </row>
    <row r="189" ht="23" customHeight="1" s="21">
      <c r="A189" s="32">
        <f>IFERROR(LARGE(开奖记录!$A$2:$A$400,188),"")</f>
        <v/>
      </c>
      <c r="B189" s="32">
        <f>IF($A189="","",IFERROR(VLOOKUP($A189-1,开奖记录!$A:$L,3,FALSE),""))</f>
        <v/>
      </c>
      <c r="C189" s="32">
        <f>IF(B189="","",MOD(B189+4,49)+1)</f>
        <v/>
      </c>
      <c r="D189" s="32">
        <f>IF(C189="","",IFERROR(VLOOKUP(C189,规律参数!$A:$C,2,FALSE),""))</f>
        <v/>
      </c>
      <c r="E189" s="36">
        <f>IF(C189="","",IFERROR(VLOOKUP(C189,规律参数!$A:$C,3,FALSE),""))</f>
        <v/>
      </c>
      <c r="F189" s="32">
        <f>IF($A189="","",IFERROR(VLOOKUP($A189,开奖记录!$A:$L,9,FALSE),""))</f>
        <v/>
      </c>
      <c r="G189" s="32">
        <f>IF($A189="","",IFERROR(VLOOKUP($A189,开奖记录!$A:$L,11,FALSE),""))</f>
        <v/>
      </c>
      <c r="H189" s="32">
        <f>IF(A189="","",IF(B189="","缺上期数据",IF(G189="","待开奖",IF(ISNUMBER(SEARCH(G189,E189)),"命中","未命中"))))</f>
        <v/>
      </c>
      <c r="I189" s="32">
        <f>IF(B189="","",TEXT(B189,"00")&amp;"+5="&amp;E189)</f>
        <v/>
      </c>
    </row>
    <row r="190" ht="23" customHeight="1" s="21">
      <c r="A190" s="32">
        <f>IFERROR(LARGE(开奖记录!$A$2:$A$400,189),"")</f>
        <v/>
      </c>
      <c r="B190" s="32">
        <f>IF($A190="","",IFERROR(VLOOKUP($A190-1,开奖记录!$A:$L,3,FALSE),""))</f>
        <v/>
      </c>
      <c r="C190" s="32">
        <f>IF(B190="","",MOD(B190+4,49)+1)</f>
        <v/>
      </c>
      <c r="D190" s="32">
        <f>IF(C190="","",IFERROR(VLOOKUP(C190,规律参数!$A:$C,2,FALSE),""))</f>
        <v/>
      </c>
      <c r="E190" s="36">
        <f>IF(C190="","",IFERROR(VLOOKUP(C190,规律参数!$A:$C,3,FALSE),""))</f>
        <v/>
      </c>
      <c r="F190" s="32">
        <f>IF($A190="","",IFERROR(VLOOKUP($A190,开奖记录!$A:$L,9,FALSE),""))</f>
        <v/>
      </c>
      <c r="G190" s="32">
        <f>IF($A190="","",IFERROR(VLOOKUP($A190,开奖记录!$A:$L,11,FALSE),""))</f>
        <v/>
      </c>
      <c r="H190" s="32">
        <f>IF(A190="","",IF(B190="","缺上期数据",IF(G190="","待开奖",IF(ISNUMBER(SEARCH(G190,E190)),"命中","未命中"))))</f>
        <v/>
      </c>
      <c r="I190" s="32">
        <f>IF(B190="","",TEXT(B190,"00")&amp;"+5="&amp;E190)</f>
        <v/>
      </c>
    </row>
    <row r="191" ht="23" customHeight="1" s="21">
      <c r="A191" s="32">
        <f>IFERROR(LARGE(开奖记录!$A$2:$A$400,190),"")</f>
        <v/>
      </c>
      <c r="B191" s="32">
        <f>IF($A191="","",IFERROR(VLOOKUP($A191-1,开奖记录!$A:$L,3,FALSE),""))</f>
        <v/>
      </c>
      <c r="C191" s="32">
        <f>IF(B191="","",MOD(B191+4,49)+1)</f>
        <v/>
      </c>
      <c r="D191" s="32">
        <f>IF(C191="","",IFERROR(VLOOKUP(C191,规律参数!$A:$C,2,FALSE),""))</f>
        <v/>
      </c>
      <c r="E191" s="36">
        <f>IF(C191="","",IFERROR(VLOOKUP(C191,规律参数!$A:$C,3,FALSE),""))</f>
        <v/>
      </c>
      <c r="F191" s="32">
        <f>IF($A191="","",IFERROR(VLOOKUP($A191,开奖记录!$A:$L,9,FALSE),""))</f>
        <v/>
      </c>
      <c r="G191" s="32">
        <f>IF($A191="","",IFERROR(VLOOKUP($A191,开奖记录!$A:$L,11,FALSE),""))</f>
        <v/>
      </c>
      <c r="H191" s="32">
        <f>IF(A191="","",IF(B191="","缺上期数据",IF(G191="","待开奖",IF(ISNUMBER(SEARCH(G191,E191)),"命中","未命中"))))</f>
        <v/>
      </c>
      <c r="I191" s="32">
        <f>IF(B191="","",TEXT(B191,"00")&amp;"+5="&amp;E191)</f>
        <v/>
      </c>
    </row>
    <row r="192" ht="23" customHeight="1" s="21">
      <c r="A192" s="32">
        <f>IFERROR(LARGE(开奖记录!$A$2:$A$400,191),"")</f>
        <v/>
      </c>
      <c r="B192" s="32">
        <f>IF($A192="","",IFERROR(VLOOKUP($A192-1,开奖记录!$A:$L,3,FALSE),""))</f>
        <v/>
      </c>
      <c r="C192" s="32">
        <f>IF(B192="","",MOD(B192+4,49)+1)</f>
        <v/>
      </c>
      <c r="D192" s="32">
        <f>IF(C192="","",IFERROR(VLOOKUP(C192,规律参数!$A:$C,2,FALSE),""))</f>
        <v/>
      </c>
      <c r="E192" s="36">
        <f>IF(C192="","",IFERROR(VLOOKUP(C192,规律参数!$A:$C,3,FALSE),""))</f>
        <v/>
      </c>
      <c r="F192" s="32">
        <f>IF($A192="","",IFERROR(VLOOKUP($A192,开奖记录!$A:$L,9,FALSE),""))</f>
        <v/>
      </c>
      <c r="G192" s="32">
        <f>IF($A192="","",IFERROR(VLOOKUP($A192,开奖记录!$A:$L,11,FALSE),""))</f>
        <v/>
      </c>
      <c r="H192" s="32">
        <f>IF(A192="","",IF(B192="","缺上期数据",IF(G192="","待开奖",IF(ISNUMBER(SEARCH(G192,E192)),"命中","未命中"))))</f>
        <v/>
      </c>
      <c r="I192" s="32">
        <f>IF(B192="","",TEXT(B192,"00")&amp;"+5="&amp;E192)</f>
        <v/>
      </c>
    </row>
    <row r="193" ht="23" customHeight="1" s="21">
      <c r="A193" s="32">
        <f>IFERROR(LARGE(开奖记录!$A$2:$A$400,192),"")</f>
        <v/>
      </c>
      <c r="B193" s="32">
        <f>IF($A193="","",IFERROR(VLOOKUP($A193-1,开奖记录!$A:$L,3,FALSE),""))</f>
        <v/>
      </c>
      <c r="C193" s="32">
        <f>IF(B193="","",MOD(B193+4,49)+1)</f>
        <v/>
      </c>
      <c r="D193" s="32">
        <f>IF(C193="","",IFERROR(VLOOKUP(C193,规律参数!$A:$C,2,FALSE),""))</f>
        <v/>
      </c>
      <c r="E193" s="36">
        <f>IF(C193="","",IFERROR(VLOOKUP(C193,规律参数!$A:$C,3,FALSE),""))</f>
        <v/>
      </c>
      <c r="F193" s="32">
        <f>IF($A193="","",IFERROR(VLOOKUP($A193,开奖记录!$A:$L,9,FALSE),""))</f>
        <v/>
      </c>
      <c r="G193" s="32">
        <f>IF($A193="","",IFERROR(VLOOKUP($A193,开奖记录!$A:$L,11,FALSE),""))</f>
        <v/>
      </c>
      <c r="H193" s="32">
        <f>IF(A193="","",IF(B193="","缺上期数据",IF(G193="","待开奖",IF(ISNUMBER(SEARCH(G193,E193)),"命中","未命中"))))</f>
        <v/>
      </c>
      <c r="I193" s="32">
        <f>IF(B193="","",TEXT(B193,"00")&amp;"+5="&amp;E193)</f>
        <v/>
      </c>
    </row>
    <row r="194" ht="23" customHeight="1" s="21">
      <c r="A194" s="32">
        <f>IFERROR(LARGE(开奖记录!$A$2:$A$400,193),"")</f>
        <v/>
      </c>
      <c r="B194" s="32">
        <f>IF($A194="","",IFERROR(VLOOKUP($A194-1,开奖记录!$A:$L,3,FALSE),""))</f>
        <v/>
      </c>
      <c r="C194" s="32">
        <f>IF(B194="","",MOD(B194+4,49)+1)</f>
        <v/>
      </c>
      <c r="D194" s="32">
        <f>IF(C194="","",IFERROR(VLOOKUP(C194,规律参数!$A:$C,2,FALSE),""))</f>
        <v/>
      </c>
      <c r="E194" s="36">
        <f>IF(C194="","",IFERROR(VLOOKUP(C194,规律参数!$A:$C,3,FALSE),""))</f>
        <v/>
      </c>
      <c r="F194" s="32">
        <f>IF($A194="","",IFERROR(VLOOKUP($A194,开奖记录!$A:$L,9,FALSE),""))</f>
        <v/>
      </c>
      <c r="G194" s="32">
        <f>IF($A194="","",IFERROR(VLOOKUP($A194,开奖记录!$A:$L,11,FALSE),""))</f>
        <v/>
      </c>
      <c r="H194" s="32">
        <f>IF(A194="","",IF(B194="","缺上期数据",IF(G194="","待开奖",IF(ISNUMBER(SEARCH(G194,E194)),"命中","未命中"))))</f>
        <v/>
      </c>
      <c r="I194" s="32">
        <f>IF(B194="","",TEXT(B194,"00")&amp;"+5="&amp;E194)</f>
        <v/>
      </c>
    </row>
    <row r="195" ht="23" customHeight="1" s="21">
      <c r="A195" s="32">
        <f>IFERROR(LARGE(开奖记录!$A$2:$A$400,194),"")</f>
        <v/>
      </c>
      <c r="B195" s="32">
        <f>IF($A195="","",IFERROR(VLOOKUP($A195-1,开奖记录!$A:$L,3,FALSE),""))</f>
        <v/>
      </c>
      <c r="C195" s="32">
        <f>IF(B195="","",MOD(B195+4,49)+1)</f>
        <v/>
      </c>
      <c r="D195" s="32">
        <f>IF(C195="","",IFERROR(VLOOKUP(C195,规律参数!$A:$C,2,FALSE),""))</f>
        <v/>
      </c>
      <c r="E195" s="36">
        <f>IF(C195="","",IFERROR(VLOOKUP(C195,规律参数!$A:$C,3,FALSE),""))</f>
        <v/>
      </c>
      <c r="F195" s="32">
        <f>IF($A195="","",IFERROR(VLOOKUP($A195,开奖记录!$A:$L,9,FALSE),""))</f>
        <v/>
      </c>
      <c r="G195" s="32">
        <f>IF($A195="","",IFERROR(VLOOKUP($A195,开奖记录!$A:$L,11,FALSE),""))</f>
        <v/>
      </c>
      <c r="H195" s="32">
        <f>IF(A195="","",IF(B195="","缺上期数据",IF(G195="","待开奖",IF(ISNUMBER(SEARCH(G195,E195)),"命中","未命中"))))</f>
        <v/>
      </c>
      <c r="I195" s="32">
        <f>IF(B195="","",TEXT(B195,"00")&amp;"+5="&amp;E195)</f>
        <v/>
      </c>
    </row>
    <row r="196" ht="23" customHeight="1" s="21">
      <c r="A196" s="32">
        <f>IFERROR(LARGE(开奖记录!$A$2:$A$400,195),"")</f>
        <v/>
      </c>
      <c r="B196" s="32">
        <f>IF($A196="","",IFERROR(VLOOKUP($A196-1,开奖记录!$A:$L,3,FALSE),""))</f>
        <v/>
      </c>
      <c r="C196" s="32">
        <f>IF(B196="","",MOD(B196+4,49)+1)</f>
        <v/>
      </c>
      <c r="D196" s="32">
        <f>IF(C196="","",IFERROR(VLOOKUP(C196,规律参数!$A:$C,2,FALSE),""))</f>
        <v/>
      </c>
      <c r="E196" s="36">
        <f>IF(C196="","",IFERROR(VLOOKUP(C196,规律参数!$A:$C,3,FALSE),""))</f>
        <v/>
      </c>
      <c r="F196" s="32">
        <f>IF($A196="","",IFERROR(VLOOKUP($A196,开奖记录!$A:$L,9,FALSE),""))</f>
        <v/>
      </c>
      <c r="G196" s="32">
        <f>IF($A196="","",IFERROR(VLOOKUP($A196,开奖记录!$A:$L,11,FALSE),""))</f>
        <v/>
      </c>
      <c r="H196" s="32">
        <f>IF(A196="","",IF(B196="","缺上期数据",IF(G196="","待开奖",IF(ISNUMBER(SEARCH(G196,E196)),"命中","未命中"))))</f>
        <v/>
      </c>
      <c r="I196" s="32">
        <f>IF(B196="","",TEXT(B196,"00")&amp;"+5="&amp;E196)</f>
        <v/>
      </c>
    </row>
    <row r="197" ht="23" customHeight="1" s="21">
      <c r="A197" s="32">
        <f>IFERROR(LARGE(开奖记录!$A$2:$A$400,196),"")</f>
        <v/>
      </c>
      <c r="B197" s="32">
        <f>IF($A197="","",IFERROR(VLOOKUP($A197-1,开奖记录!$A:$L,3,FALSE),""))</f>
        <v/>
      </c>
      <c r="C197" s="32">
        <f>IF(B197="","",MOD(B197+4,49)+1)</f>
        <v/>
      </c>
      <c r="D197" s="32">
        <f>IF(C197="","",IFERROR(VLOOKUP(C197,规律参数!$A:$C,2,FALSE),""))</f>
        <v/>
      </c>
      <c r="E197" s="36">
        <f>IF(C197="","",IFERROR(VLOOKUP(C197,规律参数!$A:$C,3,FALSE),""))</f>
        <v/>
      </c>
      <c r="F197" s="32">
        <f>IF($A197="","",IFERROR(VLOOKUP($A197,开奖记录!$A:$L,9,FALSE),""))</f>
        <v/>
      </c>
      <c r="G197" s="32">
        <f>IF($A197="","",IFERROR(VLOOKUP($A197,开奖记录!$A:$L,11,FALSE),""))</f>
        <v/>
      </c>
      <c r="H197" s="32">
        <f>IF(A197="","",IF(B197="","缺上期数据",IF(G197="","待开奖",IF(ISNUMBER(SEARCH(G197,E197)),"命中","未命中"))))</f>
        <v/>
      </c>
      <c r="I197" s="32">
        <f>IF(B197="","",TEXT(B197,"00")&amp;"+5="&amp;E197)</f>
        <v/>
      </c>
    </row>
    <row r="198" ht="23" customHeight="1" s="21">
      <c r="A198" s="32">
        <f>IFERROR(LARGE(开奖记录!$A$2:$A$400,197),"")</f>
        <v/>
      </c>
      <c r="B198" s="32">
        <f>IF($A198="","",IFERROR(VLOOKUP($A198-1,开奖记录!$A:$L,3,FALSE),""))</f>
        <v/>
      </c>
      <c r="C198" s="32">
        <f>IF(B198="","",MOD(B198+4,49)+1)</f>
        <v/>
      </c>
      <c r="D198" s="32">
        <f>IF(C198="","",IFERROR(VLOOKUP(C198,规律参数!$A:$C,2,FALSE),""))</f>
        <v/>
      </c>
      <c r="E198" s="36">
        <f>IF(C198="","",IFERROR(VLOOKUP(C198,规律参数!$A:$C,3,FALSE),""))</f>
        <v/>
      </c>
      <c r="F198" s="32">
        <f>IF($A198="","",IFERROR(VLOOKUP($A198,开奖记录!$A:$L,9,FALSE),""))</f>
        <v/>
      </c>
      <c r="G198" s="32">
        <f>IF($A198="","",IFERROR(VLOOKUP($A198,开奖记录!$A:$L,11,FALSE),""))</f>
        <v/>
      </c>
      <c r="H198" s="32">
        <f>IF(A198="","",IF(B198="","缺上期数据",IF(G198="","待开奖",IF(ISNUMBER(SEARCH(G198,E198)),"命中","未命中"))))</f>
        <v/>
      </c>
      <c r="I198" s="32">
        <f>IF(B198="","",TEXT(B198,"00")&amp;"+5="&amp;E198)</f>
        <v/>
      </c>
    </row>
    <row r="199" ht="23" customHeight="1" s="21">
      <c r="A199" s="32">
        <f>IFERROR(LARGE(开奖记录!$A$2:$A$400,198),"")</f>
        <v/>
      </c>
      <c r="B199" s="32">
        <f>IF($A199="","",IFERROR(VLOOKUP($A199-1,开奖记录!$A:$L,3,FALSE),""))</f>
        <v/>
      </c>
      <c r="C199" s="32">
        <f>IF(B199="","",MOD(B199+4,49)+1)</f>
        <v/>
      </c>
      <c r="D199" s="32">
        <f>IF(C199="","",IFERROR(VLOOKUP(C199,规律参数!$A:$C,2,FALSE),""))</f>
        <v/>
      </c>
      <c r="E199" s="36">
        <f>IF(C199="","",IFERROR(VLOOKUP(C199,规律参数!$A:$C,3,FALSE),""))</f>
        <v/>
      </c>
      <c r="F199" s="32">
        <f>IF($A199="","",IFERROR(VLOOKUP($A199,开奖记录!$A:$L,9,FALSE),""))</f>
        <v/>
      </c>
      <c r="G199" s="32">
        <f>IF($A199="","",IFERROR(VLOOKUP($A199,开奖记录!$A:$L,11,FALSE),""))</f>
        <v/>
      </c>
      <c r="H199" s="32">
        <f>IF(A199="","",IF(B199="","缺上期数据",IF(G199="","待开奖",IF(ISNUMBER(SEARCH(G199,E199)),"命中","未命中"))))</f>
        <v/>
      </c>
      <c r="I199" s="32">
        <f>IF(B199="","",TEXT(B199,"00")&amp;"+5="&amp;E199)</f>
        <v/>
      </c>
    </row>
    <row r="200" ht="23" customHeight="1" s="21">
      <c r="A200" s="32">
        <f>IFERROR(LARGE(开奖记录!$A$2:$A$400,199),"")</f>
        <v/>
      </c>
      <c r="B200" s="32">
        <f>IF($A200="","",IFERROR(VLOOKUP($A200-1,开奖记录!$A:$L,3,FALSE),""))</f>
        <v/>
      </c>
      <c r="C200" s="32">
        <f>IF(B200="","",MOD(B200+4,49)+1)</f>
        <v/>
      </c>
      <c r="D200" s="32">
        <f>IF(C200="","",IFERROR(VLOOKUP(C200,规律参数!$A:$C,2,FALSE),""))</f>
        <v/>
      </c>
      <c r="E200" s="36">
        <f>IF(C200="","",IFERROR(VLOOKUP(C200,规律参数!$A:$C,3,FALSE),""))</f>
        <v/>
      </c>
      <c r="F200" s="32">
        <f>IF($A200="","",IFERROR(VLOOKUP($A200,开奖记录!$A:$L,9,FALSE),""))</f>
        <v/>
      </c>
      <c r="G200" s="32">
        <f>IF($A200="","",IFERROR(VLOOKUP($A200,开奖记录!$A:$L,11,FALSE),""))</f>
        <v/>
      </c>
      <c r="H200" s="32">
        <f>IF(A200="","",IF(B200="","缺上期数据",IF(G200="","待开奖",IF(ISNUMBER(SEARCH(G200,E200)),"命中","未命中"))))</f>
        <v/>
      </c>
      <c r="I200" s="32">
        <f>IF(B200="","",TEXT(B200,"00")&amp;"+5="&amp;E200)</f>
        <v/>
      </c>
    </row>
    <row r="201" ht="23" customHeight="1" s="21">
      <c r="A201" s="32">
        <f>IFERROR(LARGE(开奖记录!$A$2:$A$400,200),"")</f>
        <v/>
      </c>
      <c r="B201" s="32">
        <f>IF($A201="","",IFERROR(VLOOKUP($A201-1,开奖记录!$A:$L,3,FALSE),""))</f>
        <v/>
      </c>
      <c r="C201" s="32">
        <f>IF(B201="","",MOD(B201+4,49)+1)</f>
        <v/>
      </c>
      <c r="D201" s="32">
        <f>IF(C201="","",IFERROR(VLOOKUP(C201,规律参数!$A:$C,2,FALSE),""))</f>
        <v/>
      </c>
      <c r="E201" s="36">
        <f>IF(C201="","",IFERROR(VLOOKUP(C201,规律参数!$A:$C,3,FALSE),""))</f>
        <v/>
      </c>
      <c r="F201" s="32">
        <f>IF($A201="","",IFERROR(VLOOKUP($A201,开奖记录!$A:$L,9,FALSE),""))</f>
        <v/>
      </c>
      <c r="G201" s="32">
        <f>IF($A201="","",IFERROR(VLOOKUP($A201,开奖记录!$A:$L,11,FALSE),""))</f>
        <v/>
      </c>
      <c r="H201" s="32">
        <f>IF(A201="","",IF(B201="","缺上期数据",IF(G201="","待开奖",IF(ISNUMBER(SEARCH(G201,E201)),"命中","未命中"))))</f>
        <v/>
      </c>
      <c r="I201" s="32">
        <f>IF(B201="","",TEXT(B201,"00")&amp;"+5="&amp;E201)</f>
        <v/>
      </c>
    </row>
    <row r="202" ht="23" customHeight="1" s="21">
      <c r="A202" s="32">
        <f>IFERROR(LARGE(开奖记录!$A$2:$A$400,201),"")</f>
        <v/>
      </c>
      <c r="B202" s="32">
        <f>IF($A202="","",IFERROR(VLOOKUP($A202-1,开奖记录!$A:$L,3,FALSE),""))</f>
        <v/>
      </c>
      <c r="C202" s="32">
        <f>IF(B202="","",MOD(B202+4,49)+1)</f>
        <v/>
      </c>
      <c r="D202" s="32">
        <f>IF(C202="","",IFERROR(VLOOKUP(C202,规律参数!$A:$C,2,FALSE),""))</f>
        <v/>
      </c>
      <c r="E202" s="36">
        <f>IF(C202="","",IFERROR(VLOOKUP(C202,规律参数!$A:$C,3,FALSE),""))</f>
        <v/>
      </c>
      <c r="F202" s="32">
        <f>IF($A202="","",IFERROR(VLOOKUP($A202,开奖记录!$A:$L,9,FALSE),""))</f>
        <v/>
      </c>
      <c r="G202" s="32">
        <f>IF($A202="","",IFERROR(VLOOKUP($A202,开奖记录!$A:$L,11,FALSE),""))</f>
        <v/>
      </c>
      <c r="H202" s="32">
        <f>IF(A202="","",IF(B202="","缺上期数据",IF(G202="","待开奖",IF(ISNUMBER(SEARCH(G202,E202)),"命中","未命中"))))</f>
        <v/>
      </c>
      <c r="I202" s="32">
        <f>IF(B202="","",TEXT(B202,"00")&amp;"+5="&amp;E202)</f>
        <v/>
      </c>
    </row>
    <row r="203" ht="23" customHeight="1" s="21">
      <c r="A203" s="32">
        <f>IFERROR(LARGE(开奖记录!$A$2:$A$400,202),"")</f>
        <v/>
      </c>
      <c r="B203" s="32">
        <f>IF($A203="","",IFERROR(VLOOKUP($A203-1,开奖记录!$A:$L,3,FALSE),""))</f>
        <v/>
      </c>
      <c r="C203" s="32">
        <f>IF(B203="","",MOD(B203+4,49)+1)</f>
        <v/>
      </c>
      <c r="D203" s="32">
        <f>IF(C203="","",IFERROR(VLOOKUP(C203,规律参数!$A:$C,2,FALSE),""))</f>
        <v/>
      </c>
      <c r="E203" s="36">
        <f>IF(C203="","",IFERROR(VLOOKUP(C203,规律参数!$A:$C,3,FALSE),""))</f>
        <v/>
      </c>
      <c r="F203" s="32">
        <f>IF($A203="","",IFERROR(VLOOKUP($A203,开奖记录!$A:$L,9,FALSE),""))</f>
        <v/>
      </c>
      <c r="G203" s="32">
        <f>IF($A203="","",IFERROR(VLOOKUP($A203,开奖记录!$A:$L,11,FALSE),""))</f>
        <v/>
      </c>
      <c r="H203" s="32">
        <f>IF(A203="","",IF(B203="","缺上期数据",IF(G203="","待开奖",IF(ISNUMBER(SEARCH(G203,E203)),"命中","未命中"))))</f>
        <v/>
      </c>
      <c r="I203" s="32">
        <f>IF(B203="","",TEXT(B203,"00")&amp;"+5="&amp;E203)</f>
        <v/>
      </c>
    </row>
    <row r="204" ht="23" customHeight="1" s="21">
      <c r="A204" s="32">
        <f>IFERROR(LARGE(开奖记录!$A$2:$A$400,203),"")</f>
        <v/>
      </c>
      <c r="B204" s="32">
        <f>IF($A204="","",IFERROR(VLOOKUP($A204-1,开奖记录!$A:$L,3,FALSE),""))</f>
        <v/>
      </c>
      <c r="C204" s="32">
        <f>IF(B204="","",MOD(B204+4,49)+1)</f>
        <v/>
      </c>
      <c r="D204" s="32">
        <f>IF(C204="","",IFERROR(VLOOKUP(C204,规律参数!$A:$C,2,FALSE),""))</f>
        <v/>
      </c>
      <c r="E204" s="36">
        <f>IF(C204="","",IFERROR(VLOOKUP(C204,规律参数!$A:$C,3,FALSE),""))</f>
        <v/>
      </c>
      <c r="F204" s="32">
        <f>IF($A204="","",IFERROR(VLOOKUP($A204,开奖记录!$A:$L,9,FALSE),""))</f>
        <v/>
      </c>
      <c r="G204" s="32">
        <f>IF($A204="","",IFERROR(VLOOKUP($A204,开奖记录!$A:$L,11,FALSE),""))</f>
        <v/>
      </c>
      <c r="H204" s="32">
        <f>IF(A204="","",IF(B204="","缺上期数据",IF(G204="","待开奖",IF(ISNUMBER(SEARCH(G204,E204)),"命中","未命中"))))</f>
        <v/>
      </c>
      <c r="I204" s="32">
        <f>IF(B204="","",TEXT(B204,"00")&amp;"+5="&amp;E204)</f>
        <v/>
      </c>
    </row>
    <row r="205" ht="23" customHeight="1" s="21">
      <c r="A205" s="32">
        <f>IFERROR(LARGE(开奖记录!$A$2:$A$400,204),"")</f>
        <v/>
      </c>
      <c r="B205" s="32">
        <f>IF($A205="","",IFERROR(VLOOKUP($A205-1,开奖记录!$A:$L,3,FALSE),""))</f>
        <v/>
      </c>
      <c r="C205" s="32">
        <f>IF(B205="","",MOD(B205+4,49)+1)</f>
        <v/>
      </c>
      <c r="D205" s="32">
        <f>IF(C205="","",IFERROR(VLOOKUP(C205,规律参数!$A:$C,2,FALSE),""))</f>
        <v/>
      </c>
      <c r="E205" s="36">
        <f>IF(C205="","",IFERROR(VLOOKUP(C205,规律参数!$A:$C,3,FALSE),""))</f>
        <v/>
      </c>
      <c r="F205" s="32">
        <f>IF($A205="","",IFERROR(VLOOKUP($A205,开奖记录!$A:$L,9,FALSE),""))</f>
        <v/>
      </c>
      <c r="G205" s="32">
        <f>IF($A205="","",IFERROR(VLOOKUP($A205,开奖记录!$A:$L,11,FALSE),""))</f>
        <v/>
      </c>
      <c r="H205" s="32">
        <f>IF(A205="","",IF(B205="","缺上期数据",IF(G205="","待开奖",IF(ISNUMBER(SEARCH(G205,E205)),"命中","未命中"))))</f>
        <v/>
      </c>
      <c r="I205" s="32">
        <f>IF(B205="","",TEXT(B205,"00")&amp;"+5="&amp;E205)</f>
        <v/>
      </c>
    </row>
    <row r="206" ht="23" customHeight="1" s="21">
      <c r="A206" s="32">
        <f>IFERROR(LARGE(开奖记录!$A$2:$A$400,205),"")</f>
        <v/>
      </c>
      <c r="B206" s="32">
        <f>IF($A206="","",IFERROR(VLOOKUP($A206-1,开奖记录!$A:$L,3,FALSE),""))</f>
        <v/>
      </c>
      <c r="C206" s="32">
        <f>IF(B206="","",MOD(B206+4,49)+1)</f>
        <v/>
      </c>
      <c r="D206" s="32">
        <f>IF(C206="","",IFERROR(VLOOKUP(C206,规律参数!$A:$C,2,FALSE),""))</f>
        <v/>
      </c>
      <c r="E206" s="36">
        <f>IF(C206="","",IFERROR(VLOOKUP(C206,规律参数!$A:$C,3,FALSE),""))</f>
        <v/>
      </c>
      <c r="F206" s="32">
        <f>IF($A206="","",IFERROR(VLOOKUP($A206,开奖记录!$A:$L,9,FALSE),""))</f>
        <v/>
      </c>
      <c r="G206" s="32">
        <f>IF($A206="","",IFERROR(VLOOKUP($A206,开奖记录!$A:$L,11,FALSE),""))</f>
        <v/>
      </c>
      <c r="H206" s="32">
        <f>IF(A206="","",IF(B206="","缺上期数据",IF(G206="","待开奖",IF(ISNUMBER(SEARCH(G206,E206)),"命中","未命中"))))</f>
        <v/>
      </c>
      <c r="I206" s="32">
        <f>IF(B206="","",TEXT(B206,"00")&amp;"+5="&amp;E206)</f>
        <v/>
      </c>
    </row>
    <row r="207" ht="23" customHeight="1" s="21">
      <c r="A207" s="32">
        <f>IFERROR(LARGE(开奖记录!$A$2:$A$400,206),"")</f>
        <v/>
      </c>
      <c r="B207" s="32">
        <f>IF($A207="","",IFERROR(VLOOKUP($A207-1,开奖记录!$A:$L,3,FALSE),""))</f>
        <v/>
      </c>
      <c r="C207" s="32">
        <f>IF(B207="","",MOD(B207+4,49)+1)</f>
        <v/>
      </c>
      <c r="D207" s="32">
        <f>IF(C207="","",IFERROR(VLOOKUP(C207,规律参数!$A:$C,2,FALSE),""))</f>
        <v/>
      </c>
      <c r="E207" s="36">
        <f>IF(C207="","",IFERROR(VLOOKUP(C207,规律参数!$A:$C,3,FALSE),""))</f>
        <v/>
      </c>
      <c r="F207" s="32">
        <f>IF($A207="","",IFERROR(VLOOKUP($A207,开奖记录!$A:$L,9,FALSE),""))</f>
        <v/>
      </c>
      <c r="G207" s="32">
        <f>IF($A207="","",IFERROR(VLOOKUP($A207,开奖记录!$A:$L,11,FALSE),""))</f>
        <v/>
      </c>
      <c r="H207" s="32">
        <f>IF(A207="","",IF(B207="","缺上期数据",IF(G207="","待开奖",IF(ISNUMBER(SEARCH(G207,E207)),"命中","未命中"))))</f>
        <v/>
      </c>
      <c r="I207" s="32">
        <f>IF(B207="","",TEXT(B207,"00")&amp;"+5="&amp;E207)</f>
        <v/>
      </c>
    </row>
    <row r="208" ht="23" customHeight="1" s="21">
      <c r="A208" s="32">
        <f>IFERROR(LARGE(开奖记录!$A$2:$A$400,207),"")</f>
        <v/>
      </c>
      <c r="B208" s="32">
        <f>IF($A208="","",IFERROR(VLOOKUP($A208-1,开奖记录!$A:$L,3,FALSE),""))</f>
        <v/>
      </c>
      <c r="C208" s="32">
        <f>IF(B208="","",MOD(B208+4,49)+1)</f>
        <v/>
      </c>
      <c r="D208" s="32">
        <f>IF(C208="","",IFERROR(VLOOKUP(C208,规律参数!$A:$C,2,FALSE),""))</f>
        <v/>
      </c>
      <c r="E208" s="36">
        <f>IF(C208="","",IFERROR(VLOOKUP(C208,规律参数!$A:$C,3,FALSE),""))</f>
        <v/>
      </c>
      <c r="F208" s="32">
        <f>IF($A208="","",IFERROR(VLOOKUP($A208,开奖记录!$A:$L,9,FALSE),""))</f>
        <v/>
      </c>
      <c r="G208" s="32">
        <f>IF($A208="","",IFERROR(VLOOKUP($A208,开奖记录!$A:$L,11,FALSE),""))</f>
        <v/>
      </c>
      <c r="H208" s="32">
        <f>IF(A208="","",IF(B208="","缺上期数据",IF(G208="","待开奖",IF(ISNUMBER(SEARCH(G208,E208)),"命中","未命中"))))</f>
        <v/>
      </c>
      <c r="I208" s="32">
        <f>IF(B208="","",TEXT(B208,"00")&amp;"+5="&amp;E208)</f>
        <v/>
      </c>
    </row>
    <row r="209" ht="23" customHeight="1" s="21">
      <c r="A209" s="32">
        <f>IFERROR(LARGE(开奖记录!$A$2:$A$400,208),"")</f>
        <v/>
      </c>
      <c r="B209" s="32">
        <f>IF($A209="","",IFERROR(VLOOKUP($A209-1,开奖记录!$A:$L,3,FALSE),""))</f>
        <v/>
      </c>
      <c r="C209" s="32">
        <f>IF(B209="","",MOD(B209+4,49)+1)</f>
        <v/>
      </c>
      <c r="D209" s="32">
        <f>IF(C209="","",IFERROR(VLOOKUP(C209,规律参数!$A:$C,2,FALSE),""))</f>
        <v/>
      </c>
      <c r="E209" s="36">
        <f>IF(C209="","",IFERROR(VLOOKUP(C209,规律参数!$A:$C,3,FALSE),""))</f>
        <v/>
      </c>
      <c r="F209" s="32">
        <f>IF($A209="","",IFERROR(VLOOKUP($A209,开奖记录!$A:$L,9,FALSE),""))</f>
        <v/>
      </c>
      <c r="G209" s="32">
        <f>IF($A209="","",IFERROR(VLOOKUP($A209,开奖记录!$A:$L,11,FALSE),""))</f>
        <v/>
      </c>
      <c r="H209" s="32">
        <f>IF(A209="","",IF(B209="","缺上期数据",IF(G209="","待开奖",IF(ISNUMBER(SEARCH(G209,E209)),"命中","未命中"))))</f>
        <v/>
      </c>
      <c r="I209" s="32">
        <f>IF(B209="","",TEXT(B209,"00")&amp;"+5="&amp;E209)</f>
        <v/>
      </c>
    </row>
    <row r="210" ht="23" customHeight="1" s="21">
      <c r="A210" s="32">
        <f>IFERROR(LARGE(开奖记录!$A$2:$A$400,209),"")</f>
        <v/>
      </c>
      <c r="B210" s="32">
        <f>IF($A210="","",IFERROR(VLOOKUP($A210-1,开奖记录!$A:$L,3,FALSE),""))</f>
        <v/>
      </c>
      <c r="C210" s="32">
        <f>IF(B210="","",MOD(B210+4,49)+1)</f>
        <v/>
      </c>
      <c r="D210" s="32">
        <f>IF(C210="","",IFERROR(VLOOKUP(C210,规律参数!$A:$C,2,FALSE),""))</f>
        <v/>
      </c>
      <c r="E210" s="36">
        <f>IF(C210="","",IFERROR(VLOOKUP(C210,规律参数!$A:$C,3,FALSE),""))</f>
        <v/>
      </c>
      <c r="F210" s="32">
        <f>IF($A210="","",IFERROR(VLOOKUP($A210,开奖记录!$A:$L,9,FALSE),""))</f>
        <v/>
      </c>
      <c r="G210" s="32">
        <f>IF($A210="","",IFERROR(VLOOKUP($A210,开奖记录!$A:$L,11,FALSE),""))</f>
        <v/>
      </c>
      <c r="H210" s="32">
        <f>IF(A210="","",IF(B210="","缺上期数据",IF(G210="","待开奖",IF(ISNUMBER(SEARCH(G210,E210)),"命中","未命中"))))</f>
        <v/>
      </c>
      <c r="I210" s="32">
        <f>IF(B210="","",TEXT(B210,"00")&amp;"+5="&amp;E210)</f>
        <v/>
      </c>
    </row>
    <row r="211" ht="23" customHeight="1" s="21">
      <c r="A211" s="32">
        <f>IFERROR(LARGE(开奖记录!$A$2:$A$400,210),"")</f>
        <v/>
      </c>
      <c r="B211" s="32">
        <f>IF($A211="","",IFERROR(VLOOKUP($A211-1,开奖记录!$A:$L,3,FALSE),""))</f>
        <v/>
      </c>
      <c r="C211" s="32">
        <f>IF(B211="","",MOD(B211+4,49)+1)</f>
        <v/>
      </c>
      <c r="D211" s="32">
        <f>IF(C211="","",IFERROR(VLOOKUP(C211,规律参数!$A:$C,2,FALSE),""))</f>
        <v/>
      </c>
      <c r="E211" s="36">
        <f>IF(C211="","",IFERROR(VLOOKUP(C211,规律参数!$A:$C,3,FALSE),""))</f>
        <v/>
      </c>
      <c r="F211" s="32">
        <f>IF($A211="","",IFERROR(VLOOKUP($A211,开奖记录!$A:$L,9,FALSE),""))</f>
        <v/>
      </c>
      <c r="G211" s="32">
        <f>IF($A211="","",IFERROR(VLOOKUP($A211,开奖记录!$A:$L,11,FALSE),""))</f>
        <v/>
      </c>
      <c r="H211" s="32">
        <f>IF(A211="","",IF(B211="","缺上期数据",IF(G211="","待开奖",IF(ISNUMBER(SEARCH(G211,E211)),"命中","未命中"))))</f>
        <v/>
      </c>
      <c r="I211" s="32">
        <f>IF(B211="","",TEXT(B211,"00")&amp;"+5="&amp;E211)</f>
        <v/>
      </c>
    </row>
    <row r="212" ht="23" customHeight="1" s="21">
      <c r="A212" s="32">
        <f>IFERROR(LARGE(开奖记录!$A$2:$A$400,211),"")</f>
        <v/>
      </c>
      <c r="B212" s="32">
        <f>IF($A212="","",IFERROR(VLOOKUP($A212-1,开奖记录!$A:$L,3,FALSE),""))</f>
        <v/>
      </c>
      <c r="C212" s="32">
        <f>IF(B212="","",MOD(B212+4,49)+1)</f>
        <v/>
      </c>
      <c r="D212" s="32">
        <f>IF(C212="","",IFERROR(VLOOKUP(C212,规律参数!$A:$C,2,FALSE),""))</f>
        <v/>
      </c>
      <c r="E212" s="36">
        <f>IF(C212="","",IFERROR(VLOOKUP(C212,规律参数!$A:$C,3,FALSE),""))</f>
        <v/>
      </c>
      <c r="F212" s="32">
        <f>IF($A212="","",IFERROR(VLOOKUP($A212,开奖记录!$A:$L,9,FALSE),""))</f>
        <v/>
      </c>
      <c r="G212" s="32">
        <f>IF($A212="","",IFERROR(VLOOKUP($A212,开奖记录!$A:$L,11,FALSE),""))</f>
        <v/>
      </c>
      <c r="H212" s="32">
        <f>IF(A212="","",IF(B212="","缺上期数据",IF(G212="","待开奖",IF(ISNUMBER(SEARCH(G212,E212)),"命中","未命中"))))</f>
        <v/>
      </c>
      <c r="I212" s="32">
        <f>IF(B212="","",TEXT(B212,"00")&amp;"+5="&amp;E212)</f>
        <v/>
      </c>
    </row>
    <row r="213" ht="23" customHeight="1" s="21">
      <c r="A213" s="32">
        <f>IFERROR(LARGE(开奖记录!$A$2:$A$400,212),"")</f>
        <v/>
      </c>
      <c r="B213" s="32">
        <f>IF($A213="","",IFERROR(VLOOKUP($A213-1,开奖记录!$A:$L,3,FALSE),""))</f>
        <v/>
      </c>
      <c r="C213" s="32">
        <f>IF(B213="","",MOD(B213+4,49)+1)</f>
        <v/>
      </c>
      <c r="D213" s="32">
        <f>IF(C213="","",IFERROR(VLOOKUP(C213,规律参数!$A:$C,2,FALSE),""))</f>
        <v/>
      </c>
      <c r="E213" s="36">
        <f>IF(C213="","",IFERROR(VLOOKUP(C213,规律参数!$A:$C,3,FALSE),""))</f>
        <v/>
      </c>
      <c r="F213" s="32">
        <f>IF($A213="","",IFERROR(VLOOKUP($A213,开奖记录!$A:$L,9,FALSE),""))</f>
        <v/>
      </c>
      <c r="G213" s="32">
        <f>IF($A213="","",IFERROR(VLOOKUP($A213,开奖记录!$A:$L,11,FALSE),""))</f>
        <v/>
      </c>
      <c r="H213" s="32">
        <f>IF(A213="","",IF(B213="","缺上期数据",IF(G213="","待开奖",IF(ISNUMBER(SEARCH(G213,E213)),"命中","未命中"))))</f>
        <v/>
      </c>
      <c r="I213" s="32">
        <f>IF(B213="","",TEXT(B213,"00")&amp;"+5="&amp;E213)</f>
        <v/>
      </c>
    </row>
    <row r="214" ht="23" customHeight="1" s="21">
      <c r="A214" s="32">
        <f>IFERROR(LARGE(开奖记录!$A$2:$A$400,213),"")</f>
        <v/>
      </c>
      <c r="B214" s="32">
        <f>IF($A214="","",IFERROR(VLOOKUP($A214-1,开奖记录!$A:$L,3,FALSE),""))</f>
        <v/>
      </c>
      <c r="C214" s="32">
        <f>IF(B214="","",MOD(B214+4,49)+1)</f>
        <v/>
      </c>
      <c r="D214" s="32">
        <f>IF(C214="","",IFERROR(VLOOKUP(C214,规律参数!$A:$C,2,FALSE),""))</f>
        <v/>
      </c>
      <c r="E214" s="36">
        <f>IF(C214="","",IFERROR(VLOOKUP(C214,规律参数!$A:$C,3,FALSE),""))</f>
        <v/>
      </c>
      <c r="F214" s="32">
        <f>IF($A214="","",IFERROR(VLOOKUP($A214,开奖记录!$A:$L,9,FALSE),""))</f>
        <v/>
      </c>
      <c r="G214" s="32">
        <f>IF($A214="","",IFERROR(VLOOKUP($A214,开奖记录!$A:$L,11,FALSE),""))</f>
        <v/>
      </c>
      <c r="H214" s="32">
        <f>IF(A214="","",IF(B214="","缺上期数据",IF(G214="","待开奖",IF(ISNUMBER(SEARCH(G214,E214)),"命中","未命中"))))</f>
        <v/>
      </c>
      <c r="I214" s="32">
        <f>IF(B214="","",TEXT(B214,"00")&amp;"+5="&amp;E214)</f>
        <v/>
      </c>
    </row>
    <row r="215" ht="23" customHeight="1" s="21">
      <c r="A215" s="32">
        <f>IFERROR(LARGE(开奖记录!$A$2:$A$400,214),"")</f>
        <v/>
      </c>
      <c r="B215" s="32">
        <f>IF($A215="","",IFERROR(VLOOKUP($A215-1,开奖记录!$A:$L,3,FALSE),""))</f>
        <v/>
      </c>
      <c r="C215" s="32">
        <f>IF(B215="","",MOD(B215+4,49)+1)</f>
        <v/>
      </c>
      <c r="D215" s="32">
        <f>IF(C215="","",IFERROR(VLOOKUP(C215,规律参数!$A:$C,2,FALSE),""))</f>
        <v/>
      </c>
      <c r="E215" s="36">
        <f>IF(C215="","",IFERROR(VLOOKUP(C215,规律参数!$A:$C,3,FALSE),""))</f>
        <v/>
      </c>
      <c r="F215" s="32">
        <f>IF($A215="","",IFERROR(VLOOKUP($A215,开奖记录!$A:$L,9,FALSE),""))</f>
        <v/>
      </c>
      <c r="G215" s="32">
        <f>IF($A215="","",IFERROR(VLOOKUP($A215,开奖记录!$A:$L,11,FALSE),""))</f>
        <v/>
      </c>
      <c r="H215" s="32">
        <f>IF(A215="","",IF(B215="","缺上期数据",IF(G215="","待开奖",IF(ISNUMBER(SEARCH(G215,E215)),"命中","未命中"))))</f>
        <v/>
      </c>
      <c r="I215" s="32">
        <f>IF(B215="","",TEXT(B215,"00")&amp;"+5="&amp;E215)</f>
        <v/>
      </c>
    </row>
    <row r="216" ht="23" customHeight="1" s="21">
      <c r="A216" s="32">
        <f>IFERROR(LARGE(开奖记录!$A$2:$A$400,215),"")</f>
        <v/>
      </c>
      <c r="B216" s="32">
        <f>IF($A216="","",IFERROR(VLOOKUP($A216-1,开奖记录!$A:$L,3,FALSE),""))</f>
        <v/>
      </c>
      <c r="C216" s="32">
        <f>IF(B216="","",MOD(B216+4,49)+1)</f>
        <v/>
      </c>
      <c r="D216" s="32">
        <f>IF(C216="","",IFERROR(VLOOKUP(C216,规律参数!$A:$C,2,FALSE),""))</f>
        <v/>
      </c>
      <c r="E216" s="36">
        <f>IF(C216="","",IFERROR(VLOOKUP(C216,规律参数!$A:$C,3,FALSE),""))</f>
        <v/>
      </c>
      <c r="F216" s="32">
        <f>IF($A216="","",IFERROR(VLOOKUP($A216,开奖记录!$A:$L,9,FALSE),""))</f>
        <v/>
      </c>
      <c r="G216" s="32">
        <f>IF($A216="","",IFERROR(VLOOKUP($A216,开奖记录!$A:$L,11,FALSE),""))</f>
        <v/>
      </c>
      <c r="H216" s="32">
        <f>IF(A216="","",IF(B216="","缺上期数据",IF(G216="","待开奖",IF(ISNUMBER(SEARCH(G216,E216)),"命中","未命中"))))</f>
        <v/>
      </c>
      <c r="I216" s="32">
        <f>IF(B216="","",TEXT(B216,"00")&amp;"+5="&amp;E216)</f>
        <v/>
      </c>
    </row>
    <row r="217" ht="23" customHeight="1" s="21">
      <c r="A217" s="32">
        <f>IFERROR(LARGE(开奖记录!$A$2:$A$400,216),"")</f>
        <v/>
      </c>
      <c r="B217" s="32">
        <f>IF($A217="","",IFERROR(VLOOKUP($A217-1,开奖记录!$A:$L,3,FALSE),""))</f>
        <v/>
      </c>
      <c r="C217" s="32">
        <f>IF(B217="","",MOD(B217+4,49)+1)</f>
        <v/>
      </c>
      <c r="D217" s="32">
        <f>IF(C217="","",IFERROR(VLOOKUP(C217,规律参数!$A:$C,2,FALSE),""))</f>
        <v/>
      </c>
      <c r="E217" s="36">
        <f>IF(C217="","",IFERROR(VLOOKUP(C217,规律参数!$A:$C,3,FALSE),""))</f>
        <v/>
      </c>
      <c r="F217" s="32">
        <f>IF($A217="","",IFERROR(VLOOKUP($A217,开奖记录!$A:$L,9,FALSE),""))</f>
        <v/>
      </c>
      <c r="G217" s="32">
        <f>IF($A217="","",IFERROR(VLOOKUP($A217,开奖记录!$A:$L,11,FALSE),""))</f>
        <v/>
      </c>
      <c r="H217" s="32">
        <f>IF(A217="","",IF(B217="","缺上期数据",IF(G217="","待开奖",IF(ISNUMBER(SEARCH(G217,E217)),"命中","未命中"))))</f>
        <v/>
      </c>
      <c r="I217" s="32">
        <f>IF(B217="","",TEXT(B217,"00")&amp;"+5="&amp;E217)</f>
        <v/>
      </c>
    </row>
    <row r="218" ht="23" customHeight="1" s="21">
      <c r="A218" s="32">
        <f>IFERROR(LARGE(开奖记录!$A$2:$A$400,217),"")</f>
        <v/>
      </c>
      <c r="B218" s="32">
        <f>IF($A218="","",IFERROR(VLOOKUP($A218-1,开奖记录!$A:$L,3,FALSE),""))</f>
        <v/>
      </c>
      <c r="C218" s="32">
        <f>IF(B218="","",MOD(B218+4,49)+1)</f>
        <v/>
      </c>
      <c r="D218" s="32">
        <f>IF(C218="","",IFERROR(VLOOKUP(C218,规律参数!$A:$C,2,FALSE),""))</f>
        <v/>
      </c>
      <c r="E218" s="36">
        <f>IF(C218="","",IFERROR(VLOOKUP(C218,规律参数!$A:$C,3,FALSE),""))</f>
        <v/>
      </c>
      <c r="F218" s="32">
        <f>IF($A218="","",IFERROR(VLOOKUP($A218,开奖记录!$A:$L,9,FALSE),""))</f>
        <v/>
      </c>
      <c r="G218" s="32">
        <f>IF($A218="","",IFERROR(VLOOKUP($A218,开奖记录!$A:$L,11,FALSE),""))</f>
        <v/>
      </c>
      <c r="H218" s="32">
        <f>IF(A218="","",IF(B218="","缺上期数据",IF(G218="","待开奖",IF(ISNUMBER(SEARCH(G218,E218)),"命中","未命中"))))</f>
        <v/>
      </c>
      <c r="I218" s="32">
        <f>IF(B218="","",TEXT(B218,"00")&amp;"+5="&amp;E218)</f>
        <v/>
      </c>
    </row>
    <row r="219" ht="23" customHeight="1" s="21">
      <c r="A219" s="32">
        <f>IFERROR(LARGE(开奖记录!$A$2:$A$400,218),"")</f>
        <v/>
      </c>
      <c r="B219" s="32">
        <f>IF($A219="","",IFERROR(VLOOKUP($A219-1,开奖记录!$A:$L,3,FALSE),""))</f>
        <v/>
      </c>
      <c r="C219" s="32">
        <f>IF(B219="","",MOD(B219+4,49)+1)</f>
        <v/>
      </c>
      <c r="D219" s="32">
        <f>IF(C219="","",IFERROR(VLOOKUP(C219,规律参数!$A:$C,2,FALSE),""))</f>
        <v/>
      </c>
      <c r="E219" s="36">
        <f>IF(C219="","",IFERROR(VLOOKUP(C219,规律参数!$A:$C,3,FALSE),""))</f>
        <v/>
      </c>
      <c r="F219" s="32">
        <f>IF($A219="","",IFERROR(VLOOKUP($A219,开奖记录!$A:$L,9,FALSE),""))</f>
        <v/>
      </c>
      <c r="G219" s="32">
        <f>IF($A219="","",IFERROR(VLOOKUP($A219,开奖记录!$A:$L,11,FALSE),""))</f>
        <v/>
      </c>
      <c r="H219" s="32">
        <f>IF(A219="","",IF(B219="","缺上期数据",IF(G219="","待开奖",IF(ISNUMBER(SEARCH(G219,E219)),"命中","未命中"))))</f>
        <v/>
      </c>
      <c r="I219" s="32">
        <f>IF(B219="","",TEXT(B219,"00")&amp;"+5="&amp;E219)</f>
        <v/>
      </c>
    </row>
    <row r="220" ht="23" customHeight="1" s="21">
      <c r="A220" s="32">
        <f>IFERROR(LARGE(开奖记录!$A$2:$A$400,219),"")</f>
        <v/>
      </c>
      <c r="B220" s="32">
        <f>IF($A220="","",IFERROR(VLOOKUP($A220-1,开奖记录!$A:$L,3,FALSE),""))</f>
        <v/>
      </c>
      <c r="C220" s="32">
        <f>IF(B220="","",MOD(B220+4,49)+1)</f>
        <v/>
      </c>
      <c r="D220" s="32">
        <f>IF(C220="","",IFERROR(VLOOKUP(C220,规律参数!$A:$C,2,FALSE),""))</f>
        <v/>
      </c>
      <c r="E220" s="36">
        <f>IF(C220="","",IFERROR(VLOOKUP(C220,规律参数!$A:$C,3,FALSE),""))</f>
        <v/>
      </c>
      <c r="F220" s="32">
        <f>IF($A220="","",IFERROR(VLOOKUP($A220,开奖记录!$A:$L,9,FALSE),""))</f>
        <v/>
      </c>
      <c r="G220" s="32">
        <f>IF($A220="","",IFERROR(VLOOKUP($A220,开奖记录!$A:$L,11,FALSE),""))</f>
        <v/>
      </c>
      <c r="H220" s="32">
        <f>IF(A220="","",IF(B220="","缺上期数据",IF(G220="","待开奖",IF(ISNUMBER(SEARCH(G220,E220)),"命中","未命中"))))</f>
        <v/>
      </c>
      <c r="I220" s="32">
        <f>IF(B220="","",TEXT(B220,"00")&amp;"+5="&amp;E220)</f>
        <v/>
      </c>
    </row>
    <row r="221" ht="23" customHeight="1" s="21">
      <c r="A221" s="32">
        <f>IFERROR(LARGE(开奖记录!$A$2:$A$400,220),"")</f>
        <v/>
      </c>
      <c r="B221" s="32">
        <f>IF($A221="","",IFERROR(VLOOKUP($A221-1,开奖记录!$A:$L,3,FALSE),""))</f>
        <v/>
      </c>
      <c r="C221" s="32">
        <f>IF(B221="","",MOD(B221+4,49)+1)</f>
        <v/>
      </c>
      <c r="D221" s="32">
        <f>IF(C221="","",IFERROR(VLOOKUP(C221,规律参数!$A:$C,2,FALSE),""))</f>
        <v/>
      </c>
      <c r="E221" s="36">
        <f>IF(C221="","",IFERROR(VLOOKUP(C221,规律参数!$A:$C,3,FALSE),""))</f>
        <v/>
      </c>
      <c r="F221" s="32">
        <f>IF($A221="","",IFERROR(VLOOKUP($A221,开奖记录!$A:$L,9,FALSE),""))</f>
        <v/>
      </c>
      <c r="G221" s="32">
        <f>IF($A221="","",IFERROR(VLOOKUP($A221,开奖记录!$A:$L,11,FALSE),""))</f>
        <v/>
      </c>
      <c r="H221" s="32">
        <f>IF(A221="","",IF(B221="","缺上期数据",IF(G221="","待开奖",IF(ISNUMBER(SEARCH(G221,E221)),"命中","未命中"))))</f>
        <v/>
      </c>
      <c r="I221" s="32">
        <f>IF(B221="","",TEXT(B221,"00")&amp;"+5="&amp;E221)</f>
        <v/>
      </c>
    </row>
    <row r="222" ht="23" customHeight="1" s="21">
      <c r="A222" s="32">
        <f>IFERROR(LARGE(开奖记录!$A$2:$A$400,221),"")</f>
        <v/>
      </c>
      <c r="B222" s="32">
        <f>IF($A222="","",IFERROR(VLOOKUP($A222-1,开奖记录!$A:$L,3,FALSE),""))</f>
        <v/>
      </c>
      <c r="C222" s="32">
        <f>IF(B222="","",MOD(B222+4,49)+1)</f>
        <v/>
      </c>
      <c r="D222" s="32">
        <f>IF(C222="","",IFERROR(VLOOKUP(C222,规律参数!$A:$C,2,FALSE),""))</f>
        <v/>
      </c>
      <c r="E222" s="36">
        <f>IF(C222="","",IFERROR(VLOOKUP(C222,规律参数!$A:$C,3,FALSE),""))</f>
        <v/>
      </c>
      <c r="F222" s="32">
        <f>IF($A222="","",IFERROR(VLOOKUP($A222,开奖记录!$A:$L,9,FALSE),""))</f>
        <v/>
      </c>
      <c r="G222" s="32">
        <f>IF($A222="","",IFERROR(VLOOKUP($A222,开奖记录!$A:$L,11,FALSE),""))</f>
        <v/>
      </c>
      <c r="H222" s="32">
        <f>IF(A222="","",IF(B222="","缺上期数据",IF(G222="","待开奖",IF(ISNUMBER(SEARCH(G222,E222)),"命中","未命中"))))</f>
        <v/>
      </c>
      <c r="I222" s="32">
        <f>IF(B222="","",TEXT(B222,"00")&amp;"+5="&amp;E222)</f>
        <v/>
      </c>
    </row>
    <row r="223" ht="23" customHeight="1" s="21">
      <c r="A223" s="32">
        <f>IFERROR(LARGE(开奖记录!$A$2:$A$400,222),"")</f>
        <v/>
      </c>
      <c r="B223" s="32">
        <f>IF($A223="","",IFERROR(VLOOKUP($A223-1,开奖记录!$A:$L,3,FALSE),""))</f>
        <v/>
      </c>
      <c r="C223" s="32">
        <f>IF(B223="","",MOD(B223+4,49)+1)</f>
        <v/>
      </c>
      <c r="D223" s="32">
        <f>IF(C223="","",IFERROR(VLOOKUP(C223,规律参数!$A:$C,2,FALSE),""))</f>
        <v/>
      </c>
      <c r="E223" s="36">
        <f>IF(C223="","",IFERROR(VLOOKUP(C223,规律参数!$A:$C,3,FALSE),""))</f>
        <v/>
      </c>
      <c r="F223" s="32">
        <f>IF($A223="","",IFERROR(VLOOKUP($A223,开奖记录!$A:$L,9,FALSE),""))</f>
        <v/>
      </c>
      <c r="G223" s="32">
        <f>IF($A223="","",IFERROR(VLOOKUP($A223,开奖记录!$A:$L,11,FALSE),""))</f>
        <v/>
      </c>
      <c r="H223" s="32">
        <f>IF(A223="","",IF(B223="","缺上期数据",IF(G223="","待开奖",IF(ISNUMBER(SEARCH(G223,E223)),"命中","未命中"))))</f>
        <v/>
      </c>
      <c r="I223" s="32">
        <f>IF(B223="","",TEXT(B223,"00")&amp;"+5="&amp;E223)</f>
        <v/>
      </c>
    </row>
    <row r="224" ht="23" customHeight="1" s="21">
      <c r="A224" s="32">
        <f>IFERROR(LARGE(开奖记录!$A$2:$A$400,223),"")</f>
        <v/>
      </c>
      <c r="B224" s="32">
        <f>IF($A224="","",IFERROR(VLOOKUP($A224-1,开奖记录!$A:$L,3,FALSE),""))</f>
        <v/>
      </c>
      <c r="C224" s="32">
        <f>IF(B224="","",MOD(B224+4,49)+1)</f>
        <v/>
      </c>
      <c r="D224" s="32">
        <f>IF(C224="","",IFERROR(VLOOKUP(C224,规律参数!$A:$C,2,FALSE),""))</f>
        <v/>
      </c>
      <c r="E224" s="36">
        <f>IF(C224="","",IFERROR(VLOOKUP(C224,规律参数!$A:$C,3,FALSE),""))</f>
        <v/>
      </c>
      <c r="F224" s="32">
        <f>IF($A224="","",IFERROR(VLOOKUP($A224,开奖记录!$A:$L,9,FALSE),""))</f>
        <v/>
      </c>
      <c r="G224" s="32">
        <f>IF($A224="","",IFERROR(VLOOKUP($A224,开奖记录!$A:$L,11,FALSE),""))</f>
        <v/>
      </c>
      <c r="H224" s="32">
        <f>IF(A224="","",IF(B224="","缺上期数据",IF(G224="","待开奖",IF(ISNUMBER(SEARCH(G224,E224)),"命中","未命中"))))</f>
        <v/>
      </c>
      <c r="I224" s="32">
        <f>IF(B224="","",TEXT(B224,"00")&amp;"+5="&amp;E224)</f>
        <v/>
      </c>
    </row>
    <row r="225" ht="23" customHeight="1" s="21">
      <c r="A225" s="32">
        <f>IFERROR(LARGE(开奖记录!$A$2:$A$400,224),"")</f>
        <v/>
      </c>
      <c r="B225" s="32">
        <f>IF($A225="","",IFERROR(VLOOKUP($A225-1,开奖记录!$A:$L,3,FALSE),""))</f>
        <v/>
      </c>
      <c r="C225" s="32">
        <f>IF(B225="","",MOD(B225+4,49)+1)</f>
        <v/>
      </c>
      <c r="D225" s="32">
        <f>IF(C225="","",IFERROR(VLOOKUP(C225,规律参数!$A:$C,2,FALSE),""))</f>
        <v/>
      </c>
      <c r="E225" s="36">
        <f>IF(C225="","",IFERROR(VLOOKUP(C225,规律参数!$A:$C,3,FALSE),""))</f>
        <v/>
      </c>
      <c r="F225" s="32">
        <f>IF($A225="","",IFERROR(VLOOKUP($A225,开奖记录!$A:$L,9,FALSE),""))</f>
        <v/>
      </c>
      <c r="G225" s="32">
        <f>IF($A225="","",IFERROR(VLOOKUP($A225,开奖记录!$A:$L,11,FALSE),""))</f>
        <v/>
      </c>
      <c r="H225" s="32">
        <f>IF(A225="","",IF(B225="","缺上期数据",IF(G225="","待开奖",IF(ISNUMBER(SEARCH(G225,E225)),"命中","未命中"))))</f>
        <v/>
      </c>
      <c r="I225" s="32">
        <f>IF(B225="","",TEXT(B225,"00")&amp;"+5="&amp;E225)</f>
        <v/>
      </c>
    </row>
    <row r="226" ht="23" customHeight="1" s="21">
      <c r="A226" s="32">
        <f>IFERROR(LARGE(开奖记录!$A$2:$A$400,225),"")</f>
        <v/>
      </c>
      <c r="B226" s="32">
        <f>IF($A226="","",IFERROR(VLOOKUP($A226-1,开奖记录!$A:$L,3,FALSE),""))</f>
        <v/>
      </c>
      <c r="C226" s="32">
        <f>IF(B226="","",MOD(B226+4,49)+1)</f>
        <v/>
      </c>
      <c r="D226" s="32">
        <f>IF(C226="","",IFERROR(VLOOKUP(C226,规律参数!$A:$C,2,FALSE),""))</f>
        <v/>
      </c>
      <c r="E226" s="36">
        <f>IF(C226="","",IFERROR(VLOOKUP(C226,规律参数!$A:$C,3,FALSE),""))</f>
        <v/>
      </c>
      <c r="F226" s="32">
        <f>IF($A226="","",IFERROR(VLOOKUP($A226,开奖记录!$A:$L,9,FALSE),""))</f>
        <v/>
      </c>
      <c r="G226" s="32">
        <f>IF($A226="","",IFERROR(VLOOKUP($A226,开奖记录!$A:$L,11,FALSE),""))</f>
        <v/>
      </c>
      <c r="H226" s="32">
        <f>IF(A226="","",IF(B226="","缺上期数据",IF(G226="","待开奖",IF(ISNUMBER(SEARCH(G226,E226)),"命中","未命中"))))</f>
        <v/>
      </c>
      <c r="I226" s="32">
        <f>IF(B226="","",TEXT(B226,"00")&amp;"+5="&amp;E226)</f>
        <v/>
      </c>
    </row>
    <row r="227" ht="23" customHeight="1" s="21">
      <c r="A227" s="32">
        <f>IFERROR(LARGE(开奖记录!$A$2:$A$400,226),"")</f>
        <v/>
      </c>
      <c r="B227" s="32">
        <f>IF($A227="","",IFERROR(VLOOKUP($A227-1,开奖记录!$A:$L,3,FALSE),""))</f>
        <v/>
      </c>
      <c r="C227" s="32">
        <f>IF(B227="","",MOD(B227+4,49)+1)</f>
        <v/>
      </c>
      <c r="D227" s="32">
        <f>IF(C227="","",IFERROR(VLOOKUP(C227,规律参数!$A:$C,2,FALSE),""))</f>
        <v/>
      </c>
      <c r="E227" s="36">
        <f>IF(C227="","",IFERROR(VLOOKUP(C227,规律参数!$A:$C,3,FALSE),""))</f>
        <v/>
      </c>
      <c r="F227" s="32">
        <f>IF($A227="","",IFERROR(VLOOKUP($A227,开奖记录!$A:$L,9,FALSE),""))</f>
        <v/>
      </c>
      <c r="G227" s="32">
        <f>IF($A227="","",IFERROR(VLOOKUP($A227,开奖记录!$A:$L,11,FALSE),""))</f>
        <v/>
      </c>
      <c r="H227" s="32">
        <f>IF(A227="","",IF(B227="","缺上期数据",IF(G227="","待开奖",IF(ISNUMBER(SEARCH(G227,E227)),"命中","未命中"))))</f>
        <v/>
      </c>
      <c r="I227" s="32">
        <f>IF(B227="","",TEXT(B227,"00")&amp;"+5="&amp;E227)</f>
        <v/>
      </c>
    </row>
    <row r="228" ht="23" customHeight="1" s="21">
      <c r="A228" s="32">
        <f>IFERROR(LARGE(开奖记录!$A$2:$A$400,227),"")</f>
        <v/>
      </c>
      <c r="B228" s="32">
        <f>IF($A228="","",IFERROR(VLOOKUP($A228-1,开奖记录!$A:$L,3,FALSE),""))</f>
        <v/>
      </c>
      <c r="C228" s="32">
        <f>IF(B228="","",MOD(B228+4,49)+1)</f>
        <v/>
      </c>
      <c r="D228" s="32">
        <f>IF(C228="","",IFERROR(VLOOKUP(C228,规律参数!$A:$C,2,FALSE),""))</f>
        <v/>
      </c>
      <c r="E228" s="36">
        <f>IF(C228="","",IFERROR(VLOOKUP(C228,规律参数!$A:$C,3,FALSE),""))</f>
        <v/>
      </c>
      <c r="F228" s="32">
        <f>IF($A228="","",IFERROR(VLOOKUP($A228,开奖记录!$A:$L,9,FALSE),""))</f>
        <v/>
      </c>
      <c r="G228" s="32">
        <f>IF($A228="","",IFERROR(VLOOKUP($A228,开奖记录!$A:$L,11,FALSE),""))</f>
        <v/>
      </c>
      <c r="H228" s="32">
        <f>IF(A228="","",IF(B228="","缺上期数据",IF(G228="","待开奖",IF(ISNUMBER(SEARCH(G228,E228)),"命中","未命中"))))</f>
        <v/>
      </c>
      <c r="I228" s="32">
        <f>IF(B228="","",TEXT(B228,"00")&amp;"+5="&amp;E228)</f>
        <v/>
      </c>
    </row>
    <row r="229" ht="23" customHeight="1" s="21">
      <c r="A229" s="32">
        <f>IFERROR(LARGE(开奖记录!$A$2:$A$400,228),"")</f>
        <v/>
      </c>
      <c r="B229" s="32">
        <f>IF($A229="","",IFERROR(VLOOKUP($A229-1,开奖记录!$A:$L,3,FALSE),""))</f>
        <v/>
      </c>
      <c r="C229" s="32">
        <f>IF(B229="","",MOD(B229+4,49)+1)</f>
        <v/>
      </c>
      <c r="D229" s="32">
        <f>IF(C229="","",IFERROR(VLOOKUP(C229,规律参数!$A:$C,2,FALSE),""))</f>
        <v/>
      </c>
      <c r="E229" s="36">
        <f>IF(C229="","",IFERROR(VLOOKUP(C229,规律参数!$A:$C,3,FALSE),""))</f>
        <v/>
      </c>
      <c r="F229" s="32">
        <f>IF($A229="","",IFERROR(VLOOKUP($A229,开奖记录!$A:$L,9,FALSE),""))</f>
        <v/>
      </c>
      <c r="G229" s="32">
        <f>IF($A229="","",IFERROR(VLOOKUP($A229,开奖记录!$A:$L,11,FALSE),""))</f>
        <v/>
      </c>
      <c r="H229" s="32">
        <f>IF(A229="","",IF(B229="","缺上期数据",IF(G229="","待开奖",IF(ISNUMBER(SEARCH(G229,E229)),"命中","未命中"))))</f>
        <v/>
      </c>
      <c r="I229" s="32">
        <f>IF(B229="","",TEXT(B229,"00")&amp;"+5="&amp;E229)</f>
        <v/>
      </c>
    </row>
    <row r="230" ht="23" customHeight="1" s="21">
      <c r="A230" s="32">
        <f>IFERROR(LARGE(开奖记录!$A$2:$A$400,229),"")</f>
        <v/>
      </c>
      <c r="B230" s="32">
        <f>IF($A230="","",IFERROR(VLOOKUP($A230-1,开奖记录!$A:$L,3,FALSE),""))</f>
        <v/>
      </c>
      <c r="C230" s="32">
        <f>IF(B230="","",MOD(B230+4,49)+1)</f>
        <v/>
      </c>
      <c r="D230" s="32">
        <f>IF(C230="","",IFERROR(VLOOKUP(C230,规律参数!$A:$C,2,FALSE),""))</f>
        <v/>
      </c>
      <c r="E230" s="36">
        <f>IF(C230="","",IFERROR(VLOOKUP(C230,规律参数!$A:$C,3,FALSE),""))</f>
        <v/>
      </c>
      <c r="F230" s="32">
        <f>IF($A230="","",IFERROR(VLOOKUP($A230,开奖记录!$A:$L,9,FALSE),""))</f>
        <v/>
      </c>
      <c r="G230" s="32">
        <f>IF($A230="","",IFERROR(VLOOKUP($A230,开奖记录!$A:$L,11,FALSE),""))</f>
        <v/>
      </c>
      <c r="H230" s="32">
        <f>IF(A230="","",IF(B230="","缺上期数据",IF(G230="","待开奖",IF(ISNUMBER(SEARCH(G230,E230)),"命中","未命中"))))</f>
        <v/>
      </c>
      <c r="I230" s="32">
        <f>IF(B230="","",TEXT(B230,"00")&amp;"+5="&amp;E230)</f>
        <v/>
      </c>
    </row>
    <row r="231" ht="23" customHeight="1" s="21">
      <c r="A231" s="32">
        <f>IFERROR(LARGE(开奖记录!$A$2:$A$400,230),"")</f>
        <v/>
      </c>
      <c r="B231" s="32">
        <f>IF($A231="","",IFERROR(VLOOKUP($A231-1,开奖记录!$A:$L,3,FALSE),""))</f>
        <v/>
      </c>
      <c r="C231" s="32">
        <f>IF(B231="","",MOD(B231+4,49)+1)</f>
        <v/>
      </c>
      <c r="D231" s="32">
        <f>IF(C231="","",IFERROR(VLOOKUP(C231,规律参数!$A:$C,2,FALSE),""))</f>
        <v/>
      </c>
      <c r="E231" s="36">
        <f>IF(C231="","",IFERROR(VLOOKUP(C231,规律参数!$A:$C,3,FALSE),""))</f>
        <v/>
      </c>
      <c r="F231" s="32">
        <f>IF($A231="","",IFERROR(VLOOKUP($A231,开奖记录!$A:$L,9,FALSE),""))</f>
        <v/>
      </c>
      <c r="G231" s="32">
        <f>IF($A231="","",IFERROR(VLOOKUP($A231,开奖记录!$A:$L,11,FALSE),""))</f>
        <v/>
      </c>
      <c r="H231" s="32">
        <f>IF(A231="","",IF(B231="","缺上期数据",IF(G231="","待开奖",IF(ISNUMBER(SEARCH(G231,E231)),"命中","未命中"))))</f>
        <v/>
      </c>
      <c r="I231" s="32">
        <f>IF(B231="","",TEXT(B231,"00")&amp;"+5="&amp;E231)</f>
        <v/>
      </c>
    </row>
    <row r="232" ht="23" customHeight="1" s="21">
      <c r="A232" s="32">
        <f>IFERROR(LARGE(开奖记录!$A$2:$A$400,231),"")</f>
        <v/>
      </c>
      <c r="B232" s="32">
        <f>IF($A232="","",IFERROR(VLOOKUP($A232-1,开奖记录!$A:$L,3,FALSE),""))</f>
        <v/>
      </c>
      <c r="C232" s="32">
        <f>IF(B232="","",MOD(B232+4,49)+1)</f>
        <v/>
      </c>
      <c r="D232" s="32">
        <f>IF(C232="","",IFERROR(VLOOKUP(C232,规律参数!$A:$C,2,FALSE),""))</f>
        <v/>
      </c>
      <c r="E232" s="36">
        <f>IF(C232="","",IFERROR(VLOOKUP(C232,规律参数!$A:$C,3,FALSE),""))</f>
        <v/>
      </c>
      <c r="F232" s="32">
        <f>IF($A232="","",IFERROR(VLOOKUP($A232,开奖记录!$A:$L,9,FALSE),""))</f>
        <v/>
      </c>
      <c r="G232" s="32">
        <f>IF($A232="","",IFERROR(VLOOKUP($A232,开奖记录!$A:$L,11,FALSE),""))</f>
        <v/>
      </c>
      <c r="H232" s="32">
        <f>IF(A232="","",IF(B232="","缺上期数据",IF(G232="","待开奖",IF(ISNUMBER(SEARCH(G232,E232)),"命中","未命中"))))</f>
        <v/>
      </c>
      <c r="I232" s="32">
        <f>IF(B232="","",TEXT(B232,"00")&amp;"+5="&amp;E232)</f>
        <v/>
      </c>
    </row>
    <row r="233" ht="23" customHeight="1" s="21">
      <c r="A233" s="32">
        <f>IFERROR(LARGE(开奖记录!$A$2:$A$400,232),"")</f>
        <v/>
      </c>
      <c r="B233" s="32">
        <f>IF($A233="","",IFERROR(VLOOKUP($A233-1,开奖记录!$A:$L,3,FALSE),""))</f>
        <v/>
      </c>
      <c r="C233" s="32">
        <f>IF(B233="","",MOD(B233+4,49)+1)</f>
        <v/>
      </c>
      <c r="D233" s="32">
        <f>IF(C233="","",IFERROR(VLOOKUP(C233,规律参数!$A:$C,2,FALSE),""))</f>
        <v/>
      </c>
      <c r="E233" s="36">
        <f>IF(C233="","",IFERROR(VLOOKUP(C233,规律参数!$A:$C,3,FALSE),""))</f>
        <v/>
      </c>
      <c r="F233" s="32">
        <f>IF($A233="","",IFERROR(VLOOKUP($A233,开奖记录!$A:$L,9,FALSE),""))</f>
        <v/>
      </c>
      <c r="G233" s="32">
        <f>IF($A233="","",IFERROR(VLOOKUP($A233,开奖记录!$A:$L,11,FALSE),""))</f>
        <v/>
      </c>
      <c r="H233" s="32">
        <f>IF(A233="","",IF(B233="","缺上期数据",IF(G233="","待开奖",IF(ISNUMBER(SEARCH(G233,E233)),"命中","未命中"))))</f>
        <v/>
      </c>
      <c r="I233" s="32">
        <f>IF(B233="","",TEXT(B233,"00")&amp;"+5="&amp;E233)</f>
        <v/>
      </c>
    </row>
    <row r="234" ht="23" customHeight="1" s="21">
      <c r="A234" s="32">
        <f>IFERROR(LARGE(开奖记录!$A$2:$A$400,233),"")</f>
        <v/>
      </c>
      <c r="B234" s="32">
        <f>IF($A234="","",IFERROR(VLOOKUP($A234-1,开奖记录!$A:$L,3,FALSE),""))</f>
        <v/>
      </c>
      <c r="C234" s="32">
        <f>IF(B234="","",MOD(B234+4,49)+1)</f>
        <v/>
      </c>
      <c r="D234" s="32">
        <f>IF(C234="","",IFERROR(VLOOKUP(C234,规律参数!$A:$C,2,FALSE),""))</f>
        <v/>
      </c>
      <c r="E234" s="36">
        <f>IF(C234="","",IFERROR(VLOOKUP(C234,规律参数!$A:$C,3,FALSE),""))</f>
        <v/>
      </c>
      <c r="F234" s="32">
        <f>IF($A234="","",IFERROR(VLOOKUP($A234,开奖记录!$A:$L,9,FALSE),""))</f>
        <v/>
      </c>
      <c r="G234" s="32">
        <f>IF($A234="","",IFERROR(VLOOKUP($A234,开奖记录!$A:$L,11,FALSE),""))</f>
        <v/>
      </c>
      <c r="H234" s="32">
        <f>IF(A234="","",IF(B234="","缺上期数据",IF(G234="","待开奖",IF(ISNUMBER(SEARCH(G234,E234)),"命中","未命中"))))</f>
        <v/>
      </c>
      <c r="I234" s="32">
        <f>IF(B234="","",TEXT(B234,"00")&amp;"+5="&amp;E234)</f>
        <v/>
      </c>
    </row>
    <row r="235" ht="23" customHeight="1" s="21">
      <c r="A235" s="32">
        <f>IFERROR(LARGE(开奖记录!$A$2:$A$400,234),"")</f>
        <v/>
      </c>
      <c r="B235" s="32">
        <f>IF($A235="","",IFERROR(VLOOKUP($A235-1,开奖记录!$A:$L,3,FALSE),""))</f>
        <v/>
      </c>
      <c r="C235" s="32">
        <f>IF(B235="","",MOD(B235+4,49)+1)</f>
        <v/>
      </c>
      <c r="D235" s="32">
        <f>IF(C235="","",IFERROR(VLOOKUP(C235,规律参数!$A:$C,2,FALSE),""))</f>
        <v/>
      </c>
      <c r="E235" s="36">
        <f>IF(C235="","",IFERROR(VLOOKUP(C235,规律参数!$A:$C,3,FALSE),""))</f>
        <v/>
      </c>
      <c r="F235" s="32">
        <f>IF($A235="","",IFERROR(VLOOKUP($A235,开奖记录!$A:$L,9,FALSE),""))</f>
        <v/>
      </c>
      <c r="G235" s="32">
        <f>IF($A235="","",IFERROR(VLOOKUP($A235,开奖记录!$A:$L,11,FALSE),""))</f>
        <v/>
      </c>
      <c r="H235" s="32">
        <f>IF(A235="","",IF(B235="","缺上期数据",IF(G235="","待开奖",IF(ISNUMBER(SEARCH(G235,E235)),"命中","未命中"))))</f>
        <v/>
      </c>
      <c r="I235" s="32">
        <f>IF(B235="","",TEXT(B235,"00")&amp;"+5="&amp;E235)</f>
        <v/>
      </c>
    </row>
    <row r="236" ht="23" customHeight="1" s="21">
      <c r="A236" s="32">
        <f>IFERROR(LARGE(开奖记录!$A$2:$A$400,235),"")</f>
        <v/>
      </c>
      <c r="B236" s="32">
        <f>IF($A236="","",IFERROR(VLOOKUP($A236-1,开奖记录!$A:$L,3,FALSE),""))</f>
        <v/>
      </c>
      <c r="C236" s="32">
        <f>IF(B236="","",MOD(B236+4,49)+1)</f>
        <v/>
      </c>
      <c r="D236" s="32">
        <f>IF(C236="","",IFERROR(VLOOKUP(C236,规律参数!$A:$C,2,FALSE),""))</f>
        <v/>
      </c>
      <c r="E236" s="36">
        <f>IF(C236="","",IFERROR(VLOOKUP(C236,规律参数!$A:$C,3,FALSE),""))</f>
        <v/>
      </c>
      <c r="F236" s="32">
        <f>IF($A236="","",IFERROR(VLOOKUP($A236,开奖记录!$A:$L,9,FALSE),""))</f>
        <v/>
      </c>
      <c r="G236" s="32">
        <f>IF($A236="","",IFERROR(VLOOKUP($A236,开奖记录!$A:$L,11,FALSE),""))</f>
        <v/>
      </c>
      <c r="H236" s="32">
        <f>IF(A236="","",IF(B236="","缺上期数据",IF(G236="","待开奖",IF(ISNUMBER(SEARCH(G236,E236)),"命中","未命中"))))</f>
        <v/>
      </c>
      <c r="I236" s="32">
        <f>IF(B236="","",TEXT(B236,"00")&amp;"+5="&amp;E236)</f>
        <v/>
      </c>
    </row>
    <row r="237" ht="23" customHeight="1" s="21">
      <c r="A237" s="32">
        <f>IFERROR(LARGE(开奖记录!$A$2:$A$400,236),"")</f>
        <v/>
      </c>
      <c r="B237" s="32">
        <f>IF($A237="","",IFERROR(VLOOKUP($A237-1,开奖记录!$A:$L,3,FALSE),""))</f>
        <v/>
      </c>
      <c r="C237" s="32">
        <f>IF(B237="","",MOD(B237+4,49)+1)</f>
        <v/>
      </c>
      <c r="D237" s="32">
        <f>IF(C237="","",IFERROR(VLOOKUP(C237,规律参数!$A:$C,2,FALSE),""))</f>
        <v/>
      </c>
      <c r="E237" s="36">
        <f>IF(C237="","",IFERROR(VLOOKUP(C237,规律参数!$A:$C,3,FALSE),""))</f>
        <v/>
      </c>
      <c r="F237" s="32">
        <f>IF($A237="","",IFERROR(VLOOKUP($A237,开奖记录!$A:$L,9,FALSE),""))</f>
        <v/>
      </c>
      <c r="G237" s="32">
        <f>IF($A237="","",IFERROR(VLOOKUP($A237,开奖记录!$A:$L,11,FALSE),""))</f>
        <v/>
      </c>
      <c r="H237" s="32">
        <f>IF(A237="","",IF(B237="","缺上期数据",IF(G237="","待开奖",IF(ISNUMBER(SEARCH(G237,E237)),"命中","未命中"))))</f>
        <v/>
      </c>
      <c r="I237" s="32">
        <f>IF(B237="","",TEXT(B237,"00")&amp;"+5="&amp;E237)</f>
        <v/>
      </c>
    </row>
    <row r="238" ht="23" customHeight="1" s="21">
      <c r="A238" s="32">
        <f>IFERROR(LARGE(开奖记录!$A$2:$A$400,237),"")</f>
        <v/>
      </c>
      <c r="B238" s="32">
        <f>IF($A238="","",IFERROR(VLOOKUP($A238-1,开奖记录!$A:$L,3,FALSE),""))</f>
        <v/>
      </c>
      <c r="C238" s="32">
        <f>IF(B238="","",MOD(B238+4,49)+1)</f>
        <v/>
      </c>
      <c r="D238" s="32">
        <f>IF(C238="","",IFERROR(VLOOKUP(C238,规律参数!$A:$C,2,FALSE),""))</f>
        <v/>
      </c>
      <c r="E238" s="36">
        <f>IF(C238="","",IFERROR(VLOOKUP(C238,规律参数!$A:$C,3,FALSE),""))</f>
        <v/>
      </c>
      <c r="F238" s="32">
        <f>IF($A238="","",IFERROR(VLOOKUP($A238,开奖记录!$A:$L,9,FALSE),""))</f>
        <v/>
      </c>
      <c r="G238" s="32">
        <f>IF($A238="","",IFERROR(VLOOKUP($A238,开奖记录!$A:$L,11,FALSE),""))</f>
        <v/>
      </c>
      <c r="H238" s="32">
        <f>IF(A238="","",IF(B238="","缺上期数据",IF(G238="","待开奖",IF(ISNUMBER(SEARCH(G238,E238)),"命中","未命中"))))</f>
        <v/>
      </c>
      <c r="I238" s="32">
        <f>IF(B238="","",TEXT(B238,"00")&amp;"+5="&amp;E238)</f>
        <v/>
      </c>
    </row>
    <row r="239" ht="23" customHeight="1" s="21">
      <c r="A239" s="32">
        <f>IFERROR(LARGE(开奖记录!$A$2:$A$400,238),"")</f>
        <v/>
      </c>
      <c r="B239" s="32">
        <f>IF($A239="","",IFERROR(VLOOKUP($A239-1,开奖记录!$A:$L,3,FALSE),""))</f>
        <v/>
      </c>
      <c r="C239" s="32">
        <f>IF(B239="","",MOD(B239+4,49)+1)</f>
        <v/>
      </c>
      <c r="D239" s="32">
        <f>IF(C239="","",IFERROR(VLOOKUP(C239,规律参数!$A:$C,2,FALSE),""))</f>
        <v/>
      </c>
      <c r="E239" s="36">
        <f>IF(C239="","",IFERROR(VLOOKUP(C239,规律参数!$A:$C,3,FALSE),""))</f>
        <v/>
      </c>
      <c r="F239" s="32">
        <f>IF($A239="","",IFERROR(VLOOKUP($A239,开奖记录!$A:$L,9,FALSE),""))</f>
        <v/>
      </c>
      <c r="G239" s="32">
        <f>IF($A239="","",IFERROR(VLOOKUP($A239,开奖记录!$A:$L,11,FALSE),""))</f>
        <v/>
      </c>
      <c r="H239" s="32">
        <f>IF(A239="","",IF(B239="","缺上期数据",IF(G239="","待开奖",IF(ISNUMBER(SEARCH(G239,E239)),"命中","未命中"))))</f>
        <v/>
      </c>
      <c r="I239" s="32">
        <f>IF(B239="","",TEXT(B239,"00")&amp;"+5="&amp;E239)</f>
        <v/>
      </c>
    </row>
    <row r="240" ht="23" customHeight="1" s="21">
      <c r="A240" s="32">
        <f>IFERROR(LARGE(开奖记录!$A$2:$A$400,239),"")</f>
        <v/>
      </c>
      <c r="B240" s="32">
        <f>IF($A240="","",IFERROR(VLOOKUP($A240-1,开奖记录!$A:$L,3,FALSE),""))</f>
        <v/>
      </c>
      <c r="C240" s="32">
        <f>IF(B240="","",MOD(B240+4,49)+1)</f>
        <v/>
      </c>
      <c r="D240" s="32">
        <f>IF(C240="","",IFERROR(VLOOKUP(C240,规律参数!$A:$C,2,FALSE),""))</f>
        <v/>
      </c>
      <c r="E240" s="36">
        <f>IF(C240="","",IFERROR(VLOOKUP(C240,规律参数!$A:$C,3,FALSE),""))</f>
        <v/>
      </c>
      <c r="F240" s="32">
        <f>IF($A240="","",IFERROR(VLOOKUP($A240,开奖记录!$A:$L,9,FALSE),""))</f>
        <v/>
      </c>
      <c r="G240" s="32">
        <f>IF($A240="","",IFERROR(VLOOKUP($A240,开奖记录!$A:$L,11,FALSE),""))</f>
        <v/>
      </c>
      <c r="H240" s="32">
        <f>IF(A240="","",IF(B240="","缺上期数据",IF(G240="","待开奖",IF(ISNUMBER(SEARCH(G240,E240)),"命中","未命中"))))</f>
        <v/>
      </c>
      <c r="I240" s="32">
        <f>IF(B240="","",TEXT(B240,"00")&amp;"+5="&amp;E240)</f>
        <v/>
      </c>
    </row>
    <row r="241" ht="23" customHeight="1" s="21">
      <c r="A241" s="32">
        <f>IFERROR(LARGE(开奖记录!$A$2:$A$400,240),"")</f>
        <v/>
      </c>
      <c r="B241" s="32">
        <f>IF($A241="","",IFERROR(VLOOKUP($A241-1,开奖记录!$A:$L,3,FALSE),""))</f>
        <v/>
      </c>
      <c r="C241" s="32">
        <f>IF(B241="","",MOD(B241+4,49)+1)</f>
        <v/>
      </c>
      <c r="D241" s="32">
        <f>IF(C241="","",IFERROR(VLOOKUP(C241,规律参数!$A:$C,2,FALSE),""))</f>
        <v/>
      </c>
      <c r="E241" s="36">
        <f>IF(C241="","",IFERROR(VLOOKUP(C241,规律参数!$A:$C,3,FALSE),""))</f>
        <v/>
      </c>
      <c r="F241" s="32">
        <f>IF($A241="","",IFERROR(VLOOKUP($A241,开奖记录!$A:$L,9,FALSE),""))</f>
        <v/>
      </c>
      <c r="G241" s="32">
        <f>IF($A241="","",IFERROR(VLOOKUP($A241,开奖记录!$A:$L,11,FALSE),""))</f>
        <v/>
      </c>
      <c r="H241" s="32">
        <f>IF(A241="","",IF(B241="","缺上期数据",IF(G241="","待开奖",IF(ISNUMBER(SEARCH(G241,E241)),"命中","未命中"))))</f>
        <v/>
      </c>
      <c r="I241" s="32">
        <f>IF(B241="","",TEXT(B241,"00")&amp;"+5="&amp;E241)</f>
        <v/>
      </c>
    </row>
    <row r="242" ht="23" customHeight="1" s="21">
      <c r="A242" s="32">
        <f>IFERROR(LARGE(开奖记录!$A$2:$A$400,241),"")</f>
        <v/>
      </c>
      <c r="B242" s="32">
        <f>IF($A242="","",IFERROR(VLOOKUP($A242-1,开奖记录!$A:$L,3,FALSE),""))</f>
        <v/>
      </c>
      <c r="C242" s="32">
        <f>IF(B242="","",MOD(B242+4,49)+1)</f>
        <v/>
      </c>
      <c r="D242" s="32">
        <f>IF(C242="","",IFERROR(VLOOKUP(C242,规律参数!$A:$C,2,FALSE),""))</f>
        <v/>
      </c>
      <c r="E242" s="36">
        <f>IF(C242="","",IFERROR(VLOOKUP(C242,规律参数!$A:$C,3,FALSE),""))</f>
        <v/>
      </c>
      <c r="F242" s="32">
        <f>IF($A242="","",IFERROR(VLOOKUP($A242,开奖记录!$A:$L,9,FALSE),""))</f>
        <v/>
      </c>
      <c r="G242" s="32">
        <f>IF($A242="","",IFERROR(VLOOKUP($A242,开奖记录!$A:$L,11,FALSE),""))</f>
        <v/>
      </c>
      <c r="H242" s="32">
        <f>IF(A242="","",IF(B242="","缺上期数据",IF(G242="","待开奖",IF(ISNUMBER(SEARCH(G242,E242)),"命中","未命中"))))</f>
        <v/>
      </c>
      <c r="I242" s="32">
        <f>IF(B242="","",TEXT(B242,"00")&amp;"+5="&amp;E242)</f>
        <v/>
      </c>
    </row>
    <row r="243" ht="23" customHeight="1" s="21">
      <c r="A243" s="32">
        <f>IFERROR(LARGE(开奖记录!$A$2:$A$400,242),"")</f>
        <v/>
      </c>
      <c r="B243" s="32">
        <f>IF($A243="","",IFERROR(VLOOKUP($A243-1,开奖记录!$A:$L,3,FALSE),""))</f>
        <v/>
      </c>
      <c r="C243" s="32">
        <f>IF(B243="","",MOD(B243+4,49)+1)</f>
        <v/>
      </c>
      <c r="D243" s="32">
        <f>IF(C243="","",IFERROR(VLOOKUP(C243,规律参数!$A:$C,2,FALSE),""))</f>
        <v/>
      </c>
      <c r="E243" s="36">
        <f>IF(C243="","",IFERROR(VLOOKUP(C243,规律参数!$A:$C,3,FALSE),""))</f>
        <v/>
      </c>
      <c r="F243" s="32">
        <f>IF($A243="","",IFERROR(VLOOKUP($A243,开奖记录!$A:$L,9,FALSE),""))</f>
        <v/>
      </c>
      <c r="G243" s="32">
        <f>IF($A243="","",IFERROR(VLOOKUP($A243,开奖记录!$A:$L,11,FALSE),""))</f>
        <v/>
      </c>
      <c r="H243" s="32">
        <f>IF(A243="","",IF(B243="","缺上期数据",IF(G243="","待开奖",IF(ISNUMBER(SEARCH(G243,E243)),"命中","未命中"))))</f>
        <v/>
      </c>
      <c r="I243" s="32">
        <f>IF(B243="","",TEXT(B243,"00")&amp;"+5="&amp;E243)</f>
        <v/>
      </c>
    </row>
    <row r="244" ht="23" customHeight="1" s="21">
      <c r="A244" s="32">
        <f>IFERROR(LARGE(开奖记录!$A$2:$A$400,243),"")</f>
        <v/>
      </c>
      <c r="B244" s="32">
        <f>IF($A244="","",IFERROR(VLOOKUP($A244-1,开奖记录!$A:$L,3,FALSE),""))</f>
        <v/>
      </c>
      <c r="C244" s="32">
        <f>IF(B244="","",MOD(B244+4,49)+1)</f>
        <v/>
      </c>
      <c r="D244" s="32">
        <f>IF(C244="","",IFERROR(VLOOKUP(C244,规律参数!$A:$C,2,FALSE),""))</f>
        <v/>
      </c>
      <c r="E244" s="36">
        <f>IF(C244="","",IFERROR(VLOOKUP(C244,规律参数!$A:$C,3,FALSE),""))</f>
        <v/>
      </c>
      <c r="F244" s="32">
        <f>IF($A244="","",IFERROR(VLOOKUP($A244,开奖记录!$A:$L,9,FALSE),""))</f>
        <v/>
      </c>
      <c r="G244" s="32">
        <f>IF($A244="","",IFERROR(VLOOKUP($A244,开奖记录!$A:$L,11,FALSE),""))</f>
        <v/>
      </c>
      <c r="H244" s="32">
        <f>IF(A244="","",IF(B244="","缺上期数据",IF(G244="","待开奖",IF(ISNUMBER(SEARCH(G244,E244)),"命中","未命中"))))</f>
        <v/>
      </c>
      <c r="I244" s="32">
        <f>IF(B244="","",TEXT(B244,"00")&amp;"+5="&amp;E244)</f>
        <v/>
      </c>
    </row>
    <row r="245" ht="23" customHeight="1" s="21">
      <c r="A245" s="32">
        <f>IFERROR(LARGE(开奖记录!$A$2:$A$400,244),"")</f>
        <v/>
      </c>
      <c r="B245" s="32">
        <f>IF($A245="","",IFERROR(VLOOKUP($A245-1,开奖记录!$A:$L,3,FALSE),""))</f>
        <v/>
      </c>
      <c r="C245" s="32">
        <f>IF(B245="","",MOD(B245+4,49)+1)</f>
        <v/>
      </c>
      <c r="D245" s="32">
        <f>IF(C245="","",IFERROR(VLOOKUP(C245,规律参数!$A:$C,2,FALSE),""))</f>
        <v/>
      </c>
      <c r="E245" s="36">
        <f>IF(C245="","",IFERROR(VLOOKUP(C245,规律参数!$A:$C,3,FALSE),""))</f>
        <v/>
      </c>
      <c r="F245" s="32">
        <f>IF($A245="","",IFERROR(VLOOKUP($A245,开奖记录!$A:$L,9,FALSE),""))</f>
        <v/>
      </c>
      <c r="G245" s="32">
        <f>IF($A245="","",IFERROR(VLOOKUP($A245,开奖记录!$A:$L,11,FALSE),""))</f>
        <v/>
      </c>
      <c r="H245" s="32">
        <f>IF(A245="","",IF(B245="","缺上期数据",IF(G245="","待开奖",IF(ISNUMBER(SEARCH(G245,E245)),"命中","未命中"))))</f>
        <v/>
      </c>
      <c r="I245" s="32">
        <f>IF(B245="","",TEXT(B245,"00")&amp;"+5="&amp;E245)</f>
        <v/>
      </c>
    </row>
    <row r="246" ht="23" customHeight="1" s="21">
      <c r="A246" s="32">
        <f>IFERROR(LARGE(开奖记录!$A$2:$A$400,245),"")</f>
        <v/>
      </c>
      <c r="B246" s="32">
        <f>IF($A246="","",IFERROR(VLOOKUP($A246-1,开奖记录!$A:$L,3,FALSE),""))</f>
        <v/>
      </c>
      <c r="C246" s="32">
        <f>IF(B246="","",MOD(B246+4,49)+1)</f>
        <v/>
      </c>
      <c r="D246" s="32">
        <f>IF(C246="","",IFERROR(VLOOKUP(C246,规律参数!$A:$C,2,FALSE),""))</f>
        <v/>
      </c>
      <c r="E246" s="36">
        <f>IF(C246="","",IFERROR(VLOOKUP(C246,规律参数!$A:$C,3,FALSE),""))</f>
        <v/>
      </c>
      <c r="F246" s="32">
        <f>IF($A246="","",IFERROR(VLOOKUP($A246,开奖记录!$A:$L,9,FALSE),""))</f>
        <v/>
      </c>
      <c r="G246" s="32">
        <f>IF($A246="","",IFERROR(VLOOKUP($A246,开奖记录!$A:$L,11,FALSE),""))</f>
        <v/>
      </c>
      <c r="H246" s="32">
        <f>IF(A246="","",IF(B246="","缺上期数据",IF(G246="","待开奖",IF(ISNUMBER(SEARCH(G246,E246)),"命中","未命中"))))</f>
        <v/>
      </c>
      <c r="I246" s="32">
        <f>IF(B246="","",TEXT(B246,"00")&amp;"+5="&amp;E246)</f>
        <v/>
      </c>
    </row>
    <row r="247" ht="23" customHeight="1" s="21">
      <c r="A247" s="32">
        <f>IFERROR(LARGE(开奖记录!$A$2:$A$400,246),"")</f>
        <v/>
      </c>
      <c r="B247" s="32">
        <f>IF($A247="","",IFERROR(VLOOKUP($A247-1,开奖记录!$A:$L,3,FALSE),""))</f>
        <v/>
      </c>
      <c r="C247" s="32">
        <f>IF(B247="","",MOD(B247+4,49)+1)</f>
        <v/>
      </c>
      <c r="D247" s="32">
        <f>IF(C247="","",IFERROR(VLOOKUP(C247,规律参数!$A:$C,2,FALSE),""))</f>
        <v/>
      </c>
      <c r="E247" s="36">
        <f>IF(C247="","",IFERROR(VLOOKUP(C247,规律参数!$A:$C,3,FALSE),""))</f>
        <v/>
      </c>
      <c r="F247" s="32">
        <f>IF($A247="","",IFERROR(VLOOKUP($A247,开奖记录!$A:$L,9,FALSE),""))</f>
        <v/>
      </c>
      <c r="G247" s="32">
        <f>IF($A247="","",IFERROR(VLOOKUP($A247,开奖记录!$A:$L,11,FALSE),""))</f>
        <v/>
      </c>
      <c r="H247" s="32">
        <f>IF(A247="","",IF(B247="","缺上期数据",IF(G247="","待开奖",IF(ISNUMBER(SEARCH(G247,E247)),"命中","未命中"))))</f>
        <v/>
      </c>
      <c r="I247" s="32">
        <f>IF(B247="","",TEXT(B247,"00")&amp;"+5="&amp;E247)</f>
        <v/>
      </c>
    </row>
    <row r="248" ht="23" customHeight="1" s="21">
      <c r="A248" s="32">
        <f>IFERROR(LARGE(开奖记录!$A$2:$A$400,247),"")</f>
        <v/>
      </c>
      <c r="B248" s="32">
        <f>IF($A248="","",IFERROR(VLOOKUP($A248-1,开奖记录!$A:$L,3,FALSE),""))</f>
        <v/>
      </c>
      <c r="C248" s="32">
        <f>IF(B248="","",MOD(B248+4,49)+1)</f>
        <v/>
      </c>
      <c r="D248" s="32">
        <f>IF(C248="","",IFERROR(VLOOKUP(C248,规律参数!$A:$C,2,FALSE),""))</f>
        <v/>
      </c>
      <c r="E248" s="36">
        <f>IF(C248="","",IFERROR(VLOOKUP(C248,规律参数!$A:$C,3,FALSE),""))</f>
        <v/>
      </c>
      <c r="F248" s="32">
        <f>IF($A248="","",IFERROR(VLOOKUP($A248,开奖记录!$A:$L,9,FALSE),""))</f>
        <v/>
      </c>
      <c r="G248" s="32">
        <f>IF($A248="","",IFERROR(VLOOKUP($A248,开奖记录!$A:$L,11,FALSE),""))</f>
        <v/>
      </c>
      <c r="H248" s="32">
        <f>IF(A248="","",IF(B248="","缺上期数据",IF(G248="","待开奖",IF(ISNUMBER(SEARCH(G248,E248)),"命中","未命中"))))</f>
        <v/>
      </c>
      <c r="I248" s="32">
        <f>IF(B248="","",TEXT(B248,"00")&amp;"+5="&amp;E248)</f>
        <v/>
      </c>
    </row>
    <row r="249" ht="23" customHeight="1" s="21">
      <c r="A249" s="32">
        <f>IFERROR(LARGE(开奖记录!$A$2:$A$400,248),"")</f>
        <v/>
      </c>
      <c r="B249" s="32">
        <f>IF($A249="","",IFERROR(VLOOKUP($A249-1,开奖记录!$A:$L,3,FALSE),""))</f>
        <v/>
      </c>
      <c r="C249" s="32">
        <f>IF(B249="","",MOD(B249+4,49)+1)</f>
        <v/>
      </c>
      <c r="D249" s="32">
        <f>IF(C249="","",IFERROR(VLOOKUP(C249,规律参数!$A:$C,2,FALSE),""))</f>
        <v/>
      </c>
      <c r="E249" s="36">
        <f>IF(C249="","",IFERROR(VLOOKUP(C249,规律参数!$A:$C,3,FALSE),""))</f>
        <v/>
      </c>
      <c r="F249" s="32">
        <f>IF($A249="","",IFERROR(VLOOKUP($A249,开奖记录!$A:$L,9,FALSE),""))</f>
        <v/>
      </c>
      <c r="G249" s="32">
        <f>IF($A249="","",IFERROR(VLOOKUP($A249,开奖记录!$A:$L,11,FALSE),""))</f>
        <v/>
      </c>
      <c r="H249" s="32">
        <f>IF(A249="","",IF(B249="","缺上期数据",IF(G249="","待开奖",IF(ISNUMBER(SEARCH(G249,E249)),"命中","未命中"))))</f>
        <v/>
      </c>
      <c r="I249" s="32">
        <f>IF(B249="","",TEXT(B249,"00")&amp;"+5="&amp;E249)</f>
        <v/>
      </c>
    </row>
    <row r="250" ht="23" customHeight="1" s="21">
      <c r="A250" s="32">
        <f>IFERROR(LARGE(开奖记录!$A$2:$A$400,249),"")</f>
        <v/>
      </c>
      <c r="B250" s="32">
        <f>IF($A250="","",IFERROR(VLOOKUP($A250-1,开奖记录!$A:$L,3,FALSE),""))</f>
        <v/>
      </c>
      <c r="C250" s="32">
        <f>IF(B250="","",MOD(B250+4,49)+1)</f>
        <v/>
      </c>
      <c r="D250" s="32">
        <f>IF(C250="","",IFERROR(VLOOKUP(C250,规律参数!$A:$C,2,FALSE),""))</f>
        <v/>
      </c>
      <c r="E250" s="36">
        <f>IF(C250="","",IFERROR(VLOOKUP(C250,规律参数!$A:$C,3,FALSE),""))</f>
        <v/>
      </c>
      <c r="F250" s="32">
        <f>IF($A250="","",IFERROR(VLOOKUP($A250,开奖记录!$A:$L,9,FALSE),""))</f>
        <v/>
      </c>
      <c r="G250" s="32">
        <f>IF($A250="","",IFERROR(VLOOKUP($A250,开奖记录!$A:$L,11,FALSE),""))</f>
        <v/>
      </c>
      <c r="H250" s="32">
        <f>IF(A250="","",IF(B250="","缺上期数据",IF(G250="","待开奖",IF(ISNUMBER(SEARCH(G250,E250)),"命中","未命中"))))</f>
        <v/>
      </c>
      <c r="I250" s="32">
        <f>IF(B250="","",TEXT(B250,"00")&amp;"+5="&amp;E250)</f>
        <v/>
      </c>
    </row>
    <row r="251" ht="23" customHeight="1" s="21">
      <c r="A251" s="32">
        <f>IFERROR(LARGE(开奖记录!$A$2:$A$400,250),"")</f>
        <v/>
      </c>
      <c r="B251" s="32">
        <f>IF($A251="","",IFERROR(VLOOKUP($A251-1,开奖记录!$A:$L,3,FALSE),""))</f>
        <v/>
      </c>
      <c r="C251" s="32">
        <f>IF(B251="","",MOD(B251+4,49)+1)</f>
        <v/>
      </c>
      <c r="D251" s="32">
        <f>IF(C251="","",IFERROR(VLOOKUP(C251,规律参数!$A:$C,2,FALSE),""))</f>
        <v/>
      </c>
      <c r="E251" s="36">
        <f>IF(C251="","",IFERROR(VLOOKUP(C251,规律参数!$A:$C,3,FALSE),""))</f>
        <v/>
      </c>
      <c r="F251" s="32">
        <f>IF($A251="","",IFERROR(VLOOKUP($A251,开奖记录!$A:$L,9,FALSE),""))</f>
        <v/>
      </c>
      <c r="G251" s="32">
        <f>IF($A251="","",IFERROR(VLOOKUP($A251,开奖记录!$A:$L,11,FALSE),""))</f>
        <v/>
      </c>
      <c r="H251" s="32">
        <f>IF(A251="","",IF(B251="","缺上期数据",IF(G251="","待开奖",IF(ISNUMBER(SEARCH(G251,E251)),"命中","未命中"))))</f>
        <v/>
      </c>
      <c r="I251" s="32">
        <f>IF(B251="","",TEXT(B251,"00")&amp;"+5="&amp;E251)</f>
        <v/>
      </c>
    </row>
    <row r="252" ht="23" customHeight="1" s="21">
      <c r="A252" s="32">
        <f>IFERROR(LARGE(开奖记录!$A$2:$A$400,251),"")</f>
        <v/>
      </c>
      <c r="B252" s="32">
        <f>IF($A252="","",IFERROR(VLOOKUP($A252-1,开奖记录!$A:$L,3,FALSE),""))</f>
        <v/>
      </c>
      <c r="C252" s="32">
        <f>IF(B252="","",MOD(B252+4,49)+1)</f>
        <v/>
      </c>
      <c r="D252" s="32">
        <f>IF(C252="","",IFERROR(VLOOKUP(C252,规律参数!$A:$C,2,FALSE),""))</f>
        <v/>
      </c>
      <c r="E252" s="36">
        <f>IF(C252="","",IFERROR(VLOOKUP(C252,规律参数!$A:$C,3,FALSE),""))</f>
        <v/>
      </c>
      <c r="F252" s="32">
        <f>IF($A252="","",IFERROR(VLOOKUP($A252,开奖记录!$A:$L,9,FALSE),""))</f>
        <v/>
      </c>
      <c r="G252" s="32">
        <f>IF($A252="","",IFERROR(VLOOKUP($A252,开奖记录!$A:$L,11,FALSE),""))</f>
        <v/>
      </c>
      <c r="H252" s="32">
        <f>IF(A252="","",IF(B252="","缺上期数据",IF(G252="","待开奖",IF(ISNUMBER(SEARCH(G252,E252)),"命中","未命中"))))</f>
        <v/>
      </c>
      <c r="I252" s="32">
        <f>IF(B252="","",TEXT(B252,"00")&amp;"+5="&amp;E252)</f>
        <v/>
      </c>
    </row>
    <row r="253" ht="23" customHeight="1" s="21">
      <c r="A253" s="32">
        <f>IFERROR(LARGE(开奖记录!$A$2:$A$400,252),"")</f>
        <v/>
      </c>
      <c r="B253" s="32">
        <f>IF($A253="","",IFERROR(VLOOKUP($A253-1,开奖记录!$A:$L,3,FALSE),""))</f>
        <v/>
      </c>
      <c r="C253" s="32">
        <f>IF(B253="","",MOD(B253+4,49)+1)</f>
        <v/>
      </c>
      <c r="D253" s="32">
        <f>IF(C253="","",IFERROR(VLOOKUP(C253,规律参数!$A:$C,2,FALSE),""))</f>
        <v/>
      </c>
      <c r="E253" s="36">
        <f>IF(C253="","",IFERROR(VLOOKUP(C253,规律参数!$A:$C,3,FALSE),""))</f>
        <v/>
      </c>
      <c r="F253" s="32">
        <f>IF($A253="","",IFERROR(VLOOKUP($A253,开奖记录!$A:$L,9,FALSE),""))</f>
        <v/>
      </c>
      <c r="G253" s="32">
        <f>IF($A253="","",IFERROR(VLOOKUP($A253,开奖记录!$A:$L,11,FALSE),""))</f>
        <v/>
      </c>
      <c r="H253" s="32">
        <f>IF(A253="","",IF(B253="","缺上期数据",IF(G253="","待开奖",IF(ISNUMBER(SEARCH(G253,E253)),"命中","未命中"))))</f>
        <v/>
      </c>
      <c r="I253" s="32">
        <f>IF(B253="","",TEXT(B253,"00")&amp;"+5="&amp;E253)</f>
        <v/>
      </c>
    </row>
    <row r="254" ht="23" customHeight="1" s="21">
      <c r="A254" s="32">
        <f>IFERROR(LARGE(开奖记录!$A$2:$A$400,253),"")</f>
        <v/>
      </c>
      <c r="B254" s="32">
        <f>IF($A254="","",IFERROR(VLOOKUP($A254-1,开奖记录!$A:$L,3,FALSE),""))</f>
        <v/>
      </c>
      <c r="C254" s="32">
        <f>IF(B254="","",MOD(B254+4,49)+1)</f>
        <v/>
      </c>
      <c r="D254" s="32">
        <f>IF(C254="","",IFERROR(VLOOKUP(C254,规律参数!$A:$C,2,FALSE),""))</f>
        <v/>
      </c>
      <c r="E254" s="36">
        <f>IF(C254="","",IFERROR(VLOOKUP(C254,规律参数!$A:$C,3,FALSE),""))</f>
        <v/>
      </c>
      <c r="F254" s="32">
        <f>IF($A254="","",IFERROR(VLOOKUP($A254,开奖记录!$A:$L,9,FALSE),""))</f>
        <v/>
      </c>
      <c r="G254" s="32">
        <f>IF($A254="","",IFERROR(VLOOKUP($A254,开奖记录!$A:$L,11,FALSE),""))</f>
        <v/>
      </c>
      <c r="H254" s="32">
        <f>IF(A254="","",IF(B254="","缺上期数据",IF(G254="","待开奖",IF(ISNUMBER(SEARCH(G254,E254)),"命中","未命中"))))</f>
        <v/>
      </c>
      <c r="I254" s="32">
        <f>IF(B254="","",TEXT(B254,"00")&amp;"+5="&amp;E254)</f>
        <v/>
      </c>
    </row>
    <row r="255" ht="23" customHeight="1" s="21">
      <c r="A255" s="32">
        <f>IFERROR(LARGE(开奖记录!$A$2:$A$400,254),"")</f>
        <v/>
      </c>
      <c r="B255" s="32">
        <f>IF($A255="","",IFERROR(VLOOKUP($A255-1,开奖记录!$A:$L,3,FALSE),""))</f>
        <v/>
      </c>
      <c r="C255" s="32">
        <f>IF(B255="","",MOD(B255+4,49)+1)</f>
        <v/>
      </c>
      <c r="D255" s="32">
        <f>IF(C255="","",IFERROR(VLOOKUP(C255,规律参数!$A:$C,2,FALSE),""))</f>
        <v/>
      </c>
      <c r="E255" s="36">
        <f>IF(C255="","",IFERROR(VLOOKUP(C255,规律参数!$A:$C,3,FALSE),""))</f>
        <v/>
      </c>
      <c r="F255" s="32">
        <f>IF($A255="","",IFERROR(VLOOKUP($A255,开奖记录!$A:$L,9,FALSE),""))</f>
        <v/>
      </c>
      <c r="G255" s="32">
        <f>IF($A255="","",IFERROR(VLOOKUP($A255,开奖记录!$A:$L,11,FALSE),""))</f>
        <v/>
      </c>
      <c r="H255" s="32">
        <f>IF(A255="","",IF(B255="","缺上期数据",IF(G255="","待开奖",IF(ISNUMBER(SEARCH(G255,E255)),"命中","未命中"))))</f>
        <v/>
      </c>
      <c r="I255" s="32">
        <f>IF(B255="","",TEXT(B255,"00")&amp;"+5="&amp;E255)</f>
        <v/>
      </c>
    </row>
    <row r="256" ht="23" customHeight="1" s="21">
      <c r="A256" s="32">
        <f>IFERROR(LARGE(开奖记录!$A$2:$A$400,255),"")</f>
        <v/>
      </c>
      <c r="B256" s="32">
        <f>IF($A256="","",IFERROR(VLOOKUP($A256-1,开奖记录!$A:$L,3,FALSE),""))</f>
        <v/>
      </c>
      <c r="C256" s="32">
        <f>IF(B256="","",MOD(B256+4,49)+1)</f>
        <v/>
      </c>
      <c r="D256" s="32">
        <f>IF(C256="","",IFERROR(VLOOKUP(C256,规律参数!$A:$C,2,FALSE),""))</f>
        <v/>
      </c>
      <c r="E256" s="36">
        <f>IF(C256="","",IFERROR(VLOOKUP(C256,规律参数!$A:$C,3,FALSE),""))</f>
        <v/>
      </c>
      <c r="F256" s="32">
        <f>IF($A256="","",IFERROR(VLOOKUP($A256,开奖记录!$A:$L,9,FALSE),""))</f>
        <v/>
      </c>
      <c r="G256" s="32">
        <f>IF($A256="","",IFERROR(VLOOKUP($A256,开奖记录!$A:$L,11,FALSE),""))</f>
        <v/>
      </c>
      <c r="H256" s="32">
        <f>IF(A256="","",IF(B256="","缺上期数据",IF(G256="","待开奖",IF(ISNUMBER(SEARCH(G256,E256)),"命中","未命中"))))</f>
        <v/>
      </c>
      <c r="I256" s="32">
        <f>IF(B256="","",TEXT(B256,"00")&amp;"+5="&amp;E256)</f>
        <v/>
      </c>
    </row>
    <row r="257" ht="23" customHeight="1" s="21">
      <c r="A257" s="32">
        <f>IFERROR(LARGE(开奖记录!$A$2:$A$400,256),"")</f>
        <v/>
      </c>
      <c r="B257" s="32">
        <f>IF($A257="","",IFERROR(VLOOKUP($A257-1,开奖记录!$A:$L,3,FALSE),""))</f>
        <v/>
      </c>
      <c r="C257" s="32">
        <f>IF(B257="","",MOD(B257+4,49)+1)</f>
        <v/>
      </c>
      <c r="D257" s="32">
        <f>IF(C257="","",IFERROR(VLOOKUP(C257,规律参数!$A:$C,2,FALSE),""))</f>
        <v/>
      </c>
      <c r="E257" s="36">
        <f>IF(C257="","",IFERROR(VLOOKUP(C257,规律参数!$A:$C,3,FALSE),""))</f>
        <v/>
      </c>
      <c r="F257" s="32">
        <f>IF($A257="","",IFERROR(VLOOKUP($A257,开奖记录!$A:$L,9,FALSE),""))</f>
        <v/>
      </c>
      <c r="G257" s="32">
        <f>IF($A257="","",IFERROR(VLOOKUP($A257,开奖记录!$A:$L,11,FALSE),""))</f>
        <v/>
      </c>
      <c r="H257" s="32">
        <f>IF(A257="","",IF(B257="","缺上期数据",IF(G257="","待开奖",IF(ISNUMBER(SEARCH(G257,E257)),"命中","未命中"))))</f>
        <v/>
      </c>
      <c r="I257" s="32">
        <f>IF(B257="","",TEXT(B257,"00")&amp;"+5="&amp;E257)</f>
        <v/>
      </c>
    </row>
    <row r="258" ht="23" customHeight="1" s="21">
      <c r="A258" s="32">
        <f>IFERROR(LARGE(开奖记录!$A$2:$A$400,257),"")</f>
        <v/>
      </c>
      <c r="B258" s="32">
        <f>IF($A258="","",IFERROR(VLOOKUP($A258-1,开奖记录!$A:$L,3,FALSE),""))</f>
        <v/>
      </c>
      <c r="C258" s="32">
        <f>IF(B258="","",MOD(B258+4,49)+1)</f>
        <v/>
      </c>
      <c r="D258" s="32">
        <f>IF(C258="","",IFERROR(VLOOKUP(C258,规律参数!$A:$C,2,FALSE),""))</f>
        <v/>
      </c>
      <c r="E258" s="36">
        <f>IF(C258="","",IFERROR(VLOOKUP(C258,规律参数!$A:$C,3,FALSE),""))</f>
        <v/>
      </c>
      <c r="F258" s="32">
        <f>IF($A258="","",IFERROR(VLOOKUP($A258,开奖记录!$A:$L,9,FALSE),""))</f>
        <v/>
      </c>
      <c r="G258" s="32">
        <f>IF($A258="","",IFERROR(VLOOKUP($A258,开奖记录!$A:$L,11,FALSE),""))</f>
        <v/>
      </c>
      <c r="H258" s="32">
        <f>IF(A258="","",IF(B258="","缺上期数据",IF(G258="","待开奖",IF(ISNUMBER(SEARCH(G258,E258)),"命中","未命中"))))</f>
        <v/>
      </c>
      <c r="I258" s="32">
        <f>IF(B258="","",TEXT(B258,"00")&amp;"+5="&amp;E258)</f>
        <v/>
      </c>
    </row>
    <row r="259" ht="23" customHeight="1" s="21">
      <c r="A259" s="32">
        <f>IFERROR(LARGE(开奖记录!$A$2:$A$400,258),"")</f>
        <v/>
      </c>
      <c r="B259" s="32">
        <f>IF($A259="","",IFERROR(VLOOKUP($A259-1,开奖记录!$A:$L,3,FALSE),""))</f>
        <v/>
      </c>
      <c r="C259" s="32">
        <f>IF(B259="","",MOD(B259+4,49)+1)</f>
        <v/>
      </c>
      <c r="D259" s="32">
        <f>IF(C259="","",IFERROR(VLOOKUP(C259,规律参数!$A:$C,2,FALSE),""))</f>
        <v/>
      </c>
      <c r="E259" s="36">
        <f>IF(C259="","",IFERROR(VLOOKUP(C259,规律参数!$A:$C,3,FALSE),""))</f>
        <v/>
      </c>
      <c r="F259" s="32">
        <f>IF($A259="","",IFERROR(VLOOKUP($A259,开奖记录!$A:$L,9,FALSE),""))</f>
        <v/>
      </c>
      <c r="G259" s="32">
        <f>IF($A259="","",IFERROR(VLOOKUP($A259,开奖记录!$A:$L,11,FALSE),""))</f>
        <v/>
      </c>
      <c r="H259" s="32">
        <f>IF(A259="","",IF(B259="","缺上期数据",IF(G259="","待开奖",IF(ISNUMBER(SEARCH(G259,E259)),"命中","未命中"))))</f>
        <v/>
      </c>
      <c r="I259" s="32">
        <f>IF(B259="","",TEXT(B259,"00")&amp;"+5="&amp;E259)</f>
        <v/>
      </c>
    </row>
    <row r="260" ht="23" customHeight="1" s="21">
      <c r="A260" s="32">
        <f>IFERROR(LARGE(开奖记录!$A$2:$A$400,259),"")</f>
        <v/>
      </c>
      <c r="B260" s="32">
        <f>IF($A260="","",IFERROR(VLOOKUP($A260-1,开奖记录!$A:$L,3,FALSE),""))</f>
        <v/>
      </c>
      <c r="C260" s="32">
        <f>IF(B260="","",MOD(B260+4,49)+1)</f>
        <v/>
      </c>
      <c r="D260" s="32">
        <f>IF(C260="","",IFERROR(VLOOKUP(C260,规律参数!$A:$C,2,FALSE),""))</f>
        <v/>
      </c>
      <c r="E260" s="36">
        <f>IF(C260="","",IFERROR(VLOOKUP(C260,规律参数!$A:$C,3,FALSE),""))</f>
        <v/>
      </c>
      <c r="F260" s="32">
        <f>IF($A260="","",IFERROR(VLOOKUP($A260,开奖记录!$A:$L,9,FALSE),""))</f>
        <v/>
      </c>
      <c r="G260" s="32">
        <f>IF($A260="","",IFERROR(VLOOKUP($A260,开奖记录!$A:$L,11,FALSE),""))</f>
        <v/>
      </c>
      <c r="H260" s="32">
        <f>IF(A260="","",IF(B260="","缺上期数据",IF(G260="","待开奖",IF(ISNUMBER(SEARCH(G260,E260)),"命中","未命中"))))</f>
        <v/>
      </c>
      <c r="I260" s="32">
        <f>IF(B260="","",TEXT(B260,"00")&amp;"+5="&amp;E260)</f>
        <v/>
      </c>
    </row>
    <row r="261" ht="23" customHeight="1" s="21">
      <c r="A261" s="32">
        <f>IFERROR(LARGE(开奖记录!$A$2:$A$400,260),"")</f>
        <v/>
      </c>
      <c r="B261" s="32">
        <f>IF($A261="","",IFERROR(VLOOKUP($A261-1,开奖记录!$A:$L,3,FALSE),""))</f>
        <v/>
      </c>
      <c r="C261" s="32">
        <f>IF(B261="","",MOD(B261+4,49)+1)</f>
        <v/>
      </c>
      <c r="D261" s="32">
        <f>IF(C261="","",IFERROR(VLOOKUP(C261,规律参数!$A:$C,2,FALSE),""))</f>
        <v/>
      </c>
      <c r="E261" s="36">
        <f>IF(C261="","",IFERROR(VLOOKUP(C261,规律参数!$A:$C,3,FALSE),""))</f>
        <v/>
      </c>
      <c r="F261" s="32">
        <f>IF($A261="","",IFERROR(VLOOKUP($A261,开奖记录!$A:$L,9,FALSE),""))</f>
        <v/>
      </c>
      <c r="G261" s="32">
        <f>IF($A261="","",IFERROR(VLOOKUP($A261,开奖记录!$A:$L,11,FALSE),""))</f>
        <v/>
      </c>
      <c r="H261" s="32">
        <f>IF(A261="","",IF(B261="","缺上期数据",IF(G261="","待开奖",IF(ISNUMBER(SEARCH(G261,E261)),"命中","未命中"))))</f>
        <v/>
      </c>
      <c r="I261" s="32">
        <f>IF(B261="","",TEXT(B261,"00")&amp;"+5="&amp;E261)</f>
        <v/>
      </c>
    </row>
    <row r="262" ht="23" customHeight="1" s="21">
      <c r="A262" s="32">
        <f>IFERROR(LARGE(开奖记录!$A$2:$A$400,261),"")</f>
        <v/>
      </c>
      <c r="B262" s="32">
        <f>IF($A262="","",IFERROR(VLOOKUP($A262-1,开奖记录!$A:$L,3,FALSE),""))</f>
        <v/>
      </c>
      <c r="C262" s="32">
        <f>IF(B262="","",MOD(B262+4,49)+1)</f>
        <v/>
      </c>
      <c r="D262" s="32">
        <f>IF(C262="","",IFERROR(VLOOKUP(C262,规律参数!$A:$C,2,FALSE),""))</f>
        <v/>
      </c>
      <c r="E262" s="36">
        <f>IF(C262="","",IFERROR(VLOOKUP(C262,规律参数!$A:$C,3,FALSE),""))</f>
        <v/>
      </c>
      <c r="F262" s="32">
        <f>IF($A262="","",IFERROR(VLOOKUP($A262,开奖记录!$A:$L,9,FALSE),""))</f>
        <v/>
      </c>
      <c r="G262" s="32">
        <f>IF($A262="","",IFERROR(VLOOKUP($A262,开奖记录!$A:$L,11,FALSE),""))</f>
        <v/>
      </c>
      <c r="H262" s="32">
        <f>IF(A262="","",IF(B262="","缺上期数据",IF(G262="","待开奖",IF(ISNUMBER(SEARCH(G262,E262)),"命中","未命中"))))</f>
        <v/>
      </c>
      <c r="I262" s="32">
        <f>IF(B262="","",TEXT(B262,"00")&amp;"+5="&amp;E262)</f>
        <v/>
      </c>
    </row>
    <row r="263" ht="23" customHeight="1" s="21">
      <c r="A263" s="32">
        <f>IFERROR(LARGE(开奖记录!$A$2:$A$400,262),"")</f>
        <v/>
      </c>
      <c r="B263" s="32">
        <f>IF($A263="","",IFERROR(VLOOKUP($A263-1,开奖记录!$A:$L,3,FALSE),""))</f>
        <v/>
      </c>
      <c r="C263" s="32">
        <f>IF(B263="","",MOD(B263+4,49)+1)</f>
        <v/>
      </c>
      <c r="D263" s="32">
        <f>IF(C263="","",IFERROR(VLOOKUP(C263,规律参数!$A:$C,2,FALSE),""))</f>
        <v/>
      </c>
      <c r="E263" s="36">
        <f>IF(C263="","",IFERROR(VLOOKUP(C263,规律参数!$A:$C,3,FALSE),""))</f>
        <v/>
      </c>
      <c r="F263" s="32">
        <f>IF($A263="","",IFERROR(VLOOKUP($A263,开奖记录!$A:$L,9,FALSE),""))</f>
        <v/>
      </c>
      <c r="G263" s="32">
        <f>IF($A263="","",IFERROR(VLOOKUP($A263,开奖记录!$A:$L,11,FALSE),""))</f>
        <v/>
      </c>
      <c r="H263" s="32">
        <f>IF(A263="","",IF(B263="","缺上期数据",IF(G263="","待开奖",IF(ISNUMBER(SEARCH(G263,E263)),"命中","未命中"))))</f>
        <v/>
      </c>
      <c r="I263" s="32">
        <f>IF(B263="","",TEXT(B263,"00")&amp;"+5="&amp;E263)</f>
        <v/>
      </c>
    </row>
    <row r="264" ht="23" customHeight="1" s="21">
      <c r="A264" s="32">
        <f>IFERROR(LARGE(开奖记录!$A$2:$A$400,263),"")</f>
        <v/>
      </c>
      <c r="B264" s="32">
        <f>IF($A264="","",IFERROR(VLOOKUP($A264-1,开奖记录!$A:$L,3,FALSE),""))</f>
        <v/>
      </c>
      <c r="C264" s="32">
        <f>IF(B264="","",MOD(B264+4,49)+1)</f>
        <v/>
      </c>
      <c r="D264" s="32">
        <f>IF(C264="","",IFERROR(VLOOKUP(C264,规律参数!$A:$C,2,FALSE),""))</f>
        <v/>
      </c>
      <c r="E264" s="36">
        <f>IF(C264="","",IFERROR(VLOOKUP(C264,规律参数!$A:$C,3,FALSE),""))</f>
        <v/>
      </c>
      <c r="F264" s="32">
        <f>IF($A264="","",IFERROR(VLOOKUP($A264,开奖记录!$A:$L,9,FALSE),""))</f>
        <v/>
      </c>
      <c r="G264" s="32">
        <f>IF($A264="","",IFERROR(VLOOKUP($A264,开奖记录!$A:$L,11,FALSE),""))</f>
        <v/>
      </c>
      <c r="H264" s="32">
        <f>IF(A264="","",IF(B264="","缺上期数据",IF(G264="","待开奖",IF(ISNUMBER(SEARCH(G264,E264)),"命中","未命中"))))</f>
        <v/>
      </c>
      <c r="I264" s="32">
        <f>IF(B264="","",TEXT(B264,"00")&amp;"+5="&amp;E264)</f>
        <v/>
      </c>
    </row>
    <row r="265" ht="23" customHeight="1" s="21">
      <c r="A265" s="32">
        <f>IFERROR(LARGE(开奖记录!$A$2:$A$400,264),"")</f>
        <v/>
      </c>
      <c r="B265" s="32">
        <f>IF($A265="","",IFERROR(VLOOKUP($A265-1,开奖记录!$A:$L,3,FALSE),""))</f>
        <v/>
      </c>
      <c r="C265" s="32">
        <f>IF(B265="","",MOD(B265+4,49)+1)</f>
        <v/>
      </c>
      <c r="D265" s="32">
        <f>IF(C265="","",IFERROR(VLOOKUP(C265,规律参数!$A:$C,2,FALSE),""))</f>
        <v/>
      </c>
      <c r="E265" s="36">
        <f>IF(C265="","",IFERROR(VLOOKUP(C265,规律参数!$A:$C,3,FALSE),""))</f>
        <v/>
      </c>
      <c r="F265" s="32">
        <f>IF($A265="","",IFERROR(VLOOKUP($A265,开奖记录!$A:$L,9,FALSE),""))</f>
        <v/>
      </c>
      <c r="G265" s="32">
        <f>IF($A265="","",IFERROR(VLOOKUP($A265,开奖记录!$A:$L,11,FALSE),""))</f>
        <v/>
      </c>
      <c r="H265" s="32">
        <f>IF(A265="","",IF(B265="","缺上期数据",IF(G265="","待开奖",IF(ISNUMBER(SEARCH(G265,E265)),"命中","未命中"))))</f>
        <v/>
      </c>
      <c r="I265" s="32">
        <f>IF(B265="","",TEXT(B265,"00")&amp;"+5="&amp;E265)</f>
        <v/>
      </c>
    </row>
    <row r="266" ht="23" customHeight="1" s="21">
      <c r="A266" s="32">
        <f>IFERROR(LARGE(开奖记录!$A$2:$A$400,265),"")</f>
        <v/>
      </c>
      <c r="B266" s="32">
        <f>IF($A266="","",IFERROR(VLOOKUP($A266-1,开奖记录!$A:$L,3,FALSE),""))</f>
        <v/>
      </c>
      <c r="C266" s="32">
        <f>IF(B266="","",MOD(B266+4,49)+1)</f>
        <v/>
      </c>
      <c r="D266" s="32">
        <f>IF(C266="","",IFERROR(VLOOKUP(C266,规律参数!$A:$C,2,FALSE),""))</f>
        <v/>
      </c>
      <c r="E266" s="36">
        <f>IF(C266="","",IFERROR(VLOOKUP(C266,规律参数!$A:$C,3,FALSE),""))</f>
        <v/>
      </c>
      <c r="F266" s="32">
        <f>IF($A266="","",IFERROR(VLOOKUP($A266,开奖记录!$A:$L,9,FALSE),""))</f>
        <v/>
      </c>
      <c r="G266" s="32">
        <f>IF($A266="","",IFERROR(VLOOKUP($A266,开奖记录!$A:$L,11,FALSE),""))</f>
        <v/>
      </c>
      <c r="H266" s="32">
        <f>IF(A266="","",IF(B266="","缺上期数据",IF(G266="","待开奖",IF(ISNUMBER(SEARCH(G266,E266)),"命中","未命中"))))</f>
        <v/>
      </c>
      <c r="I266" s="32">
        <f>IF(B266="","",TEXT(B266,"00")&amp;"+5="&amp;E266)</f>
        <v/>
      </c>
    </row>
    <row r="267" ht="23" customHeight="1" s="21">
      <c r="A267" s="32">
        <f>IFERROR(LARGE(开奖记录!$A$2:$A$400,266),"")</f>
        <v/>
      </c>
      <c r="B267" s="32">
        <f>IF($A267="","",IFERROR(VLOOKUP($A267-1,开奖记录!$A:$L,3,FALSE),""))</f>
        <v/>
      </c>
      <c r="C267" s="32">
        <f>IF(B267="","",MOD(B267+4,49)+1)</f>
        <v/>
      </c>
      <c r="D267" s="32">
        <f>IF(C267="","",IFERROR(VLOOKUP(C267,规律参数!$A:$C,2,FALSE),""))</f>
        <v/>
      </c>
      <c r="E267" s="36">
        <f>IF(C267="","",IFERROR(VLOOKUP(C267,规律参数!$A:$C,3,FALSE),""))</f>
        <v/>
      </c>
      <c r="F267" s="32">
        <f>IF($A267="","",IFERROR(VLOOKUP($A267,开奖记录!$A:$L,9,FALSE),""))</f>
        <v/>
      </c>
      <c r="G267" s="32">
        <f>IF($A267="","",IFERROR(VLOOKUP($A267,开奖记录!$A:$L,11,FALSE),""))</f>
        <v/>
      </c>
      <c r="H267" s="32">
        <f>IF(A267="","",IF(B267="","缺上期数据",IF(G267="","待开奖",IF(ISNUMBER(SEARCH(G267,E267)),"命中","未命中"))))</f>
        <v/>
      </c>
      <c r="I267" s="32">
        <f>IF(B267="","",TEXT(B267,"00")&amp;"+5="&amp;E267)</f>
        <v/>
      </c>
    </row>
    <row r="268" ht="23" customHeight="1" s="21">
      <c r="A268" s="32">
        <f>IFERROR(LARGE(开奖记录!$A$2:$A$400,267),"")</f>
        <v/>
      </c>
      <c r="B268" s="32">
        <f>IF($A268="","",IFERROR(VLOOKUP($A268-1,开奖记录!$A:$L,3,FALSE),""))</f>
        <v/>
      </c>
      <c r="C268" s="32">
        <f>IF(B268="","",MOD(B268+4,49)+1)</f>
        <v/>
      </c>
      <c r="D268" s="32">
        <f>IF(C268="","",IFERROR(VLOOKUP(C268,规律参数!$A:$C,2,FALSE),""))</f>
        <v/>
      </c>
      <c r="E268" s="36">
        <f>IF(C268="","",IFERROR(VLOOKUP(C268,规律参数!$A:$C,3,FALSE),""))</f>
        <v/>
      </c>
      <c r="F268" s="32">
        <f>IF($A268="","",IFERROR(VLOOKUP($A268,开奖记录!$A:$L,9,FALSE),""))</f>
        <v/>
      </c>
      <c r="G268" s="32">
        <f>IF($A268="","",IFERROR(VLOOKUP($A268,开奖记录!$A:$L,11,FALSE),""))</f>
        <v/>
      </c>
      <c r="H268" s="32">
        <f>IF(A268="","",IF(B268="","缺上期数据",IF(G268="","待开奖",IF(ISNUMBER(SEARCH(G268,E268)),"命中","未命中"))))</f>
        <v/>
      </c>
      <c r="I268" s="32">
        <f>IF(B268="","",TEXT(B268,"00")&amp;"+5="&amp;E268)</f>
        <v/>
      </c>
    </row>
    <row r="269" ht="23" customHeight="1" s="21">
      <c r="A269" s="32">
        <f>IFERROR(LARGE(开奖记录!$A$2:$A$400,268),"")</f>
        <v/>
      </c>
      <c r="B269" s="32">
        <f>IF($A269="","",IFERROR(VLOOKUP($A269-1,开奖记录!$A:$L,3,FALSE),""))</f>
        <v/>
      </c>
      <c r="C269" s="32">
        <f>IF(B269="","",MOD(B269+4,49)+1)</f>
        <v/>
      </c>
      <c r="D269" s="32">
        <f>IF(C269="","",IFERROR(VLOOKUP(C269,规律参数!$A:$C,2,FALSE),""))</f>
        <v/>
      </c>
      <c r="E269" s="36">
        <f>IF(C269="","",IFERROR(VLOOKUP(C269,规律参数!$A:$C,3,FALSE),""))</f>
        <v/>
      </c>
      <c r="F269" s="32">
        <f>IF($A269="","",IFERROR(VLOOKUP($A269,开奖记录!$A:$L,9,FALSE),""))</f>
        <v/>
      </c>
      <c r="G269" s="32">
        <f>IF($A269="","",IFERROR(VLOOKUP($A269,开奖记录!$A:$L,11,FALSE),""))</f>
        <v/>
      </c>
      <c r="H269" s="32">
        <f>IF(A269="","",IF(B269="","缺上期数据",IF(G269="","待开奖",IF(ISNUMBER(SEARCH(G269,E269)),"命中","未命中"))))</f>
        <v/>
      </c>
      <c r="I269" s="32">
        <f>IF(B269="","",TEXT(B269,"00")&amp;"+5="&amp;E269)</f>
        <v/>
      </c>
    </row>
    <row r="270" ht="23" customHeight="1" s="21">
      <c r="A270" s="32">
        <f>IFERROR(LARGE(开奖记录!$A$2:$A$400,269),"")</f>
        <v/>
      </c>
      <c r="B270" s="32">
        <f>IF($A270="","",IFERROR(VLOOKUP($A270-1,开奖记录!$A:$L,3,FALSE),""))</f>
        <v/>
      </c>
      <c r="C270" s="32">
        <f>IF(B270="","",MOD(B270+4,49)+1)</f>
        <v/>
      </c>
      <c r="D270" s="32">
        <f>IF(C270="","",IFERROR(VLOOKUP(C270,规律参数!$A:$C,2,FALSE),""))</f>
        <v/>
      </c>
      <c r="E270" s="36">
        <f>IF(C270="","",IFERROR(VLOOKUP(C270,规律参数!$A:$C,3,FALSE),""))</f>
        <v/>
      </c>
      <c r="F270" s="32">
        <f>IF($A270="","",IFERROR(VLOOKUP($A270,开奖记录!$A:$L,9,FALSE),""))</f>
        <v/>
      </c>
      <c r="G270" s="32">
        <f>IF($A270="","",IFERROR(VLOOKUP($A270,开奖记录!$A:$L,11,FALSE),""))</f>
        <v/>
      </c>
      <c r="H270" s="32">
        <f>IF(A270="","",IF(B270="","缺上期数据",IF(G270="","待开奖",IF(ISNUMBER(SEARCH(G270,E270)),"命中","未命中"))))</f>
        <v/>
      </c>
      <c r="I270" s="32">
        <f>IF(B270="","",TEXT(B270,"00")&amp;"+5="&amp;E270)</f>
        <v/>
      </c>
    </row>
    <row r="271" ht="23" customHeight="1" s="21">
      <c r="A271" s="32">
        <f>IFERROR(LARGE(开奖记录!$A$2:$A$400,270),"")</f>
        <v/>
      </c>
      <c r="B271" s="32">
        <f>IF($A271="","",IFERROR(VLOOKUP($A271-1,开奖记录!$A:$L,3,FALSE),""))</f>
        <v/>
      </c>
      <c r="C271" s="32">
        <f>IF(B271="","",MOD(B271+4,49)+1)</f>
        <v/>
      </c>
      <c r="D271" s="32">
        <f>IF(C271="","",IFERROR(VLOOKUP(C271,规律参数!$A:$C,2,FALSE),""))</f>
        <v/>
      </c>
      <c r="E271" s="36">
        <f>IF(C271="","",IFERROR(VLOOKUP(C271,规律参数!$A:$C,3,FALSE),""))</f>
        <v/>
      </c>
      <c r="F271" s="32">
        <f>IF($A271="","",IFERROR(VLOOKUP($A271,开奖记录!$A:$L,9,FALSE),""))</f>
        <v/>
      </c>
      <c r="G271" s="32">
        <f>IF($A271="","",IFERROR(VLOOKUP($A271,开奖记录!$A:$L,11,FALSE),""))</f>
        <v/>
      </c>
      <c r="H271" s="32">
        <f>IF(A271="","",IF(B271="","缺上期数据",IF(G271="","待开奖",IF(ISNUMBER(SEARCH(G271,E271)),"命中","未命中"))))</f>
        <v/>
      </c>
      <c r="I271" s="32">
        <f>IF(B271="","",TEXT(B271,"00")&amp;"+5="&amp;E271)</f>
        <v/>
      </c>
    </row>
    <row r="272" ht="23" customHeight="1" s="21">
      <c r="A272" s="32">
        <f>IFERROR(LARGE(开奖记录!$A$2:$A$400,271),"")</f>
        <v/>
      </c>
      <c r="B272" s="32">
        <f>IF($A272="","",IFERROR(VLOOKUP($A272-1,开奖记录!$A:$L,3,FALSE),""))</f>
        <v/>
      </c>
      <c r="C272" s="32">
        <f>IF(B272="","",MOD(B272+4,49)+1)</f>
        <v/>
      </c>
      <c r="D272" s="32">
        <f>IF(C272="","",IFERROR(VLOOKUP(C272,规律参数!$A:$C,2,FALSE),""))</f>
        <v/>
      </c>
      <c r="E272" s="36">
        <f>IF(C272="","",IFERROR(VLOOKUP(C272,规律参数!$A:$C,3,FALSE),""))</f>
        <v/>
      </c>
      <c r="F272" s="32">
        <f>IF($A272="","",IFERROR(VLOOKUP($A272,开奖记录!$A:$L,9,FALSE),""))</f>
        <v/>
      </c>
      <c r="G272" s="32">
        <f>IF($A272="","",IFERROR(VLOOKUP($A272,开奖记录!$A:$L,11,FALSE),""))</f>
        <v/>
      </c>
      <c r="H272" s="32">
        <f>IF(A272="","",IF(B272="","缺上期数据",IF(G272="","待开奖",IF(ISNUMBER(SEARCH(G272,E272)),"命中","未命中"))))</f>
        <v/>
      </c>
      <c r="I272" s="32">
        <f>IF(B272="","",TEXT(B272,"00")&amp;"+5="&amp;E272)</f>
        <v/>
      </c>
    </row>
    <row r="273" ht="23" customHeight="1" s="21">
      <c r="A273" s="32">
        <f>IFERROR(LARGE(开奖记录!$A$2:$A$400,272),"")</f>
        <v/>
      </c>
      <c r="B273" s="32">
        <f>IF($A273="","",IFERROR(VLOOKUP($A273-1,开奖记录!$A:$L,3,FALSE),""))</f>
        <v/>
      </c>
      <c r="C273" s="32">
        <f>IF(B273="","",MOD(B273+4,49)+1)</f>
        <v/>
      </c>
      <c r="D273" s="32">
        <f>IF(C273="","",IFERROR(VLOOKUP(C273,规律参数!$A:$C,2,FALSE),""))</f>
        <v/>
      </c>
      <c r="E273" s="36">
        <f>IF(C273="","",IFERROR(VLOOKUP(C273,规律参数!$A:$C,3,FALSE),""))</f>
        <v/>
      </c>
      <c r="F273" s="32">
        <f>IF($A273="","",IFERROR(VLOOKUP($A273,开奖记录!$A:$L,9,FALSE),""))</f>
        <v/>
      </c>
      <c r="G273" s="32">
        <f>IF($A273="","",IFERROR(VLOOKUP($A273,开奖记录!$A:$L,11,FALSE),""))</f>
        <v/>
      </c>
      <c r="H273" s="32">
        <f>IF(A273="","",IF(B273="","缺上期数据",IF(G273="","待开奖",IF(ISNUMBER(SEARCH(G273,E273)),"命中","未命中"))))</f>
        <v/>
      </c>
      <c r="I273" s="32">
        <f>IF(B273="","",TEXT(B273,"00")&amp;"+5="&amp;E273)</f>
        <v/>
      </c>
    </row>
    <row r="274" ht="23" customHeight="1" s="21">
      <c r="A274" s="32">
        <f>IFERROR(LARGE(开奖记录!$A$2:$A$400,273),"")</f>
        <v/>
      </c>
      <c r="B274" s="32">
        <f>IF($A274="","",IFERROR(VLOOKUP($A274-1,开奖记录!$A:$L,3,FALSE),""))</f>
        <v/>
      </c>
      <c r="C274" s="32">
        <f>IF(B274="","",MOD(B274+4,49)+1)</f>
        <v/>
      </c>
      <c r="D274" s="32">
        <f>IF(C274="","",IFERROR(VLOOKUP(C274,规律参数!$A:$C,2,FALSE),""))</f>
        <v/>
      </c>
      <c r="E274" s="36">
        <f>IF(C274="","",IFERROR(VLOOKUP(C274,规律参数!$A:$C,3,FALSE),""))</f>
        <v/>
      </c>
      <c r="F274" s="32">
        <f>IF($A274="","",IFERROR(VLOOKUP($A274,开奖记录!$A:$L,9,FALSE),""))</f>
        <v/>
      </c>
      <c r="G274" s="32">
        <f>IF($A274="","",IFERROR(VLOOKUP($A274,开奖记录!$A:$L,11,FALSE),""))</f>
        <v/>
      </c>
      <c r="H274" s="32">
        <f>IF(A274="","",IF(B274="","缺上期数据",IF(G274="","待开奖",IF(ISNUMBER(SEARCH(G274,E274)),"命中","未命中"))))</f>
        <v/>
      </c>
      <c r="I274" s="32">
        <f>IF(B274="","",TEXT(B274,"00")&amp;"+5="&amp;E274)</f>
        <v/>
      </c>
    </row>
    <row r="275" ht="23" customHeight="1" s="21">
      <c r="A275" s="32">
        <f>IFERROR(LARGE(开奖记录!$A$2:$A$400,274),"")</f>
        <v/>
      </c>
      <c r="B275" s="32">
        <f>IF($A275="","",IFERROR(VLOOKUP($A275-1,开奖记录!$A:$L,3,FALSE),""))</f>
        <v/>
      </c>
      <c r="C275" s="32">
        <f>IF(B275="","",MOD(B275+4,49)+1)</f>
        <v/>
      </c>
      <c r="D275" s="32">
        <f>IF(C275="","",IFERROR(VLOOKUP(C275,规律参数!$A:$C,2,FALSE),""))</f>
        <v/>
      </c>
      <c r="E275" s="36">
        <f>IF(C275="","",IFERROR(VLOOKUP(C275,规律参数!$A:$C,3,FALSE),""))</f>
        <v/>
      </c>
      <c r="F275" s="32">
        <f>IF($A275="","",IFERROR(VLOOKUP($A275,开奖记录!$A:$L,9,FALSE),""))</f>
        <v/>
      </c>
      <c r="G275" s="32">
        <f>IF($A275="","",IFERROR(VLOOKUP($A275,开奖记录!$A:$L,11,FALSE),""))</f>
        <v/>
      </c>
      <c r="H275" s="32">
        <f>IF(A275="","",IF(B275="","缺上期数据",IF(G275="","待开奖",IF(ISNUMBER(SEARCH(G275,E275)),"命中","未命中"))))</f>
        <v/>
      </c>
      <c r="I275" s="32">
        <f>IF(B275="","",TEXT(B275,"00")&amp;"+5="&amp;E275)</f>
        <v/>
      </c>
    </row>
    <row r="276" ht="23" customHeight="1" s="21">
      <c r="A276" s="32">
        <f>IFERROR(LARGE(开奖记录!$A$2:$A$400,275),"")</f>
        <v/>
      </c>
      <c r="B276" s="32">
        <f>IF($A276="","",IFERROR(VLOOKUP($A276-1,开奖记录!$A:$L,3,FALSE),""))</f>
        <v/>
      </c>
      <c r="C276" s="32">
        <f>IF(B276="","",MOD(B276+4,49)+1)</f>
        <v/>
      </c>
      <c r="D276" s="32">
        <f>IF(C276="","",IFERROR(VLOOKUP(C276,规律参数!$A:$C,2,FALSE),""))</f>
        <v/>
      </c>
      <c r="E276" s="36">
        <f>IF(C276="","",IFERROR(VLOOKUP(C276,规律参数!$A:$C,3,FALSE),""))</f>
        <v/>
      </c>
      <c r="F276" s="32">
        <f>IF($A276="","",IFERROR(VLOOKUP($A276,开奖记录!$A:$L,9,FALSE),""))</f>
        <v/>
      </c>
      <c r="G276" s="32">
        <f>IF($A276="","",IFERROR(VLOOKUP($A276,开奖记录!$A:$L,11,FALSE),""))</f>
        <v/>
      </c>
      <c r="H276" s="32">
        <f>IF(A276="","",IF(B276="","缺上期数据",IF(G276="","待开奖",IF(ISNUMBER(SEARCH(G276,E276)),"命中","未命中"))))</f>
        <v/>
      </c>
      <c r="I276" s="32">
        <f>IF(B276="","",TEXT(B276,"00")&amp;"+5="&amp;E276)</f>
        <v/>
      </c>
    </row>
    <row r="277" ht="23" customHeight="1" s="21">
      <c r="A277" s="32">
        <f>IFERROR(LARGE(开奖记录!$A$2:$A$400,276),"")</f>
        <v/>
      </c>
      <c r="B277" s="32">
        <f>IF($A277="","",IFERROR(VLOOKUP($A277-1,开奖记录!$A:$L,3,FALSE),""))</f>
        <v/>
      </c>
      <c r="C277" s="32">
        <f>IF(B277="","",MOD(B277+4,49)+1)</f>
        <v/>
      </c>
      <c r="D277" s="32">
        <f>IF(C277="","",IFERROR(VLOOKUP(C277,规律参数!$A:$C,2,FALSE),""))</f>
        <v/>
      </c>
      <c r="E277" s="36">
        <f>IF(C277="","",IFERROR(VLOOKUP(C277,规律参数!$A:$C,3,FALSE),""))</f>
        <v/>
      </c>
      <c r="F277" s="32">
        <f>IF($A277="","",IFERROR(VLOOKUP($A277,开奖记录!$A:$L,9,FALSE),""))</f>
        <v/>
      </c>
      <c r="G277" s="32">
        <f>IF($A277="","",IFERROR(VLOOKUP($A277,开奖记录!$A:$L,11,FALSE),""))</f>
        <v/>
      </c>
      <c r="H277" s="32">
        <f>IF(A277="","",IF(B277="","缺上期数据",IF(G277="","待开奖",IF(ISNUMBER(SEARCH(G277,E277)),"命中","未命中"))))</f>
        <v/>
      </c>
      <c r="I277" s="32">
        <f>IF(B277="","",TEXT(B277,"00")&amp;"+5="&amp;E277)</f>
        <v/>
      </c>
    </row>
    <row r="278" ht="23" customHeight="1" s="21">
      <c r="A278" s="32">
        <f>IFERROR(LARGE(开奖记录!$A$2:$A$400,277),"")</f>
        <v/>
      </c>
      <c r="B278" s="32">
        <f>IF($A278="","",IFERROR(VLOOKUP($A278-1,开奖记录!$A:$L,3,FALSE),""))</f>
        <v/>
      </c>
      <c r="C278" s="32">
        <f>IF(B278="","",MOD(B278+4,49)+1)</f>
        <v/>
      </c>
      <c r="D278" s="32">
        <f>IF(C278="","",IFERROR(VLOOKUP(C278,规律参数!$A:$C,2,FALSE),""))</f>
        <v/>
      </c>
      <c r="E278" s="36">
        <f>IF(C278="","",IFERROR(VLOOKUP(C278,规律参数!$A:$C,3,FALSE),""))</f>
        <v/>
      </c>
      <c r="F278" s="32">
        <f>IF($A278="","",IFERROR(VLOOKUP($A278,开奖记录!$A:$L,9,FALSE),""))</f>
        <v/>
      </c>
      <c r="G278" s="32">
        <f>IF($A278="","",IFERROR(VLOOKUP($A278,开奖记录!$A:$L,11,FALSE),""))</f>
        <v/>
      </c>
      <c r="H278" s="32">
        <f>IF(A278="","",IF(B278="","缺上期数据",IF(G278="","待开奖",IF(ISNUMBER(SEARCH(G278,E278)),"命中","未命中"))))</f>
        <v/>
      </c>
      <c r="I278" s="32">
        <f>IF(B278="","",TEXT(B278,"00")&amp;"+5="&amp;E278)</f>
        <v/>
      </c>
    </row>
    <row r="279" ht="23" customHeight="1" s="21">
      <c r="A279" s="32">
        <f>IFERROR(LARGE(开奖记录!$A$2:$A$400,278),"")</f>
        <v/>
      </c>
      <c r="B279" s="32">
        <f>IF($A279="","",IFERROR(VLOOKUP($A279-1,开奖记录!$A:$L,3,FALSE),""))</f>
        <v/>
      </c>
      <c r="C279" s="32">
        <f>IF(B279="","",MOD(B279+4,49)+1)</f>
        <v/>
      </c>
      <c r="D279" s="32">
        <f>IF(C279="","",IFERROR(VLOOKUP(C279,规律参数!$A:$C,2,FALSE),""))</f>
        <v/>
      </c>
      <c r="E279" s="36">
        <f>IF(C279="","",IFERROR(VLOOKUP(C279,规律参数!$A:$C,3,FALSE),""))</f>
        <v/>
      </c>
      <c r="F279" s="32">
        <f>IF($A279="","",IFERROR(VLOOKUP($A279,开奖记录!$A:$L,9,FALSE),""))</f>
        <v/>
      </c>
      <c r="G279" s="32">
        <f>IF($A279="","",IFERROR(VLOOKUP($A279,开奖记录!$A:$L,11,FALSE),""))</f>
        <v/>
      </c>
      <c r="H279" s="32">
        <f>IF(A279="","",IF(B279="","缺上期数据",IF(G279="","待开奖",IF(ISNUMBER(SEARCH(G279,E279)),"命中","未命中"))))</f>
        <v/>
      </c>
      <c r="I279" s="32">
        <f>IF(B279="","",TEXT(B279,"00")&amp;"+5="&amp;E279)</f>
        <v/>
      </c>
    </row>
    <row r="280" ht="23" customHeight="1" s="21">
      <c r="A280" s="32">
        <f>IFERROR(LARGE(开奖记录!$A$2:$A$400,279),"")</f>
        <v/>
      </c>
      <c r="B280" s="32">
        <f>IF($A280="","",IFERROR(VLOOKUP($A280-1,开奖记录!$A:$L,3,FALSE),""))</f>
        <v/>
      </c>
      <c r="C280" s="32">
        <f>IF(B280="","",MOD(B280+4,49)+1)</f>
        <v/>
      </c>
      <c r="D280" s="32">
        <f>IF(C280="","",IFERROR(VLOOKUP(C280,规律参数!$A:$C,2,FALSE),""))</f>
        <v/>
      </c>
      <c r="E280" s="36">
        <f>IF(C280="","",IFERROR(VLOOKUP(C280,规律参数!$A:$C,3,FALSE),""))</f>
        <v/>
      </c>
      <c r="F280" s="32">
        <f>IF($A280="","",IFERROR(VLOOKUP($A280,开奖记录!$A:$L,9,FALSE),""))</f>
        <v/>
      </c>
      <c r="G280" s="32">
        <f>IF($A280="","",IFERROR(VLOOKUP($A280,开奖记录!$A:$L,11,FALSE),""))</f>
        <v/>
      </c>
      <c r="H280" s="32">
        <f>IF(A280="","",IF(B280="","缺上期数据",IF(G280="","待开奖",IF(ISNUMBER(SEARCH(G280,E280)),"命中","未命中"))))</f>
        <v/>
      </c>
      <c r="I280" s="32">
        <f>IF(B280="","",TEXT(B280,"00")&amp;"+5="&amp;E280)</f>
        <v/>
      </c>
    </row>
    <row r="281" ht="23" customHeight="1" s="21">
      <c r="A281" s="32">
        <f>IFERROR(LARGE(开奖记录!$A$2:$A$400,280),"")</f>
        <v/>
      </c>
      <c r="B281" s="32">
        <f>IF($A281="","",IFERROR(VLOOKUP($A281-1,开奖记录!$A:$L,3,FALSE),""))</f>
        <v/>
      </c>
      <c r="C281" s="32">
        <f>IF(B281="","",MOD(B281+4,49)+1)</f>
        <v/>
      </c>
      <c r="D281" s="32">
        <f>IF(C281="","",IFERROR(VLOOKUP(C281,规律参数!$A:$C,2,FALSE),""))</f>
        <v/>
      </c>
      <c r="E281" s="36">
        <f>IF(C281="","",IFERROR(VLOOKUP(C281,规律参数!$A:$C,3,FALSE),""))</f>
        <v/>
      </c>
      <c r="F281" s="32">
        <f>IF($A281="","",IFERROR(VLOOKUP($A281,开奖记录!$A:$L,9,FALSE),""))</f>
        <v/>
      </c>
      <c r="G281" s="32">
        <f>IF($A281="","",IFERROR(VLOOKUP($A281,开奖记录!$A:$L,11,FALSE),""))</f>
        <v/>
      </c>
      <c r="H281" s="32">
        <f>IF(A281="","",IF(B281="","缺上期数据",IF(G281="","待开奖",IF(ISNUMBER(SEARCH(G281,E281)),"命中","未命中"))))</f>
        <v/>
      </c>
      <c r="I281" s="32">
        <f>IF(B281="","",TEXT(B281,"00")&amp;"+5="&amp;E281)</f>
        <v/>
      </c>
    </row>
    <row r="282" ht="23" customHeight="1" s="21">
      <c r="A282" s="32">
        <f>IFERROR(LARGE(开奖记录!$A$2:$A$400,281),"")</f>
        <v/>
      </c>
      <c r="B282" s="32">
        <f>IF($A282="","",IFERROR(VLOOKUP($A282-1,开奖记录!$A:$L,3,FALSE),""))</f>
        <v/>
      </c>
      <c r="C282" s="32">
        <f>IF(B282="","",MOD(B282+4,49)+1)</f>
        <v/>
      </c>
      <c r="D282" s="32">
        <f>IF(C282="","",IFERROR(VLOOKUP(C282,规律参数!$A:$C,2,FALSE),""))</f>
        <v/>
      </c>
      <c r="E282" s="36">
        <f>IF(C282="","",IFERROR(VLOOKUP(C282,规律参数!$A:$C,3,FALSE),""))</f>
        <v/>
      </c>
      <c r="F282" s="32">
        <f>IF($A282="","",IFERROR(VLOOKUP($A282,开奖记录!$A:$L,9,FALSE),""))</f>
        <v/>
      </c>
      <c r="G282" s="32">
        <f>IF($A282="","",IFERROR(VLOOKUP($A282,开奖记录!$A:$L,11,FALSE),""))</f>
        <v/>
      </c>
      <c r="H282" s="32">
        <f>IF(A282="","",IF(B282="","缺上期数据",IF(G282="","待开奖",IF(ISNUMBER(SEARCH(G282,E282)),"命中","未命中"))))</f>
        <v/>
      </c>
      <c r="I282" s="32">
        <f>IF(B282="","",TEXT(B282,"00")&amp;"+5="&amp;E282)</f>
        <v/>
      </c>
    </row>
    <row r="283" ht="23" customHeight="1" s="21">
      <c r="A283" s="32">
        <f>IFERROR(LARGE(开奖记录!$A$2:$A$400,282),"")</f>
        <v/>
      </c>
      <c r="B283" s="32">
        <f>IF($A283="","",IFERROR(VLOOKUP($A283-1,开奖记录!$A:$L,3,FALSE),""))</f>
        <v/>
      </c>
      <c r="C283" s="32">
        <f>IF(B283="","",MOD(B283+4,49)+1)</f>
        <v/>
      </c>
      <c r="D283" s="32">
        <f>IF(C283="","",IFERROR(VLOOKUP(C283,规律参数!$A:$C,2,FALSE),""))</f>
        <v/>
      </c>
      <c r="E283" s="36">
        <f>IF(C283="","",IFERROR(VLOOKUP(C283,规律参数!$A:$C,3,FALSE),""))</f>
        <v/>
      </c>
      <c r="F283" s="32">
        <f>IF($A283="","",IFERROR(VLOOKUP($A283,开奖记录!$A:$L,9,FALSE),""))</f>
        <v/>
      </c>
      <c r="G283" s="32">
        <f>IF($A283="","",IFERROR(VLOOKUP($A283,开奖记录!$A:$L,11,FALSE),""))</f>
        <v/>
      </c>
      <c r="H283" s="32">
        <f>IF(A283="","",IF(B283="","缺上期数据",IF(G283="","待开奖",IF(ISNUMBER(SEARCH(G283,E283)),"命中","未命中"))))</f>
        <v/>
      </c>
      <c r="I283" s="32">
        <f>IF(B283="","",TEXT(B283,"00")&amp;"+5="&amp;E283)</f>
        <v/>
      </c>
    </row>
    <row r="284" ht="23" customHeight="1" s="21">
      <c r="A284" s="32">
        <f>IFERROR(LARGE(开奖记录!$A$2:$A$400,283),"")</f>
        <v/>
      </c>
      <c r="B284" s="32">
        <f>IF($A284="","",IFERROR(VLOOKUP($A284-1,开奖记录!$A:$L,3,FALSE),""))</f>
        <v/>
      </c>
      <c r="C284" s="32">
        <f>IF(B284="","",MOD(B284+4,49)+1)</f>
        <v/>
      </c>
      <c r="D284" s="32">
        <f>IF(C284="","",IFERROR(VLOOKUP(C284,规律参数!$A:$C,2,FALSE),""))</f>
        <v/>
      </c>
      <c r="E284" s="36">
        <f>IF(C284="","",IFERROR(VLOOKUP(C284,规律参数!$A:$C,3,FALSE),""))</f>
        <v/>
      </c>
      <c r="F284" s="32">
        <f>IF($A284="","",IFERROR(VLOOKUP($A284,开奖记录!$A:$L,9,FALSE),""))</f>
        <v/>
      </c>
      <c r="G284" s="32">
        <f>IF($A284="","",IFERROR(VLOOKUP($A284,开奖记录!$A:$L,11,FALSE),""))</f>
        <v/>
      </c>
      <c r="H284" s="32">
        <f>IF(A284="","",IF(B284="","缺上期数据",IF(G284="","待开奖",IF(ISNUMBER(SEARCH(G284,E284)),"命中","未命中"))))</f>
        <v/>
      </c>
      <c r="I284" s="32">
        <f>IF(B284="","",TEXT(B284,"00")&amp;"+5="&amp;E284)</f>
        <v/>
      </c>
    </row>
    <row r="285" ht="23" customHeight="1" s="21">
      <c r="A285" s="32">
        <f>IFERROR(LARGE(开奖记录!$A$2:$A$400,284),"")</f>
        <v/>
      </c>
      <c r="B285" s="32">
        <f>IF($A285="","",IFERROR(VLOOKUP($A285-1,开奖记录!$A:$L,3,FALSE),""))</f>
        <v/>
      </c>
      <c r="C285" s="32">
        <f>IF(B285="","",MOD(B285+4,49)+1)</f>
        <v/>
      </c>
      <c r="D285" s="32">
        <f>IF(C285="","",IFERROR(VLOOKUP(C285,规律参数!$A:$C,2,FALSE),""))</f>
        <v/>
      </c>
      <c r="E285" s="36">
        <f>IF(C285="","",IFERROR(VLOOKUP(C285,规律参数!$A:$C,3,FALSE),""))</f>
        <v/>
      </c>
      <c r="F285" s="32">
        <f>IF($A285="","",IFERROR(VLOOKUP($A285,开奖记录!$A:$L,9,FALSE),""))</f>
        <v/>
      </c>
      <c r="G285" s="32">
        <f>IF($A285="","",IFERROR(VLOOKUP($A285,开奖记录!$A:$L,11,FALSE),""))</f>
        <v/>
      </c>
      <c r="H285" s="32">
        <f>IF(A285="","",IF(B285="","缺上期数据",IF(G285="","待开奖",IF(ISNUMBER(SEARCH(G285,E285)),"命中","未命中"))))</f>
        <v/>
      </c>
      <c r="I285" s="32">
        <f>IF(B285="","",TEXT(B285,"00")&amp;"+5="&amp;E285)</f>
        <v/>
      </c>
    </row>
    <row r="286" ht="23" customHeight="1" s="21">
      <c r="A286" s="32">
        <f>IFERROR(LARGE(开奖记录!$A$2:$A$400,285),"")</f>
        <v/>
      </c>
      <c r="B286" s="32">
        <f>IF($A286="","",IFERROR(VLOOKUP($A286-1,开奖记录!$A:$L,3,FALSE),""))</f>
        <v/>
      </c>
      <c r="C286" s="32">
        <f>IF(B286="","",MOD(B286+4,49)+1)</f>
        <v/>
      </c>
      <c r="D286" s="32">
        <f>IF(C286="","",IFERROR(VLOOKUP(C286,规律参数!$A:$C,2,FALSE),""))</f>
        <v/>
      </c>
      <c r="E286" s="36">
        <f>IF(C286="","",IFERROR(VLOOKUP(C286,规律参数!$A:$C,3,FALSE),""))</f>
        <v/>
      </c>
      <c r="F286" s="32">
        <f>IF($A286="","",IFERROR(VLOOKUP($A286,开奖记录!$A:$L,9,FALSE),""))</f>
        <v/>
      </c>
      <c r="G286" s="32">
        <f>IF($A286="","",IFERROR(VLOOKUP($A286,开奖记录!$A:$L,11,FALSE),""))</f>
        <v/>
      </c>
      <c r="H286" s="32">
        <f>IF(A286="","",IF(B286="","缺上期数据",IF(G286="","待开奖",IF(ISNUMBER(SEARCH(G286,E286)),"命中","未命中"))))</f>
        <v/>
      </c>
      <c r="I286" s="32">
        <f>IF(B286="","",TEXT(B286,"00")&amp;"+5="&amp;E286)</f>
        <v/>
      </c>
    </row>
    <row r="287" ht="23" customHeight="1" s="21">
      <c r="A287" s="32">
        <f>IFERROR(LARGE(开奖记录!$A$2:$A$400,286),"")</f>
        <v/>
      </c>
      <c r="B287" s="32">
        <f>IF($A287="","",IFERROR(VLOOKUP($A287-1,开奖记录!$A:$L,3,FALSE),""))</f>
        <v/>
      </c>
      <c r="C287" s="32">
        <f>IF(B287="","",MOD(B287+4,49)+1)</f>
        <v/>
      </c>
      <c r="D287" s="32">
        <f>IF(C287="","",IFERROR(VLOOKUP(C287,规律参数!$A:$C,2,FALSE),""))</f>
        <v/>
      </c>
      <c r="E287" s="36">
        <f>IF(C287="","",IFERROR(VLOOKUP(C287,规律参数!$A:$C,3,FALSE),""))</f>
        <v/>
      </c>
      <c r="F287" s="32">
        <f>IF($A287="","",IFERROR(VLOOKUP($A287,开奖记录!$A:$L,9,FALSE),""))</f>
        <v/>
      </c>
      <c r="G287" s="32">
        <f>IF($A287="","",IFERROR(VLOOKUP($A287,开奖记录!$A:$L,11,FALSE),""))</f>
        <v/>
      </c>
      <c r="H287" s="32">
        <f>IF(A287="","",IF(B287="","缺上期数据",IF(G287="","待开奖",IF(ISNUMBER(SEARCH(G287,E287)),"命中","未命中"))))</f>
        <v/>
      </c>
      <c r="I287" s="32">
        <f>IF(B287="","",TEXT(B287,"00")&amp;"+5="&amp;E287)</f>
        <v/>
      </c>
    </row>
    <row r="288" ht="23" customHeight="1" s="21">
      <c r="A288" s="32">
        <f>IFERROR(LARGE(开奖记录!$A$2:$A$400,287),"")</f>
        <v/>
      </c>
      <c r="B288" s="32">
        <f>IF($A288="","",IFERROR(VLOOKUP($A288-1,开奖记录!$A:$L,3,FALSE),""))</f>
        <v/>
      </c>
      <c r="C288" s="32">
        <f>IF(B288="","",MOD(B288+4,49)+1)</f>
        <v/>
      </c>
      <c r="D288" s="32">
        <f>IF(C288="","",IFERROR(VLOOKUP(C288,规律参数!$A:$C,2,FALSE),""))</f>
        <v/>
      </c>
      <c r="E288" s="36">
        <f>IF(C288="","",IFERROR(VLOOKUP(C288,规律参数!$A:$C,3,FALSE),""))</f>
        <v/>
      </c>
      <c r="F288" s="32">
        <f>IF($A288="","",IFERROR(VLOOKUP($A288,开奖记录!$A:$L,9,FALSE),""))</f>
        <v/>
      </c>
      <c r="G288" s="32">
        <f>IF($A288="","",IFERROR(VLOOKUP($A288,开奖记录!$A:$L,11,FALSE),""))</f>
        <v/>
      </c>
      <c r="H288" s="32">
        <f>IF(A288="","",IF(B288="","缺上期数据",IF(G288="","待开奖",IF(ISNUMBER(SEARCH(G288,E288)),"命中","未命中"))))</f>
        <v/>
      </c>
      <c r="I288" s="32">
        <f>IF(B288="","",TEXT(B288,"00")&amp;"+5="&amp;E288)</f>
        <v/>
      </c>
    </row>
    <row r="289" ht="23" customHeight="1" s="21">
      <c r="A289" s="32">
        <f>IFERROR(LARGE(开奖记录!$A$2:$A$400,288),"")</f>
        <v/>
      </c>
      <c r="B289" s="32">
        <f>IF($A289="","",IFERROR(VLOOKUP($A289-1,开奖记录!$A:$L,3,FALSE),""))</f>
        <v/>
      </c>
      <c r="C289" s="32">
        <f>IF(B289="","",MOD(B289+4,49)+1)</f>
        <v/>
      </c>
      <c r="D289" s="32">
        <f>IF(C289="","",IFERROR(VLOOKUP(C289,规律参数!$A:$C,2,FALSE),""))</f>
        <v/>
      </c>
      <c r="E289" s="36">
        <f>IF(C289="","",IFERROR(VLOOKUP(C289,规律参数!$A:$C,3,FALSE),""))</f>
        <v/>
      </c>
      <c r="F289" s="32">
        <f>IF($A289="","",IFERROR(VLOOKUP($A289,开奖记录!$A:$L,9,FALSE),""))</f>
        <v/>
      </c>
      <c r="G289" s="32">
        <f>IF($A289="","",IFERROR(VLOOKUP($A289,开奖记录!$A:$L,11,FALSE),""))</f>
        <v/>
      </c>
      <c r="H289" s="32">
        <f>IF(A289="","",IF(B289="","缺上期数据",IF(G289="","待开奖",IF(ISNUMBER(SEARCH(G289,E289)),"命中","未命中"))))</f>
        <v/>
      </c>
      <c r="I289" s="32">
        <f>IF(B289="","",TEXT(B289,"00")&amp;"+5="&amp;E289)</f>
        <v/>
      </c>
    </row>
    <row r="290" ht="23" customHeight="1" s="21">
      <c r="A290" s="32">
        <f>IFERROR(LARGE(开奖记录!$A$2:$A$400,289),"")</f>
        <v/>
      </c>
      <c r="B290" s="32">
        <f>IF($A290="","",IFERROR(VLOOKUP($A290-1,开奖记录!$A:$L,3,FALSE),""))</f>
        <v/>
      </c>
      <c r="C290" s="32">
        <f>IF(B290="","",MOD(B290+4,49)+1)</f>
        <v/>
      </c>
      <c r="D290" s="32">
        <f>IF(C290="","",IFERROR(VLOOKUP(C290,规律参数!$A:$C,2,FALSE),""))</f>
        <v/>
      </c>
      <c r="E290" s="36">
        <f>IF(C290="","",IFERROR(VLOOKUP(C290,规律参数!$A:$C,3,FALSE),""))</f>
        <v/>
      </c>
      <c r="F290" s="32">
        <f>IF($A290="","",IFERROR(VLOOKUP($A290,开奖记录!$A:$L,9,FALSE),""))</f>
        <v/>
      </c>
      <c r="G290" s="32">
        <f>IF($A290="","",IFERROR(VLOOKUP($A290,开奖记录!$A:$L,11,FALSE),""))</f>
        <v/>
      </c>
      <c r="H290" s="32">
        <f>IF(A290="","",IF(B290="","缺上期数据",IF(G290="","待开奖",IF(ISNUMBER(SEARCH(G290,E290)),"命中","未命中"))))</f>
        <v/>
      </c>
      <c r="I290" s="32">
        <f>IF(B290="","",TEXT(B290,"00")&amp;"+5="&amp;E290)</f>
        <v/>
      </c>
    </row>
    <row r="291" ht="23" customHeight="1" s="21">
      <c r="A291" s="32">
        <f>IFERROR(LARGE(开奖记录!$A$2:$A$400,290),"")</f>
        <v/>
      </c>
      <c r="B291" s="32">
        <f>IF($A291="","",IFERROR(VLOOKUP($A291-1,开奖记录!$A:$L,3,FALSE),""))</f>
        <v/>
      </c>
      <c r="C291" s="32">
        <f>IF(B291="","",MOD(B291+4,49)+1)</f>
        <v/>
      </c>
      <c r="D291" s="32">
        <f>IF(C291="","",IFERROR(VLOOKUP(C291,规律参数!$A:$C,2,FALSE),""))</f>
        <v/>
      </c>
      <c r="E291" s="36">
        <f>IF(C291="","",IFERROR(VLOOKUP(C291,规律参数!$A:$C,3,FALSE),""))</f>
        <v/>
      </c>
      <c r="F291" s="32">
        <f>IF($A291="","",IFERROR(VLOOKUP($A291,开奖记录!$A:$L,9,FALSE),""))</f>
        <v/>
      </c>
      <c r="G291" s="32">
        <f>IF($A291="","",IFERROR(VLOOKUP($A291,开奖记录!$A:$L,11,FALSE),""))</f>
        <v/>
      </c>
      <c r="H291" s="32">
        <f>IF(A291="","",IF(B291="","缺上期数据",IF(G291="","待开奖",IF(ISNUMBER(SEARCH(G291,E291)),"命中","未命中"))))</f>
        <v/>
      </c>
      <c r="I291" s="32">
        <f>IF(B291="","",TEXT(B291,"00")&amp;"+5="&amp;E291)</f>
        <v/>
      </c>
    </row>
    <row r="292" ht="23" customHeight="1" s="21">
      <c r="A292" s="32">
        <f>IFERROR(LARGE(开奖记录!$A$2:$A$400,291),"")</f>
        <v/>
      </c>
      <c r="B292" s="32">
        <f>IF($A292="","",IFERROR(VLOOKUP($A292-1,开奖记录!$A:$L,3,FALSE),""))</f>
        <v/>
      </c>
      <c r="C292" s="32">
        <f>IF(B292="","",MOD(B292+4,49)+1)</f>
        <v/>
      </c>
      <c r="D292" s="32">
        <f>IF(C292="","",IFERROR(VLOOKUP(C292,规律参数!$A:$C,2,FALSE),""))</f>
        <v/>
      </c>
      <c r="E292" s="36">
        <f>IF(C292="","",IFERROR(VLOOKUP(C292,规律参数!$A:$C,3,FALSE),""))</f>
        <v/>
      </c>
      <c r="F292" s="32">
        <f>IF($A292="","",IFERROR(VLOOKUP($A292,开奖记录!$A:$L,9,FALSE),""))</f>
        <v/>
      </c>
      <c r="G292" s="32">
        <f>IF($A292="","",IFERROR(VLOOKUP($A292,开奖记录!$A:$L,11,FALSE),""))</f>
        <v/>
      </c>
      <c r="H292" s="32">
        <f>IF(A292="","",IF(B292="","缺上期数据",IF(G292="","待开奖",IF(ISNUMBER(SEARCH(G292,E292)),"命中","未命中"))))</f>
        <v/>
      </c>
      <c r="I292" s="32">
        <f>IF(B292="","",TEXT(B292,"00")&amp;"+5="&amp;E292)</f>
        <v/>
      </c>
    </row>
    <row r="293" ht="23" customHeight="1" s="21">
      <c r="A293" s="32">
        <f>IFERROR(LARGE(开奖记录!$A$2:$A$400,292),"")</f>
        <v/>
      </c>
      <c r="B293" s="32">
        <f>IF($A293="","",IFERROR(VLOOKUP($A293-1,开奖记录!$A:$L,3,FALSE),""))</f>
        <v/>
      </c>
      <c r="C293" s="32">
        <f>IF(B293="","",MOD(B293+4,49)+1)</f>
        <v/>
      </c>
      <c r="D293" s="32">
        <f>IF(C293="","",IFERROR(VLOOKUP(C293,规律参数!$A:$C,2,FALSE),""))</f>
        <v/>
      </c>
      <c r="E293" s="36">
        <f>IF(C293="","",IFERROR(VLOOKUP(C293,规律参数!$A:$C,3,FALSE),""))</f>
        <v/>
      </c>
      <c r="F293" s="32">
        <f>IF($A293="","",IFERROR(VLOOKUP($A293,开奖记录!$A:$L,9,FALSE),""))</f>
        <v/>
      </c>
      <c r="G293" s="32">
        <f>IF($A293="","",IFERROR(VLOOKUP($A293,开奖记录!$A:$L,11,FALSE),""))</f>
        <v/>
      </c>
      <c r="H293" s="32">
        <f>IF(A293="","",IF(B293="","缺上期数据",IF(G293="","待开奖",IF(ISNUMBER(SEARCH(G293,E293)),"命中","未命中"))))</f>
        <v/>
      </c>
      <c r="I293" s="32">
        <f>IF(B293="","",TEXT(B293,"00")&amp;"+5="&amp;E293)</f>
        <v/>
      </c>
    </row>
    <row r="294" ht="23" customHeight="1" s="21">
      <c r="A294" s="32">
        <f>IFERROR(LARGE(开奖记录!$A$2:$A$400,293),"")</f>
        <v/>
      </c>
      <c r="B294" s="32">
        <f>IF($A294="","",IFERROR(VLOOKUP($A294-1,开奖记录!$A:$L,3,FALSE),""))</f>
        <v/>
      </c>
      <c r="C294" s="32">
        <f>IF(B294="","",MOD(B294+4,49)+1)</f>
        <v/>
      </c>
      <c r="D294" s="32">
        <f>IF(C294="","",IFERROR(VLOOKUP(C294,规律参数!$A:$C,2,FALSE),""))</f>
        <v/>
      </c>
      <c r="E294" s="36">
        <f>IF(C294="","",IFERROR(VLOOKUP(C294,规律参数!$A:$C,3,FALSE),""))</f>
        <v/>
      </c>
      <c r="F294" s="32">
        <f>IF($A294="","",IFERROR(VLOOKUP($A294,开奖记录!$A:$L,9,FALSE),""))</f>
        <v/>
      </c>
      <c r="G294" s="32">
        <f>IF($A294="","",IFERROR(VLOOKUP($A294,开奖记录!$A:$L,11,FALSE),""))</f>
        <v/>
      </c>
      <c r="H294" s="32">
        <f>IF(A294="","",IF(B294="","缺上期数据",IF(G294="","待开奖",IF(ISNUMBER(SEARCH(G294,E294)),"命中","未命中"))))</f>
        <v/>
      </c>
      <c r="I294" s="32">
        <f>IF(B294="","",TEXT(B294,"00")&amp;"+5="&amp;E294)</f>
        <v/>
      </c>
    </row>
    <row r="295" ht="23" customHeight="1" s="21">
      <c r="A295" s="32">
        <f>IFERROR(LARGE(开奖记录!$A$2:$A$400,294),"")</f>
        <v/>
      </c>
      <c r="B295" s="32">
        <f>IF($A295="","",IFERROR(VLOOKUP($A295-1,开奖记录!$A:$L,3,FALSE),""))</f>
        <v/>
      </c>
      <c r="C295" s="32">
        <f>IF(B295="","",MOD(B295+4,49)+1)</f>
        <v/>
      </c>
      <c r="D295" s="32">
        <f>IF(C295="","",IFERROR(VLOOKUP(C295,规律参数!$A:$C,2,FALSE),""))</f>
        <v/>
      </c>
      <c r="E295" s="36">
        <f>IF(C295="","",IFERROR(VLOOKUP(C295,规律参数!$A:$C,3,FALSE),""))</f>
        <v/>
      </c>
      <c r="F295" s="32">
        <f>IF($A295="","",IFERROR(VLOOKUP($A295,开奖记录!$A:$L,9,FALSE),""))</f>
        <v/>
      </c>
      <c r="G295" s="32">
        <f>IF($A295="","",IFERROR(VLOOKUP($A295,开奖记录!$A:$L,11,FALSE),""))</f>
        <v/>
      </c>
      <c r="H295" s="32">
        <f>IF(A295="","",IF(B295="","缺上期数据",IF(G295="","待开奖",IF(ISNUMBER(SEARCH(G295,E295)),"命中","未命中"))))</f>
        <v/>
      </c>
      <c r="I295" s="32">
        <f>IF(B295="","",TEXT(B295,"00")&amp;"+5="&amp;E295)</f>
        <v/>
      </c>
    </row>
    <row r="296" ht="23" customHeight="1" s="21">
      <c r="A296" s="32">
        <f>IFERROR(LARGE(开奖记录!$A$2:$A$400,295),"")</f>
        <v/>
      </c>
      <c r="B296" s="32">
        <f>IF($A296="","",IFERROR(VLOOKUP($A296-1,开奖记录!$A:$L,3,FALSE),""))</f>
        <v/>
      </c>
      <c r="C296" s="32">
        <f>IF(B296="","",MOD(B296+4,49)+1)</f>
        <v/>
      </c>
      <c r="D296" s="32">
        <f>IF(C296="","",IFERROR(VLOOKUP(C296,规律参数!$A:$C,2,FALSE),""))</f>
        <v/>
      </c>
      <c r="E296" s="36">
        <f>IF(C296="","",IFERROR(VLOOKUP(C296,规律参数!$A:$C,3,FALSE),""))</f>
        <v/>
      </c>
      <c r="F296" s="32">
        <f>IF($A296="","",IFERROR(VLOOKUP($A296,开奖记录!$A:$L,9,FALSE),""))</f>
        <v/>
      </c>
      <c r="G296" s="32">
        <f>IF($A296="","",IFERROR(VLOOKUP($A296,开奖记录!$A:$L,11,FALSE),""))</f>
        <v/>
      </c>
      <c r="H296" s="32">
        <f>IF(A296="","",IF(B296="","缺上期数据",IF(G296="","待开奖",IF(ISNUMBER(SEARCH(G296,E296)),"命中","未命中"))))</f>
        <v/>
      </c>
      <c r="I296" s="32">
        <f>IF(B296="","",TEXT(B296,"00")&amp;"+5="&amp;E296)</f>
        <v/>
      </c>
    </row>
    <row r="297" ht="23" customHeight="1" s="21">
      <c r="A297" s="32">
        <f>IFERROR(LARGE(开奖记录!$A$2:$A$400,296),"")</f>
        <v/>
      </c>
      <c r="B297" s="32">
        <f>IF($A297="","",IFERROR(VLOOKUP($A297-1,开奖记录!$A:$L,3,FALSE),""))</f>
        <v/>
      </c>
      <c r="C297" s="32">
        <f>IF(B297="","",MOD(B297+4,49)+1)</f>
        <v/>
      </c>
      <c r="D297" s="32">
        <f>IF(C297="","",IFERROR(VLOOKUP(C297,规律参数!$A:$C,2,FALSE),""))</f>
        <v/>
      </c>
      <c r="E297" s="36">
        <f>IF(C297="","",IFERROR(VLOOKUP(C297,规律参数!$A:$C,3,FALSE),""))</f>
        <v/>
      </c>
      <c r="F297" s="32">
        <f>IF($A297="","",IFERROR(VLOOKUP($A297,开奖记录!$A:$L,9,FALSE),""))</f>
        <v/>
      </c>
      <c r="G297" s="32">
        <f>IF($A297="","",IFERROR(VLOOKUP($A297,开奖记录!$A:$L,11,FALSE),""))</f>
        <v/>
      </c>
      <c r="H297" s="32">
        <f>IF(A297="","",IF(B297="","缺上期数据",IF(G297="","待开奖",IF(ISNUMBER(SEARCH(G297,E297)),"命中","未命中"))))</f>
        <v/>
      </c>
      <c r="I297" s="32">
        <f>IF(B297="","",TEXT(B297,"00")&amp;"+5="&amp;E297)</f>
        <v/>
      </c>
    </row>
    <row r="298" ht="23" customHeight="1" s="21">
      <c r="A298" s="32">
        <f>IFERROR(LARGE(开奖记录!$A$2:$A$400,297),"")</f>
        <v/>
      </c>
      <c r="B298" s="32">
        <f>IF($A298="","",IFERROR(VLOOKUP($A298-1,开奖记录!$A:$L,3,FALSE),""))</f>
        <v/>
      </c>
      <c r="C298" s="32">
        <f>IF(B298="","",MOD(B298+4,49)+1)</f>
        <v/>
      </c>
      <c r="D298" s="32">
        <f>IF(C298="","",IFERROR(VLOOKUP(C298,规律参数!$A:$C,2,FALSE),""))</f>
        <v/>
      </c>
      <c r="E298" s="36">
        <f>IF(C298="","",IFERROR(VLOOKUP(C298,规律参数!$A:$C,3,FALSE),""))</f>
        <v/>
      </c>
      <c r="F298" s="32">
        <f>IF($A298="","",IFERROR(VLOOKUP($A298,开奖记录!$A:$L,9,FALSE),""))</f>
        <v/>
      </c>
      <c r="G298" s="32">
        <f>IF($A298="","",IFERROR(VLOOKUP($A298,开奖记录!$A:$L,11,FALSE),""))</f>
        <v/>
      </c>
      <c r="H298" s="32">
        <f>IF(A298="","",IF(B298="","缺上期数据",IF(G298="","待开奖",IF(ISNUMBER(SEARCH(G298,E298)),"命中","未命中"))))</f>
        <v/>
      </c>
      <c r="I298" s="32">
        <f>IF(B298="","",TEXT(B298,"00")&amp;"+5="&amp;E298)</f>
        <v/>
      </c>
    </row>
    <row r="299" ht="23" customHeight="1" s="21">
      <c r="A299" s="32">
        <f>IFERROR(LARGE(开奖记录!$A$2:$A$400,298),"")</f>
        <v/>
      </c>
      <c r="B299" s="32">
        <f>IF($A299="","",IFERROR(VLOOKUP($A299-1,开奖记录!$A:$L,3,FALSE),""))</f>
        <v/>
      </c>
      <c r="C299" s="32">
        <f>IF(B299="","",MOD(B299+4,49)+1)</f>
        <v/>
      </c>
      <c r="D299" s="32">
        <f>IF(C299="","",IFERROR(VLOOKUP(C299,规律参数!$A:$C,2,FALSE),""))</f>
        <v/>
      </c>
      <c r="E299" s="36">
        <f>IF(C299="","",IFERROR(VLOOKUP(C299,规律参数!$A:$C,3,FALSE),""))</f>
        <v/>
      </c>
      <c r="F299" s="32">
        <f>IF($A299="","",IFERROR(VLOOKUP($A299,开奖记录!$A:$L,9,FALSE),""))</f>
        <v/>
      </c>
      <c r="G299" s="32">
        <f>IF($A299="","",IFERROR(VLOOKUP($A299,开奖记录!$A:$L,11,FALSE),""))</f>
        <v/>
      </c>
      <c r="H299" s="32">
        <f>IF(A299="","",IF(B299="","缺上期数据",IF(G299="","待开奖",IF(ISNUMBER(SEARCH(G299,E299)),"命中","未命中"))))</f>
        <v/>
      </c>
      <c r="I299" s="32">
        <f>IF(B299="","",TEXT(B299,"00")&amp;"+5="&amp;E299)</f>
        <v/>
      </c>
    </row>
    <row r="300" ht="23" customHeight="1" s="21">
      <c r="A300" s="32">
        <f>IFERROR(LARGE(开奖记录!$A$2:$A$400,299),"")</f>
        <v/>
      </c>
      <c r="B300" s="32">
        <f>IF($A300="","",IFERROR(VLOOKUP($A300-1,开奖记录!$A:$L,3,FALSE),""))</f>
        <v/>
      </c>
      <c r="C300" s="32">
        <f>IF(B300="","",MOD(B300+4,49)+1)</f>
        <v/>
      </c>
      <c r="D300" s="32">
        <f>IF(C300="","",IFERROR(VLOOKUP(C300,规律参数!$A:$C,2,FALSE),""))</f>
        <v/>
      </c>
      <c r="E300" s="36">
        <f>IF(C300="","",IFERROR(VLOOKUP(C300,规律参数!$A:$C,3,FALSE),""))</f>
        <v/>
      </c>
      <c r="F300" s="32">
        <f>IF($A300="","",IFERROR(VLOOKUP($A300,开奖记录!$A:$L,9,FALSE),""))</f>
        <v/>
      </c>
      <c r="G300" s="32">
        <f>IF($A300="","",IFERROR(VLOOKUP($A300,开奖记录!$A:$L,11,FALSE),""))</f>
        <v/>
      </c>
      <c r="H300" s="32">
        <f>IF(A300="","",IF(B300="","缺上期数据",IF(G300="","待开奖",IF(ISNUMBER(SEARCH(G300,E300)),"命中","未命中"))))</f>
        <v/>
      </c>
      <c r="I300" s="32">
        <f>IF(B300="","",TEXT(B300,"00")&amp;"+5="&amp;E300)</f>
        <v/>
      </c>
    </row>
    <row r="301" ht="23" customHeight="1" s="21">
      <c r="A301" s="32">
        <f>IFERROR(LARGE(开奖记录!$A$2:$A$400,300),"")</f>
        <v/>
      </c>
      <c r="B301" s="32">
        <f>IF($A301="","",IFERROR(VLOOKUP($A301-1,开奖记录!$A:$L,3,FALSE),""))</f>
        <v/>
      </c>
      <c r="C301" s="32">
        <f>IF(B301="","",MOD(B301+4,49)+1)</f>
        <v/>
      </c>
      <c r="D301" s="32">
        <f>IF(C301="","",IFERROR(VLOOKUP(C301,规律参数!$A:$C,2,FALSE),""))</f>
        <v/>
      </c>
      <c r="E301" s="36">
        <f>IF(C301="","",IFERROR(VLOOKUP(C301,规律参数!$A:$C,3,FALSE),""))</f>
        <v/>
      </c>
      <c r="F301" s="32">
        <f>IF($A301="","",IFERROR(VLOOKUP($A301,开奖记录!$A:$L,9,FALSE),""))</f>
        <v/>
      </c>
      <c r="G301" s="32">
        <f>IF($A301="","",IFERROR(VLOOKUP($A301,开奖记录!$A:$L,11,FALSE),""))</f>
        <v/>
      </c>
      <c r="H301" s="32">
        <f>IF(A301="","",IF(B301="","缺上期数据",IF(G301="","待开奖",IF(ISNUMBER(SEARCH(G301,E301)),"命中","未命中"))))</f>
        <v/>
      </c>
      <c r="I301" s="32">
        <f>IF(B301="","",TEXT(B301,"00")&amp;"+5="&amp;E301)</f>
        <v/>
      </c>
    </row>
    <row r="302" ht="23" customHeight="1" s="21">
      <c r="A302" s="32">
        <f>IFERROR(LARGE(开奖记录!$A$2:$A$400,301),"")</f>
        <v/>
      </c>
      <c r="B302" s="32">
        <f>IF($A302="","",IFERROR(VLOOKUP($A302-1,开奖记录!$A:$L,3,FALSE),""))</f>
        <v/>
      </c>
      <c r="C302" s="32">
        <f>IF(B302="","",MOD(B302+4,49)+1)</f>
        <v/>
      </c>
      <c r="D302" s="32">
        <f>IF(C302="","",IFERROR(VLOOKUP(C302,规律参数!$A:$C,2,FALSE),""))</f>
        <v/>
      </c>
      <c r="E302" s="36">
        <f>IF(C302="","",IFERROR(VLOOKUP(C302,规律参数!$A:$C,3,FALSE),""))</f>
        <v/>
      </c>
      <c r="F302" s="32">
        <f>IF($A302="","",IFERROR(VLOOKUP($A302,开奖记录!$A:$L,9,FALSE),""))</f>
        <v/>
      </c>
      <c r="G302" s="32">
        <f>IF($A302="","",IFERROR(VLOOKUP($A302,开奖记录!$A:$L,11,FALSE),""))</f>
        <v/>
      </c>
      <c r="H302" s="32">
        <f>IF(A302="","",IF(B302="","缺上期数据",IF(G302="","待开奖",IF(ISNUMBER(SEARCH(G302,E302)),"命中","未命中"))))</f>
        <v/>
      </c>
      <c r="I302" s="32">
        <f>IF(B302="","",TEXT(B302,"00")&amp;"+5="&amp;E302)</f>
        <v/>
      </c>
    </row>
    <row r="303" ht="23" customHeight="1" s="21">
      <c r="A303" s="32">
        <f>IFERROR(LARGE(开奖记录!$A$2:$A$400,302),"")</f>
        <v/>
      </c>
      <c r="B303" s="32">
        <f>IF($A303="","",IFERROR(VLOOKUP($A303-1,开奖记录!$A:$L,3,FALSE),""))</f>
        <v/>
      </c>
      <c r="C303" s="32">
        <f>IF(B303="","",MOD(B303+4,49)+1)</f>
        <v/>
      </c>
      <c r="D303" s="32">
        <f>IF(C303="","",IFERROR(VLOOKUP(C303,规律参数!$A:$C,2,FALSE),""))</f>
        <v/>
      </c>
      <c r="E303" s="36">
        <f>IF(C303="","",IFERROR(VLOOKUP(C303,规律参数!$A:$C,3,FALSE),""))</f>
        <v/>
      </c>
      <c r="F303" s="32">
        <f>IF($A303="","",IFERROR(VLOOKUP($A303,开奖记录!$A:$L,9,FALSE),""))</f>
        <v/>
      </c>
      <c r="G303" s="32">
        <f>IF($A303="","",IFERROR(VLOOKUP($A303,开奖记录!$A:$L,11,FALSE),""))</f>
        <v/>
      </c>
      <c r="H303" s="32">
        <f>IF(A303="","",IF(B303="","缺上期数据",IF(G303="","待开奖",IF(ISNUMBER(SEARCH(G303,E303)),"命中","未命中"))))</f>
        <v/>
      </c>
      <c r="I303" s="32">
        <f>IF(B303="","",TEXT(B303,"00")&amp;"+5="&amp;E303)</f>
        <v/>
      </c>
    </row>
    <row r="304" ht="23" customHeight="1" s="21">
      <c r="A304" s="32">
        <f>IFERROR(LARGE(开奖记录!$A$2:$A$400,303),"")</f>
        <v/>
      </c>
      <c r="B304" s="32">
        <f>IF($A304="","",IFERROR(VLOOKUP($A304-1,开奖记录!$A:$L,3,FALSE),""))</f>
        <v/>
      </c>
      <c r="C304" s="32">
        <f>IF(B304="","",MOD(B304+4,49)+1)</f>
        <v/>
      </c>
      <c r="D304" s="32">
        <f>IF(C304="","",IFERROR(VLOOKUP(C304,规律参数!$A:$C,2,FALSE),""))</f>
        <v/>
      </c>
      <c r="E304" s="36">
        <f>IF(C304="","",IFERROR(VLOOKUP(C304,规律参数!$A:$C,3,FALSE),""))</f>
        <v/>
      </c>
      <c r="F304" s="32">
        <f>IF($A304="","",IFERROR(VLOOKUP($A304,开奖记录!$A:$L,9,FALSE),""))</f>
        <v/>
      </c>
      <c r="G304" s="32">
        <f>IF($A304="","",IFERROR(VLOOKUP($A304,开奖记录!$A:$L,11,FALSE),""))</f>
        <v/>
      </c>
      <c r="H304" s="32">
        <f>IF(A304="","",IF(B304="","缺上期数据",IF(G304="","待开奖",IF(ISNUMBER(SEARCH(G304,E304)),"命中","未命中"))))</f>
        <v/>
      </c>
      <c r="I304" s="32">
        <f>IF(B304="","",TEXT(B304,"00")&amp;"+5="&amp;E304)</f>
        <v/>
      </c>
    </row>
    <row r="305" ht="23" customHeight="1" s="21">
      <c r="A305" s="32">
        <f>IFERROR(LARGE(开奖记录!$A$2:$A$400,304),"")</f>
        <v/>
      </c>
      <c r="B305" s="32">
        <f>IF($A305="","",IFERROR(VLOOKUP($A305-1,开奖记录!$A:$L,3,FALSE),""))</f>
        <v/>
      </c>
      <c r="C305" s="32">
        <f>IF(B305="","",MOD(B305+4,49)+1)</f>
        <v/>
      </c>
      <c r="D305" s="32">
        <f>IF(C305="","",IFERROR(VLOOKUP(C305,规律参数!$A:$C,2,FALSE),""))</f>
        <v/>
      </c>
      <c r="E305" s="36">
        <f>IF(C305="","",IFERROR(VLOOKUP(C305,规律参数!$A:$C,3,FALSE),""))</f>
        <v/>
      </c>
      <c r="F305" s="32">
        <f>IF($A305="","",IFERROR(VLOOKUP($A305,开奖记录!$A:$L,9,FALSE),""))</f>
        <v/>
      </c>
      <c r="G305" s="32">
        <f>IF($A305="","",IFERROR(VLOOKUP($A305,开奖记录!$A:$L,11,FALSE),""))</f>
        <v/>
      </c>
      <c r="H305" s="32">
        <f>IF(A305="","",IF(B305="","缺上期数据",IF(G305="","待开奖",IF(ISNUMBER(SEARCH(G305,E305)),"命中","未命中"))))</f>
        <v/>
      </c>
      <c r="I305" s="32">
        <f>IF(B305="","",TEXT(B305,"00")&amp;"+5="&amp;E305)</f>
        <v/>
      </c>
    </row>
    <row r="306" ht="23" customHeight="1" s="21">
      <c r="A306" s="32">
        <f>IFERROR(LARGE(开奖记录!$A$2:$A$400,305),"")</f>
        <v/>
      </c>
      <c r="B306" s="32">
        <f>IF($A306="","",IFERROR(VLOOKUP($A306-1,开奖记录!$A:$L,3,FALSE),""))</f>
        <v/>
      </c>
      <c r="C306" s="32">
        <f>IF(B306="","",MOD(B306+4,49)+1)</f>
        <v/>
      </c>
      <c r="D306" s="32">
        <f>IF(C306="","",IFERROR(VLOOKUP(C306,规律参数!$A:$C,2,FALSE),""))</f>
        <v/>
      </c>
      <c r="E306" s="36">
        <f>IF(C306="","",IFERROR(VLOOKUP(C306,规律参数!$A:$C,3,FALSE),""))</f>
        <v/>
      </c>
      <c r="F306" s="32">
        <f>IF($A306="","",IFERROR(VLOOKUP($A306,开奖记录!$A:$L,9,FALSE),""))</f>
        <v/>
      </c>
      <c r="G306" s="32">
        <f>IF($A306="","",IFERROR(VLOOKUP($A306,开奖记录!$A:$L,11,FALSE),""))</f>
        <v/>
      </c>
      <c r="H306" s="32">
        <f>IF(A306="","",IF(B306="","缺上期数据",IF(G306="","待开奖",IF(ISNUMBER(SEARCH(G306,E306)),"命中","未命中"))))</f>
        <v/>
      </c>
      <c r="I306" s="32">
        <f>IF(B306="","",TEXT(B306,"00")&amp;"+5="&amp;E306)</f>
        <v/>
      </c>
    </row>
    <row r="307" ht="23" customHeight="1" s="21">
      <c r="A307" s="32">
        <f>IFERROR(LARGE(开奖记录!$A$2:$A$400,306),"")</f>
        <v/>
      </c>
      <c r="B307" s="32">
        <f>IF($A307="","",IFERROR(VLOOKUP($A307-1,开奖记录!$A:$L,3,FALSE),""))</f>
        <v/>
      </c>
      <c r="C307" s="32">
        <f>IF(B307="","",MOD(B307+4,49)+1)</f>
        <v/>
      </c>
      <c r="D307" s="32">
        <f>IF(C307="","",IFERROR(VLOOKUP(C307,规律参数!$A:$C,2,FALSE),""))</f>
        <v/>
      </c>
      <c r="E307" s="36">
        <f>IF(C307="","",IFERROR(VLOOKUP(C307,规律参数!$A:$C,3,FALSE),""))</f>
        <v/>
      </c>
      <c r="F307" s="32">
        <f>IF($A307="","",IFERROR(VLOOKUP($A307,开奖记录!$A:$L,9,FALSE),""))</f>
        <v/>
      </c>
      <c r="G307" s="32">
        <f>IF($A307="","",IFERROR(VLOOKUP($A307,开奖记录!$A:$L,11,FALSE),""))</f>
        <v/>
      </c>
      <c r="H307" s="32">
        <f>IF(A307="","",IF(B307="","缺上期数据",IF(G307="","待开奖",IF(ISNUMBER(SEARCH(G307,E307)),"命中","未命中"))))</f>
        <v/>
      </c>
      <c r="I307" s="32">
        <f>IF(B307="","",TEXT(B307,"00")&amp;"+5="&amp;E307)</f>
        <v/>
      </c>
    </row>
    <row r="308" ht="23" customHeight="1" s="21">
      <c r="A308" s="32">
        <f>IFERROR(LARGE(开奖记录!$A$2:$A$400,307),"")</f>
        <v/>
      </c>
      <c r="B308" s="32">
        <f>IF($A308="","",IFERROR(VLOOKUP($A308-1,开奖记录!$A:$L,3,FALSE),""))</f>
        <v/>
      </c>
      <c r="C308" s="32">
        <f>IF(B308="","",MOD(B308+4,49)+1)</f>
        <v/>
      </c>
      <c r="D308" s="32">
        <f>IF(C308="","",IFERROR(VLOOKUP(C308,规律参数!$A:$C,2,FALSE),""))</f>
        <v/>
      </c>
      <c r="E308" s="36">
        <f>IF(C308="","",IFERROR(VLOOKUP(C308,规律参数!$A:$C,3,FALSE),""))</f>
        <v/>
      </c>
      <c r="F308" s="32">
        <f>IF($A308="","",IFERROR(VLOOKUP($A308,开奖记录!$A:$L,9,FALSE),""))</f>
        <v/>
      </c>
      <c r="G308" s="32">
        <f>IF($A308="","",IFERROR(VLOOKUP($A308,开奖记录!$A:$L,11,FALSE),""))</f>
        <v/>
      </c>
      <c r="H308" s="32">
        <f>IF(A308="","",IF(B308="","缺上期数据",IF(G308="","待开奖",IF(ISNUMBER(SEARCH(G308,E308)),"命中","未命中"))))</f>
        <v/>
      </c>
      <c r="I308" s="32">
        <f>IF(B308="","",TEXT(B308,"00")&amp;"+5="&amp;E308)</f>
        <v/>
      </c>
    </row>
    <row r="309" ht="23" customHeight="1" s="21">
      <c r="A309" s="32">
        <f>IFERROR(LARGE(开奖记录!$A$2:$A$400,308),"")</f>
        <v/>
      </c>
      <c r="B309" s="32">
        <f>IF($A309="","",IFERROR(VLOOKUP($A309-1,开奖记录!$A:$L,3,FALSE),""))</f>
        <v/>
      </c>
      <c r="C309" s="32">
        <f>IF(B309="","",MOD(B309+4,49)+1)</f>
        <v/>
      </c>
      <c r="D309" s="32">
        <f>IF(C309="","",IFERROR(VLOOKUP(C309,规律参数!$A:$C,2,FALSE),""))</f>
        <v/>
      </c>
      <c r="E309" s="36">
        <f>IF(C309="","",IFERROR(VLOOKUP(C309,规律参数!$A:$C,3,FALSE),""))</f>
        <v/>
      </c>
      <c r="F309" s="32">
        <f>IF($A309="","",IFERROR(VLOOKUP($A309,开奖记录!$A:$L,9,FALSE),""))</f>
        <v/>
      </c>
      <c r="G309" s="32">
        <f>IF($A309="","",IFERROR(VLOOKUP($A309,开奖记录!$A:$L,11,FALSE),""))</f>
        <v/>
      </c>
      <c r="H309" s="32">
        <f>IF(A309="","",IF(B309="","缺上期数据",IF(G309="","待开奖",IF(ISNUMBER(SEARCH(G309,E309)),"命中","未命中"))))</f>
        <v/>
      </c>
      <c r="I309" s="32">
        <f>IF(B309="","",TEXT(B309,"00")&amp;"+5="&amp;E309)</f>
        <v/>
      </c>
    </row>
    <row r="310" ht="23" customHeight="1" s="21">
      <c r="A310" s="32">
        <f>IFERROR(LARGE(开奖记录!$A$2:$A$400,309),"")</f>
        <v/>
      </c>
      <c r="B310" s="32">
        <f>IF($A310="","",IFERROR(VLOOKUP($A310-1,开奖记录!$A:$L,3,FALSE),""))</f>
        <v/>
      </c>
      <c r="C310" s="32">
        <f>IF(B310="","",MOD(B310+4,49)+1)</f>
        <v/>
      </c>
      <c r="D310" s="32">
        <f>IF(C310="","",IFERROR(VLOOKUP(C310,规律参数!$A:$C,2,FALSE),""))</f>
        <v/>
      </c>
      <c r="E310" s="36">
        <f>IF(C310="","",IFERROR(VLOOKUP(C310,规律参数!$A:$C,3,FALSE),""))</f>
        <v/>
      </c>
      <c r="F310" s="32">
        <f>IF($A310="","",IFERROR(VLOOKUP($A310,开奖记录!$A:$L,9,FALSE),""))</f>
        <v/>
      </c>
      <c r="G310" s="32">
        <f>IF($A310="","",IFERROR(VLOOKUP($A310,开奖记录!$A:$L,11,FALSE),""))</f>
        <v/>
      </c>
      <c r="H310" s="32">
        <f>IF(A310="","",IF(B310="","缺上期数据",IF(G310="","待开奖",IF(ISNUMBER(SEARCH(G310,E310)),"命中","未命中"))))</f>
        <v/>
      </c>
      <c r="I310" s="32">
        <f>IF(B310="","",TEXT(B310,"00")&amp;"+5="&amp;E310)</f>
        <v/>
      </c>
    </row>
    <row r="311" ht="23" customHeight="1" s="21">
      <c r="A311" s="32">
        <f>IFERROR(LARGE(开奖记录!$A$2:$A$400,310),"")</f>
        <v/>
      </c>
      <c r="B311" s="32">
        <f>IF($A311="","",IFERROR(VLOOKUP($A311-1,开奖记录!$A:$L,3,FALSE),""))</f>
        <v/>
      </c>
      <c r="C311" s="32">
        <f>IF(B311="","",MOD(B311+4,49)+1)</f>
        <v/>
      </c>
      <c r="D311" s="32">
        <f>IF(C311="","",IFERROR(VLOOKUP(C311,规律参数!$A:$C,2,FALSE),""))</f>
        <v/>
      </c>
      <c r="E311" s="36">
        <f>IF(C311="","",IFERROR(VLOOKUP(C311,规律参数!$A:$C,3,FALSE),""))</f>
        <v/>
      </c>
      <c r="F311" s="32">
        <f>IF($A311="","",IFERROR(VLOOKUP($A311,开奖记录!$A:$L,9,FALSE),""))</f>
        <v/>
      </c>
      <c r="G311" s="32">
        <f>IF($A311="","",IFERROR(VLOOKUP($A311,开奖记录!$A:$L,11,FALSE),""))</f>
        <v/>
      </c>
      <c r="H311" s="32">
        <f>IF(A311="","",IF(B311="","缺上期数据",IF(G311="","待开奖",IF(ISNUMBER(SEARCH(G311,E311)),"命中","未命中"))))</f>
        <v/>
      </c>
      <c r="I311" s="32">
        <f>IF(B311="","",TEXT(B311,"00")&amp;"+5="&amp;E311)</f>
        <v/>
      </c>
    </row>
    <row r="312" ht="23" customHeight="1" s="21">
      <c r="A312" s="32">
        <f>IFERROR(LARGE(开奖记录!$A$2:$A$400,311),"")</f>
        <v/>
      </c>
      <c r="B312" s="32">
        <f>IF($A312="","",IFERROR(VLOOKUP($A312-1,开奖记录!$A:$L,3,FALSE),""))</f>
        <v/>
      </c>
      <c r="C312" s="32">
        <f>IF(B312="","",MOD(B312+4,49)+1)</f>
        <v/>
      </c>
      <c r="D312" s="32">
        <f>IF(C312="","",IFERROR(VLOOKUP(C312,规律参数!$A:$C,2,FALSE),""))</f>
        <v/>
      </c>
      <c r="E312" s="36">
        <f>IF(C312="","",IFERROR(VLOOKUP(C312,规律参数!$A:$C,3,FALSE),""))</f>
        <v/>
      </c>
      <c r="F312" s="32">
        <f>IF($A312="","",IFERROR(VLOOKUP($A312,开奖记录!$A:$L,9,FALSE),""))</f>
        <v/>
      </c>
      <c r="G312" s="32">
        <f>IF($A312="","",IFERROR(VLOOKUP($A312,开奖记录!$A:$L,11,FALSE),""))</f>
        <v/>
      </c>
      <c r="H312" s="32">
        <f>IF(A312="","",IF(B312="","缺上期数据",IF(G312="","待开奖",IF(ISNUMBER(SEARCH(G312,E312)),"命中","未命中"))))</f>
        <v/>
      </c>
      <c r="I312" s="32">
        <f>IF(B312="","",TEXT(B312,"00")&amp;"+5="&amp;E312)</f>
        <v/>
      </c>
    </row>
    <row r="313" ht="23" customHeight="1" s="21">
      <c r="A313" s="32">
        <f>IFERROR(LARGE(开奖记录!$A$2:$A$400,312),"")</f>
        <v/>
      </c>
      <c r="B313" s="32">
        <f>IF($A313="","",IFERROR(VLOOKUP($A313-1,开奖记录!$A:$L,3,FALSE),""))</f>
        <v/>
      </c>
      <c r="C313" s="32">
        <f>IF(B313="","",MOD(B313+4,49)+1)</f>
        <v/>
      </c>
      <c r="D313" s="32">
        <f>IF(C313="","",IFERROR(VLOOKUP(C313,规律参数!$A:$C,2,FALSE),""))</f>
        <v/>
      </c>
      <c r="E313" s="36">
        <f>IF(C313="","",IFERROR(VLOOKUP(C313,规律参数!$A:$C,3,FALSE),""))</f>
        <v/>
      </c>
      <c r="F313" s="32">
        <f>IF($A313="","",IFERROR(VLOOKUP($A313,开奖记录!$A:$L,9,FALSE),""))</f>
        <v/>
      </c>
      <c r="G313" s="32">
        <f>IF($A313="","",IFERROR(VLOOKUP($A313,开奖记录!$A:$L,11,FALSE),""))</f>
        <v/>
      </c>
      <c r="H313" s="32">
        <f>IF(A313="","",IF(B313="","缺上期数据",IF(G313="","待开奖",IF(ISNUMBER(SEARCH(G313,E313)),"命中","未命中"))))</f>
        <v/>
      </c>
      <c r="I313" s="32">
        <f>IF(B313="","",TEXT(B313,"00")&amp;"+5="&amp;E313)</f>
        <v/>
      </c>
    </row>
    <row r="314" ht="23" customHeight="1" s="21">
      <c r="A314" s="32">
        <f>IFERROR(LARGE(开奖记录!$A$2:$A$400,313),"")</f>
        <v/>
      </c>
      <c r="B314" s="32">
        <f>IF($A314="","",IFERROR(VLOOKUP($A314-1,开奖记录!$A:$L,3,FALSE),""))</f>
        <v/>
      </c>
      <c r="C314" s="32">
        <f>IF(B314="","",MOD(B314+4,49)+1)</f>
        <v/>
      </c>
      <c r="D314" s="32">
        <f>IF(C314="","",IFERROR(VLOOKUP(C314,规律参数!$A:$C,2,FALSE),""))</f>
        <v/>
      </c>
      <c r="E314" s="36">
        <f>IF(C314="","",IFERROR(VLOOKUP(C314,规律参数!$A:$C,3,FALSE),""))</f>
        <v/>
      </c>
      <c r="F314" s="32">
        <f>IF($A314="","",IFERROR(VLOOKUP($A314,开奖记录!$A:$L,9,FALSE),""))</f>
        <v/>
      </c>
      <c r="G314" s="32">
        <f>IF($A314="","",IFERROR(VLOOKUP($A314,开奖记录!$A:$L,11,FALSE),""))</f>
        <v/>
      </c>
      <c r="H314" s="32">
        <f>IF(A314="","",IF(B314="","缺上期数据",IF(G314="","待开奖",IF(ISNUMBER(SEARCH(G314,E314)),"命中","未命中"))))</f>
        <v/>
      </c>
      <c r="I314" s="32">
        <f>IF(B314="","",TEXT(B314,"00")&amp;"+5="&amp;E314)</f>
        <v/>
      </c>
    </row>
    <row r="315" ht="23" customHeight="1" s="21">
      <c r="A315" s="32">
        <f>IFERROR(LARGE(开奖记录!$A$2:$A$400,314),"")</f>
        <v/>
      </c>
      <c r="B315" s="32">
        <f>IF($A315="","",IFERROR(VLOOKUP($A315-1,开奖记录!$A:$L,3,FALSE),""))</f>
        <v/>
      </c>
      <c r="C315" s="32">
        <f>IF(B315="","",MOD(B315+4,49)+1)</f>
        <v/>
      </c>
      <c r="D315" s="32">
        <f>IF(C315="","",IFERROR(VLOOKUP(C315,规律参数!$A:$C,2,FALSE),""))</f>
        <v/>
      </c>
      <c r="E315" s="36">
        <f>IF(C315="","",IFERROR(VLOOKUP(C315,规律参数!$A:$C,3,FALSE),""))</f>
        <v/>
      </c>
      <c r="F315" s="32">
        <f>IF($A315="","",IFERROR(VLOOKUP($A315,开奖记录!$A:$L,9,FALSE),""))</f>
        <v/>
      </c>
      <c r="G315" s="32">
        <f>IF($A315="","",IFERROR(VLOOKUP($A315,开奖记录!$A:$L,11,FALSE),""))</f>
        <v/>
      </c>
      <c r="H315" s="32">
        <f>IF(A315="","",IF(B315="","缺上期数据",IF(G315="","待开奖",IF(ISNUMBER(SEARCH(G315,E315)),"命中","未命中"))))</f>
        <v/>
      </c>
      <c r="I315" s="32">
        <f>IF(B315="","",TEXT(B315,"00")&amp;"+5="&amp;E315)</f>
        <v/>
      </c>
    </row>
    <row r="316" ht="23" customHeight="1" s="21">
      <c r="A316" s="32">
        <f>IFERROR(LARGE(开奖记录!$A$2:$A$400,315),"")</f>
        <v/>
      </c>
      <c r="B316" s="32">
        <f>IF($A316="","",IFERROR(VLOOKUP($A316-1,开奖记录!$A:$L,3,FALSE),""))</f>
        <v/>
      </c>
      <c r="C316" s="32">
        <f>IF(B316="","",MOD(B316+4,49)+1)</f>
        <v/>
      </c>
      <c r="D316" s="32">
        <f>IF(C316="","",IFERROR(VLOOKUP(C316,规律参数!$A:$C,2,FALSE),""))</f>
        <v/>
      </c>
      <c r="E316" s="36">
        <f>IF(C316="","",IFERROR(VLOOKUP(C316,规律参数!$A:$C,3,FALSE),""))</f>
        <v/>
      </c>
      <c r="F316" s="32">
        <f>IF($A316="","",IFERROR(VLOOKUP($A316,开奖记录!$A:$L,9,FALSE),""))</f>
        <v/>
      </c>
      <c r="G316" s="32">
        <f>IF($A316="","",IFERROR(VLOOKUP($A316,开奖记录!$A:$L,11,FALSE),""))</f>
        <v/>
      </c>
      <c r="H316" s="32">
        <f>IF(A316="","",IF(B316="","缺上期数据",IF(G316="","待开奖",IF(ISNUMBER(SEARCH(G316,E316)),"命中","未命中"))))</f>
        <v/>
      </c>
      <c r="I316" s="32">
        <f>IF(B316="","",TEXT(B316,"00")&amp;"+5="&amp;E316)</f>
        <v/>
      </c>
    </row>
    <row r="317" ht="23" customHeight="1" s="21">
      <c r="A317" s="32">
        <f>IFERROR(LARGE(开奖记录!$A$2:$A$400,316),"")</f>
        <v/>
      </c>
      <c r="B317" s="32">
        <f>IF($A317="","",IFERROR(VLOOKUP($A317-1,开奖记录!$A:$L,3,FALSE),""))</f>
        <v/>
      </c>
      <c r="C317" s="32">
        <f>IF(B317="","",MOD(B317+4,49)+1)</f>
        <v/>
      </c>
      <c r="D317" s="32">
        <f>IF(C317="","",IFERROR(VLOOKUP(C317,规律参数!$A:$C,2,FALSE),""))</f>
        <v/>
      </c>
      <c r="E317" s="36">
        <f>IF(C317="","",IFERROR(VLOOKUP(C317,规律参数!$A:$C,3,FALSE),""))</f>
        <v/>
      </c>
      <c r="F317" s="32">
        <f>IF($A317="","",IFERROR(VLOOKUP($A317,开奖记录!$A:$L,9,FALSE),""))</f>
        <v/>
      </c>
      <c r="G317" s="32">
        <f>IF($A317="","",IFERROR(VLOOKUP($A317,开奖记录!$A:$L,11,FALSE),""))</f>
        <v/>
      </c>
      <c r="H317" s="32">
        <f>IF(A317="","",IF(B317="","缺上期数据",IF(G317="","待开奖",IF(ISNUMBER(SEARCH(G317,E317)),"命中","未命中"))))</f>
        <v/>
      </c>
      <c r="I317" s="32">
        <f>IF(B317="","",TEXT(B317,"00")&amp;"+5="&amp;E317)</f>
        <v/>
      </c>
    </row>
    <row r="318" ht="23" customHeight="1" s="21">
      <c r="A318" s="32">
        <f>IFERROR(LARGE(开奖记录!$A$2:$A$400,317),"")</f>
        <v/>
      </c>
      <c r="B318" s="32">
        <f>IF($A318="","",IFERROR(VLOOKUP($A318-1,开奖记录!$A:$L,3,FALSE),""))</f>
        <v/>
      </c>
      <c r="C318" s="32">
        <f>IF(B318="","",MOD(B318+4,49)+1)</f>
        <v/>
      </c>
      <c r="D318" s="32">
        <f>IF(C318="","",IFERROR(VLOOKUP(C318,规律参数!$A:$C,2,FALSE),""))</f>
        <v/>
      </c>
      <c r="E318" s="36">
        <f>IF(C318="","",IFERROR(VLOOKUP(C318,规律参数!$A:$C,3,FALSE),""))</f>
        <v/>
      </c>
      <c r="F318" s="32">
        <f>IF($A318="","",IFERROR(VLOOKUP($A318,开奖记录!$A:$L,9,FALSE),""))</f>
        <v/>
      </c>
      <c r="G318" s="32">
        <f>IF($A318="","",IFERROR(VLOOKUP($A318,开奖记录!$A:$L,11,FALSE),""))</f>
        <v/>
      </c>
      <c r="H318" s="32">
        <f>IF(A318="","",IF(B318="","缺上期数据",IF(G318="","待开奖",IF(ISNUMBER(SEARCH(G318,E318)),"命中","未命中"))))</f>
        <v/>
      </c>
      <c r="I318" s="32">
        <f>IF(B318="","",TEXT(B318,"00")&amp;"+5="&amp;E318)</f>
        <v/>
      </c>
    </row>
    <row r="319" ht="23" customHeight="1" s="21">
      <c r="A319" s="32">
        <f>IFERROR(LARGE(开奖记录!$A$2:$A$400,318),"")</f>
        <v/>
      </c>
      <c r="B319" s="32">
        <f>IF($A319="","",IFERROR(VLOOKUP($A319-1,开奖记录!$A:$L,3,FALSE),""))</f>
        <v/>
      </c>
      <c r="C319" s="32">
        <f>IF(B319="","",MOD(B319+4,49)+1)</f>
        <v/>
      </c>
      <c r="D319" s="32">
        <f>IF(C319="","",IFERROR(VLOOKUP(C319,规律参数!$A:$C,2,FALSE),""))</f>
        <v/>
      </c>
      <c r="E319" s="36">
        <f>IF(C319="","",IFERROR(VLOOKUP(C319,规律参数!$A:$C,3,FALSE),""))</f>
        <v/>
      </c>
      <c r="F319" s="32">
        <f>IF($A319="","",IFERROR(VLOOKUP($A319,开奖记录!$A:$L,9,FALSE),""))</f>
        <v/>
      </c>
      <c r="G319" s="32">
        <f>IF($A319="","",IFERROR(VLOOKUP($A319,开奖记录!$A:$L,11,FALSE),""))</f>
        <v/>
      </c>
      <c r="H319" s="32">
        <f>IF(A319="","",IF(B319="","缺上期数据",IF(G319="","待开奖",IF(ISNUMBER(SEARCH(G319,E319)),"命中","未命中"))))</f>
        <v/>
      </c>
      <c r="I319" s="32">
        <f>IF(B319="","",TEXT(B319,"00")&amp;"+5="&amp;E319)</f>
        <v/>
      </c>
    </row>
    <row r="320" ht="23" customHeight="1" s="21">
      <c r="A320" s="32">
        <f>IFERROR(LARGE(开奖记录!$A$2:$A$400,319),"")</f>
        <v/>
      </c>
      <c r="B320" s="32">
        <f>IF($A320="","",IFERROR(VLOOKUP($A320-1,开奖记录!$A:$L,3,FALSE),""))</f>
        <v/>
      </c>
      <c r="C320" s="32">
        <f>IF(B320="","",MOD(B320+4,49)+1)</f>
        <v/>
      </c>
      <c r="D320" s="32">
        <f>IF(C320="","",IFERROR(VLOOKUP(C320,规律参数!$A:$C,2,FALSE),""))</f>
        <v/>
      </c>
      <c r="E320" s="36">
        <f>IF(C320="","",IFERROR(VLOOKUP(C320,规律参数!$A:$C,3,FALSE),""))</f>
        <v/>
      </c>
      <c r="F320" s="32">
        <f>IF($A320="","",IFERROR(VLOOKUP($A320,开奖记录!$A:$L,9,FALSE),""))</f>
        <v/>
      </c>
      <c r="G320" s="32">
        <f>IF($A320="","",IFERROR(VLOOKUP($A320,开奖记录!$A:$L,11,FALSE),""))</f>
        <v/>
      </c>
      <c r="H320" s="32">
        <f>IF(A320="","",IF(B320="","缺上期数据",IF(G320="","待开奖",IF(ISNUMBER(SEARCH(G320,E320)),"命中","未命中"))))</f>
        <v/>
      </c>
      <c r="I320" s="32">
        <f>IF(B320="","",TEXT(B320,"00")&amp;"+5="&amp;E320)</f>
        <v/>
      </c>
    </row>
    <row r="321" ht="23" customHeight="1" s="21">
      <c r="A321" s="32">
        <f>IFERROR(LARGE(开奖记录!$A$2:$A$400,320),"")</f>
        <v/>
      </c>
      <c r="B321" s="32">
        <f>IF($A321="","",IFERROR(VLOOKUP($A321-1,开奖记录!$A:$L,3,FALSE),""))</f>
        <v/>
      </c>
      <c r="C321" s="32">
        <f>IF(B321="","",MOD(B321+4,49)+1)</f>
        <v/>
      </c>
      <c r="D321" s="32">
        <f>IF(C321="","",IFERROR(VLOOKUP(C321,规律参数!$A:$C,2,FALSE),""))</f>
        <v/>
      </c>
      <c r="E321" s="36">
        <f>IF(C321="","",IFERROR(VLOOKUP(C321,规律参数!$A:$C,3,FALSE),""))</f>
        <v/>
      </c>
      <c r="F321" s="32">
        <f>IF($A321="","",IFERROR(VLOOKUP($A321,开奖记录!$A:$L,9,FALSE),""))</f>
        <v/>
      </c>
      <c r="G321" s="32">
        <f>IF($A321="","",IFERROR(VLOOKUP($A321,开奖记录!$A:$L,11,FALSE),""))</f>
        <v/>
      </c>
      <c r="H321" s="32">
        <f>IF(A321="","",IF(B321="","缺上期数据",IF(G321="","待开奖",IF(ISNUMBER(SEARCH(G321,E321)),"命中","未命中"))))</f>
        <v/>
      </c>
      <c r="I321" s="32">
        <f>IF(B321="","",TEXT(B321,"00")&amp;"+5="&amp;E321)</f>
        <v/>
      </c>
    </row>
    <row r="322" ht="23" customHeight="1" s="21">
      <c r="A322" s="32">
        <f>IFERROR(LARGE(开奖记录!$A$2:$A$400,321),"")</f>
        <v/>
      </c>
      <c r="B322" s="32">
        <f>IF($A322="","",IFERROR(VLOOKUP($A322-1,开奖记录!$A:$L,3,FALSE),""))</f>
        <v/>
      </c>
      <c r="C322" s="32">
        <f>IF(B322="","",MOD(B322+4,49)+1)</f>
        <v/>
      </c>
      <c r="D322" s="32">
        <f>IF(C322="","",IFERROR(VLOOKUP(C322,规律参数!$A:$C,2,FALSE),""))</f>
        <v/>
      </c>
      <c r="E322" s="36">
        <f>IF(C322="","",IFERROR(VLOOKUP(C322,规律参数!$A:$C,3,FALSE),""))</f>
        <v/>
      </c>
      <c r="F322" s="32">
        <f>IF($A322="","",IFERROR(VLOOKUP($A322,开奖记录!$A:$L,9,FALSE),""))</f>
        <v/>
      </c>
      <c r="G322" s="32">
        <f>IF($A322="","",IFERROR(VLOOKUP($A322,开奖记录!$A:$L,11,FALSE),""))</f>
        <v/>
      </c>
      <c r="H322" s="32">
        <f>IF(A322="","",IF(B322="","缺上期数据",IF(G322="","待开奖",IF(ISNUMBER(SEARCH(G322,E322)),"命中","未命中"))))</f>
        <v/>
      </c>
      <c r="I322" s="32">
        <f>IF(B322="","",TEXT(B322,"00")&amp;"+5="&amp;E322)</f>
        <v/>
      </c>
    </row>
    <row r="323" ht="23" customHeight="1" s="21">
      <c r="A323" s="32">
        <f>IFERROR(LARGE(开奖记录!$A$2:$A$400,322),"")</f>
        <v/>
      </c>
      <c r="B323" s="32">
        <f>IF($A323="","",IFERROR(VLOOKUP($A323-1,开奖记录!$A:$L,3,FALSE),""))</f>
        <v/>
      </c>
      <c r="C323" s="32">
        <f>IF(B323="","",MOD(B323+4,49)+1)</f>
        <v/>
      </c>
      <c r="D323" s="32">
        <f>IF(C323="","",IFERROR(VLOOKUP(C323,规律参数!$A:$C,2,FALSE),""))</f>
        <v/>
      </c>
      <c r="E323" s="36">
        <f>IF(C323="","",IFERROR(VLOOKUP(C323,规律参数!$A:$C,3,FALSE),""))</f>
        <v/>
      </c>
      <c r="F323" s="32">
        <f>IF($A323="","",IFERROR(VLOOKUP($A323,开奖记录!$A:$L,9,FALSE),""))</f>
        <v/>
      </c>
      <c r="G323" s="32">
        <f>IF($A323="","",IFERROR(VLOOKUP($A323,开奖记录!$A:$L,11,FALSE),""))</f>
        <v/>
      </c>
      <c r="H323" s="32">
        <f>IF(A323="","",IF(B323="","缺上期数据",IF(G323="","待开奖",IF(ISNUMBER(SEARCH(G323,E323)),"命中","未命中"))))</f>
        <v/>
      </c>
      <c r="I323" s="32">
        <f>IF(B323="","",TEXT(B323,"00")&amp;"+5="&amp;E323)</f>
        <v/>
      </c>
    </row>
    <row r="324" ht="23" customHeight="1" s="21">
      <c r="A324" s="32">
        <f>IFERROR(LARGE(开奖记录!$A$2:$A$400,323),"")</f>
        <v/>
      </c>
      <c r="B324" s="32">
        <f>IF($A324="","",IFERROR(VLOOKUP($A324-1,开奖记录!$A:$L,3,FALSE),""))</f>
        <v/>
      </c>
      <c r="C324" s="32">
        <f>IF(B324="","",MOD(B324+4,49)+1)</f>
        <v/>
      </c>
      <c r="D324" s="32">
        <f>IF(C324="","",IFERROR(VLOOKUP(C324,规律参数!$A:$C,2,FALSE),""))</f>
        <v/>
      </c>
      <c r="E324" s="36">
        <f>IF(C324="","",IFERROR(VLOOKUP(C324,规律参数!$A:$C,3,FALSE),""))</f>
        <v/>
      </c>
      <c r="F324" s="32">
        <f>IF($A324="","",IFERROR(VLOOKUP($A324,开奖记录!$A:$L,9,FALSE),""))</f>
        <v/>
      </c>
      <c r="G324" s="32">
        <f>IF($A324="","",IFERROR(VLOOKUP($A324,开奖记录!$A:$L,11,FALSE),""))</f>
        <v/>
      </c>
      <c r="H324" s="32">
        <f>IF(A324="","",IF(B324="","缺上期数据",IF(G324="","待开奖",IF(ISNUMBER(SEARCH(G324,E324)),"命中","未命中"))))</f>
        <v/>
      </c>
      <c r="I324" s="32">
        <f>IF(B324="","",TEXT(B324,"00")&amp;"+5="&amp;E324)</f>
        <v/>
      </c>
    </row>
    <row r="325" ht="23" customHeight="1" s="21">
      <c r="A325" s="32">
        <f>IFERROR(LARGE(开奖记录!$A$2:$A$400,324),"")</f>
        <v/>
      </c>
      <c r="B325" s="32">
        <f>IF($A325="","",IFERROR(VLOOKUP($A325-1,开奖记录!$A:$L,3,FALSE),""))</f>
        <v/>
      </c>
      <c r="C325" s="32">
        <f>IF(B325="","",MOD(B325+4,49)+1)</f>
        <v/>
      </c>
      <c r="D325" s="32">
        <f>IF(C325="","",IFERROR(VLOOKUP(C325,规律参数!$A:$C,2,FALSE),""))</f>
        <v/>
      </c>
      <c r="E325" s="36">
        <f>IF(C325="","",IFERROR(VLOOKUP(C325,规律参数!$A:$C,3,FALSE),""))</f>
        <v/>
      </c>
      <c r="F325" s="32">
        <f>IF($A325="","",IFERROR(VLOOKUP($A325,开奖记录!$A:$L,9,FALSE),""))</f>
        <v/>
      </c>
      <c r="G325" s="32">
        <f>IF($A325="","",IFERROR(VLOOKUP($A325,开奖记录!$A:$L,11,FALSE),""))</f>
        <v/>
      </c>
      <c r="H325" s="32">
        <f>IF(A325="","",IF(B325="","缺上期数据",IF(G325="","待开奖",IF(ISNUMBER(SEARCH(G325,E325)),"命中","未命中"))))</f>
        <v/>
      </c>
      <c r="I325" s="32">
        <f>IF(B325="","",TEXT(B325,"00")&amp;"+5="&amp;E325)</f>
        <v/>
      </c>
    </row>
    <row r="326" ht="23" customHeight="1" s="21">
      <c r="A326" s="32">
        <f>IFERROR(LARGE(开奖记录!$A$2:$A$400,325),"")</f>
        <v/>
      </c>
      <c r="B326" s="32">
        <f>IF($A326="","",IFERROR(VLOOKUP($A326-1,开奖记录!$A:$L,3,FALSE),""))</f>
        <v/>
      </c>
      <c r="C326" s="32">
        <f>IF(B326="","",MOD(B326+4,49)+1)</f>
        <v/>
      </c>
      <c r="D326" s="32">
        <f>IF(C326="","",IFERROR(VLOOKUP(C326,规律参数!$A:$C,2,FALSE),""))</f>
        <v/>
      </c>
      <c r="E326" s="36">
        <f>IF(C326="","",IFERROR(VLOOKUP(C326,规律参数!$A:$C,3,FALSE),""))</f>
        <v/>
      </c>
      <c r="F326" s="32">
        <f>IF($A326="","",IFERROR(VLOOKUP($A326,开奖记录!$A:$L,9,FALSE),""))</f>
        <v/>
      </c>
      <c r="G326" s="32">
        <f>IF($A326="","",IFERROR(VLOOKUP($A326,开奖记录!$A:$L,11,FALSE),""))</f>
        <v/>
      </c>
      <c r="H326" s="32">
        <f>IF(A326="","",IF(B326="","缺上期数据",IF(G326="","待开奖",IF(ISNUMBER(SEARCH(G326,E326)),"命中","未命中"))))</f>
        <v/>
      </c>
      <c r="I326" s="32">
        <f>IF(B326="","",TEXT(B326,"00")&amp;"+5="&amp;E326)</f>
        <v/>
      </c>
    </row>
    <row r="327" ht="23" customHeight="1" s="21">
      <c r="A327" s="32">
        <f>IFERROR(LARGE(开奖记录!$A$2:$A$400,326),"")</f>
        <v/>
      </c>
      <c r="B327" s="32">
        <f>IF($A327="","",IFERROR(VLOOKUP($A327-1,开奖记录!$A:$L,3,FALSE),""))</f>
        <v/>
      </c>
      <c r="C327" s="32">
        <f>IF(B327="","",MOD(B327+4,49)+1)</f>
        <v/>
      </c>
      <c r="D327" s="32">
        <f>IF(C327="","",IFERROR(VLOOKUP(C327,规律参数!$A:$C,2,FALSE),""))</f>
        <v/>
      </c>
      <c r="E327" s="36">
        <f>IF(C327="","",IFERROR(VLOOKUP(C327,规律参数!$A:$C,3,FALSE),""))</f>
        <v/>
      </c>
      <c r="F327" s="32">
        <f>IF($A327="","",IFERROR(VLOOKUP($A327,开奖记录!$A:$L,9,FALSE),""))</f>
        <v/>
      </c>
      <c r="G327" s="32">
        <f>IF($A327="","",IFERROR(VLOOKUP($A327,开奖记录!$A:$L,11,FALSE),""))</f>
        <v/>
      </c>
      <c r="H327" s="32">
        <f>IF(A327="","",IF(B327="","缺上期数据",IF(G327="","待开奖",IF(ISNUMBER(SEARCH(G327,E327)),"命中","未命中"))))</f>
        <v/>
      </c>
      <c r="I327" s="32">
        <f>IF(B327="","",TEXT(B327,"00")&amp;"+5="&amp;E327)</f>
        <v/>
      </c>
    </row>
    <row r="328" ht="23" customHeight="1" s="21">
      <c r="A328" s="32">
        <f>IFERROR(LARGE(开奖记录!$A$2:$A$400,327),"")</f>
        <v/>
      </c>
      <c r="B328" s="32">
        <f>IF($A328="","",IFERROR(VLOOKUP($A328-1,开奖记录!$A:$L,3,FALSE),""))</f>
        <v/>
      </c>
      <c r="C328" s="32">
        <f>IF(B328="","",MOD(B328+4,49)+1)</f>
        <v/>
      </c>
      <c r="D328" s="32">
        <f>IF(C328="","",IFERROR(VLOOKUP(C328,规律参数!$A:$C,2,FALSE),""))</f>
        <v/>
      </c>
      <c r="E328" s="36">
        <f>IF(C328="","",IFERROR(VLOOKUP(C328,规律参数!$A:$C,3,FALSE),""))</f>
        <v/>
      </c>
      <c r="F328" s="32">
        <f>IF($A328="","",IFERROR(VLOOKUP($A328,开奖记录!$A:$L,9,FALSE),""))</f>
        <v/>
      </c>
      <c r="G328" s="32">
        <f>IF($A328="","",IFERROR(VLOOKUP($A328,开奖记录!$A:$L,11,FALSE),""))</f>
        <v/>
      </c>
      <c r="H328" s="32">
        <f>IF(A328="","",IF(B328="","缺上期数据",IF(G328="","待开奖",IF(ISNUMBER(SEARCH(G328,E328)),"命中","未命中"))))</f>
        <v/>
      </c>
      <c r="I328" s="32">
        <f>IF(B328="","",TEXT(B328,"00")&amp;"+5="&amp;E328)</f>
        <v/>
      </c>
    </row>
    <row r="329" ht="23" customHeight="1" s="21">
      <c r="A329" s="32">
        <f>IFERROR(LARGE(开奖记录!$A$2:$A$400,328),"")</f>
        <v/>
      </c>
      <c r="B329" s="32">
        <f>IF($A329="","",IFERROR(VLOOKUP($A329-1,开奖记录!$A:$L,3,FALSE),""))</f>
        <v/>
      </c>
      <c r="C329" s="32">
        <f>IF(B329="","",MOD(B329+4,49)+1)</f>
        <v/>
      </c>
      <c r="D329" s="32">
        <f>IF(C329="","",IFERROR(VLOOKUP(C329,规律参数!$A:$C,2,FALSE),""))</f>
        <v/>
      </c>
      <c r="E329" s="36">
        <f>IF(C329="","",IFERROR(VLOOKUP(C329,规律参数!$A:$C,3,FALSE),""))</f>
        <v/>
      </c>
      <c r="F329" s="32">
        <f>IF($A329="","",IFERROR(VLOOKUP($A329,开奖记录!$A:$L,9,FALSE),""))</f>
        <v/>
      </c>
      <c r="G329" s="32">
        <f>IF($A329="","",IFERROR(VLOOKUP($A329,开奖记录!$A:$L,11,FALSE),""))</f>
        <v/>
      </c>
      <c r="H329" s="32">
        <f>IF(A329="","",IF(B329="","缺上期数据",IF(G329="","待开奖",IF(ISNUMBER(SEARCH(G329,E329)),"命中","未命中"))))</f>
        <v/>
      </c>
      <c r="I329" s="32">
        <f>IF(B329="","",TEXT(B329,"00")&amp;"+5="&amp;E329)</f>
        <v/>
      </c>
    </row>
    <row r="330" ht="23" customHeight="1" s="21">
      <c r="A330" s="32">
        <f>IFERROR(LARGE(开奖记录!$A$2:$A$400,329),"")</f>
        <v/>
      </c>
      <c r="B330" s="32">
        <f>IF($A330="","",IFERROR(VLOOKUP($A330-1,开奖记录!$A:$L,3,FALSE),""))</f>
        <v/>
      </c>
      <c r="C330" s="32">
        <f>IF(B330="","",MOD(B330+4,49)+1)</f>
        <v/>
      </c>
      <c r="D330" s="32">
        <f>IF(C330="","",IFERROR(VLOOKUP(C330,规律参数!$A:$C,2,FALSE),""))</f>
        <v/>
      </c>
      <c r="E330" s="36">
        <f>IF(C330="","",IFERROR(VLOOKUP(C330,规律参数!$A:$C,3,FALSE),""))</f>
        <v/>
      </c>
      <c r="F330" s="32">
        <f>IF($A330="","",IFERROR(VLOOKUP($A330,开奖记录!$A:$L,9,FALSE),""))</f>
        <v/>
      </c>
      <c r="G330" s="32">
        <f>IF($A330="","",IFERROR(VLOOKUP($A330,开奖记录!$A:$L,11,FALSE),""))</f>
        <v/>
      </c>
      <c r="H330" s="32">
        <f>IF(A330="","",IF(B330="","缺上期数据",IF(G330="","待开奖",IF(ISNUMBER(SEARCH(G330,E330)),"命中","未命中"))))</f>
        <v/>
      </c>
      <c r="I330" s="32">
        <f>IF(B330="","",TEXT(B330,"00")&amp;"+5="&amp;E330)</f>
        <v/>
      </c>
    </row>
    <row r="331" ht="23" customHeight="1" s="21">
      <c r="A331" s="32">
        <f>IFERROR(LARGE(开奖记录!$A$2:$A$400,330),"")</f>
        <v/>
      </c>
      <c r="B331" s="32">
        <f>IF($A331="","",IFERROR(VLOOKUP($A331-1,开奖记录!$A:$L,3,FALSE),""))</f>
        <v/>
      </c>
      <c r="C331" s="32">
        <f>IF(B331="","",MOD(B331+4,49)+1)</f>
        <v/>
      </c>
      <c r="D331" s="32">
        <f>IF(C331="","",IFERROR(VLOOKUP(C331,规律参数!$A:$C,2,FALSE),""))</f>
        <v/>
      </c>
      <c r="E331" s="36">
        <f>IF(C331="","",IFERROR(VLOOKUP(C331,规律参数!$A:$C,3,FALSE),""))</f>
        <v/>
      </c>
      <c r="F331" s="32">
        <f>IF($A331="","",IFERROR(VLOOKUP($A331,开奖记录!$A:$L,9,FALSE),""))</f>
        <v/>
      </c>
      <c r="G331" s="32">
        <f>IF($A331="","",IFERROR(VLOOKUP($A331,开奖记录!$A:$L,11,FALSE),""))</f>
        <v/>
      </c>
      <c r="H331" s="32">
        <f>IF(A331="","",IF(B331="","缺上期数据",IF(G331="","待开奖",IF(ISNUMBER(SEARCH(G331,E331)),"命中","未命中"))))</f>
        <v/>
      </c>
      <c r="I331" s="32">
        <f>IF(B331="","",TEXT(B331,"00")&amp;"+5="&amp;E331)</f>
        <v/>
      </c>
    </row>
    <row r="332" ht="23" customHeight="1" s="21">
      <c r="A332" s="32">
        <f>IFERROR(LARGE(开奖记录!$A$2:$A$400,331),"")</f>
        <v/>
      </c>
      <c r="B332" s="32">
        <f>IF($A332="","",IFERROR(VLOOKUP($A332-1,开奖记录!$A:$L,3,FALSE),""))</f>
        <v/>
      </c>
      <c r="C332" s="32">
        <f>IF(B332="","",MOD(B332+4,49)+1)</f>
        <v/>
      </c>
      <c r="D332" s="32">
        <f>IF(C332="","",IFERROR(VLOOKUP(C332,规律参数!$A:$C,2,FALSE),""))</f>
        <v/>
      </c>
      <c r="E332" s="36">
        <f>IF(C332="","",IFERROR(VLOOKUP(C332,规律参数!$A:$C,3,FALSE),""))</f>
        <v/>
      </c>
      <c r="F332" s="32">
        <f>IF($A332="","",IFERROR(VLOOKUP($A332,开奖记录!$A:$L,9,FALSE),""))</f>
        <v/>
      </c>
      <c r="G332" s="32">
        <f>IF($A332="","",IFERROR(VLOOKUP($A332,开奖记录!$A:$L,11,FALSE),""))</f>
        <v/>
      </c>
      <c r="H332" s="32">
        <f>IF(A332="","",IF(B332="","缺上期数据",IF(G332="","待开奖",IF(ISNUMBER(SEARCH(G332,E332)),"命中","未命中"))))</f>
        <v/>
      </c>
      <c r="I332" s="32">
        <f>IF(B332="","",TEXT(B332,"00")&amp;"+5="&amp;E332)</f>
        <v/>
      </c>
    </row>
    <row r="333" ht="23" customHeight="1" s="21">
      <c r="A333" s="32">
        <f>IFERROR(LARGE(开奖记录!$A$2:$A$400,332),"")</f>
        <v/>
      </c>
      <c r="B333" s="32">
        <f>IF($A333="","",IFERROR(VLOOKUP($A333-1,开奖记录!$A:$L,3,FALSE),""))</f>
        <v/>
      </c>
      <c r="C333" s="32">
        <f>IF(B333="","",MOD(B333+4,49)+1)</f>
        <v/>
      </c>
      <c r="D333" s="32">
        <f>IF(C333="","",IFERROR(VLOOKUP(C333,规律参数!$A:$C,2,FALSE),""))</f>
        <v/>
      </c>
      <c r="E333" s="36">
        <f>IF(C333="","",IFERROR(VLOOKUP(C333,规律参数!$A:$C,3,FALSE),""))</f>
        <v/>
      </c>
      <c r="F333" s="32">
        <f>IF($A333="","",IFERROR(VLOOKUP($A333,开奖记录!$A:$L,9,FALSE),""))</f>
        <v/>
      </c>
      <c r="G333" s="32">
        <f>IF($A333="","",IFERROR(VLOOKUP($A333,开奖记录!$A:$L,11,FALSE),""))</f>
        <v/>
      </c>
      <c r="H333" s="32">
        <f>IF(A333="","",IF(B333="","缺上期数据",IF(G333="","待开奖",IF(ISNUMBER(SEARCH(G333,E333)),"命中","未命中"))))</f>
        <v/>
      </c>
      <c r="I333" s="32">
        <f>IF(B333="","",TEXT(B333,"00")&amp;"+5="&amp;E333)</f>
        <v/>
      </c>
    </row>
    <row r="334" ht="23" customHeight="1" s="21">
      <c r="A334" s="32">
        <f>IFERROR(LARGE(开奖记录!$A$2:$A$400,333),"")</f>
        <v/>
      </c>
      <c r="B334" s="32">
        <f>IF($A334="","",IFERROR(VLOOKUP($A334-1,开奖记录!$A:$L,3,FALSE),""))</f>
        <v/>
      </c>
      <c r="C334" s="32">
        <f>IF(B334="","",MOD(B334+4,49)+1)</f>
        <v/>
      </c>
      <c r="D334" s="32">
        <f>IF(C334="","",IFERROR(VLOOKUP(C334,规律参数!$A:$C,2,FALSE),""))</f>
        <v/>
      </c>
      <c r="E334" s="36">
        <f>IF(C334="","",IFERROR(VLOOKUP(C334,规律参数!$A:$C,3,FALSE),""))</f>
        <v/>
      </c>
      <c r="F334" s="32">
        <f>IF($A334="","",IFERROR(VLOOKUP($A334,开奖记录!$A:$L,9,FALSE),""))</f>
        <v/>
      </c>
      <c r="G334" s="32">
        <f>IF($A334="","",IFERROR(VLOOKUP($A334,开奖记录!$A:$L,11,FALSE),""))</f>
        <v/>
      </c>
      <c r="H334" s="32">
        <f>IF(A334="","",IF(B334="","缺上期数据",IF(G334="","待开奖",IF(ISNUMBER(SEARCH(G334,E334)),"命中","未命中"))))</f>
        <v/>
      </c>
      <c r="I334" s="32">
        <f>IF(B334="","",TEXT(B334,"00")&amp;"+5="&amp;E334)</f>
        <v/>
      </c>
    </row>
    <row r="335" ht="23" customHeight="1" s="21">
      <c r="A335" s="32">
        <f>IFERROR(LARGE(开奖记录!$A$2:$A$400,334),"")</f>
        <v/>
      </c>
      <c r="B335" s="32">
        <f>IF($A335="","",IFERROR(VLOOKUP($A335-1,开奖记录!$A:$L,3,FALSE),""))</f>
        <v/>
      </c>
      <c r="C335" s="32">
        <f>IF(B335="","",MOD(B335+4,49)+1)</f>
        <v/>
      </c>
      <c r="D335" s="32">
        <f>IF(C335="","",IFERROR(VLOOKUP(C335,规律参数!$A:$C,2,FALSE),""))</f>
        <v/>
      </c>
      <c r="E335" s="36">
        <f>IF(C335="","",IFERROR(VLOOKUP(C335,规律参数!$A:$C,3,FALSE),""))</f>
        <v/>
      </c>
      <c r="F335" s="32">
        <f>IF($A335="","",IFERROR(VLOOKUP($A335,开奖记录!$A:$L,9,FALSE),""))</f>
        <v/>
      </c>
      <c r="G335" s="32">
        <f>IF($A335="","",IFERROR(VLOOKUP($A335,开奖记录!$A:$L,11,FALSE),""))</f>
        <v/>
      </c>
      <c r="H335" s="32">
        <f>IF(A335="","",IF(B335="","缺上期数据",IF(G335="","待开奖",IF(ISNUMBER(SEARCH(G335,E335)),"命中","未命中"))))</f>
        <v/>
      </c>
      <c r="I335" s="32">
        <f>IF(B335="","",TEXT(B335,"00")&amp;"+5="&amp;E335)</f>
        <v/>
      </c>
    </row>
    <row r="336" ht="23" customHeight="1" s="21">
      <c r="A336" s="32">
        <f>IFERROR(LARGE(开奖记录!$A$2:$A$400,335),"")</f>
        <v/>
      </c>
      <c r="B336" s="32">
        <f>IF($A336="","",IFERROR(VLOOKUP($A336-1,开奖记录!$A:$L,3,FALSE),""))</f>
        <v/>
      </c>
      <c r="C336" s="32">
        <f>IF(B336="","",MOD(B336+4,49)+1)</f>
        <v/>
      </c>
      <c r="D336" s="32">
        <f>IF(C336="","",IFERROR(VLOOKUP(C336,规律参数!$A:$C,2,FALSE),""))</f>
        <v/>
      </c>
      <c r="E336" s="36">
        <f>IF(C336="","",IFERROR(VLOOKUP(C336,规律参数!$A:$C,3,FALSE),""))</f>
        <v/>
      </c>
      <c r="F336" s="32">
        <f>IF($A336="","",IFERROR(VLOOKUP($A336,开奖记录!$A:$L,9,FALSE),""))</f>
        <v/>
      </c>
      <c r="G336" s="32">
        <f>IF($A336="","",IFERROR(VLOOKUP($A336,开奖记录!$A:$L,11,FALSE),""))</f>
        <v/>
      </c>
      <c r="H336" s="32">
        <f>IF(A336="","",IF(B336="","缺上期数据",IF(G336="","待开奖",IF(ISNUMBER(SEARCH(G336,E336)),"命中","未命中"))))</f>
        <v/>
      </c>
      <c r="I336" s="32">
        <f>IF(B336="","",TEXT(B336,"00")&amp;"+5="&amp;E336)</f>
        <v/>
      </c>
    </row>
    <row r="337" ht="23" customHeight="1" s="21">
      <c r="A337" s="32">
        <f>IFERROR(LARGE(开奖记录!$A$2:$A$400,336),"")</f>
        <v/>
      </c>
      <c r="B337" s="32">
        <f>IF($A337="","",IFERROR(VLOOKUP($A337-1,开奖记录!$A:$L,3,FALSE),""))</f>
        <v/>
      </c>
      <c r="C337" s="32">
        <f>IF(B337="","",MOD(B337+4,49)+1)</f>
        <v/>
      </c>
      <c r="D337" s="32">
        <f>IF(C337="","",IFERROR(VLOOKUP(C337,规律参数!$A:$C,2,FALSE),""))</f>
        <v/>
      </c>
      <c r="E337" s="36">
        <f>IF(C337="","",IFERROR(VLOOKUP(C337,规律参数!$A:$C,3,FALSE),""))</f>
        <v/>
      </c>
      <c r="F337" s="32">
        <f>IF($A337="","",IFERROR(VLOOKUP($A337,开奖记录!$A:$L,9,FALSE),""))</f>
        <v/>
      </c>
      <c r="G337" s="32">
        <f>IF($A337="","",IFERROR(VLOOKUP($A337,开奖记录!$A:$L,11,FALSE),""))</f>
        <v/>
      </c>
      <c r="H337" s="32">
        <f>IF(A337="","",IF(B337="","缺上期数据",IF(G337="","待开奖",IF(ISNUMBER(SEARCH(G337,E337)),"命中","未命中"))))</f>
        <v/>
      </c>
      <c r="I337" s="32">
        <f>IF(B337="","",TEXT(B337,"00")&amp;"+5="&amp;E337)</f>
        <v/>
      </c>
    </row>
    <row r="338" ht="23" customHeight="1" s="21">
      <c r="A338" s="32">
        <f>IFERROR(LARGE(开奖记录!$A$2:$A$400,337),"")</f>
        <v/>
      </c>
      <c r="B338" s="32">
        <f>IF($A338="","",IFERROR(VLOOKUP($A338-1,开奖记录!$A:$L,3,FALSE),""))</f>
        <v/>
      </c>
      <c r="C338" s="32">
        <f>IF(B338="","",MOD(B338+4,49)+1)</f>
        <v/>
      </c>
      <c r="D338" s="32">
        <f>IF(C338="","",IFERROR(VLOOKUP(C338,规律参数!$A:$C,2,FALSE),""))</f>
        <v/>
      </c>
      <c r="E338" s="36">
        <f>IF(C338="","",IFERROR(VLOOKUP(C338,规律参数!$A:$C,3,FALSE),""))</f>
        <v/>
      </c>
      <c r="F338" s="32">
        <f>IF($A338="","",IFERROR(VLOOKUP($A338,开奖记录!$A:$L,9,FALSE),""))</f>
        <v/>
      </c>
      <c r="G338" s="32">
        <f>IF($A338="","",IFERROR(VLOOKUP($A338,开奖记录!$A:$L,11,FALSE),""))</f>
        <v/>
      </c>
      <c r="H338" s="32">
        <f>IF(A338="","",IF(B338="","缺上期数据",IF(G338="","待开奖",IF(ISNUMBER(SEARCH(G338,E338)),"命中","未命中"))))</f>
        <v/>
      </c>
      <c r="I338" s="32">
        <f>IF(B338="","",TEXT(B338,"00")&amp;"+5="&amp;E338)</f>
        <v/>
      </c>
    </row>
    <row r="339" ht="23" customHeight="1" s="21">
      <c r="A339" s="32">
        <f>IFERROR(LARGE(开奖记录!$A$2:$A$400,338),"")</f>
        <v/>
      </c>
      <c r="B339" s="32">
        <f>IF($A339="","",IFERROR(VLOOKUP($A339-1,开奖记录!$A:$L,3,FALSE),""))</f>
        <v/>
      </c>
      <c r="C339" s="32">
        <f>IF(B339="","",MOD(B339+4,49)+1)</f>
        <v/>
      </c>
      <c r="D339" s="32">
        <f>IF(C339="","",IFERROR(VLOOKUP(C339,规律参数!$A:$C,2,FALSE),""))</f>
        <v/>
      </c>
      <c r="E339" s="36">
        <f>IF(C339="","",IFERROR(VLOOKUP(C339,规律参数!$A:$C,3,FALSE),""))</f>
        <v/>
      </c>
      <c r="F339" s="32">
        <f>IF($A339="","",IFERROR(VLOOKUP($A339,开奖记录!$A:$L,9,FALSE),""))</f>
        <v/>
      </c>
      <c r="G339" s="32">
        <f>IF($A339="","",IFERROR(VLOOKUP($A339,开奖记录!$A:$L,11,FALSE),""))</f>
        <v/>
      </c>
      <c r="H339" s="32">
        <f>IF(A339="","",IF(B339="","缺上期数据",IF(G339="","待开奖",IF(ISNUMBER(SEARCH(G339,E339)),"命中","未命中"))))</f>
        <v/>
      </c>
      <c r="I339" s="32">
        <f>IF(B339="","",TEXT(B339,"00")&amp;"+5="&amp;E339)</f>
        <v/>
      </c>
    </row>
    <row r="340" ht="23" customHeight="1" s="21">
      <c r="A340" s="32">
        <f>IFERROR(LARGE(开奖记录!$A$2:$A$400,339),"")</f>
        <v/>
      </c>
      <c r="B340" s="32">
        <f>IF($A340="","",IFERROR(VLOOKUP($A340-1,开奖记录!$A:$L,3,FALSE),""))</f>
        <v/>
      </c>
      <c r="C340" s="32">
        <f>IF(B340="","",MOD(B340+4,49)+1)</f>
        <v/>
      </c>
      <c r="D340" s="32">
        <f>IF(C340="","",IFERROR(VLOOKUP(C340,规律参数!$A:$C,2,FALSE),""))</f>
        <v/>
      </c>
      <c r="E340" s="36">
        <f>IF(C340="","",IFERROR(VLOOKUP(C340,规律参数!$A:$C,3,FALSE),""))</f>
        <v/>
      </c>
      <c r="F340" s="32">
        <f>IF($A340="","",IFERROR(VLOOKUP($A340,开奖记录!$A:$L,9,FALSE),""))</f>
        <v/>
      </c>
      <c r="G340" s="32">
        <f>IF($A340="","",IFERROR(VLOOKUP($A340,开奖记录!$A:$L,11,FALSE),""))</f>
        <v/>
      </c>
      <c r="H340" s="32">
        <f>IF(A340="","",IF(B340="","缺上期数据",IF(G340="","待开奖",IF(ISNUMBER(SEARCH(G340,E340)),"命中","未命中"))))</f>
        <v/>
      </c>
      <c r="I340" s="32">
        <f>IF(B340="","",TEXT(B340,"00")&amp;"+5="&amp;E340)</f>
        <v/>
      </c>
    </row>
    <row r="341" ht="23" customHeight="1" s="21">
      <c r="A341" s="32">
        <f>IFERROR(LARGE(开奖记录!$A$2:$A$400,340),"")</f>
        <v/>
      </c>
      <c r="B341" s="32">
        <f>IF($A341="","",IFERROR(VLOOKUP($A341-1,开奖记录!$A:$L,3,FALSE),""))</f>
        <v/>
      </c>
      <c r="C341" s="32">
        <f>IF(B341="","",MOD(B341+4,49)+1)</f>
        <v/>
      </c>
      <c r="D341" s="32">
        <f>IF(C341="","",IFERROR(VLOOKUP(C341,规律参数!$A:$C,2,FALSE),""))</f>
        <v/>
      </c>
      <c r="E341" s="36">
        <f>IF(C341="","",IFERROR(VLOOKUP(C341,规律参数!$A:$C,3,FALSE),""))</f>
        <v/>
      </c>
      <c r="F341" s="32">
        <f>IF($A341="","",IFERROR(VLOOKUP($A341,开奖记录!$A:$L,9,FALSE),""))</f>
        <v/>
      </c>
      <c r="G341" s="32">
        <f>IF($A341="","",IFERROR(VLOOKUP($A341,开奖记录!$A:$L,11,FALSE),""))</f>
        <v/>
      </c>
      <c r="H341" s="32">
        <f>IF(A341="","",IF(B341="","缺上期数据",IF(G341="","待开奖",IF(ISNUMBER(SEARCH(G341,E341)),"命中","未命中"))))</f>
        <v/>
      </c>
      <c r="I341" s="32">
        <f>IF(B341="","",TEXT(B341,"00")&amp;"+5="&amp;E341)</f>
        <v/>
      </c>
    </row>
    <row r="342" ht="23" customHeight="1" s="21">
      <c r="A342" s="32">
        <f>IFERROR(LARGE(开奖记录!$A$2:$A$400,341),"")</f>
        <v/>
      </c>
      <c r="B342" s="32">
        <f>IF($A342="","",IFERROR(VLOOKUP($A342-1,开奖记录!$A:$L,3,FALSE),""))</f>
        <v/>
      </c>
      <c r="C342" s="32">
        <f>IF(B342="","",MOD(B342+4,49)+1)</f>
        <v/>
      </c>
      <c r="D342" s="32">
        <f>IF(C342="","",IFERROR(VLOOKUP(C342,规律参数!$A:$C,2,FALSE),""))</f>
        <v/>
      </c>
      <c r="E342" s="36">
        <f>IF(C342="","",IFERROR(VLOOKUP(C342,规律参数!$A:$C,3,FALSE),""))</f>
        <v/>
      </c>
      <c r="F342" s="32">
        <f>IF($A342="","",IFERROR(VLOOKUP($A342,开奖记录!$A:$L,9,FALSE),""))</f>
        <v/>
      </c>
      <c r="G342" s="32">
        <f>IF($A342="","",IFERROR(VLOOKUP($A342,开奖记录!$A:$L,11,FALSE),""))</f>
        <v/>
      </c>
      <c r="H342" s="32">
        <f>IF(A342="","",IF(B342="","缺上期数据",IF(G342="","待开奖",IF(ISNUMBER(SEARCH(G342,E342)),"命中","未命中"))))</f>
        <v/>
      </c>
      <c r="I342" s="32">
        <f>IF(B342="","",TEXT(B342,"00")&amp;"+5="&amp;E342)</f>
        <v/>
      </c>
    </row>
    <row r="343" ht="23" customHeight="1" s="21">
      <c r="A343" s="32">
        <f>IFERROR(LARGE(开奖记录!$A$2:$A$400,342),"")</f>
        <v/>
      </c>
      <c r="B343" s="32">
        <f>IF($A343="","",IFERROR(VLOOKUP($A343-1,开奖记录!$A:$L,3,FALSE),""))</f>
        <v/>
      </c>
      <c r="C343" s="32">
        <f>IF(B343="","",MOD(B343+4,49)+1)</f>
        <v/>
      </c>
      <c r="D343" s="32">
        <f>IF(C343="","",IFERROR(VLOOKUP(C343,规律参数!$A:$C,2,FALSE),""))</f>
        <v/>
      </c>
      <c r="E343" s="36">
        <f>IF(C343="","",IFERROR(VLOOKUP(C343,规律参数!$A:$C,3,FALSE),""))</f>
        <v/>
      </c>
      <c r="F343" s="32">
        <f>IF($A343="","",IFERROR(VLOOKUP($A343,开奖记录!$A:$L,9,FALSE),""))</f>
        <v/>
      </c>
      <c r="G343" s="32">
        <f>IF($A343="","",IFERROR(VLOOKUP($A343,开奖记录!$A:$L,11,FALSE),""))</f>
        <v/>
      </c>
      <c r="H343" s="32">
        <f>IF(A343="","",IF(B343="","缺上期数据",IF(G343="","待开奖",IF(ISNUMBER(SEARCH(G343,E343)),"命中","未命中"))))</f>
        <v/>
      </c>
      <c r="I343" s="32">
        <f>IF(B343="","",TEXT(B343,"00")&amp;"+5="&amp;E343)</f>
        <v/>
      </c>
    </row>
    <row r="344" ht="23" customHeight="1" s="21">
      <c r="A344" s="32">
        <f>IFERROR(LARGE(开奖记录!$A$2:$A$400,343),"")</f>
        <v/>
      </c>
      <c r="B344" s="32">
        <f>IF($A344="","",IFERROR(VLOOKUP($A344-1,开奖记录!$A:$L,3,FALSE),""))</f>
        <v/>
      </c>
      <c r="C344" s="32">
        <f>IF(B344="","",MOD(B344+4,49)+1)</f>
        <v/>
      </c>
      <c r="D344" s="32">
        <f>IF(C344="","",IFERROR(VLOOKUP(C344,规律参数!$A:$C,2,FALSE),""))</f>
        <v/>
      </c>
      <c r="E344" s="36">
        <f>IF(C344="","",IFERROR(VLOOKUP(C344,规律参数!$A:$C,3,FALSE),""))</f>
        <v/>
      </c>
      <c r="F344" s="32">
        <f>IF($A344="","",IFERROR(VLOOKUP($A344,开奖记录!$A:$L,9,FALSE),""))</f>
        <v/>
      </c>
      <c r="G344" s="32">
        <f>IF($A344="","",IFERROR(VLOOKUP($A344,开奖记录!$A:$L,11,FALSE),""))</f>
        <v/>
      </c>
      <c r="H344" s="32">
        <f>IF(A344="","",IF(B344="","缺上期数据",IF(G344="","待开奖",IF(ISNUMBER(SEARCH(G344,E344)),"命中","未命中"))))</f>
        <v/>
      </c>
      <c r="I344" s="32">
        <f>IF(B344="","",TEXT(B344,"00")&amp;"+5="&amp;E344)</f>
        <v/>
      </c>
    </row>
    <row r="345" ht="23" customHeight="1" s="21">
      <c r="A345" s="32">
        <f>IFERROR(LARGE(开奖记录!$A$2:$A$400,344),"")</f>
        <v/>
      </c>
      <c r="B345" s="32">
        <f>IF($A345="","",IFERROR(VLOOKUP($A345-1,开奖记录!$A:$L,3,FALSE),""))</f>
        <v/>
      </c>
      <c r="C345" s="32">
        <f>IF(B345="","",MOD(B345+4,49)+1)</f>
        <v/>
      </c>
      <c r="D345" s="32">
        <f>IF(C345="","",IFERROR(VLOOKUP(C345,规律参数!$A:$C,2,FALSE),""))</f>
        <v/>
      </c>
      <c r="E345" s="36">
        <f>IF(C345="","",IFERROR(VLOOKUP(C345,规律参数!$A:$C,3,FALSE),""))</f>
        <v/>
      </c>
      <c r="F345" s="32">
        <f>IF($A345="","",IFERROR(VLOOKUP($A345,开奖记录!$A:$L,9,FALSE),""))</f>
        <v/>
      </c>
      <c r="G345" s="32">
        <f>IF($A345="","",IFERROR(VLOOKUP($A345,开奖记录!$A:$L,11,FALSE),""))</f>
        <v/>
      </c>
      <c r="H345" s="32">
        <f>IF(A345="","",IF(B345="","缺上期数据",IF(G345="","待开奖",IF(ISNUMBER(SEARCH(G345,E345)),"命中","未命中"))))</f>
        <v/>
      </c>
      <c r="I345" s="32">
        <f>IF(B345="","",TEXT(B345,"00")&amp;"+5="&amp;E345)</f>
        <v/>
      </c>
    </row>
    <row r="346" ht="23" customHeight="1" s="21">
      <c r="A346" s="32">
        <f>IFERROR(LARGE(开奖记录!$A$2:$A$400,345),"")</f>
        <v/>
      </c>
      <c r="B346" s="32">
        <f>IF($A346="","",IFERROR(VLOOKUP($A346-1,开奖记录!$A:$L,3,FALSE),""))</f>
        <v/>
      </c>
      <c r="C346" s="32">
        <f>IF(B346="","",MOD(B346+4,49)+1)</f>
        <v/>
      </c>
      <c r="D346" s="32">
        <f>IF(C346="","",IFERROR(VLOOKUP(C346,规律参数!$A:$C,2,FALSE),""))</f>
        <v/>
      </c>
      <c r="E346" s="36">
        <f>IF(C346="","",IFERROR(VLOOKUP(C346,规律参数!$A:$C,3,FALSE),""))</f>
        <v/>
      </c>
      <c r="F346" s="32">
        <f>IF($A346="","",IFERROR(VLOOKUP($A346,开奖记录!$A:$L,9,FALSE),""))</f>
        <v/>
      </c>
      <c r="G346" s="32">
        <f>IF($A346="","",IFERROR(VLOOKUP($A346,开奖记录!$A:$L,11,FALSE),""))</f>
        <v/>
      </c>
      <c r="H346" s="32">
        <f>IF(A346="","",IF(B346="","缺上期数据",IF(G346="","待开奖",IF(ISNUMBER(SEARCH(G346,E346)),"命中","未命中"))))</f>
        <v/>
      </c>
      <c r="I346" s="32">
        <f>IF(B346="","",TEXT(B346,"00")&amp;"+5="&amp;E346)</f>
        <v/>
      </c>
    </row>
    <row r="347" ht="23" customHeight="1" s="21">
      <c r="A347" s="32">
        <f>IFERROR(LARGE(开奖记录!$A$2:$A$400,346),"")</f>
        <v/>
      </c>
      <c r="B347" s="32">
        <f>IF($A347="","",IFERROR(VLOOKUP($A347-1,开奖记录!$A:$L,3,FALSE),""))</f>
        <v/>
      </c>
      <c r="C347" s="32">
        <f>IF(B347="","",MOD(B347+4,49)+1)</f>
        <v/>
      </c>
      <c r="D347" s="32">
        <f>IF(C347="","",IFERROR(VLOOKUP(C347,规律参数!$A:$C,2,FALSE),""))</f>
        <v/>
      </c>
      <c r="E347" s="36">
        <f>IF(C347="","",IFERROR(VLOOKUP(C347,规律参数!$A:$C,3,FALSE),""))</f>
        <v/>
      </c>
      <c r="F347" s="32">
        <f>IF($A347="","",IFERROR(VLOOKUP($A347,开奖记录!$A:$L,9,FALSE),""))</f>
        <v/>
      </c>
      <c r="G347" s="32">
        <f>IF($A347="","",IFERROR(VLOOKUP($A347,开奖记录!$A:$L,11,FALSE),""))</f>
        <v/>
      </c>
      <c r="H347" s="32">
        <f>IF(A347="","",IF(B347="","缺上期数据",IF(G347="","待开奖",IF(ISNUMBER(SEARCH(G347,E347)),"命中","未命中"))))</f>
        <v/>
      </c>
      <c r="I347" s="32">
        <f>IF(B347="","",TEXT(B347,"00")&amp;"+5="&amp;E347)</f>
        <v/>
      </c>
    </row>
    <row r="348" ht="23" customHeight="1" s="21">
      <c r="A348" s="32">
        <f>IFERROR(LARGE(开奖记录!$A$2:$A$400,347),"")</f>
        <v/>
      </c>
      <c r="B348" s="32">
        <f>IF($A348="","",IFERROR(VLOOKUP($A348-1,开奖记录!$A:$L,3,FALSE),""))</f>
        <v/>
      </c>
      <c r="C348" s="32">
        <f>IF(B348="","",MOD(B348+4,49)+1)</f>
        <v/>
      </c>
      <c r="D348" s="32">
        <f>IF(C348="","",IFERROR(VLOOKUP(C348,规律参数!$A:$C,2,FALSE),""))</f>
        <v/>
      </c>
      <c r="E348" s="36">
        <f>IF(C348="","",IFERROR(VLOOKUP(C348,规律参数!$A:$C,3,FALSE),""))</f>
        <v/>
      </c>
      <c r="F348" s="32">
        <f>IF($A348="","",IFERROR(VLOOKUP($A348,开奖记录!$A:$L,9,FALSE),""))</f>
        <v/>
      </c>
      <c r="G348" s="32">
        <f>IF($A348="","",IFERROR(VLOOKUP($A348,开奖记录!$A:$L,11,FALSE),""))</f>
        <v/>
      </c>
      <c r="H348" s="32">
        <f>IF(A348="","",IF(B348="","缺上期数据",IF(G348="","待开奖",IF(ISNUMBER(SEARCH(G348,E348)),"命中","未命中"))))</f>
        <v/>
      </c>
      <c r="I348" s="32">
        <f>IF(B348="","",TEXT(B348,"00")&amp;"+5="&amp;E348)</f>
        <v/>
      </c>
    </row>
    <row r="349" ht="23" customHeight="1" s="21">
      <c r="A349" s="32">
        <f>IFERROR(LARGE(开奖记录!$A$2:$A$400,348),"")</f>
        <v/>
      </c>
      <c r="B349" s="32">
        <f>IF($A349="","",IFERROR(VLOOKUP($A349-1,开奖记录!$A:$L,3,FALSE),""))</f>
        <v/>
      </c>
      <c r="C349" s="32">
        <f>IF(B349="","",MOD(B349+4,49)+1)</f>
        <v/>
      </c>
      <c r="D349" s="32">
        <f>IF(C349="","",IFERROR(VLOOKUP(C349,规律参数!$A:$C,2,FALSE),""))</f>
        <v/>
      </c>
      <c r="E349" s="36">
        <f>IF(C349="","",IFERROR(VLOOKUP(C349,规律参数!$A:$C,3,FALSE),""))</f>
        <v/>
      </c>
      <c r="F349" s="32">
        <f>IF($A349="","",IFERROR(VLOOKUP($A349,开奖记录!$A:$L,9,FALSE),""))</f>
        <v/>
      </c>
      <c r="G349" s="32">
        <f>IF($A349="","",IFERROR(VLOOKUP($A349,开奖记录!$A:$L,11,FALSE),""))</f>
        <v/>
      </c>
      <c r="H349" s="32">
        <f>IF(A349="","",IF(B349="","缺上期数据",IF(G349="","待开奖",IF(ISNUMBER(SEARCH(G349,E349)),"命中","未命中"))))</f>
        <v/>
      </c>
      <c r="I349" s="32">
        <f>IF(B349="","",TEXT(B349,"00")&amp;"+5="&amp;E349)</f>
        <v/>
      </c>
    </row>
    <row r="350" ht="23" customHeight="1" s="21">
      <c r="A350" s="32">
        <f>IFERROR(LARGE(开奖记录!$A$2:$A$400,349),"")</f>
        <v/>
      </c>
      <c r="B350" s="32">
        <f>IF($A350="","",IFERROR(VLOOKUP($A350-1,开奖记录!$A:$L,3,FALSE),""))</f>
        <v/>
      </c>
      <c r="C350" s="32">
        <f>IF(B350="","",MOD(B350+4,49)+1)</f>
        <v/>
      </c>
      <c r="D350" s="32">
        <f>IF(C350="","",IFERROR(VLOOKUP(C350,规律参数!$A:$C,2,FALSE),""))</f>
        <v/>
      </c>
      <c r="E350" s="36">
        <f>IF(C350="","",IFERROR(VLOOKUP(C350,规律参数!$A:$C,3,FALSE),""))</f>
        <v/>
      </c>
      <c r="F350" s="32">
        <f>IF($A350="","",IFERROR(VLOOKUP($A350,开奖记录!$A:$L,9,FALSE),""))</f>
        <v/>
      </c>
      <c r="G350" s="32">
        <f>IF($A350="","",IFERROR(VLOOKUP($A350,开奖记录!$A:$L,11,FALSE),""))</f>
        <v/>
      </c>
      <c r="H350" s="32">
        <f>IF(A350="","",IF(B350="","缺上期数据",IF(G350="","待开奖",IF(ISNUMBER(SEARCH(G350,E350)),"命中","未命中"))))</f>
        <v/>
      </c>
      <c r="I350" s="32">
        <f>IF(B350="","",TEXT(B350,"00")&amp;"+5="&amp;E350)</f>
        <v/>
      </c>
    </row>
    <row r="351" ht="23" customHeight="1" s="21">
      <c r="A351" s="32">
        <f>IFERROR(LARGE(开奖记录!$A$2:$A$400,350),"")</f>
        <v/>
      </c>
      <c r="B351" s="32">
        <f>IF($A351="","",IFERROR(VLOOKUP($A351-1,开奖记录!$A:$L,3,FALSE),""))</f>
        <v/>
      </c>
      <c r="C351" s="32">
        <f>IF(B351="","",MOD(B351+4,49)+1)</f>
        <v/>
      </c>
      <c r="D351" s="32">
        <f>IF(C351="","",IFERROR(VLOOKUP(C351,规律参数!$A:$C,2,FALSE),""))</f>
        <v/>
      </c>
      <c r="E351" s="36">
        <f>IF(C351="","",IFERROR(VLOOKUP(C351,规律参数!$A:$C,3,FALSE),""))</f>
        <v/>
      </c>
      <c r="F351" s="32">
        <f>IF($A351="","",IFERROR(VLOOKUP($A351,开奖记录!$A:$L,9,FALSE),""))</f>
        <v/>
      </c>
      <c r="G351" s="32">
        <f>IF($A351="","",IFERROR(VLOOKUP($A351,开奖记录!$A:$L,11,FALSE),""))</f>
        <v/>
      </c>
      <c r="H351" s="32">
        <f>IF(A351="","",IF(B351="","缺上期数据",IF(G351="","待开奖",IF(ISNUMBER(SEARCH(G351,E351)),"命中","未命中"))))</f>
        <v/>
      </c>
      <c r="I351" s="32">
        <f>IF(B351="","",TEXT(B351,"00")&amp;"+5="&amp;E351)</f>
        <v/>
      </c>
    </row>
    <row r="352" ht="23" customHeight="1" s="21">
      <c r="A352" s="32">
        <f>IFERROR(LARGE(开奖记录!$A$2:$A$400,351),"")</f>
        <v/>
      </c>
      <c r="B352" s="32">
        <f>IF($A352="","",IFERROR(VLOOKUP($A352-1,开奖记录!$A:$L,3,FALSE),""))</f>
        <v/>
      </c>
      <c r="C352" s="32">
        <f>IF(B352="","",MOD(B352+4,49)+1)</f>
        <v/>
      </c>
      <c r="D352" s="32">
        <f>IF(C352="","",IFERROR(VLOOKUP(C352,规律参数!$A:$C,2,FALSE),""))</f>
        <v/>
      </c>
      <c r="E352" s="36">
        <f>IF(C352="","",IFERROR(VLOOKUP(C352,规律参数!$A:$C,3,FALSE),""))</f>
        <v/>
      </c>
      <c r="F352" s="32">
        <f>IF($A352="","",IFERROR(VLOOKUP($A352,开奖记录!$A:$L,9,FALSE),""))</f>
        <v/>
      </c>
      <c r="G352" s="32">
        <f>IF($A352="","",IFERROR(VLOOKUP($A352,开奖记录!$A:$L,11,FALSE),""))</f>
        <v/>
      </c>
      <c r="H352" s="32">
        <f>IF(A352="","",IF(B352="","缺上期数据",IF(G352="","待开奖",IF(ISNUMBER(SEARCH(G352,E352)),"命中","未命中"))))</f>
        <v/>
      </c>
      <c r="I352" s="32">
        <f>IF(B352="","",TEXT(B352,"00")&amp;"+5="&amp;E352)</f>
        <v/>
      </c>
    </row>
    <row r="353" ht="23" customHeight="1" s="21">
      <c r="A353" s="32">
        <f>IFERROR(LARGE(开奖记录!$A$2:$A$400,352),"")</f>
        <v/>
      </c>
      <c r="B353" s="32">
        <f>IF($A353="","",IFERROR(VLOOKUP($A353-1,开奖记录!$A:$L,3,FALSE),""))</f>
        <v/>
      </c>
      <c r="C353" s="32">
        <f>IF(B353="","",MOD(B353+4,49)+1)</f>
        <v/>
      </c>
      <c r="D353" s="32">
        <f>IF(C353="","",IFERROR(VLOOKUP(C353,规律参数!$A:$C,2,FALSE),""))</f>
        <v/>
      </c>
      <c r="E353" s="36">
        <f>IF(C353="","",IFERROR(VLOOKUP(C353,规律参数!$A:$C,3,FALSE),""))</f>
        <v/>
      </c>
      <c r="F353" s="32">
        <f>IF($A353="","",IFERROR(VLOOKUP($A353,开奖记录!$A:$L,9,FALSE),""))</f>
        <v/>
      </c>
      <c r="G353" s="32">
        <f>IF($A353="","",IFERROR(VLOOKUP($A353,开奖记录!$A:$L,11,FALSE),""))</f>
        <v/>
      </c>
      <c r="H353" s="32">
        <f>IF(A353="","",IF(B353="","缺上期数据",IF(G353="","待开奖",IF(ISNUMBER(SEARCH(G353,E353)),"命中","未命中"))))</f>
        <v/>
      </c>
      <c r="I353" s="32">
        <f>IF(B353="","",TEXT(B353,"00")&amp;"+5="&amp;E353)</f>
        <v/>
      </c>
    </row>
    <row r="354" ht="23" customHeight="1" s="21">
      <c r="A354" s="32">
        <f>IFERROR(LARGE(开奖记录!$A$2:$A$400,353),"")</f>
        <v/>
      </c>
      <c r="B354" s="32">
        <f>IF($A354="","",IFERROR(VLOOKUP($A354-1,开奖记录!$A:$L,3,FALSE),""))</f>
        <v/>
      </c>
      <c r="C354" s="32">
        <f>IF(B354="","",MOD(B354+4,49)+1)</f>
        <v/>
      </c>
      <c r="D354" s="32">
        <f>IF(C354="","",IFERROR(VLOOKUP(C354,规律参数!$A:$C,2,FALSE),""))</f>
        <v/>
      </c>
      <c r="E354" s="36">
        <f>IF(C354="","",IFERROR(VLOOKUP(C354,规律参数!$A:$C,3,FALSE),""))</f>
        <v/>
      </c>
      <c r="F354" s="32">
        <f>IF($A354="","",IFERROR(VLOOKUP($A354,开奖记录!$A:$L,9,FALSE),""))</f>
        <v/>
      </c>
      <c r="G354" s="32">
        <f>IF($A354="","",IFERROR(VLOOKUP($A354,开奖记录!$A:$L,11,FALSE),""))</f>
        <v/>
      </c>
      <c r="H354" s="32">
        <f>IF(A354="","",IF(B354="","缺上期数据",IF(G354="","待开奖",IF(ISNUMBER(SEARCH(G354,E354)),"命中","未命中"))))</f>
        <v/>
      </c>
      <c r="I354" s="32">
        <f>IF(B354="","",TEXT(B354,"00")&amp;"+5="&amp;E354)</f>
        <v/>
      </c>
    </row>
    <row r="355" ht="23" customHeight="1" s="21">
      <c r="A355" s="32">
        <f>IFERROR(LARGE(开奖记录!$A$2:$A$400,354),"")</f>
        <v/>
      </c>
      <c r="B355" s="32">
        <f>IF($A355="","",IFERROR(VLOOKUP($A355-1,开奖记录!$A:$L,3,FALSE),""))</f>
        <v/>
      </c>
      <c r="C355" s="32">
        <f>IF(B355="","",MOD(B355+4,49)+1)</f>
        <v/>
      </c>
      <c r="D355" s="32">
        <f>IF(C355="","",IFERROR(VLOOKUP(C355,规律参数!$A:$C,2,FALSE),""))</f>
        <v/>
      </c>
      <c r="E355" s="36">
        <f>IF(C355="","",IFERROR(VLOOKUP(C355,规律参数!$A:$C,3,FALSE),""))</f>
        <v/>
      </c>
      <c r="F355" s="32">
        <f>IF($A355="","",IFERROR(VLOOKUP($A355,开奖记录!$A:$L,9,FALSE),""))</f>
        <v/>
      </c>
      <c r="G355" s="32">
        <f>IF($A355="","",IFERROR(VLOOKUP($A355,开奖记录!$A:$L,11,FALSE),""))</f>
        <v/>
      </c>
      <c r="H355" s="32">
        <f>IF(A355="","",IF(B355="","缺上期数据",IF(G355="","待开奖",IF(ISNUMBER(SEARCH(G355,E355)),"命中","未命中"))))</f>
        <v/>
      </c>
      <c r="I355" s="32">
        <f>IF(B355="","",TEXT(B355,"00")&amp;"+5="&amp;E355)</f>
        <v/>
      </c>
    </row>
    <row r="356" ht="23" customHeight="1" s="21">
      <c r="A356" s="32">
        <f>IFERROR(LARGE(开奖记录!$A$2:$A$400,355),"")</f>
        <v/>
      </c>
      <c r="B356" s="32">
        <f>IF($A356="","",IFERROR(VLOOKUP($A356-1,开奖记录!$A:$L,3,FALSE),""))</f>
        <v/>
      </c>
      <c r="C356" s="32">
        <f>IF(B356="","",MOD(B356+4,49)+1)</f>
        <v/>
      </c>
      <c r="D356" s="32">
        <f>IF(C356="","",IFERROR(VLOOKUP(C356,规律参数!$A:$C,2,FALSE),""))</f>
        <v/>
      </c>
      <c r="E356" s="36">
        <f>IF(C356="","",IFERROR(VLOOKUP(C356,规律参数!$A:$C,3,FALSE),""))</f>
        <v/>
      </c>
      <c r="F356" s="32">
        <f>IF($A356="","",IFERROR(VLOOKUP($A356,开奖记录!$A:$L,9,FALSE),""))</f>
        <v/>
      </c>
      <c r="G356" s="32">
        <f>IF($A356="","",IFERROR(VLOOKUP($A356,开奖记录!$A:$L,11,FALSE),""))</f>
        <v/>
      </c>
      <c r="H356" s="32">
        <f>IF(A356="","",IF(B356="","缺上期数据",IF(G356="","待开奖",IF(ISNUMBER(SEARCH(G356,E356)),"命中","未命中"))))</f>
        <v/>
      </c>
      <c r="I356" s="32">
        <f>IF(B356="","",TEXT(B356,"00")&amp;"+5="&amp;E356)</f>
        <v/>
      </c>
    </row>
    <row r="357" ht="23" customHeight="1" s="21">
      <c r="A357" s="32">
        <f>IFERROR(LARGE(开奖记录!$A$2:$A$400,356),"")</f>
        <v/>
      </c>
      <c r="B357" s="32">
        <f>IF($A357="","",IFERROR(VLOOKUP($A357-1,开奖记录!$A:$L,3,FALSE),""))</f>
        <v/>
      </c>
      <c r="C357" s="32">
        <f>IF(B357="","",MOD(B357+4,49)+1)</f>
        <v/>
      </c>
      <c r="D357" s="32">
        <f>IF(C357="","",IFERROR(VLOOKUP(C357,规律参数!$A:$C,2,FALSE),""))</f>
        <v/>
      </c>
      <c r="E357" s="36">
        <f>IF(C357="","",IFERROR(VLOOKUP(C357,规律参数!$A:$C,3,FALSE),""))</f>
        <v/>
      </c>
      <c r="F357" s="32">
        <f>IF($A357="","",IFERROR(VLOOKUP($A357,开奖记录!$A:$L,9,FALSE),""))</f>
        <v/>
      </c>
      <c r="G357" s="32">
        <f>IF($A357="","",IFERROR(VLOOKUP($A357,开奖记录!$A:$L,11,FALSE),""))</f>
        <v/>
      </c>
      <c r="H357" s="32">
        <f>IF(A357="","",IF(B357="","缺上期数据",IF(G357="","待开奖",IF(ISNUMBER(SEARCH(G357,E357)),"命中","未命中"))))</f>
        <v/>
      </c>
      <c r="I357" s="32">
        <f>IF(B357="","",TEXT(B357,"00")&amp;"+5="&amp;E357)</f>
        <v/>
      </c>
    </row>
    <row r="358" ht="23" customHeight="1" s="21">
      <c r="A358" s="32">
        <f>IFERROR(LARGE(开奖记录!$A$2:$A$400,357),"")</f>
        <v/>
      </c>
      <c r="B358" s="32">
        <f>IF($A358="","",IFERROR(VLOOKUP($A358-1,开奖记录!$A:$L,3,FALSE),""))</f>
        <v/>
      </c>
      <c r="C358" s="32">
        <f>IF(B358="","",MOD(B358+4,49)+1)</f>
        <v/>
      </c>
      <c r="D358" s="32">
        <f>IF(C358="","",IFERROR(VLOOKUP(C358,规律参数!$A:$C,2,FALSE),""))</f>
        <v/>
      </c>
      <c r="E358" s="36">
        <f>IF(C358="","",IFERROR(VLOOKUP(C358,规律参数!$A:$C,3,FALSE),""))</f>
        <v/>
      </c>
      <c r="F358" s="32">
        <f>IF($A358="","",IFERROR(VLOOKUP($A358,开奖记录!$A:$L,9,FALSE),""))</f>
        <v/>
      </c>
      <c r="G358" s="32">
        <f>IF($A358="","",IFERROR(VLOOKUP($A358,开奖记录!$A:$L,11,FALSE),""))</f>
        <v/>
      </c>
      <c r="H358" s="32">
        <f>IF(A358="","",IF(B358="","缺上期数据",IF(G358="","待开奖",IF(ISNUMBER(SEARCH(G358,E358)),"命中","未命中"))))</f>
        <v/>
      </c>
      <c r="I358" s="32">
        <f>IF(B358="","",TEXT(B358,"00")&amp;"+5="&amp;E358)</f>
        <v/>
      </c>
    </row>
    <row r="359" ht="23" customHeight="1" s="21">
      <c r="A359" s="32">
        <f>IFERROR(LARGE(开奖记录!$A$2:$A$400,358),"")</f>
        <v/>
      </c>
      <c r="B359" s="32">
        <f>IF($A359="","",IFERROR(VLOOKUP($A359-1,开奖记录!$A:$L,3,FALSE),""))</f>
        <v/>
      </c>
      <c r="C359" s="32">
        <f>IF(B359="","",MOD(B359+4,49)+1)</f>
        <v/>
      </c>
      <c r="D359" s="32">
        <f>IF(C359="","",IFERROR(VLOOKUP(C359,规律参数!$A:$C,2,FALSE),""))</f>
        <v/>
      </c>
      <c r="E359" s="36">
        <f>IF(C359="","",IFERROR(VLOOKUP(C359,规律参数!$A:$C,3,FALSE),""))</f>
        <v/>
      </c>
      <c r="F359" s="32">
        <f>IF($A359="","",IFERROR(VLOOKUP($A359,开奖记录!$A:$L,9,FALSE),""))</f>
        <v/>
      </c>
      <c r="G359" s="32">
        <f>IF($A359="","",IFERROR(VLOOKUP($A359,开奖记录!$A:$L,11,FALSE),""))</f>
        <v/>
      </c>
      <c r="H359" s="32">
        <f>IF(A359="","",IF(B359="","缺上期数据",IF(G359="","待开奖",IF(ISNUMBER(SEARCH(G359,E359)),"命中","未命中"))))</f>
        <v/>
      </c>
      <c r="I359" s="32">
        <f>IF(B359="","",TEXT(B359,"00")&amp;"+5="&amp;E359)</f>
        <v/>
      </c>
    </row>
    <row r="360" ht="23" customHeight="1" s="21">
      <c r="A360" s="32">
        <f>IFERROR(LARGE(开奖记录!$A$2:$A$400,359),"")</f>
        <v/>
      </c>
      <c r="B360" s="32">
        <f>IF($A360="","",IFERROR(VLOOKUP($A360-1,开奖记录!$A:$L,3,FALSE),""))</f>
        <v/>
      </c>
      <c r="C360" s="32">
        <f>IF(B360="","",MOD(B360+4,49)+1)</f>
        <v/>
      </c>
      <c r="D360" s="32">
        <f>IF(C360="","",IFERROR(VLOOKUP(C360,规律参数!$A:$C,2,FALSE),""))</f>
        <v/>
      </c>
      <c r="E360" s="36">
        <f>IF(C360="","",IFERROR(VLOOKUP(C360,规律参数!$A:$C,3,FALSE),""))</f>
        <v/>
      </c>
      <c r="F360" s="32">
        <f>IF($A360="","",IFERROR(VLOOKUP($A360,开奖记录!$A:$L,9,FALSE),""))</f>
        <v/>
      </c>
      <c r="G360" s="32">
        <f>IF($A360="","",IFERROR(VLOOKUP($A360,开奖记录!$A:$L,11,FALSE),""))</f>
        <v/>
      </c>
      <c r="H360" s="32">
        <f>IF(A360="","",IF(B360="","缺上期数据",IF(G360="","待开奖",IF(ISNUMBER(SEARCH(G360,E360)),"命中","未命中"))))</f>
        <v/>
      </c>
      <c r="I360" s="32">
        <f>IF(B360="","",TEXT(B360,"00")&amp;"+5="&amp;E360)</f>
        <v/>
      </c>
    </row>
    <row r="361" ht="23" customHeight="1" s="21">
      <c r="A361" s="32">
        <f>IFERROR(LARGE(开奖记录!$A$2:$A$400,360),"")</f>
        <v/>
      </c>
      <c r="B361" s="32">
        <f>IF($A361="","",IFERROR(VLOOKUP($A361-1,开奖记录!$A:$L,3,FALSE),""))</f>
        <v/>
      </c>
      <c r="C361" s="32">
        <f>IF(B361="","",MOD(B361+4,49)+1)</f>
        <v/>
      </c>
      <c r="D361" s="32">
        <f>IF(C361="","",IFERROR(VLOOKUP(C361,规律参数!$A:$C,2,FALSE),""))</f>
        <v/>
      </c>
      <c r="E361" s="36">
        <f>IF(C361="","",IFERROR(VLOOKUP(C361,规律参数!$A:$C,3,FALSE),""))</f>
        <v/>
      </c>
      <c r="F361" s="32">
        <f>IF($A361="","",IFERROR(VLOOKUP($A361,开奖记录!$A:$L,9,FALSE),""))</f>
        <v/>
      </c>
      <c r="G361" s="32">
        <f>IF($A361="","",IFERROR(VLOOKUP($A361,开奖记录!$A:$L,11,FALSE),""))</f>
        <v/>
      </c>
      <c r="H361" s="32">
        <f>IF(A361="","",IF(B361="","缺上期数据",IF(G361="","待开奖",IF(ISNUMBER(SEARCH(G361,E361)),"命中","未命中"))))</f>
        <v/>
      </c>
      <c r="I361" s="32">
        <f>IF(B361="","",TEXT(B361,"00")&amp;"+5="&amp;E361)</f>
        <v/>
      </c>
    </row>
    <row r="362" ht="23" customHeight="1" s="21">
      <c r="A362" s="32">
        <f>IFERROR(LARGE(开奖记录!$A$2:$A$400,361),"")</f>
        <v/>
      </c>
      <c r="B362" s="32">
        <f>IF($A362="","",IFERROR(VLOOKUP($A362-1,开奖记录!$A:$L,3,FALSE),""))</f>
        <v/>
      </c>
      <c r="C362" s="32">
        <f>IF(B362="","",MOD(B362+4,49)+1)</f>
        <v/>
      </c>
      <c r="D362" s="32">
        <f>IF(C362="","",IFERROR(VLOOKUP(C362,规律参数!$A:$C,2,FALSE),""))</f>
        <v/>
      </c>
      <c r="E362" s="36">
        <f>IF(C362="","",IFERROR(VLOOKUP(C362,规律参数!$A:$C,3,FALSE),""))</f>
        <v/>
      </c>
      <c r="F362" s="32">
        <f>IF($A362="","",IFERROR(VLOOKUP($A362,开奖记录!$A:$L,9,FALSE),""))</f>
        <v/>
      </c>
      <c r="G362" s="32">
        <f>IF($A362="","",IFERROR(VLOOKUP($A362,开奖记录!$A:$L,11,FALSE),""))</f>
        <v/>
      </c>
      <c r="H362" s="32">
        <f>IF(A362="","",IF(B362="","缺上期数据",IF(G362="","待开奖",IF(ISNUMBER(SEARCH(G362,E362)),"命中","未命中"))))</f>
        <v/>
      </c>
      <c r="I362" s="32">
        <f>IF(B362="","",TEXT(B362,"00")&amp;"+5="&amp;E362)</f>
        <v/>
      </c>
    </row>
    <row r="363" ht="23" customHeight="1" s="21">
      <c r="A363" s="32">
        <f>IFERROR(LARGE(开奖记录!$A$2:$A$400,362),"")</f>
        <v/>
      </c>
      <c r="B363" s="32">
        <f>IF($A363="","",IFERROR(VLOOKUP($A363-1,开奖记录!$A:$L,3,FALSE),""))</f>
        <v/>
      </c>
      <c r="C363" s="32">
        <f>IF(B363="","",MOD(B363+4,49)+1)</f>
        <v/>
      </c>
      <c r="D363" s="32">
        <f>IF(C363="","",IFERROR(VLOOKUP(C363,规律参数!$A:$C,2,FALSE),""))</f>
        <v/>
      </c>
      <c r="E363" s="36">
        <f>IF(C363="","",IFERROR(VLOOKUP(C363,规律参数!$A:$C,3,FALSE),""))</f>
        <v/>
      </c>
      <c r="F363" s="32">
        <f>IF($A363="","",IFERROR(VLOOKUP($A363,开奖记录!$A:$L,9,FALSE),""))</f>
        <v/>
      </c>
      <c r="G363" s="32">
        <f>IF($A363="","",IFERROR(VLOOKUP($A363,开奖记录!$A:$L,11,FALSE),""))</f>
        <v/>
      </c>
      <c r="H363" s="32">
        <f>IF(A363="","",IF(B363="","缺上期数据",IF(G363="","待开奖",IF(ISNUMBER(SEARCH(G363,E363)),"命中","未命中"))))</f>
        <v/>
      </c>
      <c r="I363" s="32">
        <f>IF(B363="","",TEXT(B363,"00")&amp;"+5="&amp;E363)</f>
        <v/>
      </c>
    </row>
    <row r="364" ht="23" customHeight="1" s="21">
      <c r="A364" s="32">
        <f>IFERROR(LARGE(开奖记录!$A$2:$A$400,363),"")</f>
        <v/>
      </c>
      <c r="B364" s="32">
        <f>IF($A364="","",IFERROR(VLOOKUP($A364-1,开奖记录!$A:$L,3,FALSE),""))</f>
        <v/>
      </c>
      <c r="C364" s="32">
        <f>IF(B364="","",MOD(B364+4,49)+1)</f>
        <v/>
      </c>
      <c r="D364" s="32">
        <f>IF(C364="","",IFERROR(VLOOKUP(C364,规律参数!$A:$C,2,FALSE),""))</f>
        <v/>
      </c>
      <c r="E364" s="36">
        <f>IF(C364="","",IFERROR(VLOOKUP(C364,规律参数!$A:$C,3,FALSE),""))</f>
        <v/>
      </c>
      <c r="F364" s="32">
        <f>IF($A364="","",IFERROR(VLOOKUP($A364,开奖记录!$A:$L,9,FALSE),""))</f>
        <v/>
      </c>
      <c r="G364" s="32">
        <f>IF($A364="","",IFERROR(VLOOKUP($A364,开奖记录!$A:$L,11,FALSE),""))</f>
        <v/>
      </c>
      <c r="H364" s="32">
        <f>IF(A364="","",IF(B364="","缺上期数据",IF(G364="","待开奖",IF(ISNUMBER(SEARCH(G364,E364)),"命中","未命中"))))</f>
        <v/>
      </c>
      <c r="I364" s="32">
        <f>IF(B364="","",TEXT(B364,"00")&amp;"+5="&amp;E364)</f>
        <v/>
      </c>
    </row>
    <row r="365" ht="23" customHeight="1" s="21">
      <c r="A365" s="32">
        <f>IFERROR(LARGE(开奖记录!$A$2:$A$400,364),"")</f>
        <v/>
      </c>
      <c r="B365" s="32">
        <f>IF($A365="","",IFERROR(VLOOKUP($A365-1,开奖记录!$A:$L,3,FALSE),""))</f>
        <v/>
      </c>
      <c r="C365" s="32">
        <f>IF(B365="","",MOD(B365+4,49)+1)</f>
        <v/>
      </c>
      <c r="D365" s="32">
        <f>IF(C365="","",IFERROR(VLOOKUP(C365,规律参数!$A:$C,2,FALSE),""))</f>
        <v/>
      </c>
      <c r="E365" s="36">
        <f>IF(C365="","",IFERROR(VLOOKUP(C365,规律参数!$A:$C,3,FALSE),""))</f>
        <v/>
      </c>
      <c r="F365" s="32">
        <f>IF($A365="","",IFERROR(VLOOKUP($A365,开奖记录!$A:$L,9,FALSE),""))</f>
        <v/>
      </c>
      <c r="G365" s="32">
        <f>IF($A365="","",IFERROR(VLOOKUP($A365,开奖记录!$A:$L,11,FALSE),""))</f>
        <v/>
      </c>
      <c r="H365" s="32">
        <f>IF(A365="","",IF(B365="","缺上期数据",IF(G365="","待开奖",IF(ISNUMBER(SEARCH(G365,E365)),"命中","未命中"))))</f>
        <v/>
      </c>
      <c r="I365" s="32">
        <f>IF(B365="","",TEXT(B365,"00")&amp;"+5="&amp;E365)</f>
        <v/>
      </c>
    </row>
    <row r="366" ht="23" customHeight="1" s="21">
      <c r="A366" s="32">
        <f>IFERROR(LARGE(开奖记录!$A$2:$A$400,365),"")</f>
        <v/>
      </c>
      <c r="B366" s="32">
        <f>IF($A366="","",IFERROR(VLOOKUP($A366-1,开奖记录!$A:$L,3,FALSE),""))</f>
        <v/>
      </c>
      <c r="C366" s="32">
        <f>IF(B366="","",MOD(B366+4,49)+1)</f>
        <v/>
      </c>
      <c r="D366" s="32">
        <f>IF(C366="","",IFERROR(VLOOKUP(C366,规律参数!$A:$C,2,FALSE),""))</f>
        <v/>
      </c>
      <c r="E366" s="36">
        <f>IF(C366="","",IFERROR(VLOOKUP(C366,规律参数!$A:$C,3,FALSE),""))</f>
        <v/>
      </c>
      <c r="F366" s="32">
        <f>IF($A366="","",IFERROR(VLOOKUP($A366,开奖记录!$A:$L,9,FALSE),""))</f>
        <v/>
      </c>
      <c r="G366" s="32">
        <f>IF($A366="","",IFERROR(VLOOKUP($A366,开奖记录!$A:$L,11,FALSE),""))</f>
        <v/>
      </c>
      <c r="H366" s="32">
        <f>IF(A366="","",IF(B366="","缺上期数据",IF(G366="","待开奖",IF(ISNUMBER(SEARCH(G366,E366)),"命中","未命中"))))</f>
        <v/>
      </c>
      <c r="I366" s="32">
        <f>IF(B366="","",TEXT(B366,"00")&amp;"+5="&amp;E366)</f>
        <v/>
      </c>
    </row>
    <row r="367" ht="23" customHeight="1" s="21">
      <c r="A367" s="32">
        <f>IFERROR(LARGE(开奖记录!$A$2:$A$400,366),"")</f>
        <v/>
      </c>
      <c r="B367" s="32">
        <f>IF($A367="","",IFERROR(VLOOKUP($A367-1,开奖记录!$A:$L,3,FALSE),""))</f>
        <v/>
      </c>
      <c r="C367" s="32">
        <f>IF(B367="","",MOD(B367+4,49)+1)</f>
        <v/>
      </c>
      <c r="D367" s="32">
        <f>IF(C367="","",IFERROR(VLOOKUP(C367,规律参数!$A:$C,2,FALSE),""))</f>
        <v/>
      </c>
      <c r="E367" s="36">
        <f>IF(C367="","",IFERROR(VLOOKUP(C367,规律参数!$A:$C,3,FALSE),""))</f>
        <v/>
      </c>
      <c r="F367" s="32">
        <f>IF($A367="","",IFERROR(VLOOKUP($A367,开奖记录!$A:$L,9,FALSE),""))</f>
        <v/>
      </c>
      <c r="G367" s="32">
        <f>IF($A367="","",IFERROR(VLOOKUP($A367,开奖记录!$A:$L,11,FALSE),""))</f>
        <v/>
      </c>
      <c r="H367" s="32">
        <f>IF(A367="","",IF(B367="","缺上期数据",IF(G367="","待开奖",IF(ISNUMBER(SEARCH(G367,E367)),"命中","未命中"))))</f>
        <v/>
      </c>
      <c r="I367" s="32">
        <f>IF(B367="","",TEXT(B367,"00")&amp;"+5="&amp;E367)</f>
        <v/>
      </c>
    </row>
  </sheetData>
  <autoFilter ref="A1:I367"/>
  <conditionalFormatting sqref="H2:I367">
    <cfRule type="expression" priority="1" dxfId="19">
      <formula>$H2="命中"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F36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1" min="1" max="1"/>
    <col width="16" customWidth="1" style="21" min="2" max="2"/>
    <col width="24" customWidth="1" style="21" min="3" max="3"/>
    <col width="13" customWidth="1" style="21" min="4" max="4"/>
    <col width="16" customWidth="1" style="21" min="5" max="5"/>
    <col width="13" customWidth="1" style="21" min="6" max="6"/>
  </cols>
  <sheetData>
    <row r="1" ht="30" customHeight="1" s="21">
      <c r="A1" s="31" t="inlineStr">
        <is>
          <t>期号</t>
        </is>
      </c>
      <c r="B1" s="31" t="inlineStr">
        <is>
          <t>上期特玛生肖</t>
        </is>
      </c>
      <c r="C1" s="31" t="inlineStr">
        <is>
          <t>本期建议八肖</t>
        </is>
      </c>
      <c r="D1" s="31" t="inlineStr">
        <is>
          <t>本期特玛</t>
        </is>
      </c>
      <c r="E1" s="31" t="inlineStr">
        <is>
          <t>本期特玛生肖</t>
        </is>
      </c>
      <c r="F1" s="31" t="inlineStr">
        <is>
          <t>验算结果</t>
        </is>
      </c>
    </row>
    <row r="2" ht="23" customHeight="1" s="21">
      <c r="A2" s="32">
        <f>IFERROR(LARGE(开奖记录!$A$2:$A$400,1),"")</f>
        <v/>
      </c>
      <c r="B2" s="32">
        <f>IF($A2="","",IFERROR(VLOOKUP($A2-1,开奖记录!$A:$L,11,FALSE),""))</f>
        <v/>
      </c>
      <c r="C2" s="36">
        <f>IF(B2="","",IFERROR(VLOOKUP(B2,八肖参数!$A:$B,2,FALSE),""))</f>
        <v/>
      </c>
      <c r="D2" s="32">
        <f>IF($A2="","",IFERROR(VLOOKUP($A2,开奖记录!$A:$L,9,FALSE),""))</f>
        <v/>
      </c>
      <c r="E2" s="32">
        <f>IF($A2="","",IFERROR(VLOOKUP($A2,开奖记录!$A:$L,11,FALSE),""))</f>
        <v/>
      </c>
      <c r="F2" s="32">
        <f>IF(A2="","",IF(B2="","缺上期数据",IF(E2="","待开奖",IF(ISNUMBER(SEARCH(E2,C2)),"命中","未命中"))))</f>
        <v/>
      </c>
    </row>
    <row r="3" ht="23" customHeight="1" s="21">
      <c r="A3" s="32">
        <f>IFERROR(LARGE(开奖记录!$A$2:$A$400,2),"")</f>
        <v/>
      </c>
      <c r="B3" s="32">
        <f>IF($A3="","",IFERROR(VLOOKUP($A3-1,开奖记录!$A:$L,11,FALSE),""))</f>
        <v/>
      </c>
      <c r="C3" s="36">
        <f>IF(B3="","",IFERROR(VLOOKUP(B3,八肖参数!$A:$B,2,FALSE),""))</f>
        <v/>
      </c>
      <c r="D3" s="32">
        <f>IF($A3="","",IFERROR(VLOOKUP($A3,开奖记录!$A:$L,9,FALSE),""))</f>
        <v/>
      </c>
      <c r="E3" s="32">
        <f>IF($A3="","",IFERROR(VLOOKUP($A3,开奖记录!$A:$L,11,FALSE),""))</f>
        <v/>
      </c>
      <c r="F3" s="32">
        <f>IF(A3="","",IF(B3="","缺上期数据",IF(E3="","待开奖",IF(ISNUMBER(SEARCH(E3,C3)),"命中","未命中"))))</f>
        <v/>
      </c>
    </row>
    <row r="4" ht="23" customHeight="1" s="21">
      <c r="A4" s="32">
        <f>IFERROR(LARGE(开奖记录!$A$2:$A$400,3),"")</f>
        <v/>
      </c>
      <c r="B4" s="32">
        <f>IF($A4="","",IFERROR(VLOOKUP($A4-1,开奖记录!$A:$L,11,FALSE),""))</f>
        <v/>
      </c>
      <c r="C4" s="36">
        <f>IF(B4="","",IFERROR(VLOOKUP(B4,八肖参数!$A:$B,2,FALSE),""))</f>
        <v/>
      </c>
      <c r="D4" s="32">
        <f>IF($A4="","",IFERROR(VLOOKUP($A4,开奖记录!$A:$L,9,FALSE),""))</f>
        <v/>
      </c>
      <c r="E4" s="32">
        <f>IF($A4="","",IFERROR(VLOOKUP($A4,开奖记录!$A:$L,11,FALSE),""))</f>
        <v/>
      </c>
      <c r="F4" s="32">
        <f>IF(A4="","",IF(B4="","缺上期数据",IF(E4="","待开奖",IF(ISNUMBER(SEARCH(E4,C4)),"命中","未命中"))))</f>
        <v/>
      </c>
    </row>
    <row r="5" ht="23" customHeight="1" s="21">
      <c r="A5" s="32">
        <f>IFERROR(LARGE(开奖记录!$A$2:$A$400,4),"")</f>
        <v/>
      </c>
      <c r="B5" s="32">
        <f>IF($A5="","",IFERROR(VLOOKUP($A5-1,开奖记录!$A:$L,11,FALSE),""))</f>
        <v/>
      </c>
      <c r="C5" s="36">
        <f>IF(B5="","",IFERROR(VLOOKUP(B5,八肖参数!$A:$B,2,FALSE),""))</f>
        <v/>
      </c>
      <c r="D5" s="32">
        <f>IF($A5="","",IFERROR(VLOOKUP($A5,开奖记录!$A:$L,9,FALSE),""))</f>
        <v/>
      </c>
      <c r="E5" s="32">
        <f>IF($A5="","",IFERROR(VLOOKUP($A5,开奖记录!$A:$L,11,FALSE),""))</f>
        <v/>
      </c>
      <c r="F5" s="32">
        <f>IF(A5="","",IF(B5="","缺上期数据",IF(E5="","待开奖",IF(ISNUMBER(SEARCH(E5,C5)),"命中","未命中"))))</f>
        <v/>
      </c>
    </row>
    <row r="6" ht="23" customHeight="1" s="21">
      <c r="A6" s="32">
        <f>IFERROR(LARGE(开奖记录!$A$2:$A$400,5),"")</f>
        <v/>
      </c>
      <c r="B6" s="32">
        <f>IF($A6="","",IFERROR(VLOOKUP($A6-1,开奖记录!$A:$L,11,FALSE),""))</f>
        <v/>
      </c>
      <c r="C6" s="36">
        <f>IF(B6="","",IFERROR(VLOOKUP(B6,八肖参数!$A:$B,2,FALSE),""))</f>
        <v/>
      </c>
      <c r="D6" s="32">
        <f>IF($A6="","",IFERROR(VLOOKUP($A6,开奖记录!$A:$L,9,FALSE),""))</f>
        <v/>
      </c>
      <c r="E6" s="32">
        <f>IF($A6="","",IFERROR(VLOOKUP($A6,开奖记录!$A:$L,11,FALSE),""))</f>
        <v/>
      </c>
      <c r="F6" s="32">
        <f>IF(A6="","",IF(B6="","缺上期数据",IF(E6="","待开奖",IF(ISNUMBER(SEARCH(E6,C6)),"命中","未命中"))))</f>
        <v/>
      </c>
    </row>
    <row r="7" ht="23" customHeight="1" s="21">
      <c r="A7" s="32">
        <f>IFERROR(LARGE(开奖记录!$A$2:$A$400,6),"")</f>
        <v/>
      </c>
      <c r="B7" s="32">
        <f>IF($A7="","",IFERROR(VLOOKUP($A7-1,开奖记录!$A:$L,11,FALSE),""))</f>
        <v/>
      </c>
      <c r="C7" s="36">
        <f>IF(B7="","",IFERROR(VLOOKUP(B7,八肖参数!$A:$B,2,FALSE),""))</f>
        <v/>
      </c>
      <c r="D7" s="32">
        <f>IF($A7="","",IFERROR(VLOOKUP($A7,开奖记录!$A:$L,9,FALSE),""))</f>
        <v/>
      </c>
      <c r="E7" s="32">
        <f>IF($A7="","",IFERROR(VLOOKUP($A7,开奖记录!$A:$L,11,FALSE),""))</f>
        <v/>
      </c>
      <c r="F7" s="32">
        <f>IF(A7="","",IF(B7="","缺上期数据",IF(E7="","待开奖",IF(ISNUMBER(SEARCH(E7,C7)),"命中","未命中"))))</f>
        <v/>
      </c>
    </row>
    <row r="8" ht="23" customHeight="1" s="21">
      <c r="A8" s="32">
        <f>IFERROR(LARGE(开奖记录!$A$2:$A$400,7),"")</f>
        <v/>
      </c>
      <c r="B8" s="32">
        <f>IF($A8="","",IFERROR(VLOOKUP($A8-1,开奖记录!$A:$L,11,FALSE),""))</f>
        <v/>
      </c>
      <c r="C8" s="36">
        <f>IF(B8="","",IFERROR(VLOOKUP(B8,八肖参数!$A:$B,2,FALSE),""))</f>
        <v/>
      </c>
      <c r="D8" s="32">
        <f>IF($A8="","",IFERROR(VLOOKUP($A8,开奖记录!$A:$L,9,FALSE),""))</f>
        <v/>
      </c>
      <c r="E8" s="32">
        <f>IF($A8="","",IFERROR(VLOOKUP($A8,开奖记录!$A:$L,11,FALSE),""))</f>
        <v/>
      </c>
      <c r="F8" s="32">
        <f>IF(A8="","",IF(B8="","缺上期数据",IF(E8="","待开奖",IF(ISNUMBER(SEARCH(E8,C8)),"命中","未命中"))))</f>
        <v/>
      </c>
    </row>
    <row r="9" ht="23" customHeight="1" s="21">
      <c r="A9" s="32">
        <f>IFERROR(LARGE(开奖记录!$A$2:$A$400,8),"")</f>
        <v/>
      </c>
      <c r="B9" s="32">
        <f>IF($A9="","",IFERROR(VLOOKUP($A9-1,开奖记录!$A:$L,11,FALSE),""))</f>
        <v/>
      </c>
      <c r="C9" s="36">
        <f>IF(B9="","",IFERROR(VLOOKUP(B9,八肖参数!$A:$B,2,FALSE),""))</f>
        <v/>
      </c>
      <c r="D9" s="32">
        <f>IF($A9="","",IFERROR(VLOOKUP($A9,开奖记录!$A:$L,9,FALSE),""))</f>
        <v/>
      </c>
      <c r="E9" s="32">
        <f>IF($A9="","",IFERROR(VLOOKUP($A9,开奖记录!$A:$L,11,FALSE),""))</f>
        <v/>
      </c>
      <c r="F9" s="32">
        <f>IF(A9="","",IF(B9="","缺上期数据",IF(E9="","待开奖",IF(ISNUMBER(SEARCH(E9,C9)),"命中","未命中"))))</f>
        <v/>
      </c>
    </row>
    <row r="10" ht="23" customHeight="1" s="21">
      <c r="A10" s="32">
        <f>IFERROR(LARGE(开奖记录!$A$2:$A$400,9),"")</f>
        <v/>
      </c>
      <c r="B10" s="32">
        <f>IF($A10="","",IFERROR(VLOOKUP($A10-1,开奖记录!$A:$L,11,FALSE),""))</f>
        <v/>
      </c>
      <c r="C10" s="36">
        <f>IF(B10="","",IFERROR(VLOOKUP(B10,八肖参数!$A:$B,2,FALSE),""))</f>
        <v/>
      </c>
      <c r="D10" s="32">
        <f>IF($A10="","",IFERROR(VLOOKUP($A10,开奖记录!$A:$L,9,FALSE),""))</f>
        <v/>
      </c>
      <c r="E10" s="32">
        <f>IF($A10="","",IFERROR(VLOOKUP($A10,开奖记录!$A:$L,11,FALSE),""))</f>
        <v/>
      </c>
      <c r="F10" s="32">
        <f>IF(A10="","",IF(B10="","缺上期数据",IF(E10="","待开奖",IF(ISNUMBER(SEARCH(E10,C10)),"命中","未命中"))))</f>
        <v/>
      </c>
    </row>
    <row r="11" ht="23" customHeight="1" s="21">
      <c r="A11" s="32">
        <f>IFERROR(LARGE(开奖记录!$A$2:$A$400,10),"")</f>
        <v/>
      </c>
      <c r="B11" s="32">
        <f>IF($A11="","",IFERROR(VLOOKUP($A11-1,开奖记录!$A:$L,11,FALSE),""))</f>
        <v/>
      </c>
      <c r="C11" s="36">
        <f>IF(B11="","",IFERROR(VLOOKUP(B11,八肖参数!$A:$B,2,FALSE),""))</f>
        <v/>
      </c>
      <c r="D11" s="32">
        <f>IF($A11="","",IFERROR(VLOOKUP($A11,开奖记录!$A:$L,9,FALSE),""))</f>
        <v/>
      </c>
      <c r="E11" s="32">
        <f>IF($A11="","",IFERROR(VLOOKUP($A11,开奖记录!$A:$L,11,FALSE),""))</f>
        <v/>
      </c>
      <c r="F11" s="32">
        <f>IF(A11="","",IF(B11="","缺上期数据",IF(E11="","待开奖",IF(ISNUMBER(SEARCH(E11,C11)),"命中","未命中"))))</f>
        <v/>
      </c>
    </row>
    <row r="12" ht="23" customHeight="1" s="21">
      <c r="A12" s="32">
        <f>IFERROR(LARGE(开奖记录!$A$2:$A$400,11),"")</f>
        <v/>
      </c>
      <c r="B12" s="32">
        <f>IF($A12="","",IFERROR(VLOOKUP($A12-1,开奖记录!$A:$L,11,FALSE),""))</f>
        <v/>
      </c>
      <c r="C12" s="36">
        <f>IF(B12="","",IFERROR(VLOOKUP(B12,八肖参数!$A:$B,2,FALSE),""))</f>
        <v/>
      </c>
      <c r="D12" s="32">
        <f>IF($A12="","",IFERROR(VLOOKUP($A12,开奖记录!$A:$L,9,FALSE),""))</f>
        <v/>
      </c>
      <c r="E12" s="32">
        <f>IF($A12="","",IFERROR(VLOOKUP($A12,开奖记录!$A:$L,11,FALSE),""))</f>
        <v/>
      </c>
      <c r="F12" s="32">
        <f>IF(A12="","",IF(B12="","缺上期数据",IF(E12="","待开奖",IF(ISNUMBER(SEARCH(E12,C12)),"命中","未命中"))))</f>
        <v/>
      </c>
    </row>
    <row r="13" ht="23" customHeight="1" s="21">
      <c r="A13" s="32">
        <f>IFERROR(LARGE(开奖记录!$A$2:$A$400,12),"")</f>
        <v/>
      </c>
      <c r="B13" s="32">
        <f>IF($A13="","",IFERROR(VLOOKUP($A13-1,开奖记录!$A:$L,11,FALSE),""))</f>
        <v/>
      </c>
      <c r="C13" s="36">
        <f>IF(B13="","",IFERROR(VLOOKUP(B13,八肖参数!$A:$B,2,FALSE),""))</f>
        <v/>
      </c>
      <c r="D13" s="32">
        <f>IF($A13="","",IFERROR(VLOOKUP($A13,开奖记录!$A:$L,9,FALSE),""))</f>
        <v/>
      </c>
      <c r="E13" s="32">
        <f>IF($A13="","",IFERROR(VLOOKUP($A13,开奖记录!$A:$L,11,FALSE),""))</f>
        <v/>
      </c>
      <c r="F13" s="32">
        <f>IF(A13="","",IF(B13="","缺上期数据",IF(E13="","待开奖",IF(ISNUMBER(SEARCH(E13,C13)),"命中","未命中"))))</f>
        <v/>
      </c>
    </row>
    <row r="14" ht="23" customHeight="1" s="21">
      <c r="A14" s="32">
        <f>IFERROR(LARGE(开奖记录!$A$2:$A$400,13),"")</f>
        <v/>
      </c>
      <c r="B14" s="32">
        <f>IF($A14="","",IFERROR(VLOOKUP($A14-1,开奖记录!$A:$L,11,FALSE),""))</f>
        <v/>
      </c>
      <c r="C14" s="36">
        <f>IF(B14="","",IFERROR(VLOOKUP(B14,八肖参数!$A:$B,2,FALSE),""))</f>
        <v/>
      </c>
      <c r="D14" s="32">
        <f>IF($A14="","",IFERROR(VLOOKUP($A14,开奖记录!$A:$L,9,FALSE),""))</f>
        <v/>
      </c>
      <c r="E14" s="32">
        <f>IF($A14="","",IFERROR(VLOOKUP($A14,开奖记录!$A:$L,11,FALSE),""))</f>
        <v/>
      </c>
      <c r="F14" s="32">
        <f>IF(A14="","",IF(B14="","缺上期数据",IF(E14="","待开奖",IF(ISNUMBER(SEARCH(E14,C14)),"命中","未命中"))))</f>
        <v/>
      </c>
    </row>
    <row r="15" ht="23" customHeight="1" s="21">
      <c r="A15" s="32">
        <f>IFERROR(LARGE(开奖记录!$A$2:$A$400,14),"")</f>
        <v/>
      </c>
      <c r="B15" s="32">
        <f>IF($A15="","",IFERROR(VLOOKUP($A15-1,开奖记录!$A:$L,11,FALSE),""))</f>
        <v/>
      </c>
      <c r="C15" s="36">
        <f>IF(B15="","",IFERROR(VLOOKUP(B15,八肖参数!$A:$B,2,FALSE),""))</f>
        <v/>
      </c>
      <c r="D15" s="32">
        <f>IF($A15="","",IFERROR(VLOOKUP($A15,开奖记录!$A:$L,9,FALSE),""))</f>
        <v/>
      </c>
      <c r="E15" s="32">
        <f>IF($A15="","",IFERROR(VLOOKUP($A15,开奖记录!$A:$L,11,FALSE),""))</f>
        <v/>
      </c>
      <c r="F15" s="32">
        <f>IF(A15="","",IF(B15="","缺上期数据",IF(E15="","待开奖",IF(ISNUMBER(SEARCH(E15,C15)),"命中","未命中"))))</f>
        <v/>
      </c>
    </row>
    <row r="16" ht="23" customHeight="1" s="21">
      <c r="A16" s="32">
        <f>IFERROR(LARGE(开奖记录!$A$2:$A$400,15),"")</f>
        <v/>
      </c>
      <c r="B16" s="32">
        <f>IF($A16="","",IFERROR(VLOOKUP($A16-1,开奖记录!$A:$L,11,FALSE),""))</f>
        <v/>
      </c>
      <c r="C16" s="36">
        <f>IF(B16="","",IFERROR(VLOOKUP(B16,八肖参数!$A:$B,2,FALSE),""))</f>
        <v/>
      </c>
      <c r="D16" s="32">
        <f>IF($A16="","",IFERROR(VLOOKUP($A16,开奖记录!$A:$L,9,FALSE),""))</f>
        <v/>
      </c>
      <c r="E16" s="32">
        <f>IF($A16="","",IFERROR(VLOOKUP($A16,开奖记录!$A:$L,11,FALSE),""))</f>
        <v/>
      </c>
      <c r="F16" s="32">
        <f>IF(A16="","",IF(B16="","缺上期数据",IF(E16="","待开奖",IF(ISNUMBER(SEARCH(E16,C16)),"命中","未命中"))))</f>
        <v/>
      </c>
    </row>
    <row r="17" ht="23" customHeight="1" s="21">
      <c r="A17" s="32">
        <f>IFERROR(LARGE(开奖记录!$A$2:$A$400,16),"")</f>
        <v/>
      </c>
      <c r="B17" s="32">
        <f>IF($A17="","",IFERROR(VLOOKUP($A17-1,开奖记录!$A:$L,11,FALSE),""))</f>
        <v/>
      </c>
      <c r="C17" s="36">
        <f>IF(B17="","",IFERROR(VLOOKUP(B17,八肖参数!$A:$B,2,FALSE),""))</f>
        <v/>
      </c>
      <c r="D17" s="32">
        <f>IF($A17="","",IFERROR(VLOOKUP($A17,开奖记录!$A:$L,9,FALSE),""))</f>
        <v/>
      </c>
      <c r="E17" s="32">
        <f>IF($A17="","",IFERROR(VLOOKUP($A17,开奖记录!$A:$L,11,FALSE),""))</f>
        <v/>
      </c>
      <c r="F17" s="32">
        <f>IF(A17="","",IF(B17="","缺上期数据",IF(E17="","待开奖",IF(ISNUMBER(SEARCH(E17,C17)),"命中","未命中"))))</f>
        <v/>
      </c>
    </row>
    <row r="18" ht="23" customHeight="1" s="21">
      <c r="A18" s="32">
        <f>IFERROR(LARGE(开奖记录!$A$2:$A$400,17),"")</f>
        <v/>
      </c>
      <c r="B18" s="32">
        <f>IF($A18="","",IFERROR(VLOOKUP($A18-1,开奖记录!$A:$L,11,FALSE),""))</f>
        <v/>
      </c>
      <c r="C18" s="36">
        <f>IF(B18="","",IFERROR(VLOOKUP(B18,八肖参数!$A:$B,2,FALSE),""))</f>
        <v/>
      </c>
      <c r="D18" s="32">
        <f>IF($A18="","",IFERROR(VLOOKUP($A18,开奖记录!$A:$L,9,FALSE),""))</f>
        <v/>
      </c>
      <c r="E18" s="32">
        <f>IF($A18="","",IFERROR(VLOOKUP($A18,开奖记录!$A:$L,11,FALSE),""))</f>
        <v/>
      </c>
      <c r="F18" s="32">
        <f>IF(A18="","",IF(B18="","缺上期数据",IF(E18="","待开奖",IF(ISNUMBER(SEARCH(E18,C18)),"命中","未命中"))))</f>
        <v/>
      </c>
    </row>
    <row r="19" ht="23" customHeight="1" s="21">
      <c r="A19" s="32">
        <f>IFERROR(LARGE(开奖记录!$A$2:$A$400,18),"")</f>
        <v/>
      </c>
      <c r="B19" s="32">
        <f>IF($A19="","",IFERROR(VLOOKUP($A19-1,开奖记录!$A:$L,11,FALSE),""))</f>
        <v/>
      </c>
      <c r="C19" s="36">
        <f>IF(B19="","",IFERROR(VLOOKUP(B19,八肖参数!$A:$B,2,FALSE),""))</f>
        <v/>
      </c>
      <c r="D19" s="32">
        <f>IF($A19="","",IFERROR(VLOOKUP($A19,开奖记录!$A:$L,9,FALSE),""))</f>
        <v/>
      </c>
      <c r="E19" s="32">
        <f>IF($A19="","",IFERROR(VLOOKUP($A19,开奖记录!$A:$L,11,FALSE),""))</f>
        <v/>
      </c>
      <c r="F19" s="32">
        <f>IF(A19="","",IF(B19="","缺上期数据",IF(E19="","待开奖",IF(ISNUMBER(SEARCH(E19,C19)),"命中","未命中"))))</f>
        <v/>
      </c>
    </row>
    <row r="20" ht="23" customHeight="1" s="21">
      <c r="A20" s="32">
        <f>IFERROR(LARGE(开奖记录!$A$2:$A$400,19),"")</f>
        <v/>
      </c>
      <c r="B20" s="32">
        <f>IF($A20="","",IFERROR(VLOOKUP($A20-1,开奖记录!$A:$L,11,FALSE),""))</f>
        <v/>
      </c>
      <c r="C20" s="36">
        <f>IF(B20="","",IFERROR(VLOOKUP(B20,八肖参数!$A:$B,2,FALSE),""))</f>
        <v/>
      </c>
      <c r="D20" s="32">
        <f>IF($A20="","",IFERROR(VLOOKUP($A20,开奖记录!$A:$L,9,FALSE),""))</f>
        <v/>
      </c>
      <c r="E20" s="32">
        <f>IF($A20="","",IFERROR(VLOOKUP($A20,开奖记录!$A:$L,11,FALSE),""))</f>
        <v/>
      </c>
      <c r="F20" s="32">
        <f>IF(A20="","",IF(B20="","缺上期数据",IF(E20="","待开奖",IF(ISNUMBER(SEARCH(E20,C20)),"命中","未命中"))))</f>
        <v/>
      </c>
    </row>
    <row r="21" ht="23" customHeight="1" s="21">
      <c r="A21" s="32">
        <f>IFERROR(LARGE(开奖记录!$A$2:$A$400,20),"")</f>
        <v/>
      </c>
      <c r="B21" s="32">
        <f>IF($A21="","",IFERROR(VLOOKUP($A21-1,开奖记录!$A:$L,11,FALSE),""))</f>
        <v/>
      </c>
      <c r="C21" s="36">
        <f>IF(B21="","",IFERROR(VLOOKUP(B21,八肖参数!$A:$B,2,FALSE),""))</f>
        <v/>
      </c>
      <c r="D21" s="32">
        <f>IF($A21="","",IFERROR(VLOOKUP($A21,开奖记录!$A:$L,9,FALSE),""))</f>
        <v/>
      </c>
      <c r="E21" s="32">
        <f>IF($A21="","",IFERROR(VLOOKUP($A21,开奖记录!$A:$L,11,FALSE),""))</f>
        <v/>
      </c>
      <c r="F21" s="32">
        <f>IF(A21="","",IF(B21="","缺上期数据",IF(E21="","待开奖",IF(ISNUMBER(SEARCH(E21,C21)),"命中","未命中"))))</f>
        <v/>
      </c>
    </row>
    <row r="22" ht="23" customHeight="1" s="21">
      <c r="A22" s="32">
        <f>IFERROR(LARGE(开奖记录!$A$2:$A$400,21),"")</f>
        <v/>
      </c>
      <c r="B22" s="32">
        <f>IF($A22="","",IFERROR(VLOOKUP($A22-1,开奖记录!$A:$L,11,FALSE),""))</f>
        <v/>
      </c>
      <c r="C22" s="36">
        <f>IF(B22="","",IFERROR(VLOOKUP(B22,八肖参数!$A:$B,2,FALSE),""))</f>
        <v/>
      </c>
      <c r="D22" s="32">
        <f>IF($A22="","",IFERROR(VLOOKUP($A22,开奖记录!$A:$L,9,FALSE),""))</f>
        <v/>
      </c>
      <c r="E22" s="32">
        <f>IF($A22="","",IFERROR(VLOOKUP($A22,开奖记录!$A:$L,11,FALSE),""))</f>
        <v/>
      </c>
      <c r="F22" s="32">
        <f>IF(A22="","",IF(B22="","缺上期数据",IF(E22="","待开奖",IF(ISNUMBER(SEARCH(E22,C22)),"命中","未命中"))))</f>
        <v/>
      </c>
    </row>
    <row r="23" ht="23" customHeight="1" s="21">
      <c r="A23" s="32">
        <f>IFERROR(LARGE(开奖记录!$A$2:$A$400,22),"")</f>
        <v/>
      </c>
      <c r="B23" s="32">
        <f>IF($A23="","",IFERROR(VLOOKUP($A23-1,开奖记录!$A:$L,11,FALSE),""))</f>
        <v/>
      </c>
      <c r="C23" s="36">
        <f>IF(B23="","",IFERROR(VLOOKUP(B23,八肖参数!$A:$B,2,FALSE),""))</f>
        <v/>
      </c>
      <c r="D23" s="32">
        <f>IF($A23="","",IFERROR(VLOOKUP($A23,开奖记录!$A:$L,9,FALSE),""))</f>
        <v/>
      </c>
      <c r="E23" s="32">
        <f>IF($A23="","",IFERROR(VLOOKUP($A23,开奖记录!$A:$L,11,FALSE),""))</f>
        <v/>
      </c>
      <c r="F23" s="32">
        <f>IF(A23="","",IF(B23="","缺上期数据",IF(E23="","待开奖",IF(ISNUMBER(SEARCH(E23,C23)),"命中","未命中"))))</f>
        <v/>
      </c>
    </row>
    <row r="24" ht="23" customHeight="1" s="21">
      <c r="A24" s="32">
        <f>IFERROR(LARGE(开奖记录!$A$2:$A$400,23),"")</f>
        <v/>
      </c>
      <c r="B24" s="32">
        <f>IF($A24="","",IFERROR(VLOOKUP($A24-1,开奖记录!$A:$L,11,FALSE),""))</f>
        <v/>
      </c>
      <c r="C24" s="36">
        <f>IF(B24="","",IFERROR(VLOOKUP(B24,八肖参数!$A:$B,2,FALSE),""))</f>
        <v/>
      </c>
      <c r="D24" s="32">
        <f>IF($A24="","",IFERROR(VLOOKUP($A24,开奖记录!$A:$L,9,FALSE),""))</f>
        <v/>
      </c>
      <c r="E24" s="32">
        <f>IF($A24="","",IFERROR(VLOOKUP($A24,开奖记录!$A:$L,11,FALSE),""))</f>
        <v/>
      </c>
      <c r="F24" s="32">
        <f>IF(A24="","",IF(B24="","缺上期数据",IF(E24="","待开奖",IF(ISNUMBER(SEARCH(E24,C24)),"命中","未命中"))))</f>
        <v/>
      </c>
    </row>
    <row r="25" ht="23" customHeight="1" s="21">
      <c r="A25" s="32">
        <f>IFERROR(LARGE(开奖记录!$A$2:$A$400,24),"")</f>
        <v/>
      </c>
      <c r="B25" s="32">
        <f>IF($A25="","",IFERROR(VLOOKUP($A25-1,开奖记录!$A:$L,11,FALSE),""))</f>
        <v/>
      </c>
      <c r="C25" s="36">
        <f>IF(B25="","",IFERROR(VLOOKUP(B25,八肖参数!$A:$B,2,FALSE),""))</f>
        <v/>
      </c>
      <c r="D25" s="32">
        <f>IF($A25="","",IFERROR(VLOOKUP($A25,开奖记录!$A:$L,9,FALSE),""))</f>
        <v/>
      </c>
      <c r="E25" s="32">
        <f>IF($A25="","",IFERROR(VLOOKUP($A25,开奖记录!$A:$L,11,FALSE),""))</f>
        <v/>
      </c>
      <c r="F25" s="32">
        <f>IF(A25="","",IF(B25="","缺上期数据",IF(E25="","待开奖",IF(ISNUMBER(SEARCH(E25,C25)),"命中","未命中"))))</f>
        <v/>
      </c>
    </row>
    <row r="26" ht="23" customHeight="1" s="21">
      <c r="A26" s="32">
        <f>IFERROR(LARGE(开奖记录!$A$2:$A$400,25),"")</f>
        <v/>
      </c>
      <c r="B26" s="32">
        <f>IF($A26="","",IFERROR(VLOOKUP($A26-1,开奖记录!$A:$L,11,FALSE),""))</f>
        <v/>
      </c>
      <c r="C26" s="36">
        <f>IF(B26="","",IFERROR(VLOOKUP(B26,八肖参数!$A:$B,2,FALSE),""))</f>
        <v/>
      </c>
      <c r="D26" s="32">
        <f>IF($A26="","",IFERROR(VLOOKUP($A26,开奖记录!$A:$L,9,FALSE),""))</f>
        <v/>
      </c>
      <c r="E26" s="32">
        <f>IF($A26="","",IFERROR(VLOOKUP($A26,开奖记录!$A:$L,11,FALSE),""))</f>
        <v/>
      </c>
      <c r="F26" s="32">
        <f>IF(A26="","",IF(B26="","缺上期数据",IF(E26="","待开奖",IF(ISNUMBER(SEARCH(E26,C26)),"命中","未命中"))))</f>
        <v/>
      </c>
    </row>
    <row r="27" ht="23" customHeight="1" s="21">
      <c r="A27" s="32">
        <f>IFERROR(LARGE(开奖记录!$A$2:$A$400,26),"")</f>
        <v/>
      </c>
      <c r="B27" s="32">
        <f>IF($A27="","",IFERROR(VLOOKUP($A27-1,开奖记录!$A:$L,11,FALSE),""))</f>
        <v/>
      </c>
      <c r="C27" s="36">
        <f>IF(B27="","",IFERROR(VLOOKUP(B27,八肖参数!$A:$B,2,FALSE),""))</f>
        <v/>
      </c>
      <c r="D27" s="32">
        <f>IF($A27="","",IFERROR(VLOOKUP($A27,开奖记录!$A:$L,9,FALSE),""))</f>
        <v/>
      </c>
      <c r="E27" s="32">
        <f>IF($A27="","",IFERROR(VLOOKUP($A27,开奖记录!$A:$L,11,FALSE),""))</f>
        <v/>
      </c>
      <c r="F27" s="32">
        <f>IF(A27="","",IF(B27="","缺上期数据",IF(E27="","待开奖",IF(ISNUMBER(SEARCH(E27,C27)),"命中","未命中"))))</f>
        <v/>
      </c>
    </row>
    <row r="28" ht="23" customHeight="1" s="21">
      <c r="A28" s="32">
        <f>IFERROR(LARGE(开奖记录!$A$2:$A$400,27),"")</f>
        <v/>
      </c>
      <c r="B28" s="32">
        <f>IF($A28="","",IFERROR(VLOOKUP($A28-1,开奖记录!$A:$L,11,FALSE),""))</f>
        <v/>
      </c>
      <c r="C28" s="36">
        <f>IF(B28="","",IFERROR(VLOOKUP(B28,八肖参数!$A:$B,2,FALSE),""))</f>
        <v/>
      </c>
      <c r="D28" s="32">
        <f>IF($A28="","",IFERROR(VLOOKUP($A28,开奖记录!$A:$L,9,FALSE),""))</f>
        <v/>
      </c>
      <c r="E28" s="32">
        <f>IF($A28="","",IFERROR(VLOOKUP($A28,开奖记录!$A:$L,11,FALSE),""))</f>
        <v/>
      </c>
      <c r="F28" s="32">
        <f>IF(A28="","",IF(B28="","缺上期数据",IF(E28="","待开奖",IF(ISNUMBER(SEARCH(E28,C28)),"命中","未命中"))))</f>
        <v/>
      </c>
    </row>
    <row r="29" ht="23" customHeight="1" s="21">
      <c r="A29" s="32">
        <f>IFERROR(LARGE(开奖记录!$A$2:$A$400,28),"")</f>
        <v/>
      </c>
      <c r="B29" s="32">
        <f>IF($A29="","",IFERROR(VLOOKUP($A29-1,开奖记录!$A:$L,11,FALSE),""))</f>
        <v/>
      </c>
      <c r="C29" s="36">
        <f>IF(B29="","",IFERROR(VLOOKUP(B29,八肖参数!$A:$B,2,FALSE),""))</f>
        <v/>
      </c>
      <c r="D29" s="32">
        <f>IF($A29="","",IFERROR(VLOOKUP($A29,开奖记录!$A:$L,9,FALSE),""))</f>
        <v/>
      </c>
      <c r="E29" s="32">
        <f>IF($A29="","",IFERROR(VLOOKUP($A29,开奖记录!$A:$L,11,FALSE),""))</f>
        <v/>
      </c>
      <c r="F29" s="32">
        <f>IF(A29="","",IF(B29="","缺上期数据",IF(E29="","待开奖",IF(ISNUMBER(SEARCH(E29,C29)),"命中","未命中"))))</f>
        <v/>
      </c>
    </row>
    <row r="30" ht="23" customHeight="1" s="21">
      <c r="A30" s="32">
        <f>IFERROR(LARGE(开奖记录!$A$2:$A$400,29),"")</f>
        <v/>
      </c>
      <c r="B30" s="32">
        <f>IF($A30="","",IFERROR(VLOOKUP($A30-1,开奖记录!$A:$L,11,FALSE),""))</f>
        <v/>
      </c>
      <c r="C30" s="36">
        <f>IF(B30="","",IFERROR(VLOOKUP(B30,八肖参数!$A:$B,2,FALSE),""))</f>
        <v/>
      </c>
      <c r="D30" s="32">
        <f>IF($A30="","",IFERROR(VLOOKUP($A30,开奖记录!$A:$L,9,FALSE),""))</f>
        <v/>
      </c>
      <c r="E30" s="32">
        <f>IF($A30="","",IFERROR(VLOOKUP($A30,开奖记录!$A:$L,11,FALSE),""))</f>
        <v/>
      </c>
      <c r="F30" s="32">
        <f>IF(A30="","",IF(B30="","缺上期数据",IF(E30="","待开奖",IF(ISNUMBER(SEARCH(E30,C30)),"命中","未命中"))))</f>
        <v/>
      </c>
    </row>
    <row r="31" ht="23" customHeight="1" s="21">
      <c r="A31" s="32">
        <f>IFERROR(LARGE(开奖记录!$A$2:$A$400,30),"")</f>
        <v/>
      </c>
      <c r="B31" s="32">
        <f>IF($A31="","",IFERROR(VLOOKUP($A31-1,开奖记录!$A:$L,11,FALSE),""))</f>
        <v/>
      </c>
      <c r="C31" s="36">
        <f>IF(B31="","",IFERROR(VLOOKUP(B31,八肖参数!$A:$B,2,FALSE),""))</f>
        <v/>
      </c>
      <c r="D31" s="32">
        <f>IF($A31="","",IFERROR(VLOOKUP($A31,开奖记录!$A:$L,9,FALSE),""))</f>
        <v/>
      </c>
      <c r="E31" s="32">
        <f>IF($A31="","",IFERROR(VLOOKUP($A31,开奖记录!$A:$L,11,FALSE),""))</f>
        <v/>
      </c>
      <c r="F31" s="32">
        <f>IF(A31="","",IF(B31="","缺上期数据",IF(E31="","待开奖",IF(ISNUMBER(SEARCH(E31,C31)),"命中","未命中"))))</f>
        <v/>
      </c>
    </row>
    <row r="32" ht="23" customHeight="1" s="21">
      <c r="A32" s="32">
        <f>IFERROR(LARGE(开奖记录!$A$2:$A$400,31),"")</f>
        <v/>
      </c>
      <c r="B32" s="32">
        <f>IF($A32="","",IFERROR(VLOOKUP($A32-1,开奖记录!$A:$L,11,FALSE),""))</f>
        <v/>
      </c>
      <c r="C32" s="36">
        <f>IF(B32="","",IFERROR(VLOOKUP(B32,八肖参数!$A:$B,2,FALSE),""))</f>
        <v/>
      </c>
      <c r="D32" s="32">
        <f>IF($A32="","",IFERROR(VLOOKUP($A32,开奖记录!$A:$L,9,FALSE),""))</f>
        <v/>
      </c>
      <c r="E32" s="32">
        <f>IF($A32="","",IFERROR(VLOOKUP($A32,开奖记录!$A:$L,11,FALSE),""))</f>
        <v/>
      </c>
      <c r="F32" s="32">
        <f>IF(A32="","",IF(B32="","缺上期数据",IF(E32="","待开奖",IF(ISNUMBER(SEARCH(E32,C32)),"命中","未命中"))))</f>
        <v/>
      </c>
    </row>
    <row r="33" ht="23" customHeight="1" s="21">
      <c r="A33" s="32">
        <f>IFERROR(LARGE(开奖记录!$A$2:$A$400,32),"")</f>
        <v/>
      </c>
      <c r="B33" s="32">
        <f>IF($A33="","",IFERROR(VLOOKUP($A33-1,开奖记录!$A:$L,11,FALSE),""))</f>
        <v/>
      </c>
      <c r="C33" s="36">
        <f>IF(B33="","",IFERROR(VLOOKUP(B33,八肖参数!$A:$B,2,FALSE),""))</f>
        <v/>
      </c>
      <c r="D33" s="32">
        <f>IF($A33="","",IFERROR(VLOOKUP($A33,开奖记录!$A:$L,9,FALSE),""))</f>
        <v/>
      </c>
      <c r="E33" s="32">
        <f>IF($A33="","",IFERROR(VLOOKUP($A33,开奖记录!$A:$L,11,FALSE),""))</f>
        <v/>
      </c>
      <c r="F33" s="32">
        <f>IF(A33="","",IF(B33="","缺上期数据",IF(E33="","待开奖",IF(ISNUMBER(SEARCH(E33,C33)),"命中","未命中"))))</f>
        <v/>
      </c>
    </row>
    <row r="34" ht="23" customHeight="1" s="21">
      <c r="A34" s="32">
        <f>IFERROR(LARGE(开奖记录!$A$2:$A$400,33),"")</f>
        <v/>
      </c>
      <c r="B34" s="32">
        <f>IF($A34="","",IFERROR(VLOOKUP($A34-1,开奖记录!$A:$L,11,FALSE),""))</f>
        <v/>
      </c>
      <c r="C34" s="36">
        <f>IF(B34="","",IFERROR(VLOOKUP(B34,八肖参数!$A:$B,2,FALSE),""))</f>
        <v/>
      </c>
      <c r="D34" s="32">
        <f>IF($A34="","",IFERROR(VLOOKUP($A34,开奖记录!$A:$L,9,FALSE),""))</f>
        <v/>
      </c>
      <c r="E34" s="32">
        <f>IF($A34="","",IFERROR(VLOOKUP($A34,开奖记录!$A:$L,11,FALSE),""))</f>
        <v/>
      </c>
      <c r="F34" s="32">
        <f>IF(A34="","",IF(B34="","缺上期数据",IF(E34="","待开奖",IF(ISNUMBER(SEARCH(E34,C34)),"命中","未命中"))))</f>
        <v/>
      </c>
    </row>
    <row r="35" ht="23" customHeight="1" s="21">
      <c r="A35" s="32">
        <f>IFERROR(LARGE(开奖记录!$A$2:$A$400,34),"")</f>
        <v/>
      </c>
      <c r="B35" s="32">
        <f>IF($A35="","",IFERROR(VLOOKUP($A35-1,开奖记录!$A:$L,11,FALSE),""))</f>
        <v/>
      </c>
      <c r="C35" s="36">
        <f>IF(B35="","",IFERROR(VLOOKUP(B35,八肖参数!$A:$B,2,FALSE),""))</f>
        <v/>
      </c>
      <c r="D35" s="32">
        <f>IF($A35="","",IFERROR(VLOOKUP($A35,开奖记录!$A:$L,9,FALSE),""))</f>
        <v/>
      </c>
      <c r="E35" s="32">
        <f>IF($A35="","",IFERROR(VLOOKUP($A35,开奖记录!$A:$L,11,FALSE),""))</f>
        <v/>
      </c>
      <c r="F35" s="32">
        <f>IF(A35="","",IF(B35="","缺上期数据",IF(E35="","待开奖",IF(ISNUMBER(SEARCH(E35,C35)),"命中","未命中"))))</f>
        <v/>
      </c>
    </row>
    <row r="36" ht="23" customHeight="1" s="21">
      <c r="A36" s="32">
        <f>IFERROR(LARGE(开奖记录!$A$2:$A$400,35),"")</f>
        <v/>
      </c>
      <c r="B36" s="32">
        <f>IF($A36="","",IFERROR(VLOOKUP($A36-1,开奖记录!$A:$L,11,FALSE),""))</f>
        <v/>
      </c>
      <c r="C36" s="36">
        <f>IF(B36="","",IFERROR(VLOOKUP(B36,八肖参数!$A:$B,2,FALSE),""))</f>
        <v/>
      </c>
      <c r="D36" s="32">
        <f>IF($A36="","",IFERROR(VLOOKUP($A36,开奖记录!$A:$L,9,FALSE),""))</f>
        <v/>
      </c>
      <c r="E36" s="32">
        <f>IF($A36="","",IFERROR(VLOOKUP($A36,开奖记录!$A:$L,11,FALSE),""))</f>
        <v/>
      </c>
      <c r="F36" s="32">
        <f>IF(A36="","",IF(B36="","缺上期数据",IF(E36="","待开奖",IF(ISNUMBER(SEARCH(E36,C36)),"命中","未命中"))))</f>
        <v/>
      </c>
    </row>
    <row r="37" ht="23" customHeight="1" s="21">
      <c r="A37" s="32">
        <f>IFERROR(LARGE(开奖记录!$A$2:$A$400,36),"")</f>
        <v/>
      </c>
      <c r="B37" s="32">
        <f>IF($A37="","",IFERROR(VLOOKUP($A37-1,开奖记录!$A:$L,11,FALSE),""))</f>
        <v/>
      </c>
      <c r="C37" s="36">
        <f>IF(B37="","",IFERROR(VLOOKUP(B37,八肖参数!$A:$B,2,FALSE),""))</f>
        <v/>
      </c>
      <c r="D37" s="32">
        <f>IF($A37="","",IFERROR(VLOOKUP($A37,开奖记录!$A:$L,9,FALSE),""))</f>
        <v/>
      </c>
      <c r="E37" s="32">
        <f>IF($A37="","",IFERROR(VLOOKUP($A37,开奖记录!$A:$L,11,FALSE),""))</f>
        <v/>
      </c>
      <c r="F37" s="32">
        <f>IF(A37="","",IF(B37="","缺上期数据",IF(E37="","待开奖",IF(ISNUMBER(SEARCH(E37,C37)),"命中","未命中"))))</f>
        <v/>
      </c>
    </row>
    <row r="38" ht="23" customHeight="1" s="21">
      <c r="A38" s="32">
        <f>IFERROR(LARGE(开奖记录!$A$2:$A$400,37),"")</f>
        <v/>
      </c>
      <c r="B38" s="32">
        <f>IF($A38="","",IFERROR(VLOOKUP($A38-1,开奖记录!$A:$L,11,FALSE),""))</f>
        <v/>
      </c>
      <c r="C38" s="36">
        <f>IF(B38="","",IFERROR(VLOOKUP(B38,八肖参数!$A:$B,2,FALSE),""))</f>
        <v/>
      </c>
      <c r="D38" s="32">
        <f>IF($A38="","",IFERROR(VLOOKUP($A38,开奖记录!$A:$L,9,FALSE),""))</f>
        <v/>
      </c>
      <c r="E38" s="32">
        <f>IF($A38="","",IFERROR(VLOOKUP($A38,开奖记录!$A:$L,11,FALSE),""))</f>
        <v/>
      </c>
      <c r="F38" s="32">
        <f>IF(A38="","",IF(B38="","缺上期数据",IF(E38="","待开奖",IF(ISNUMBER(SEARCH(E38,C38)),"命中","未命中"))))</f>
        <v/>
      </c>
    </row>
    <row r="39" ht="23" customHeight="1" s="21">
      <c r="A39" s="32">
        <f>IFERROR(LARGE(开奖记录!$A$2:$A$400,38),"")</f>
        <v/>
      </c>
      <c r="B39" s="32">
        <f>IF($A39="","",IFERROR(VLOOKUP($A39-1,开奖记录!$A:$L,11,FALSE),""))</f>
        <v/>
      </c>
      <c r="C39" s="36">
        <f>IF(B39="","",IFERROR(VLOOKUP(B39,八肖参数!$A:$B,2,FALSE),""))</f>
        <v/>
      </c>
      <c r="D39" s="32">
        <f>IF($A39="","",IFERROR(VLOOKUP($A39,开奖记录!$A:$L,9,FALSE),""))</f>
        <v/>
      </c>
      <c r="E39" s="32">
        <f>IF($A39="","",IFERROR(VLOOKUP($A39,开奖记录!$A:$L,11,FALSE),""))</f>
        <v/>
      </c>
      <c r="F39" s="32">
        <f>IF(A39="","",IF(B39="","缺上期数据",IF(E39="","待开奖",IF(ISNUMBER(SEARCH(E39,C39)),"命中","未命中"))))</f>
        <v/>
      </c>
    </row>
    <row r="40" ht="23" customHeight="1" s="21">
      <c r="A40" s="32">
        <f>IFERROR(LARGE(开奖记录!$A$2:$A$400,39),"")</f>
        <v/>
      </c>
      <c r="B40" s="32">
        <f>IF($A40="","",IFERROR(VLOOKUP($A40-1,开奖记录!$A:$L,11,FALSE),""))</f>
        <v/>
      </c>
      <c r="C40" s="36">
        <f>IF(B40="","",IFERROR(VLOOKUP(B40,八肖参数!$A:$B,2,FALSE),""))</f>
        <v/>
      </c>
      <c r="D40" s="32">
        <f>IF($A40="","",IFERROR(VLOOKUP($A40,开奖记录!$A:$L,9,FALSE),""))</f>
        <v/>
      </c>
      <c r="E40" s="32">
        <f>IF($A40="","",IFERROR(VLOOKUP($A40,开奖记录!$A:$L,11,FALSE),""))</f>
        <v/>
      </c>
      <c r="F40" s="32">
        <f>IF(A40="","",IF(B40="","缺上期数据",IF(E40="","待开奖",IF(ISNUMBER(SEARCH(E40,C40)),"命中","未命中"))))</f>
        <v/>
      </c>
    </row>
    <row r="41" ht="23" customHeight="1" s="21">
      <c r="A41" s="32">
        <f>IFERROR(LARGE(开奖记录!$A$2:$A$400,40),"")</f>
        <v/>
      </c>
      <c r="B41" s="32">
        <f>IF($A41="","",IFERROR(VLOOKUP($A41-1,开奖记录!$A:$L,11,FALSE),""))</f>
        <v/>
      </c>
      <c r="C41" s="36">
        <f>IF(B41="","",IFERROR(VLOOKUP(B41,八肖参数!$A:$B,2,FALSE),""))</f>
        <v/>
      </c>
      <c r="D41" s="32">
        <f>IF($A41="","",IFERROR(VLOOKUP($A41,开奖记录!$A:$L,9,FALSE),""))</f>
        <v/>
      </c>
      <c r="E41" s="32">
        <f>IF($A41="","",IFERROR(VLOOKUP($A41,开奖记录!$A:$L,11,FALSE),""))</f>
        <v/>
      </c>
      <c r="F41" s="32">
        <f>IF(A41="","",IF(B41="","缺上期数据",IF(E41="","待开奖",IF(ISNUMBER(SEARCH(E41,C41)),"命中","未命中"))))</f>
        <v/>
      </c>
    </row>
    <row r="42" ht="23" customHeight="1" s="21">
      <c r="A42" s="32">
        <f>IFERROR(LARGE(开奖记录!$A$2:$A$400,41),"")</f>
        <v/>
      </c>
      <c r="B42" s="32">
        <f>IF($A42="","",IFERROR(VLOOKUP($A42-1,开奖记录!$A:$L,11,FALSE),""))</f>
        <v/>
      </c>
      <c r="C42" s="36">
        <f>IF(B42="","",IFERROR(VLOOKUP(B42,八肖参数!$A:$B,2,FALSE),""))</f>
        <v/>
      </c>
      <c r="D42" s="32">
        <f>IF($A42="","",IFERROR(VLOOKUP($A42,开奖记录!$A:$L,9,FALSE),""))</f>
        <v/>
      </c>
      <c r="E42" s="32">
        <f>IF($A42="","",IFERROR(VLOOKUP($A42,开奖记录!$A:$L,11,FALSE),""))</f>
        <v/>
      </c>
      <c r="F42" s="32">
        <f>IF(A42="","",IF(B42="","缺上期数据",IF(E42="","待开奖",IF(ISNUMBER(SEARCH(E42,C42)),"命中","未命中"))))</f>
        <v/>
      </c>
    </row>
    <row r="43" ht="23" customHeight="1" s="21">
      <c r="A43" s="32">
        <f>IFERROR(LARGE(开奖记录!$A$2:$A$400,42),"")</f>
        <v/>
      </c>
      <c r="B43" s="32">
        <f>IF($A43="","",IFERROR(VLOOKUP($A43-1,开奖记录!$A:$L,11,FALSE),""))</f>
        <v/>
      </c>
      <c r="C43" s="36">
        <f>IF(B43="","",IFERROR(VLOOKUP(B43,八肖参数!$A:$B,2,FALSE),""))</f>
        <v/>
      </c>
      <c r="D43" s="32">
        <f>IF($A43="","",IFERROR(VLOOKUP($A43,开奖记录!$A:$L,9,FALSE),""))</f>
        <v/>
      </c>
      <c r="E43" s="32">
        <f>IF($A43="","",IFERROR(VLOOKUP($A43,开奖记录!$A:$L,11,FALSE),""))</f>
        <v/>
      </c>
      <c r="F43" s="32">
        <f>IF(A43="","",IF(B43="","缺上期数据",IF(E43="","待开奖",IF(ISNUMBER(SEARCH(E43,C43)),"命中","未命中"))))</f>
        <v/>
      </c>
    </row>
    <row r="44" ht="23" customHeight="1" s="21">
      <c r="A44" s="32">
        <f>IFERROR(LARGE(开奖记录!$A$2:$A$400,43),"")</f>
        <v/>
      </c>
      <c r="B44" s="32">
        <f>IF($A44="","",IFERROR(VLOOKUP($A44-1,开奖记录!$A:$L,11,FALSE),""))</f>
        <v/>
      </c>
      <c r="C44" s="36">
        <f>IF(B44="","",IFERROR(VLOOKUP(B44,八肖参数!$A:$B,2,FALSE),""))</f>
        <v/>
      </c>
      <c r="D44" s="32">
        <f>IF($A44="","",IFERROR(VLOOKUP($A44,开奖记录!$A:$L,9,FALSE),""))</f>
        <v/>
      </c>
      <c r="E44" s="32">
        <f>IF($A44="","",IFERROR(VLOOKUP($A44,开奖记录!$A:$L,11,FALSE),""))</f>
        <v/>
      </c>
      <c r="F44" s="32">
        <f>IF(A44="","",IF(B44="","缺上期数据",IF(E44="","待开奖",IF(ISNUMBER(SEARCH(E44,C44)),"命中","未命中"))))</f>
        <v/>
      </c>
    </row>
    <row r="45" ht="23" customHeight="1" s="21">
      <c r="A45" s="32">
        <f>IFERROR(LARGE(开奖记录!$A$2:$A$400,44),"")</f>
        <v/>
      </c>
      <c r="B45" s="32">
        <f>IF($A45="","",IFERROR(VLOOKUP($A45-1,开奖记录!$A:$L,11,FALSE),""))</f>
        <v/>
      </c>
      <c r="C45" s="36">
        <f>IF(B45="","",IFERROR(VLOOKUP(B45,八肖参数!$A:$B,2,FALSE),""))</f>
        <v/>
      </c>
      <c r="D45" s="32">
        <f>IF($A45="","",IFERROR(VLOOKUP($A45,开奖记录!$A:$L,9,FALSE),""))</f>
        <v/>
      </c>
      <c r="E45" s="32">
        <f>IF($A45="","",IFERROR(VLOOKUP($A45,开奖记录!$A:$L,11,FALSE),""))</f>
        <v/>
      </c>
      <c r="F45" s="32">
        <f>IF(A45="","",IF(B45="","缺上期数据",IF(E45="","待开奖",IF(ISNUMBER(SEARCH(E45,C45)),"命中","未命中"))))</f>
        <v/>
      </c>
    </row>
    <row r="46" ht="23" customHeight="1" s="21">
      <c r="A46" s="32">
        <f>IFERROR(LARGE(开奖记录!$A$2:$A$400,45),"")</f>
        <v/>
      </c>
      <c r="B46" s="32">
        <f>IF($A46="","",IFERROR(VLOOKUP($A46-1,开奖记录!$A:$L,11,FALSE),""))</f>
        <v/>
      </c>
      <c r="C46" s="36">
        <f>IF(B46="","",IFERROR(VLOOKUP(B46,八肖参数!$A:$B,2,FALSE),""))</f>
        <v/>
      </c>
      <c r="D46" s="32">
        <f>IF($A46="","",IFERROR(VLOOKUP($A46,开奖记录!$A:$L,9,FALSE),""))</f>
        <v/>
      </c>
      <c r="E46" s="32">
        <f>IF($A46="","",IFERROR(VLOOKUP($A46,开奖记录!$A:$L,11,FALSE),""))</f>
        <v/>
      </c>
      <c r="F46" s="32">
        <f>IF(A46="","",IF(B46="","缺上期数据",IF(E46="","待开奖",IF(ISNUMBER(SEARCH(E46,C46)),"命中","未命中"))))</f>
        <v/>
      </c>
    </row>
    <row r="47" ht="23" customHeight="1" s="21">
      <c r="A47" s="32">
        <f>IFERROR(LARGE(开奖记录!$A$2:$A$400,46),"")</f>
        <v/>
      </c>
      <c r="B47" s="32">
        <f>IF($A47="","",IFERROR(VLOOKUP($A47-1,开奖记录!$A:$L,11,FALSE),""))</f>
        <v/>
      </c>
      <c r="C47" s="36">
        <f>IF(B47="","",IFERROR(VLOOKUP(B47,八肖参数!$A:$B,2,FALSE),""))</f>
        <v/>
      </c>
      <c r="D47" s="32">
        <f>IF($A47="","",IFERROR(VLOOKUP($A47,开奖记录!$A:$L,9,FALSE),""))</f>
        <v/>
      </c>
      <c r="E47" s="32">
        <f>IF($A47="","",IFERROR(VLOOKUP($A47,开奖记录!$A:$L,11,FALSE),""))</f>
        <v/>
      </c>
      <c r="F47" s="32">
        <f>IF(A47="","",IF(B47="","缺上期数据",IF(E47="","待开奖",IF(ISNUMBER(SEARCH(E47,C47)),"命中","未命中"))))</f>
        <v/>
      </c>
    </row>
    <row r="48" ht="23" customHeight="1" s="21">
      <c r="A48" s="32">
        <f>IFERROR(LARGE(开奖记录!$A$2:$A$400,47),"")</f>
        <v/>
      </c>
      <c r="B48" s="32">
        <f>IF($A48="","",IFERROR(VLOOKUP($A48-1,开奖记录!$A:$L,11,FALSE),""))</f>
        <v/>
      </c>
      <c r="C48" s="36">
        <f>IF(B48="","",IFERROR(VLOOKUP(B48,八肖参数!$A:$B,2,FALSE),""))</f>
        <v/>
      </c>
      <c r="D48" s="32">
        <f>IF($A48="","",IFERROR(VLOOKUP($A48,开奖记录!$A:$L,9,FALSE),""))</f>
        <v/>
      </c>
      <c r="E48" s="32">
        <f>IF($A48="","",IFERROR(VLOOKUP($A48,开奖记录!$A:$L,11,FALSE),""))</f>
        <v/>
      </c>
      <c r="F48" s="32">
        <f>IF(A48="","",IF(B48="","缺上期数据",IF(E48="","待开奖",IF(ISNUMBER(SEARCH(E48,C48)),"命中","未命中"))))</f>
        <v/>
      </c>
    </row>
    <row r="49" ht="23" customHeight="1" s="21">
      <c r="A49" s="32">
        <f>IFERROR(LARGE(开奖记录!$A$2:$A$400,48),"")</f>
        <v/>
      </c>
      <c r="B49" s="32">
        <f>IF($A49="","",IFERROR(VLOOKUP($A49-1,开奖记录!$A:$L,11,FALSE),""))</f>
        <v/>
      </c>
      <c r="C49" s="36">
        <f>IF(B49="","",IFERROR(VLOOKUP(B49,八肖参数!$A:$B,2,FALSE),""))</f>
        <v/>
      </c>
      <c r="D49" s="32">
        <f>IF($A49="","",IFERROR(VLOOKUP($A49,开奖记录!$A:$L,9,FALSE),""))</f>
        <v/>
      </c>
      <c r="E49" s="32">
        <f>IF($A49="","",IFERROR(VLOOKUP($A49,开奖记录!$A:$L,11,FALSE),""))</f>
        <v/>
      </c>
      <c r="F49" s="32">
        <f>IF(A49="","",IF(B49="","缺上期数据",IF(E49="","待开奖",IF(ISNUMBER(SEARCH(E49,C49)),"命中","未命中"))))</f>
        <v/>
      </c>
    </row>
    <row r="50" ht="23" customHeight="1" s="21">
      <c r="A50" s="32">
        <f>IFERROR(LARGE(开奖记录!$A$2:$A$400,49),"")</f>
        <v/>
      </c>
      <c r="B50" s="32">
        <f>IF($A50="","",IFERROR(VLOOKUP($A50-1,开奖记录!$A:$L,11,FALSE),""))</f>
        <v/>
      </c>
      <c r="C50" s="36">
        <f>IF(B50="","",IFERROR(VLOOKUP(B50,八肖参数!$A:$B,2,FALSE),""))</f>
        <v/>
      </c>
      <c r="D50" s="32">
        <f>IF($A50="","",IFERROR(VLOOKUP($A50,开奖记录!$A:$L,9,FALSE),""))</f>
        <v/>
      </c>
      <c r="E50" s="32">
        <f>IF($A50="","",IFERROR(VLOOKUP($A50,开奖记录!$A:$L,11,FALSE),""))</f>
        <v/>
      </c>
      <c r="F50" s="32">
        <f>IF(A50="","",IF(B50="","缺上期数据",IF(E50="","待开奖",IF(ISNUMBER(SEARCH(E50,C50)),"命中","未命中"))))</f>
        <v/>
      </c>
    </row>
    <row r="51" ht="23" customHeight="1" s="21">
      <c r="A51" s="32">
        <f>IFERROR(LARGE(开奖记录!$A$2:$A$400,50),"")</f>
        <v/>
      </c>
      <c r="B51" s="32">
        <f>IF($A51="","",IFERROR(VLOOKUP($A51-1,开奖记录!$A:$L,11,FALSE),""))</f>
        <v/>
      </c>
      <c r="C51" s="36">
        <f>IF(B51="","",IFERROR(VLOOKUP(B51,八肖参数!$A:$B,2,FALSE),""))</f>
        <v/>
      </c>
      <c r="D51" s="32">
        <f>IF($A51="","",IFERROR(VLOOKUP($A51,开奖记录!$A:$L,9,FALSE),""))</f>
        <v/>
      </c>
      <c r="E51" s="32">
        <f>IF($A51="","",IFERROR(VLOOKUP($A51,开奖记录!$A:$L,11,FALSE),""))</f>
        <v/>
      </c>
      <c r="F51" s="32">
        <f>IF(A51="","",IF(B51="","缺上期数据",IF(E51="","待开奖",IF(ISNUMBER(SEARCH(E51,C51)),"命中","未命中"))))</f>
        <v/>
      </c>
    </row>
    <row r="52" ht="23" customHeight="1" s="21">
      <c r="A52" s="32">
        <f>IFERROR(LARGE(开奖记录!$A$2:$A$400,51),"")</f>
        <v/>
      </c>
      <c r="B52" s="32">
        <f>IF($A52="","",IFERROR(VLOOKUP($A52-1,开奖记录!$A:$L,11,FALSE),""))</f>
        <v/>
      </c>
      <c r="C52" s="36">
        <f>IF(B52="","",IFERROR(VLOOKUP(B52,八肖参数!$A:$B,2,FALSE),""))</f>
        <v/>
      </c>
      <c r="D52" s="32">
        <f>IF($A52="","",IFERROR(VLOOKUP($A52,开奖记录!$A:$L,9,FALSE),""))</f>
        <v/>
      </c>
      <c r="E52" s="32">
        <f>IF($A52="","",IFERROR(VLOOKUP($A52,开奖记录!$A:$L,11,FALSE),""))</f>
        <v/>
      </c>
      <c r="F52" s="32">
        <f>IF(A52="","",IF(B52="","缺上期数据",IF(E52="","待开奖",IF(ISNUMBER(SEARCH(E52,C52)),"命中","未命中"))))</f>
        <v/>
      </c>
    </row>
    <row r="53" ht="23" customHeight="1" s="21">
      <c r="A53" s="32">
        <f>IFERROR(LARGE(开奖记录!$A$2:$A$400,52),"")</f>
        <v/>
      </c>
      <c r="B53" s="32">
        <f>IF($A53="","",IFERROR(VLOOKUP($A53-1,开奖记录!$A:$L,11,FALSE),""))</f>
        <v/>
      </c>
      <c r="C53" s="36">
        <f>IF(B53="","",IFERROR(VLOOKUP(B53,八肖参数!$A:$B,2,FALSE),""))</f>
        <v/>
      </c>
      <c r="D53" s="32">
        <f>IF($A53="","",IFERROR(VLOOKUP($A53,开奖记录!$A:$L,9,FALSE),""))</f>
        <v/>
      </c>
      <c r="E53" s="32">
        <f>IF($A53="","",IFERROR(VLOOKUP($A53,开奖记录!$A:$L,11,FALSE),""))</f>
        <v/>
      </c>
      <c r="F53" s="32">
        <f>IF(A53="","",IF(B53="","缺上期数据",IF(E53="","待开奖",IF(ISNUMBER(SEARCH(E53,C53)),"命中","未命中"))))</f>
        <v/>
      </c>
    </row>
    <row r="54" ht="23" customHeight="1" s="21">
      <c r="A54" s="32">
        <f>IFERROR(LARGE(开奖记录!$A$2:$A$400,53),"")</f>
        <v/>
      </c>
      <c r="B54" s="32">
        <f>IF($A54="","",IFERROR(VLOOKUP($A54-1,开奖记录!$A:$L,11,FALSE),""))</f>
        <v/>
      </c>
      <c r="C54" s="36">
        <f>IF(B54="","",IFERROR(VLOOKUP(B54,八肖参数!$A:$B,2,FALSE),""))</f>
        <v/>
      </c>
      <c r="D54" s="32">
        <f>IF($A54="","",IFERROR(VLOOKUP($A54,开奖记录!$A:$L,9,FALSE),""))</f>
        <v/>
      </c>
      <c r="E54" s="32">
        <f>IF($A54="","",IFERROR(VLOOKUP($A54,开奖记录!$A:$L,11,FALSE),""))</f>
        <v/>
      </c>
      <c r="F54" s="32">
        <f>IF(A54="","",IF(B54="","缺上期数据",IF(E54="","待开奖",IF(ISNUMBER(SEARCH(E54,C54)),"命中","未命中"))))</f>
        <v/>
      </c>
    </row>
    <row r="55" ht="23" customHeight="1" s="21">
      <c r="A55" s="32">
        <f>IFERROR(LARGE(开奖记录!$A$2:$A$400,54),"")</f>
        <v/>
      </c>
      <c r="B55" s="32">
        <f>IF($A55="","",IFERROR(VLOOKUP($A55-1,开奖记录!$A:$L,11,FALSE),""))</f>
        <v/>
      </c>
      <c r="C55" s="36">
        <f>IF(B55="","",IFERROR(VLOOKUP(B55,八肖参数!$A:$B,2,FALSE),""))</f>
        <v/>
      </c>
      <c r="D55" s="32">
        <f>IF($A55="","",IFERROR(VLOOKUP($A55,开奖记录!$A:$L,9,FALSE),""))</f>
        <v/>
      </c>
      <c r="E55" s="32">
        <f>IF($A55="","",IFERROR(VLOOKUP($A55,开奖记录!$A:$L,11,FALSE),""))</f>
        <v/>
      </c>
      <c r="F55" s="32">
        <f>IF(A55="","",IF(B55="","缺上期数据",IF(E55="","待开奖",IF(ISNUMBER(SEARCH(E55,C55)),"命中","未命中"))))</f>
        <v/>
      </c>
    </row>
    <row r="56" ht="23" customHeight="1" s="21">
      <c r="A56" s="32">
        <f>IFERROR(LARGE(开奖记录!$A$2:$A$400,55),"")</f>
        <v/>
      </c>
      <c r="B56" s="32">
        <f>IF($A56="","",IFERROR(VLOOKUP($A56-1,开奖记录!$A:$L,11,FALSE),""))</f>
        <v/>
      </c>
      <c r="C56" s="36">
        <f>IF(B56="","",IFERROR(VLOOKUP(B56,八肖参数!$A:$B,2,FALSE),""))</f>
        <v/>
      </c>
      <c r="D56" s="32">
        <f>IF($A56="","",IFERROR(VLOOKUP($A56,开奖记录!$A:$L,9,FALSE),""))</f>
        <v/>
      </c>
      <c r="E56" s="32">
        <f>IF($A56="","",IFERROR(VLOOKUP($A56,开奖记录!$A:$L,11,FALSE),""))</f>
        <v/>
      </c>
      <c r="F56" s="32">
        <f>IF(A56="","",IF(B56="","缺上期数据",IF(E56="","待开奖",IF(ISNUMBER(SEARCH(E56,C56)),"命中","未命中"))))</f>
        <v/>
      </c>
    </row>
    <row r="57" ht="23" customHeight="1" s="21">
      <c r="A57" s="32">
        <f>IFERROR(LARGE(开奖记录!$A$2:$A$400,56),"")</f>
        <v/>
      </c>
      <c r="B57" s="32">
        <f>IF($A57="","",IFERROR(VLOOKUP($A57-1,开奖记录!$A:$L,11,FALSE),""))</f>
        <v/>
      </c>
      <c r="C57" s="36">
        <f>IF(B57="","",IFERROR(VLOOKUP(B57,八肖参数!$A:$B,2,FALSE),""))</f>
        <v/>
      </c>
      <c r="D57" s="32">
        <f>IF($A57="","",IFERROR(VLOOKUP($A57,开奖记录!$A:$L,9,FALSE),""))</f>
        <v/>
      </c>
      <c r="E57" s="32">
        <f>IF($A57="","",IFERROR(VLOOKUP($A57,开奖记录!$A:$L,11,FALSE),""))</f>
        <v/>
      </c>
      <c r="F57" s="32">
        <f>IF(A57="","",IF(B57="","缺上期数据",IF(E57="","待开奖",IF(ISNUMBER(SEARCH(E57,C57)),"命中","未命中"))))</f>
        <v/>
      </c>
    </row>
    <row r="58" ht="23" customHeight="1" s="21">
      <c r="A58" s="32">
        <f>IFERROR(LARGE(开奖记录!$A$2:$A$400,57),"")</f>
        <v/>
      </c>
      <c r="B58" s="32">
        <f>IF($A58="","",IFERROR(VLOOKUP($A58-1,开奖记录!$A:$L,11,FALSE),""))</f>
        <v/>
      </c>
      <c r="C58" s="36">
        <f>IF(B58="","",IFERROR(VLOOKUP(B58,八肖参数!$A:$B,2,FALSE),""))</f>
        <v/>
      </c>
      <c r="D58" s="32">
        <f>IF($A58="","",IFERROR(VLOOKUP($A58,开奖记录!$A:$L,9,FALSE),""))</f>
        <v/>
      </c>
      <c r="E58" s="32">
        <f>IF($A58="","",IFERROR(VLOOKUP($A58,开奖记录!$A:$L,11,FALSE),""))</f>
        <v/>
      </c>
      <c r="F58" s="32">
        <f>IF(A58="","",IF(B58="","缺上期数据",IF(E58="","待开奖",IF(ISNUMBER(SEARCH(E58,C58)),"命中","未命中"))))</f>
        <v/>
      </c>
    </row>
    <row r="59" ht="23" customHeight="1" s="21">
      <c r="A59" s="32">
        <f>IFERROR(LARGE(开奖记录!$A$2:$A$400,58),"")</f>
        <v/>
      </c>
      <c r="B59" s="32">
        <f>IF($A59="","",IFERROR(VLOOKUP($A59-1,开奖记录!$A:$L,11,FALSE),""))</f>
        <v/>
      </c>
      <c r="C59" s="36">
        <f>IF(B59="","",IFERROR(VLOOKUP(B59,八肖参数!$A:$B,2,FALSE),""))</f>
        <v/>
      </c>
      <c r="D59" s="32">
        <f>IF($A59="","",IFERROR(VLOOKUP($A59,开奖记录!$A:$L,9,FALSE),""))</f>
        <v/>
      </c>
      <c r="E59" s="32">
        <f>IF($A59="","",IFERROR(VLOOKUP($A59,开奖记录!$A:$L,11,FALSE),""))</f>
        <v/>
      </c>
      <c r="F59" s="32">
        <f>IF(A59="","",IF(B59="","缺上期数据",IF(E59="","待开奖",IF(ISNUMBER(SEARCH(E59,C59)),"命中","未命中"))))</f>
        <v/>
      </c>
    </row>
    <row r="60" ht="23" customHeight="1" s="21">
      <c r="A60" s="32">
        <f>IFERROR(LARGE(开奖记录!$A$2:$A$400,59),"")</f>
        <v/>
      </c>
      <c r="B60" s="32">
        <f>IF($A60="","",IFERROR(VLOOKUP($A60-1,开奖记录!$A:$L,11,FALSE),""))</f>
        <v/>
      </c>
      <c r="C60" s="36">
        <f>IF(B60="","",IFERROR(VLOOKUP(B60,八肖参数!$A:$B,2,FALSE),""))</f>
        <v/>
      </c>
      <c r="D60" s="32">
        <f>IF($A60="","",IFERROR(VLOOKUP($A60,开奖记录!$A:$L,9,FALSE),""))</f>
        <v/>
      </c>
      <c r="E60" s="32">
        <f>IF($A60="","",IFERROR(VLOOKUP($A60,开奖记录!$A:$L,11,FALSE),""))</f>
        <v/>
      </c>
      <c r="F60" s="32">
        <f>IF(A60="","",IF(B60="","缺上期数据",IF(E60="","待开奖",IF(ISNUMBER(SEARCH(E60,C60)),"命中","未命中"))))</f>
        <v/>
      </c>
    </row>
    <row r="61" ht="23" customHeight="1" s="21">
      <c r="A61" s="32">
        <f>IFERROR(LARGE(开奖记录!$A$2:$A$400,60),"")</f>
        <v/>
      </c>
      <c r="B61" s="32">
        <f>IF($A61="","",IFERROR(VLOOKUP($A61-1,开奖记录!$A:$L,11,FALSE),""))</f>
        <v/>
      </c>
      <c r="C61" s="36">
        <f>IF(B61="","",IFERROR(VLOOKUP(B61,八肖参数!$A:$B,2,FALSE),""))</f>
        <v/>
      </c>
      <c r="D61" s="32">
        <f>IF($A61="","",IFERROR(VLOOKUP($A61,开奖记录!$A:$L,9,FALSE),""))</f>
        <v/>
      </c>
      <c r="E61" s="32">
        <f>IF($A61="","",IFERROR(VLOOKUP($A61,开奖记录!$A:$L,11,FALSE),""))</f>
        <v/>
      </c>
      <c r="F61" s="32">
        <f>IF(A61="","",IF(B61="","缺上期数据",IF(E61="","待开奖",IF(ISNUMBER(SEARCH(E61,C61)),"命中","未命中"))))</f>
        <v/>
      </c>
    </row>
    <row r="62" ht="23" customHeight="1" s="21">
      <c r="A62" s="32">
        <f>IFERROR(LARGE(开奖记录!$A$2:$A$400,61),"")</f>
        <v/>
      </c>
      <c r="B62" s="32">
        <f>IF($A62="","",IFERROR(VLOOKUP($A62-1,开奖记录!$A:$L,11,FALSE),""))</f>
        <v/>
      </c>
      <c r="C62" s="36">
        <f>IF(B62="","",IFERROR(VLOOKUP(B62,八肖参数!$A:$B,2,FALSE),""))</f>
        <v/>
      </c>
      <c r="D62" s="32">
        <f>IF($A62="","",IFERROR(VLOOKUP($A62,开奖记录!$A:$L,9,FALSE),""))</f>
        <v/>
      </c>
      <c r="E62" s="32">
        <f>IF($A62="","",IFERROR(VLOOKUP($A62,开奖记录!$A:$L,11,FALSE),""))</f>
        <v/>
      </c>
      <c r="F62" s="32">
        <f>IF(A62="","",IF(B62="","缺上期数据",IF(E62="","待开奖",IF(ISNUMBER(SEARCH(E62,C62)),"命中","未命中"))))</f>
        <v/>
      </c>
    </row>
    <row r="63" ht="23" customHeight="1" s="21">
      <c r="A63" s="32">
        <f>IFERROR(LARGE(开奖记录!$A$2:$A$400,62),"")</f>
        <v/>
      </c>
      <c r="B63" s="32">
        <f>IF($A63="","",IFERROR(VLOOKUP($A63-1,开奖记录!$A:$L,11,FALSE),""))</f>
        <v/>
      </c>
      <c r="C63" s="36">
        <f>IF(B63="","",IFERROR(VLOOKUP(B63,八肖参数!$A:$B,2,FALSE),""))</f>
        <v/>
      </c>
      <c r="D63" s="32">
        <f>IF($A63="","",IFERROR(VLOOKUP($A63,开奖记录!$A:$L,9,FALSE),""))</f>
        <v/>
      </c>
      <c r="E63" s="32">
        <f>IF($A63="","",IFERROR(VLOOKUP($A63,开奖记录!$A:$L,11,FALSE),""))</f>
        <v/>
      </c>
      <c r="F63" s="32">
        <f>IF(A63="","",IF(B63="","缺上期数据",IF(E63="","待开奖",IF(ISNUMBER(SEARCH(E63,C63)),"命中","未命中"))))</f>
        <v/>
      </c>
    </row>
    <row r="64" ht="23" customHeight="1" s="21">
      <c r="A64" s="32">
        <f>IFERROR(LARGE(开奖记录!$A$2:$A$400,63),"")</f>
        <v/>
      </c>
      <c r="B64" s="32">
        <f>IF($A64="","",IFERROR(VLOOKUP($A64-1,开奖记录!$A:$L,11,FALSE),""))</f>
        <v/>
      </c>
      <c r="C64" s="36">
        <f>IF(B64="","",IFERROR(VLOOKUP(B64,八肖参数!$A:$B,2,FALSE),""))</f>
        <v/>
      </c>
      <c r="D64" s="32">
        <f>IF($A64="","",IFERROR(VLOOKUP($A64,开奖记录!$A:$L,9,FALSE),""))</f>
        <v/>
      </c>
      <c r="E64" s="32">
        <f>IF($A64="","",IFERROR(VLOOKUP($A64,开奖记录!$A:$L,11,FALSE),""))</f>
        <v/>
      </c>
      <c r="F64" s="32">
        <f>IF(A64="","",IF(B64="","缺上期数据",IF(E64="","待开奖",IF(ISNUMBER(SEARCH(E64,C64)),"命中","未命中"))))</f>
        <v/>
      </c>
    </row>
    <row r="65" ht="23" customHeight="1" s="21">
      <c r="A65" s="32">
        <f>IFERROR(LARGE(开奖记录!$A$2:$A$400,64),"")</f>
        <v/>
      </c>
      <c r="B65" s="32">
        <f>IF($A65="","",IFERROR(VLOOKUP($A65-1,开奖记录!$A:$L,11,FALSE),""))</f>
        <v/>
      </c>
      <c r="C65" s="36">
        <f>IF(B65="","",IFERROR(VLOOKUP(B65,八肖参数!$A:$B,2,FALSE),""))</f>
        <v/>
      </c>
      <c r="D65" s="32">
        <f>IF($A65="","",IFERROR(VLOOKUP($A65,开奖记录!$A:$L,9,FALSE),""))</f>
        <v/>
      </c>
      <c r="E65" s="32">
        <f>IF($A65="","",IFERROR(VLOOKUP($A65,开奖记录!$A:$L,11,FALSE),""))</f>
        <v/>
      </c>
      <c r="F65" s="32">
        <f>IF(A65="","",IF(B65="","缺上期数据",IF(E65="","待开奖",IF(ISNUMBER(SEARCH(E65,C65)),"命中","未命中"))))</f>
        <v/>
      </c>
    </row>
    <row r="66" ht="23" customHeight="1" s="21">
      <c r="A66" s="32">
        <f>IFERROR(LARGE(开奖记录!$A$2:$A$400,65),"")</f>
        <v/>
      </c>
      <c r="B66" s="32">
        <f>IF($A66="","",IFERROR(VLOOKUP($A66-1,开奖记录!$A:$L,11,FALSE),""))</f>
        <v/>
      </c>
      <c r="C66" s="36">
        <f>IF(B66="","",IFERROR(VLOOKUP(B66,八肖参数!$A:$B,2,FALSE),""))</f>
        <v/>
      </c>
      <c r="D66" s="32">
        <f>IF($A66="","",IFERROR(VLOOKUP($A66,开奖记录!$A:$L,9,FALSE),""))</f>
        <v/>
      </c>
      <c r="E66" s="32">
        <f>IF($A66="","",IFERROR(VLOOKUP($A66,开奖记录!$A:$L,11,FALSE),""))</f>
        <v/>
      </c>
      <c r="F66" s="32">
        <f>IF(A66="","",IF(B66="","缺上期数据",IF(E66="","待开奖",IF(ISNUMBER(SEARCH(E66,C66)),"命中","未命中"))))</f>
        <v/>
      </c>
    </row>
    <row r="67" ht="23" customHeight="1" s="21">
      <c r="A67" s="32">
        <f>IFERROR(LARGE(开奖记录!$A$2:$A$400,66),"")</f>
        <v/>
      </c>
      <c r="B67" s="32">
        <f>IF($A67="","",IFERROR(VLOOKUP($A67-1,开奖记录!$A:$L,11,FALSE),""))</f>
        <v/>
      </c>
      <c r="C67" s="36">
        <f>IF(B67="","",IFERROR(VLOOKUP(B67,八肖参数!$A:$B,2,FALSE),""))</f>
        <v/>
      </c>
      <c r="D67" s="32">
        <f>IF($A67="","",IFERROR(VLOOKUP($A67,开奖记录!$A:$L,9,FALSE),""))</f>
        <v/>
      </c>
      <c r="E67" s="32">
        <f>IF($A67="","",IFERROR(VLOOKUP($A67,开奖记录!$A:$L,11,FALSE),""))</f>
        <v/>
      </c>
      <c r="F67" s="32">
        <f>IF(A67="","",IF(B67="","缺上期数据",IF(E67="","待开奖",IF(ISNUMBER(SEARCH(E67,C67)),"命中","未命中"))))</f>
        <v/>
      </c>
    </row>
    <row r="68" ht="23" customHeight="1" s="21">
      <c r="A68" s="32">
        <f>IFERROR(LARGE(开奖记录!$A$2:$A$400,67),"")</f>
        <v/>
      </c>
      <c r="B68" s="32">
        <f>IF($A68="","",IFERROR(VLOOKUP($A68-1,开奖记录!$A:$L,11,FALSE),""))</f>
        <v/>
      </c>
      <c r="C68" s="36">
        <f>IF(B68="","",IFERROR(VLOOKUP(B68,八肖参数!$A:$B,2,FALSE),""))</f>
        <v/>
      </c>
      <c r="D68" s="32">
        <f>IF($A68="","",IFERROR(VLOOKUP($A68,开奖记录!$A:$L,9,FALSE),""))</f>
        <v/>
      </c>
      <c r="E68" s="32">
        <f>IF($A68="","",IFERROR(VLOOKUP($A68,开奖记录!$A:$L,11,FALSE),""))</f>
        <v/>
      </c>
      <c r="F68" s="32">
        <f>IF(A68="","",IF(B68="","缺上期数据",IF(E68="","待开奖",IF(ISNUMBER(SEARCH(E68,C68)),"命中","未命中"))))</f>
        <v/>
      </c>
    </row>
    <row r="69" ht="23" customHeight="1" s="21">
      <c r="A69" s="32">
        <f>IFERROR(LARGE(开奖记录!$A$2:$A$400,68),"")</f>
        <v/>
      </c>
      <c r="B69" s="32">
        <f>IF($A69="","",IFERROR(VLOOKUP($A69-1,开奖记录!$A:$L,11,FALSE),""))</f>
        <v/>
      </c>
      <c r="C69" s="36">
        <f>IF(B69="","",IFERROR(VLOOKUP(B69,八肖参数!$A:$B,2,FALSE),""))</f>
        <v/>
      </c>
      <c r="D69" s="32">
        <f>IF($A69="","",IFERROR(VLOOKUP($A69,开奖记录!$A:$L,9,FALSE),""))</f>
        <v/>
      </c>
      <c r="E69" s="32">
        <f>IF($A69="","",IFERROR(VLOOKUP($A69,开奖记录!$A:$L,11,FALSE),""))</f>
        <v/>
      </c>
      <c r="F69" s="32">
        <f>IF(A69="","",IF(B69="","缺上期数据",IF(E69="","待开奖",IF(ISNUMBER(SEARCH(E69,C69)),"命中","未命中"))))</f>
        <v/>
      </c>
    </row>
    <row r="70" ht="23" customHeight="1" s="21">
      <c r="A70" s="32">
        <f>IFERROR(LARGE(开奖记录!$A$2:$A$400,69),"")</f>
        <v/>
      </c>
      <c r="B70" s="32">
        <f>IF($A70="","",IFERROR(VLOOKUP($A70-1,开奖记录!$A:$L,11,FALSE),""))</f>
        <v/>
      </c>
      <c r="C70" s="36">
        <f>IF(B70="","",IFERROR(VLOOKUP(B70,八肖参数!$A:$B,2,FALSE),""))</f>
        <v/>
      </c>
      <c r="D70" s="32">
        <f>IF($A70="","",IFERROR(VLOOKUP($A70,开奖记录!$A:$L,9,FALSE),""))</f>
        <v/>
      </c>
      <c r="E70" s="32">
        <f>IF($A70="","",IFERROR(VLOOKUP($A70,开奖记录!$A:$L,11,FALSE),""))</f>
        <v/>
      </c>
      <c r="F70" s="32">
        <f>IF(A70="","",IF(B70="","缺上期数据",IF(E70="","待开奖",IF(ISNUMBER(SEARCH(E70,C70)),"命中","未命中"))))</f>
        <v/>
      </c>
    </row>
    <row r="71" ht="23" customHeight="1" s="21">
      <c r="A71" s="32">
        <f>IFERROR(LARGE(开奖记录!$A$2:$A$400,70),"")</f>
        <v/>
      </c>
      <c r="B71" s="32">
        <f>IF($A71="","",IFERROR(VLOOKUP($A71-1,开奖记录!$A:$L,11,FALSE),""))</f>
        <v/>
      </c>
      <c r="C71" s="36">
        <f>IF(B71="","",IFERROR(VLOOKUP(B71,八肖参数!$A:$B,2,FALSE),""))</f>
        <v/>
      </c>
      <c r="D71" s="32">
        <f>IF($A71="","",IFERROR(VLOOKUP($A71,开奖记录!$A:$L,9,FALSE),""))</f>
        <v/>
      </c>
      <c r="E71" s="32">
        <f>IF($A71="","",IFERROR(VLOOKUP($A71,开奖记录!$A:$L,11,FALSE),""))</f>
        <v/>
      </c>
      <c r="F71" s="32">
        <f>IF(A71="","",IF(B71="","缺上期数据",IF(E71="","待开奖",IF(ISNUMBER(SEARCH(E71,C71)),"命中","未命中"))))</f>
        <v/>
      </c>
    </row>
    <row r="72" ht="23" customHeight="1" s="21">
      <c r="A72" s="32">
        <f>IFERROR(LARGE(开奖记录!$A$2:$A$400,71),"")</f>
        <v/>
      </c>
      <c r="B72" s="32">
        <f>IF($A72="","",IFERROR(VLOOKUP($A72-1,开奖记录!$A:$L,11,FALSE),""))</f>
        <v/>
      </c>
      <c r="C72" s="36">
        <f>IF(B72="","",IFERROR(VLOOKUP(B72,八肖参数!$A:$B,2,FALSE),""))</f>
        <v/>
      </c>
      <c r="D72" s="32">
        <f>IF($A72="","",IFERROR(VLOOKUP($A72,开奖记录!$A:$L,9,FALSE),""))</f>
        <v/>
      </c>
      <c r="E72" s="32">
        <f>IF($A72="","",IFERROR(VLOOKUP($A72,开奖记录!$A:$L,11,FALSE),""))</f>
        <v/>
      </c>
      <c r="F72" s="32">
        <f>IF(A72="","",IF(B72="","缺上期数据",IF(E72="","待开奖",IF(ISNUMBER(SEARCH(E72,C72)),"命中","未命中"))))</f>
        <v/>
      </c>
    </row>
    <row r="73" ht="23" customHeight="1" s="21">
      <c r="A73" s="32">
        <f>IFERROR(LARGE(开奖记录!$A$2:$A$400,72),"")</f>
        <v/>
      </c>
      <c r="B73" s="32">
        <f>IF($A73="","",IFERROR(VLOOKUP($A73-1,开奖记录!$A:$L,11,FALSE),""))</f>
        <v/>
      </c>
      <c r="C73" s="36">
        <f>IF(B73="","",IFERROR(VLOOKUP(B73,八肖参数!$A:$B,2,FALSE),""))</f>
        <v/>
      </c>
      <c r="D73" s="32">
        <f>IF($A73="","",IFERROR(VLOOKUP($A73,开奖记录!$A:$L,9,FALSE),""))</f>
        <v/>
      </c>
      <c r="E73" s="32">
        <f>IF($A73="","",IFERROR(VLOOKUP($A73,开奖记录!$A:$L,11,FALSE),""))</f>
        <v/>
      </c>
      <c r="F73" s="32">
        <f>IF(A73="","",IF(B73="","缺上期数据",IF(E73="","待开奖",IF(ISNUMBER(SEARCH(E73,C73)),"命中","未命中"))))</f>
        <v/>
      </c>
    </row>
    <row r="74" ht="23" customHeight="1" s="21">
      <c r="A74" s="32">
        <f>IFERROR(LARGE(开奖记录!$A$2:$A$400,73),"")</f>
        <v/>
      </c>
      <c r="B74" s="32">
        <f>IF($A74="","",IFERROR(VLOOKUP($A74-1,开奖记录!$A:$L,11,FALSE),""))</f>
        <v/>
      </c>
      <c r="C74" s="36">
        <f>IF(B74="","",IFERROR(VLOOKUP(B74,八肖参数!$A:$B,2,FALSE),""))</f>
        <v/>
      </c>
      <c r="D74" s="32">
        <f>IF($A74="","",IFERROR(VLOOKUP($A74,开奖记录!$A:$L,9,FALSE),""))</f>
        <v/>
      </c>
      <c r="E74" s="32">
        <f>IF($A74="","",IFERROR(VLOOKUP($A74,开奖记录!$A:$L,11,FALSE),""))</f>
        <v/>
      </c>
      <c r="F74" s="32">
        <f>IF(A74="","",IF(B74="","缺上期数据",IF(E74="","待开奖",IF(ISNUMBER(SEARCH(E74,C74)),"命中","未命中"))))</f>
        <v/>
      </c>
    </row>
    <row r="75" ht="23" customHeight="1" s="21">
      <c r="A75" s="32">
        <f>IFERROR(LARGE(开奖记录!$A$2:$A$400,74),"")</f>
        <v/>
      </c>
      <c r="B75" s="32">
        <f>IF($A75="","",IFERROR(VLOOKUP($A75-1,开奖记录!$A:$L,11,FALSE),""))</f>
        <v/>
      </c>
      <c r="C75" s="36">
        <f>IF(B75="","",IFERROR(VLOOKUP(B75,八肖参数!$A:$B,2,FALSE),""))</f>
        <v/>
      </c>
      <c r="D75" s="32">
        <f>IF($A75="","",IFERROR(VLOOKUP($A75,开奖记录!$A:$L,9,FALSE),""))</f>
        <v/>
      </c>
      <c r="E75" s="32">
        <f>IF($A75="","",IFERROR(VLOOKUP($A75,开奖记录!$A:$L,11,FALSE),""))</f>
        <v/>
      </c>
      <c r="F75" s="32">
        <f>IF(A75="","",IF(B75="","缺上期数据",IF(E75="","待开奖",IF(ISNUMBER(SEARCH(E75,C75)),"命中","未命中"))))</f>
        <v/>
      </c>
    </row>
    <row r="76" ht="23" customHeight="1" s="21">
      <c r="A76" s="32">
        <f>IFERROR(LARGE(开奖记录!$A$2:$A$400,75),"")</f>
        <v/>
      </c>
      <c r="B76" s="32">
        <f>IF($A76="","",IFERROR(VLOOKUP($A76-1,开奖记录!$A:$L,11,FALSE),""))</f>
        <v/>
      </c>
      <c r="C76" s="36">
        <f>IF(B76="","",IFERROR(VLOOKUP(B76,八肖参数!$A:$B,2,FALSE),""))</f>
        <v/>
      </c>
      <c r="D76" s="32">
        <f>IF($A76="","",IFERROR(VLOOKUP($A76,开奖记录!$A:$L,9,FALSE),""))</f>
        <v/>
      </c>
      <c r="E76" s="32">
        <f>IF($A76="","",IFERROR(VLOOKUP($A76,开奖记录!$A:$L,11,FALSE),""))</f>
        <v/>
      </c>
      <c r="F76" s="32">
        <f>IF(A76="","",IF(B76="","缺上期数据",IF(E76="","待开奖",IF(ISNUMBER(SEARCH(E76,C76)),"命中","未命中"))))</f>
        <v/>
      </c>
    </row>
    <row r="77" ht="23" customHeight="1" s="21">
      <c r="A77" s="32">
        <f>IFERROR(LARGE(开奖记录!$A$2:$A$400,76),"")</f>
        <v/>
      </c>
      <c r="B77" s="32">
        <f>IF($A77="","",IFERROR(VLOOKUP($A77-1,开奖记录!$A:$L,11,FALSE),""))</f>
        <v/>
      </c>
      <c r="C77" s="36">
        <f>IF(B77="","",IFERROR(VLOOKUP(B77,八肖参数!$A:$B,2,FALSE),""))</f>
        <v/>
      </c>
      <c r="D77" s="32">
        <f>IF($A77="","",IFERROR(VLOOKUP($A77,开奖记录!$A:$L,9,FALSE),""))</f>
        <v/>
      </c>
      <c r="E77" s="32">
        <f>IF($A77="","",IFERROR(VLOOKUP($A77,开奖记录!$A:$L,11,FALSE),""))</f>
        <v/>
      </c>
      <c r="F77" s="32">
        <f>IF(A77="","",IF(B77="","缺上期数据",IF(E77="","待开奖",IF(ISNUMBER(SEARCH(E77,C77)),"命中","未命中"))))</f>
        <v/>
      </c>
    </row>
    <row r="78" ht="23" customHeight="1" s="21">
      <c r="A78" s="32">
        <f>IFERROR(LARGE(开奖记录!$A$2:$A$400,77),"")</f>
        <v/>
      </c>
      <c r="B78" s="32">
        <f>IF($A78="","",IFERROR(VLOOKUP($A78-1,开奖记录!$A:$L,11,FALSE),""))</f>
        <v/>
      </c>
      <c r="C78" s="36">
        <f>IF(B78="","",IFERROR(VLOOKUP(B78,八肖参数!$A:$B,2,FALSE),""))</f>
        <v/>
      </c>
      <c r="D78" s="32">
        <f>IF($A78="","",IFERROR(VLOOKUP($A78,开奖记录!$A:$L,9,FALSE),""))</f>
        <v/>
      </c>
      <c r="E78" s="32">
        <f>IF($A78="","",IFERROR(VLOOKUP($A78,开奖记录!$A:$L,11,FALSE),""))</f>
        <v/>
      </c>
      <c r="F78" s="32">
        <f>IF(A78="","",IF(B78="","缺上期数据",IF(E78="","待开奖",IF(ISNUMBER(SEARCH(E78,C78)),"命中","未命中"))))</f>
        <v/>
      </c>
    </row>
    <row r="79" ht="23" customHeight="1" s="21">
      <c r="A79" s="32">
        <f>IFERROR(LARGE(开奖记录!$A$2:$A$400,78),"")</f>
        <v/>
      </c>
      <c r="B79" s="32">
        <f>IF($A79="","",IFERROR(VLOOKUP($A79-1,开奖记录!$A:$L,11,FALSE),""))</f>
        <v/>
      </c>
      <c r="C79" s="36">
        <f>IF(B79="","",IFERROR(VLOOKUP(B79,八肖参数!$A:$B,2,FALSE),""))</f>
        <v/>
      </c>
      <c r="D79" s="32">
        <f>IF($A79="","",IFERROR(VLOOKUP($A79,开奖记录!$A:$L,9,FALSE),""))</f>
        <v/>
      </c>
      <c r="E79" s="32">
        <f>IF($A79="","",IFERROR(VLOOKUP($A79,开奖记录!$A:$L,11,FALSE),""))</f>
        <v/>
      </c>
      <c r="F79" s="32">
        <f>IF(A79="","",IF(B79="","缺上期数据",IF(E79="","待开奖",IF(ISNUMBER(SEARCH(E79,C79)),"命中","未命中"))))</f>
        <v/>
      </c>
    </row>
    <row r="80" ht="23" customHeight="1" s="21">
      <c r="A80" s="32">
        <f>IFERROR(LARGE(开奖记录!$A$2:$A$400,79),"")</f>
        <v/>
      </c>
      <c r="B80" s="32">
        <f>IF($A80="","",IFERROR(VLOOKUP($A80-1,开奖记录!$A:$L,11,FALSE),""))</f>
        <v/>
      </c>
      <c r="C80" s="36">
        <f>IF(B80="","",IFERROR(VLOOKUP(B80,八肖参数!$A:$B,2,FALSE),""))</f>
        <v/>
      </c>
      <c r="D80" s="32">
        <f>IF($A80="","",IFERROR(VLOOKUP($A80,开奖记录!$A:$L,9,FALSE),""))</f>
        <v/>
      </c>
      <c r="E80" s="32">
        <f>IF($A80="","",IFERROR(VLOOKUP($A80,开奖记录!$A:$L,11,FALSE),""))</f>
        <v/>
      </c>
      <c r="F80" s="32">
        <f>IF(A80="","",IF(B80="","缺上期数据",IF(E80="","待开奖",IF(ISNUMBER(SEARCH(E80,C80)),"命中","未命中"))))</f>
        <v/>
      </c>
    </row>
    <row r="81" ht="23" customHeight="1" s="21">
      <c r="A81" s="32">
        <f>IFERROR(LARGE(开奖记录!$A$2:$A$400,80),"")</f>
        <v/>
      </c>
      <c r="B81" s="32">
        <f>IF($A81="","",IFERROR(VLOOKUP($A81-1,开奖记录!$A:$L,11,FALSE),""))</f>
        <v/>
      </c>
      <c r="C81" s="36">
        <f>IF(B81="","",IFERROR(VLOOKUP(B81,八肖参数!$A:$B,2,FALSE),""))</f>
        <v/>
      </c>
      <c r="D81" s="32">
        <f>IF($A81="","",IFERROR(VLOOKUP($A81,开奖记录!$A:$L,9,FALSE),""))</f>
        <v/>
      </c>
      <c r="E81" s="32">
        <f>IF($A81="","",IFERROR(VLOOKUP($A81,开奖记录!$A:$L,11,FALSE),""))</f>
        <v/>
      </c>
      <c r="F81" s="32">
        <f>IF(A81="","",IF(B81="","缺上期数据",IF(E81="","待开奖",IF(ISNUMBER(SEARCH(E81,C81)),"命中","未命中"))))</f>
        <v/>
      </c>
    </row>
    <row r="82" ht="23" customHeight="1" s="21">
      <c r="A82" s="32">
        <f>IFERROR(LARGE(开奖记录!$A$2:$A$400,81),"")</f>
        <v/>
      </c>
      <c r="B82" s="32">
        <f>IF($A82="","",IFERROR(VLOOKUP($A82-1,开奖记录!$A:$L,11,FALSE),""))</f>
        <v/>
      </c>
      <c r="C82" s="36">
        <f>IF(B82="","",IFERROR(VLOOKUP(B82,八肖参数!$A:$B,2,FALSE),""))</f>
        <v/>
      </c>
      <c r="D82" s="32">
        <f>IF($A82="","",IFERROR(VLOOKUP($A82,开奖记录!$A:$L,9,FALSE),""))</f>
        <v/>
      </c>
      <c r="E82" s="32">
        <f>IF($A82="","",IFERROR(VLOOKUP($A82,开奖记录!$A:$L,11,FALSE),""))</f>
        <v/>
      </c>
      <c r="F82" s="32">
        <f>IF(A82="","",IF(B82="","缺上期数据",IF(E82="","待开奖",IF(ISNUMBER(SEARCH(E82,C82)),"命中","未命中"))))</f>
        <v/>
      </c>
    </row>
    <row r="83" ht="23" customHeight="1" s="21">
      <c r="A83" s="32">
        <f>IFERROR(LARGE(开奖记录!$A$2:$A$400,82),"")</f>
        <v/>
      </c>
      <c r="B83" s="32">
        <f>IF($A83="","",IFERROR(VLOOKUP($A83-1,开奖记录!$A:$L,11,FALSE),""))</f>
        <v/>
      </c>
      <c r="C83" s="36">
        <f>IF(B83="","",IFERROR(VLOOKUP(B83,八肖参数!$A:$B,2,FALSE),""))</f>
        <v/>
      </c>
      <c r="D83" s="32">
        <f>IF($A83="","",IFERROR(VLOOKUP($A83,开奖记录!$A:$L,9,FALSE),""))</f>
        <v/>
      </c>
      <c r="E83" s="32">
        <f>IF($A83="","",IFERROR(VLOOKUP($A83,开奖记录!$A:$L,11,FALSE),""))</f>
        <v/>
      </c>
      <c r="F83" s="32">
        <f>IF(A83="","",IF(B83="","缺上期数据",IF(E83="","待开奖",IF(ISNUMBER(SEARCH(E83,C83)),"命中","未命中"))))</f>
        <v/>
      </c>
    </row>
    <row r="84" ht="23" customHeight="1" s="21">
      <c r="A84" s="32">
        <f>IFERROR(LARGE(开奖记录!$A$2:$A$400,83),"")</f>
        <v/>
      </c>
      <c r="B84" s="32">
        <f>IF($A84="","",IFERROR(VLOOKUP($A84-1,开奖记录!$A:$L,11,FALSE),""))</f>
        <v/>
      </c>
      <c r="C84" s="36">
        <f>IF(B84="","",IFERROR(VLOOKUP(B84,八肖参数!$A:$B,2,FALSE),""))</f>
        <v/>
      </c>
      <c r="D84" s="32">
        <f>IF($A84="","",IFERROR(VLOOKUP($A84,开奖记录!$A:$L,9,FALSE),""))</f>
        <v/>
      </c>
      <c r="E84" s="32">
        <f>IF($A84="","",IFERROR(VLOOKUP($A84,开奖记录!$A:$L,11,FALSE),""))</f>
        <v/>
      </c>
      <c r="F84" s="32">
        <f>IF(A84="","",IF(B84="","缺上期数据",IF(E84="","待开奖",IF(ISNUMBER(SEARCH(E84,C84)),"命中","未命中"))))</f>
        <v/>
      </c>
    </row>
    <row r="85" ht="23" customHeight="1" s="21">
      <c r="A85" s="32">
        <f>IFERROR(LARGE(开奖记录!$A$2:$A$400,84),"")</f>
        <v/>
      </c>
      <c r="B85" s="32">
        <f>IF($A85="","",IFERROR(VLOOKUP($A85-1,开奖记录!$A:$L,11,FALSE),""))</f>
        <v/>
      </c>
      <c r="C85" s="36">
        <f>IF(B85="","",IFERROR(VLOOKUP(B85,八肖参数!$A:$B,2,FALSE),""))</f>
        <v/>
      </c>
      <c r="D85" s="32">
        <f>IF($A85="","",IFERROR(VLOOKUP($A85,开奖记录!$A:$L,9,FALSE),""))</f>
        <v/>
      </c>
      <c r="E85" s="32">
        <f>IF($A85="","",IFERROR(VLOOKUP($A85,开奖记录!$A:$L,11,FALSE),""))</f>
        <v/>
      </c>
      <c r="F85" s="32">
        <f>IF(A85="","",IF(B85="","缺上期数据",IF(E85="","待开奖",IF(ISNUMBER(SEARCH(E85,C85)),"命中","未命中"))))</f>
        <v/>
      </c>
    </row>
    <row r="86" ht="23" customHeight="1" s="21">
      <c r="A86" s="32">
        <f>IFERROR(LARGE(开奖记录!$A$2:$A$400,85),"")</f>
        <v/>
      </c>
      <c r="B86" s="32">
        <f>IF($A86="","",IFERROR(VLOOKUP($A86-1,开奖记录!$A:$L,11,FALSE),""))</f>
        <v/>
      </c>
      <c r="C86" s="36">
        <f>IF(B86="","",IFERROR(VLOOKUP(B86,八肖参数!$A:$B,2,FALSE),""))</f>
        <v/>
      </c>
      <c r="D86" s="32">
        <f>IF($A86="","",IFERROR(VLOOKUP($A86,开奖记录!$A:$L,9,FALSE),""))</f>
        <v/>
      </c>
      <c r="E86" s="32">
        <f>IF($A86="","",IFERROR(VLOOKUP($A86,开奖记录!$A:$L,11,FALSE),""))</f>
        <v/>
      </c>
      <c r="F86" s="32">
        <f>IF(A86="","",IF(B86="","缺上期数据",IF(E86="","待开奖",IF(ISNUMBER(SEARCH(E86,C86)),"命中","未命中"))))</f>
        <v/>
      </c>
    </row>
    <row r="87" ht="23" customHeight="1" s="21">
      <c r="A87" s="32">
        <f>IFERROR(LARGE(开奖记录!$A$2:$A$400,86),"")</f>
        <v/>
      </c>
      <c r="B87" s="32">
        <f>IF($A87="","",IFERROR(VLOOKUP($A87-1,开奖记录!$A:$L,11,FALSE),""))</f>
        <v/>
      </c>
      <c r="C87" s="36">
        <f>IF(B87="","",IFERROR(VLOOKUP(B87,八肖参数!$A:$B,2,FALSE),""))</f>
        <v/>
      </c>
      <c r="D87" s="32">
        <f>IF($A87="","",IFERROR(VLOOKUP($A87,开奖记录!$A:$L,9,FALSE),""))</f>
        <v/>
      </c>
      <c r="E87" s="32">
        <f>IF($A87="","",IFERROR(VLOOKUP($A87,开奖记录!$A:$L,11,FALSE),""))</f>
        <v/>
      </c>
      <c r="F87" s="32">
        <f>IF(A87="","",IF(B87="","缺上期数据",IF(E87="","待开奖",IF(ISNUMBER(SEARCH(E87,C87)),"命中","未命中"))))</f>
        <v/>
      </c>
    </row>
    <row r="88" ht="23" customHeight="1" s="21">
      <c r="A88" s="32">
        <f>IFERROR(LARGE(开奖记录!$A$2:$A$400,87),"")</f>
        <v/>
      </c>
      <c r="B88" s="32">
        <f>IF($A88="","",IFERROR(VLOOKUP($A88-1,开奖记录!$A:$L,11,FALSE),""))</f>
        <v/>
      </c>
      <c r="C88" s="36">
        <f>IF(B88="","",IFERROR(VLOOKUP(B88,八肖参数!$A:$B,2,FALSE),""))</f>
        <v/>
      </c>
      <c r="D88" s="32">
        <f>IF($A88="","",IFERROR(VLOOKUP($A88,开奖记录!$A:$L,9,FALSE),""))</f>
        <v/>
      </c>
      <c r="E88" s="32">
        <f>IF($A88="","",IFERROR(VLOOKUP($A88,开奖记录!$A:$L,11,FALSE),""))</f>
        <v/>
      </c>
      <c r="F88" s="32">
        <f>IF(A88="","",IF(B88="","缺上期数据",IF(E88="","待开奖",IF(ISNUMBER(SEARCH(E88,C88)),"命中","未命中"))))</f>
        <v/>
      </c>
    </row>
    <row r="89" ht="23" customHeight="1" s="21">
      <c r="A89" s="32">
        <f>IFERROR(LARGE(开奖记录!$A$2:$A$400,88),"")</f>
        <v/>
      </c>
      <c r="B89" s="32">
        <f>IF($A89="","",IFERROR(VLOOKUP($A89-1,开奖记录!$A:$L,11,FALSE),""))</f>
        <v/>
      </c>
      <c r="C89" s="36">
        <f>IF(B89="","",IFERROR(VLOOKUP(B89,八肖参数!$A:$B,2,FALSE),""))</f>
        <v/>
      </c>
      <c r="D89" s="32">
        <f>IF($A89="","",IFERROR(VLOOKUP($A89,开奖记录!$A:$L,9,FALSE),""))</f>
        <v/>
      </c>
      <c r="E89" s="32">
        <f>IF($A89="","",IFERROR(VLOOKUP($A89,开奖记录!$A:$L,11,FALSE),""))</f>
        <v/>
      </c>
      <c r="F89" s="32">
        <f>IF(A89="","",IF(B89="","缺上期数据",IF(E89="","待开奖",IF(ISNUMBER(SEARCH(E89,C89)),"命中","未命中"))))</f>
        <v/>
      </c>
    </row>
    <row r="90" ht="23" customHeight="1" s="21">
      <c r="A90" s="32">
        <f>IFERROR(LARGE(开奖记录!$A$2:$A$400,89),"")</f>
        <v/>
      </c>
      <c r="B90" s="32">
        <f>IF($A90="","",IFERROR(VLOOKUP($A90-1,开奖记录!$A:$L,11,FALSE),""))</f>
        <v/>
      </c>
      <c r="C90" s="36">
        <f>IF(B90="","",IFERROR(VLOOKUP(B90,八肖参数!$A:$B,2,FALSE),""))</f>
        <v/>
      </c>
      <c r="D90" s="32">
        <f>IF($A90="","",IFERROR(VLOOKUP($A90,开奖记录!$A:$L,9,FALSE),""))</f>
        <v/>
      </c>
      <c r="E90" s="32">
        <f>IF($A90="","",IFERROR(VLOOKUP($A90,开奖记录!$A:$L,11,FALSE),""))</f>
        <v/>
      </c>
      <c r="F90" s="32">
        <f>IF(A90="","",IF(B90="","缺上期数据",IF(E90="","待开奖",IF(ISNUMBER(SEARCH(E90,C90)),"命中","未命中"))))</f>
        <v/>
      </c>
    </row>
    <row r="91" ht="23" customHeight="1" s="21">
      <c r="A91" s="32">
        <f>IFERROR(LARGE(开奖记录!$A$2:$A$400,90),"")</f>
        <v/>
      </c>
      <c r="B91" s="32">
        <f>IF($A91="","",IFERROR(VLOOKUP($A91-1,开奖记录!$A:$L,11,FALSE),""))</f>
        <v/>
      </c>
      <c r="C91" s="36">
        <f>IF(B91="","",IFERROR(VLOOKUP(B91,八肖参数!$A:$B,2,FALSE),""))</f>
        <v/>
      </c>
      <c r="D91" s="32">
        <f>IF($A91="","",IFERROR(VLOOKUP($A91,开奖记录!$A:$L,9,FALSE),""))</f>
        <v/>
      </c>
      <c r="E91" s="32">
        <f>IF($A91="","",IFERROR(VLOOKUP($A91,开奖记录!$A:$L,11,FALSE),""))</f>
        <v/>
      </c>
      <c r="F91" s="32">
        <f>IF(A91="","",IF(B91="","缺上期数据",IF(E91="","待开奖",IF(ISNUMBER(SEARCH(E91,C91)),"命中","未命中"))))</f>
        <v/>
      </c>
    </row>
    <row r="92" ht="23" customHeight="1" s="21">
      <c r="A92" s="32">
        <f>IFERROR(LARGE(开奖记录!$A$2:$A$400,91),"")</f>
        <v/>
      </c>
      <c r="B92" s="32">
        <f>IF($A92="","",IFERROR(VLOOKUP($A92-1,开奖记录!$A:$L,11,FALSE),""))</f>
        <v/>
      </c>
      <c r="C92" s="36">
        <f>IF(B92="","",IFERROR(VLOOKUP(B92,八肖参数!$A:$B,2,FALSE),""))</f>
        <v/>
      </c>
      <c r="D92" s="32">
        <f>IF($A92="","",IFERROR(VLOOKUP($A92,开奖记录!$A:$L,9,FALSE),""))</f>
        <v/>
      </c>
      <c r="E92" s="32">
        <f>IF($A92="","",IFERROR(VLOOKUP($A92,开奖记录!$A:$L,11,FALSE),""))</f>
        <v/>
      </c>
      <c r="F92" s="32">
        <f>IF(A92="","",IF(B92="","缺上期数据",IF(E92="","待开奖",IF(ISNUMBER(SEARCH(E92,C92)),"命中","未命中"))))</f>
        <v/>
      </c>
    </row>
    <row r="93" ht="23" customHeight="1" s="21">
      <c r="A93" s="32">
        <f>IFERROR(LARGE(开奖记录!$A$2:$A$400,92),"")</f>
        <v/>
      </c>
      <c r="B93" s="32">
        <f>IF($A93="","",IFERROR(VLOOKUP($A93-1,开奖记录!$A:$L,11,FALSE),""))</f>
        <v/>
      </c>
      <c r="C93" s="36">
        <f>IF(B93="","",IFERROR(VLOOKUP(B93,八肖参数!$A:$B,2,FALSE),""))</f>
        <v/>
      </c>
      <c r="D93" s="32">
        <f>IF($A93="","",IFERROR(VLOOKUP($A93,开奖记录!$A:$L,9,FALSE),""))</f>
        <v/>
      </c>
      <c r="E93" s="32">
        <f>IF($A93="","",IFERROR(VLOOKUP($A93,开奖记录!$A:$L,11,FALSE),""))</f>
        <v/>
      </c>
      <c r="F93" s="32">
        <f>IF(A93="","",IF(B93="","缺上期数据",IF(E93="","待开奖",IF(ISNUMBER(SEARCH(E93,C93)),"命中","未命中"))))</f>
        <v/>
      </c>
    </row>
    <row r="94" ht="23" customHeight="1" s="21">
      <c r="A94" s="32">
        <f>IFERROR(LARGE(开奖记录!$A$2:$A$400,93),"")</f>
        <v/>
      </c>
      <c r="B94" s="32">
        <f>IF($A94="","",IFERROR(VLOOKUP($A94-1,开奖记录!$A:$L,11,FALSE),""))</f>
        <v/>
      </c>
      <c r="C94" s="36">
        <f>IF(B94="","",IFERROR(VLOOKUP(B94,八肖参数!$A:$B,2,FALSE),""))</f>
        <v/>
      </c>
      <c r="D94" s="32">
        <f>IF($A94="","",IFERROR(VLOOKUP($A94,开奖记录!$A:$L,9,FALSE),""))</f>
        <v/>
      </c>
      <c r="E94" s="32">
        <f>IF($A94="","",IFERROR(VLOOKUP($A94,开奖记录!$A:$L,11,FALSE),""))</f>
        <v/>
      </c>
      <c r="F94" s="32">
        <f>IF(A94="","",IF(B94="","缺上期数据",IF(E94="","待开奖",IF(ISNUMBER(SEARCH(E94,C94)),"命中","未命中"))))</f>
        <v/>
      </c>
    </row>
    <row r="95" ht="23" customHeight="1" s="21">
      <c r="A95" s="32">
        <f>IFERROR(LARGE(开奖记录!$A$2:$A$400,94),"")</f>
        <v/>
      </c>
      <c r="B95" s="32">
        <f>IF($A95="","",IFERROR(VLOOKUP($A95-1,开奖记录!$A:$L,11,FALSE),""))</f>
        <v/>
      </c>
      <c r="C95" s="36">
        <f>IF(B95="","",IFERROR(VLOOKUP(B95,八肖参数!$A:$B,2,FALSE),""))</f>
        <v/>
      </c>
      <c r="D95" s="32">
        <f>IF($A95="","",IFERROR(VLOOKUP($A95,开奖记录!$A:$L,9,FALSE),""))</f>
        <v/>
      </c>
      <c r="E95" s="32">
        <f>IF($A95="","",IFERROR(VLOOKUP($A95,开奖记录!$A:$L,11,FALSE),""))</f>
        <v/>
      </c>
      <c r="F95" s="32">
        <f>IF(A95="","",IF(B95="","缺上期数据",IF(E95="","待开奖",IF(ISNUMBER(SEARCH(E95,C95)),"命中","未命中"))))</f>
        <v/>
      </c>
    </row>
    <row r="96" ht="23" customHeight="1" s="21">
      <c r="A96" s="32">
        <f>IFERROR(LARGE(开奖记录!$A$2:$A$400,95),"")</f>
        <v/>
      </c>
      <c r="B96" s="32">
        <f>IF($A96="","",IFERROR(VLOOKUP($A96-1,开奖记录!$A:$L,11,FALSE),""))</f>
        <v/>
      </c>
      <c r="C96" s="36">
        <f>IF(B96="","",IFERROR(VLOOKUP(B96,八肖参数!$A:$B,2,FALSE),""))</f>
        <v/>
      </c>
      <c r="D96" s="32">
        <f>IF($A96="","",IFERROR(VLOOKUP($A96,开奖记录!$A:$L,9,FALSE),""))</f>
        <v/>
      </c>
      <c r="E96" s="32">
        <f>IF($A96="","",IFERROR(VLOOKUP($A96,开奖记录!$A:$L,11,FALSE),""))</f>
        <v/>
      </c>
      <c r="F96" s="32">
        <f>IF(A96="","",IF(B96="","缺上期数据",IF(E96="","待开奖",IF(ISNUMBER(SEARCH(E96,C96)),"命中","未命中"))))</f>
        <v/>
      </c>
    </row>
    <row r="97" ht="23" customHeight="1" s="21">
      <c r="A97" s="32">
        <f>IFERROR(LARGE(开奖记录!$A$2:$A$400,96),"")</f>
        <v/>
      </c>
      <c r="B97" s="32">
        <f>IF($A97="","",IFERROR(VLOOKUP($A97-1,开奖记录!$A:$L,11,FALSE),""))</f>
        <v/>
      </c>
      <c r="C97" s="36">
        <f>IF(B97="","",IFERROR(VLOOKUP(B97,八肖参数!$A:$B,2,FALSE),""))</f>
        <v/>
      </c>
      <c r="D97" s="32">
        <f>IF($A97="","",IFERROR(VLOOKUP($A97,开奖记录!$A:$L,9,FALSE),""))</f>
        <v/>
      </c>
      <c r="E97" s="32">
        <f>IF($A97="","",IFERROR(VLOOKUP($A97,开奖记录!$A:$L,11,FALSE),""))</f>
        <v/>
      </c>
      <c r="F97" s="32">
        <f>IF(A97="","",IF(B97="","缺上期数据",IF(E97="","待开奖",IF(ISNUMBER(SEARCH(E97,C97)),"命中","未命中"))))</f>
        <v/>
      </c>
    </row>
    <row r="98" ht="23" customHeight="1" s="21">
      <c r="A98" s="32">
        <f>IFERROR(LARGE(开奖记录!$A$2:$A$400,97),"")</f>
        <v/>
      </c>
      <c r="B98" s="32">
        <f>IF($A98="","",IFERROR(VLOOKUP($A98-1,开奖记录!$A:$L,11,FALSE),""))</f>
        <v/>
      </c>
      <c r="C98" s="36">
        <f>IF(B98="","",IFERROR(VLOOKUP(B98,八肖参数!$A:$B,2,FALSE),""))</f>
        <v/>
      </c>
      <c r="D98" s="32">
        <f>IF($A98="","",IFERROR(VLOOKUP($A98,开奖记录!$A:$L,9,FALSE),""))</f>
        <v/>
      </c>
      <c r="E98" s="32">
        <f>IF($A98="","",IFERROR(VLOOKUP($A98,开奖记录!$A:$L,11,FALSE),""))</f>
        <v/>
      </c>
      <c r="F98" s="32">
        <f>IF(A98="","",IF(B98="","缺上期数据",IF(E98="","待开奖",IF(ISNUMBER(SEARCH(E98,C98)),"命中","未命中"))))</f>
        <v/>
      </c>
    </row>
    <row r="99" ht="23" customHeight="1" s="21">
      <c r="A99" s="32">
        <f>IFERROR(LARGE(开奖记录!$A$2:$A$400,98),"")</f>
        <v/>
      </c>
      <c r="B99" s="32">
        <f>IF($A99="","",IFERROR(VLOOKUP($A99-1,开奖记录!$A:$L,11,FALSE),""))</f>
        <v/>
      </c>
      <c r="C99" s="36">
        <f>IF(B99="","",IFERROR(VLOOKUP(B99,八肖参数!$A:$B,2,FALSE),""))</f>
        <v/>
      </c>
      <c r="D99" s="32">
        <f>IF($A99="","",IFERROR(VLOOKUP($A99,开奖记录!$A:$L,9,FALSE),""))</f>
        <v/>
      </c>
      <c r="E99" s="32">
        <f>IF($A99="","",IFERROR(VLOOKUP($A99,开奖记录!$A:$L,11,FALSE),""))</f>
        <v/>
      </c>
      <c r="F99" s="32">
        <f>IF(A99="","",IF(B99="","缺上期数据",IF(E99="","待开奖",IF(ISNUMBER(SEARCH(E99,C99)),"命中","未命中"))))</f>
        <v/>
      </c>
    </row>
    <row r="100" ht="23" customHeight="1" s="21">
      <c r="A100" s="32">
        <f>IFERROR(LARGE(开奖记录!$A$2:$A$400,99),"")</f>
        <v/>
      </c>
      <c r="B100" s="32">
        <f>IF($A100="","",IFERROR(VLOOKUP($A100-1,开奖记录!$A:$L,11,FALSE),""))</f>
        <v/>
      </c>
      <c r="C100" s="36">
        <f>IF(B100="","",IFERROR(VLOOKUP(B100,八肖参数!$A:$B,2,FALSE),""))</f>
        <v/>
      </c>
      <c r="D100" s="32">
        <f>IF($A100="","",IFERROR(VLOOKUP($A100,开奖记录!$A:$L,9,FALSE),""))</f>
        <v/>
      </c>
      <c r="E100" s="32">
        <f>IF($A100="","",IFERROR(VLOOKUP($A100,开奖记录!$A:$L,11,FALSE),""))</f>
        <v/>
      </c>
      <c r="F100" s="32">
        <f>IF(A100="","",IF(B100="","缺上期数据",IF(E100="","待开奖",IF(ISNUMBER(SEARCH(E100,C100)),"命中","未命中"))))</f>
        <v/>
      </c>
    </row>
    <row r="101" ht="23" customHeight="1" s="21">
      <c r="A101" s="32">
        <f>IFERROR(LARGE(开奖记录!$A$2:$A$400,100),"")</f>
        <v/>
      </c>
      <c r="B101" s="32">
        <f>IF($A101="","",IFERROR(VLOOKUP($A101-1,开奖记录!$A:$L,11,FALSE),""))</f>
        <v/>
      </c>
      <c r="C101" s="36">
        <f>IF(B101="","",IFERROR(VLOOKUP(B101,八肖参数!$A:$B,2,FALSE),""))</f>
        <v/>
      </c>
      <c r="D101" s="32">
        <f>IF($A101="","",IFERROR(VLOOKUP($A101,开奖记录!$A:$L,9,FALSE),""))</f>
        <v/>
      </c>
      <c r="E101" s="32">
        <f>IF($A101="","",IFERROR(VLOOKUP($A101,开奖记录!$A:$L,11,FALSE),""))</f>
        <v/>
      </c>
      <c r="F101" s="32">
        <f>IF(A101="","",IF(B101="","缺上期数据",IF(E101="","待开奖",IF(ISNUMBER(SEARCH(E101,C101)),"命中","未命中"))))</f>
        <v/>
      </c>
    </row>
    <row r="102" ht="23" customHeight="1" s="21">
      <c r="A102" s="32">
        <f>IFERROR(LARGE(开奖记录!$A$2:$A$400,101),"")</f>
        <v/>
      </c>
      <c r="B102" s="32">
        <f>IF($A102="","",IFERROR(VLOOKUP($A102-1,开奖记录!$A:$L,11,FALSE),""))</f>
        <v/>
      </c>
      <c r="C102" s="36">
        <f>IF(B102="","",IFERROR(VLOOKUP(B102,八肖参数!$A:$B,2,FALSE),""))</f>
        <v/>
      </c>
      <c r="D102" s="32">
        <f>IF($A102="","",IFERROR(VLOOKUP($A102,开奖记录!$A:$L,9,FALSE),""))</f>
        <v/>
      </c>
      <c r="E102" s="32">
        <f>IF($A102="","",IFERROR(VLOOKUP($A102,开奖记录!$A:$L,11,FALSE),""))</f>
        <v/>
      </c>
      <c r="F102" s="32">
        <f>IF(A102="","",IF(B102="","缺上期数据",IF(E102="","待开奖",IF(ISNUMBER(SEARCH(E102,C102)),"命中","未命中"))))</f>
        <v/>
      </c>
    </row>
    <row r="103" ht="23" customHeight="1" s="21">
      <c r="A103" s="32">
        <f>IFERROR(LARGE(开奖记录!$A$2:$A$400,102),"")</f>
        <v/>
      </c>
      <c r="B103" s="32">
        <f>IF($A103="","",IFERROR(VLOOKUP($A103-1,开奖记录!$A:$L,11,FALSE),""))</f>
        <v/>
      </c>
      <c r="C103" s="36">
        <f>IF(B103="","",IFERROR(VLOOKUP(B103,八肖参数!$A:$B,2,FALSE),""))</f>
        <v/>
      </c>
      <c r="D103" s="32">
        <f>IF($A103="","",IFERROR(VLOOKUP($A103,开奖记录!$A:$L,9,FALSE),""))</f>
        <v/>
      </c>
      <c r="E103" s="32">
        <f>IF($A103="","",IFERROR(VLOOKUP($A103,开奖记录!$A:$L,11,FALSE),""))</f>
        <v/>
      </c>
      <c r="F103" s="32">
        <f>IF(A103="","",IF(B103="","缺上期数据",IF(E103="","待开奖",IF(ISNUMBER(SEARCH(E103,C103)),"命中","未命中"))))</f>
        <v/>
      </c>
    </row>
    <row r="104" ht="23" customHeight="1" s="21">
      <c r="A104" s="32">
        <f>IFERROR(LARGE(开奖记录!$A$2:$A$400,103),"")</f>
        <v/>
      </c>
      <c r="B104" s="32">
        <f>IF($A104="","",IFERROR(VLOOKUP($A104-1,开奖记录!$A:$L,11,FALSE),""))</f>
        <v/>
      </c>
      <c r="C104" s="36">
        <f>IF(B104="","",IFERROR(VLOOKUP(B104,八肖参数!$A:$B,2,FALSE),""))</f>
        <v/>
      </c>
      <c r="D104" s="32">
        <f>IF($A104="","",IFERROR(VLOOKUP($A104,开奖记录!$A:$L,9,FALSE),""))</f>
        <v/>
      </c>
      <c r="E104" s="32">
        <f>IF($A104="","",IFERROR(VLOOKUP($A104,开奖记录!$A:$L,11,FALSE),""))</f>
        <v/>
      </c>
      <c r="F104" s="32">
        <f>IF(A104="","",IF(B104="","缺上期数据",IF(E104="","待开奖",IF(ISNUMBER(SEARCH(E104,C104)),"命中","未命中"))))</f>
        <v/>
      </c>
    </row>
    <row r="105" ht="23" customHeight="1" s="21">
      <c r="A105" s="32">
        <f>IFERROR(LARGE(开奖记录!$A$2:$A$400,104),"")</f>
        <v/>
      </c>
      <c r="B105" s="32">
        <f>IF($A105="","",IFERROR(VLOOKUP($A105-1,开奖记录!$A:$L,11,FALSE),""))</f>
        <v/>
      </c>
      <c r="C105" s="36">
        <f>IF(B105="","",IFERROR(VLOOKUP(B105,八肖参数!$A:$B,2,FALSE),""))</f>
        <v/>
      </c>
      <c r="D105" s="32">
        <f>IF($A105="","",IFERROR(VLOOKUP($A105,开奖记录!$A:$L,9,FALSE),""))</f>
        <v/>
      </c>
      <c r="E105" s="32">
        <f>IF($A105="","",IFERROR(VLOOKUP($A105,开奖记录!$A:$L,11,FALSE),""))</f>
        <v/>
      </c>
      <c r="F105" s="32">
        <f>IF(A105="","",IF(B105="","缺上期数据",IF(E105="","待开奖",IF(ISNUMBER(SEARCH(E105,C105)),"命中","未命中"))))</f>
        <v/>
      </c>
    </row>
    <row r="106" ht="23" customHeight="1" s="21">
      <c r="A106" s="32">
        <f>IFERROR(LARGE(开奖记录!$A$2:$A$400,105),"")</f>
        <v/>
      </c>
      <c r="B106" s="32">
        <f>IF($A106="","",IFERROR(VLOOKUP($A106-1,开奖记录!$A:$L,11,FALSE),""))</f>
        <v/>
      </c>
      <c r="C106" s="36">
        <f>IF(B106="","",IFERROR(VLOOKUP(B106,八肖参数!$A:$B,2,FALSE),""))</f>
        <v/>
      </c>
      <c r="D106" s="32">
        <f>IF($A106="","",IFERROR(VLOOKUP($A106,开奖记录!$A:$L,9,FALSE),""))</f>
        <v/>
      </c>
      <c r="E106" s="32">
        <f>IF($A106="","",IFERROR(VLOOKUP($A106,开奖记录!$A:$L,11,FALSE),""))</f>
        <v/>
      </c>
      <c r="F106" s="32">
        <f>IF(A106="","",IF(B106="","缺上期数据",IF(E106="","待开奖",IF(ISNUMBER(SEARCH(E106,C106)),"命中","未命中"))))</f>
        <v/>
      </c>
    </row>
    <row r="107" ht="23" customHeight="1" s="21">
      <c r="A107" s="32">
        <f>IFERROR(LARGE(开奖记录!$A$2:$A$400,106),"")</f>
        <v/>
      </c>
      <c r="B107" s="32">
        <f>IF($A107="","",IFERROR(VLOOKUP($A107-1,开奖记录!$A:$L,11,FALSE),""))</f>
        <v/>
      </c>
      <c r="C107" s="36">
        <f>IF(B107="","",IFERROR(VLOOKUP(B107,八肖参数!$A:$B,2,FALSE),""))</f>
        <v/>
      </c>
      <c r="D107" s="32">
        <f>IF($A107="","",IFERROR(VLOOKUP($A107,开奖记录!$A:$L,9,FALSE),""))</f>
        <v/>
      </c>
      <c r="E107" s="32">
        <f>IF($A107="","",IFERROR(VLOOKUP($A107,开奖记录!$A:$L,11,FALSE),""))</f>
        <v/>
      </c>
      <c r="F107" s="32">
        <f>IF(A107="","",IF(B107="","缺上期数据",IF(E107="","待开奖",IF(ISNUMBER(SEARCH(E107,C107)),"命中","未命中"))))</f>
        <v/>
      </c>
    </row>
    <row r="108" ht="23" customHeight="1" s="21">
      <c r="A108" s="32">
        <f>IFERROR(LARGE(开奖记录!$A$2:$A$400,107),"")</f>
        <v/>
      </c>
      <c r="B108" s="32">
        <f>IF($A108="","",IFERROR(VLOOKUP($A108-1,开奖记录!$A:$L,11,FALSE),""))</f>
        <v/>
      </c>
      <c r="C108" s="36">
        <f>IF(B108="","",IFERROR(VLOOKUP(B108,八肖参数!$A:$B,2,FALSE),""))</f>
        <v/>
      </c>
      <c r="D108" s="32">
        <f>IF($A108="","",IFERROR(VLOOKUP($A108,开奖记录!$A:$L,9,FALSE),""))</f>
        <v/>
      </c>
      <c r="E108" s="32">
        <f>IF($A108="","",IFERROR(VLOOKUP($A108,开奖记录!$A:$L,11,FALSE),""))</f>
        <v/>
      </c>
      <c r="F108" s="32">
        <f>IF(A108="","",IF(B108="","缺上期数据",IF(E108="","待开奖",IF(ISNUMBER(SEARCH(E108,C108)),"命中","未命中"))))</f>
        <v/>
      </c>
    </row>
    <row r="109" ht="23" customHeight="1" s="21">
      <c r="A109" s="32">
        <f>IFERROR(LARGE(开奖记录!$A$2:$A$400,108),"")</f>
        <v/>
      </c>
      <c r="B109" s="32">
        <f>IF($A109="","",IFERROR(VLOOKUP($A109-1,开奖记录!$A:$L,11,FALSE),""))</f>
        <v/>
      </c>
      <c r="C109" s="36">
        <f>IF(B109="","",IFERROR(VLOOKUP(B109,八肖参数!$A:$B,2,FALSE),""))</f>
        <v/>
      </c>
      <c r="D109" s="32">
        <f>IF($A109="","",IFERROR(VLOOKUP($A109,开奖记录!$A:$L,9,FALSE),""))</f>
        <v/>
      </c>
      <c r="E109" s="32">
        <f>IF($A109="","",IFERROR(VLOOKUP($A109,开奖记录!$A:$L,11,FALSE),""))</f>
        <v/>
      </c>
      <c r="F109" s="32">
        <f>IF(A109="","",IF(B109="","缺上期数据",IF(E109="","待开奖",IF(ISNUMBER(SEARCH(E109,C109)),"命中","未命中"))))</f>
        <v/>
      </c>
    </row>
    <row r="110" ht="23" customHeight="1" s="21">
      <c r="A110" s="32">
        <f>IFERROR(LARGE(开奖记录!$A$2:$A$400,109),"")</f>
        <v/>
      </c>
      <c r="B110" s="32">
        <f>IF($A110="","",IFERROR(VLOOKUP($A110-1,开奖记录!$A:$L,11,FALSE),""))</f>
        <v/>
      </c>
      <c r="C110" s="36">
        <f>IF(B110="","",IFERROR(VLOOKUP(B110,八肖参数!$A:$B,2,FALSE),""))</f>
        <v/>
      </c>
      <c r="D110" s="32">
        <f>IF($A110="","",IFERROR(VLOOKUP($A110,开奖记录!$A:$L,9,FALSE),""))</f>
        <v/>
      </c>
      <c r="E110" s="32">
        <f>IF($A110="","",IFERROR(VLOOKUP($A110,开奖记录!$A:$L,11,FALSE),""))</f>
        <v/>
      </c>
      <c r="F110" s="32">
        <f>IF(A110="","",IF(B110="","缺上期数据",IF(E110="","待开奖",IF(ISNUMBER(SEARCH(E110,C110)),"命中","未命中"))))</f>
        <v/>
      </c>
    </row>
    <row r="111" ht="23" customHeight="1" s="21">
      <c r="A111" s="32">
        <f>IFERROR(LARGE(开奖记录!$A$2:$A$400,110),"")</f>
        <v/>
      </c>
      <c r="B111" s="32">
        <f>IF($A111="","",IFERROR(VLOOKUP($A111-1,开奖记录!$A:$L,11,FALSE),""))</f>
        <v/>
      </c>
      <c r="C111" s="36">
        <f>IF(B111="","",IFERROR(VLOOKUP(B111,八肖参数!$A:$B,2,FALSE),""))</f>
        <v/>
      </c>
      <c r="D111" s="32">
        <f>IF($A111="","",IFERROR(VLOOKUP($A111,开奖记录!$A:$L,9,FALSE),""))</f>
        <v/>
      </c>
      <c r="E111" s="32">
        <f>IF($A111="","",IFERROR(VLOOKUP($A111,开奖记录!$A:$L,11,FALSE),""))</f>
        <v/>
      </c>
      <c r="F111" s="32">
        <f>IF(A111="","",IF(B111="","缺上期数据",IF(E111="","待开奖",IF(ISNUMBER(SEARCH(E111,C111)),"命中","未命中"))))</f>
        <v/>
      </c>
    </row>
    <row r="112" ht="23" customHeight="1" s="21">
      <c r="A112" s="32">
        <f>IFERROR(LARGE(开奖记录!$A$2:$A$400,111),"")</f>
        <v/>
      </c>
      <c r="B112" s="32">
        <f>IF($A112="","",IFERROR(VLOOKUP($A112-1,开奖记录!$A:$L,11,FALSE),""))</f>
        <v/>
      </c>
      <c r="C112" s="36">
        <f>IF(B112="","",IFERROR(VLOOKUP(B112,八肖参数!$A:$B,2,FALSE),""))</f>
        <v/>
      </c>
      <c r="D112" s="32">
        <f>IF($A112="","",IFERROR(VLOOKUP($A112,开奖记录!$A:$L,9,FALSE),""))</f>
        <v/>
      </c>
      <c r="E112" s="32">
        <f>IF($A112="","",IFERROR(VLOOKUP($A112,开奖记录!$A:$L,11,FALSE),""))</f>
        <v/>
      </c>
      <c r="F112" s="32">
        <f>IF(A112="","",IF(B112="","缺上期数据",IF(E112="","待开奖",IF(ISNUMBER(SEARCH(E112,C112)),"命中","未命中"))))</f>
        <v/>
      </c>
    </row>
    <row r="113" ht="23" customHeight="1" s="21">
      <c r="A113" s="32">
        <f>IFERROR(LARGE(开奖记录!$A$2:$A$400,112),"")</f>
        <v/>
      </c>
      <c r="B113" s="32">
        <f>IF($A113="","",IFERROR(VLOOKUP($A113-1,开奖记录!$A:$L,11,FALSE),""))</f>
        <v/>
      </c>
      <c r="C113" s="36">
        <f>IF(B113="","",IFERROR(VLOOKUP(B113,八肖参数!$A:$B,2,FALSE),""))</f>
        <v/>
      </c>
      <c r="D113" s="32">
        <f>IF($A113="","",IFERROR(VLOOKUP($A113,开奖记录!$A:$L,9,FALSE),""))</f>
        <v/>
      </c>
      <c r="E113" s="32">
        <f>IF($A113="","",IFERROR(VLOOKUP($A113,开奖记录!$A:$L,11,FALSE),""))</f>
        <v/>
      </c>
      <c r="F113" s="32">
        <f>IF(A113="","",IF(B113="","缺上期数据",IF(E113="","待开奖",IF(ISNUMBER(SEARCH(E113,C113)),"命中","未命中"))))</f>
        <v/>
      </c>
    </row>
    <row r="114" ht="23" customHeight="1" s="21">
      <c r="A114" s="32">
        <f>IFERROR(LARGE(开奖记录!$A$2:$A$400,113),"")</f>
        <v/>
      </c>
      <c r="B114" s="32">
        <f>IF($A114="","",IFERROR(VLOOKUP($A114-1,开奖记录!$A:$L,11,FALSE),""))</f>
        <v/>
      </c>
      <c r="C114" s="36">
        <f>IF(B114="","",IFERROR(VLOOKUP(B114,八肖参数!$A:$B,2,FALSE),""))</f>
        <v/>
      </c>
      <c r="D114" s="32">
        <f>IF($A114="","",IFERROR(VLOOKUP($A114,开奖记录!$A:$L,9,FALSE),""))</f>
        <v/>
      </c>
      <c r="E114" s="32">
        <f>IF($A114="","",IFERROR(VLOOKUP($A114,开奖记录!$A:$L,11,FALSE),""))</f>
        <v/>
      </c>
      <c r="F114" s="32">
        <f>IF(A114="","",IF(B114="","缺上期数据",IF(E114="","待开奖",IF(ISNUMBER(SEARCH(E114,C114)),"命中","未命中"))))</f>
        <v/>
      </c>
    </row>
    <row r="115" ht="23" customHeight="1" s="21">
      <c r="A115" s="32">
        <f>IFERROR(LARGE(开奖记录!$A$2:$A$400,114),"")</f>
        <v/>
      </c>
      <c r="B115" s="32">
        <f>IF($A115="","",IFERROR(VLOOKUP($A115-1,开奖记录!$A:$L,11,FALSE),""))</f>
        <v/>
      </c>
      <c r="C115" s="36">
        <f>IF(B115="","",IFERROR(VLOOKUP(B115,八肖参数!$A:$B,2,FALSE),""))</f>
        <v/>
      </c>
      <c r="D115" s="32">
        <f>IF($A115="","",IFERROR(VLOOKUP($A115,开奖记录!$A:$L,9,FALSE),""))</f>
        <v/>
      </c>
      <c r="E115" s="32">
        <f>IF($A115="","",IFERROR(VLOOKUP($A115,开奖记录!$A:$L,11,FALSE),""))</f>
        <v/>
      </c>
      <c r="F115" s="32">
        <f>IF(A115="","",IF(B115="","缺上期数据",IF(E115="","待开奖",IF(ISNUMBER(SEARCH(E115,C115)),"命中","未命中"))))</f>
        <v/>
      </c>
    </row>
    <row r="116" ht="23" customHeight="1" s="21">
      <c r="A116" s="32">
        <f>IFERROR(LARGE(开奖记录!$A$2:$A$400,115),"")</f>
        <v/>
      </c>
      <c r="B116" s="32">
        <f>IF($A116="","",IFERROR(VLOOKUP($A116-1,开奖记录!$A:$L,11,FALSE),""))</f>
        <v/>
      </c>
      <c r="C116" s="36">
        <f>IF(B116="","",IFERROR(VLOOKUP(B116,八肖参数!$A:$B,2,FALSE),""))</f>
        <v/>
      </c>
      <c r="D116" s="32">
        <f>IF($A116="","",IFERROR(VLOOKUP($A116,开奖记录!$A:$L,9,FALSE),""))</f>
        <v/>
      </c>
      <c r="E116" s="32">
        <f>IF($A116="","",IFERROR(VLOOKUP($A116,开奖记录!$A:$L,11,FALSE),""))</f>
        <v/>
      </c>
      <c r="F116" s="32">
        <f>IF(A116="","",IF(B116="","缺上期数据",IF(E116="","待开奖",IF(ISNUMBER(SEARCH(E116,C116)),"命中","未命中"))))</f>
        <v/>
      </c>
    </row>
    <row r="117" ht="23" customHeight="1" s="21">
      <c r="A117" s="32">
        <f>IFERROR(LARGE(开奖记录!$A$2:$A$400,116),"")</f>
        <v/>
      </c>
      <c r="B117" s="32">
        <f>IF($A117="","",IFERROR(VLOOKUP($A117-1,开奖记录!$A:$L,11,FALSE),""))</f>
        <v/>
      </c>
      <c r="C117" s="36">
        <f>IF(B117="","",IFERROR(VLOOKUP(B117,八肖参数!$A:$B,2,FALSE),""))</f>
        <v/>
      </c>
      <c r="D117" s="32">
        <f>IF($A117="","",IFERROR(VLOOKUP($A117,开奖记录!$A:$L,9,FALSE),""))</f>
        <v/>
      </c>
      <c r="E117" s="32">
        <f>IF($A117="","",IFERROR(VLOOKUP($A117,开奖记录!$A:$L,11,FALSE),""))</f>
        <v/>
      </c>
      <c r="F117" s="32">
        <f>IF(A117="","",IF(B117="","缺上期数据",IF(E117="","待开奖",IF(ISNUMBER(SEARCH(E117,C117)),"命中","未命中"))))</f>
        <v/>
      </c>
    </row>
    <row r="118" ht="23" customHeight="1" s="21">
      <c r="A118" s="32">
        <f>IFERROR(LARGE(开奖记录!$A$2:$A$400,117),"")</f>
        <v/>
      </c>
      <c r="B118" s="32">
        <f>IF($A118="","",IFERROR(VLOOKUP($A118-1,开奖记录!$A:$L,11,FALSE),""))</f>
        <v/>
      </c>
      <c r="C118" s="36">
        <f>IF(B118="","",IFERROR(VLOOKUP(B118,八肖参数!$A:$B,2,FALSE),""))</f>
        <v/>
      </c>
      <c r="D118" s="32">
        <f>IF($A118="","",IFERROR(VLOOKUP($A118,开奖记录!$A:$L,9,FALSE),""))</f>
        <v/>
      </c>
      <c r="E118" s="32">
        <f>IF($A118="","",IFERROR(VLOOKUP($A118,开奖记录!$A:$L,11,FALSE),""))</f>
        <v/>
      </c>
      <c r="F118" s="32">
        <f>IF(A118="","",IF(B118="","缺上期数据",IF(E118="","待开奖",IF(ISNUMBER(SEARCH(E118,C118)),"命中","未命中"))))</f>
        <v/>
      </c>
    </row>
    <row r="119" ht="23" customHeight="1" s="21">
      <c r="A119" s="32">
        <f>IFERROR(LARGE(开奖记录!$A$2:$A$400,118),"")</f>
        <v/>
      </c>
      <c r="B119" s="32">
        <f>IF($A119="","",IFERROR(VLOOKUP($A119-1,开奖记录!$A:$L,11,FALSE),""))</f>
        <v/>
      </c>
      <c r="C119" s="36">
        <f>IF(B119="","",IFERROR(VLOOKUP(B119,八肖参数!$A:$B,2,FALSE),""))</f>
        <v/>
      </c>
      <c r="D119" s="32">
        <f>IF($A119="","",IFERROR(VLOOKUP($A119,开奖记录!$A:$L,9,FALSE),""))</f>
        <v/>
      </c>
      <c r="E119" s="32">
        <f>IF($A119="","",IFERROR(VLOOKUP($A119,开奖记录!$A:$L,11,FALSE),""))</f>
        <v/>
      </c>
      <c r="F119" s="32">
        <f>IF(A119="","",IF(B119="","缺上期数据",IF(E119="","待开奖",IF(ISNUMBER(SEARCH(E119,C119)),"命中","未命中"))))</f>
        <v/>
      </c>
    </row>
    <row r="120" ht="23" customHeight="1" s="21">
      <c r="A120" s="32">
        <f>IFERROR(LARGE(开奖记录!$A$2:$A$400,119),"")</f>
        <v/>
      </c>
      <c r="B120" s="32">
        <f>IF($A120="","",IFERROR(VLOOKUP($A120-1,开奖记录!$A:$L,11,FALSE),""))</f>
        <v/>
      </c>
      <c r="C120" s="36">
        <f>IF(B120="","",IFERROR(VLOOKUP(B120,八肖参数!$A:$B,2,FALSE),""))</f>
        <v/>
      </c>
      <c r="D120" s="32">
        <f>IF($A120="","",IFERROR(VLOOKUP($A120,开奖记录!$A:$L,9,FALSE),""))</f>
        <v/>
      </c>
      <c r="E120" s="32">
        <f>IF($A120="","",IFERROR(VLOOKUP($A120,开奖记录!$A:$L,11,FALSE),""))</f>
        <v/>
      </c>
      <c r="F120" s="32">
        <f>IF(A120="","",IF(B120="","缺上期数据",IF(E120="","待开奖",IF(ISNUMBER(SEARCH(E120,C120)),"命中","未命中"))))</f>
        <v/>
      </c>
    </row>
    <row r="121" ht="23" customHeight="1" s="21">
      <c r="A121" s="32">
        <f>IFERROR(LARGE(开奖记录!$A$2:$A$400,120),"")</f>
        <v/>
      </c>
      <c r="B121" s="32">
        <f>IF($A121="","",IFERROR(VLOOKUP($A121-1,开奖记录!$A:$L,11,FALSE),""))</f>
        <v/>
      </c>
      <c r="C121" s="36">
        <f>IF(B121="","",IFERROR(VLOOKUP(B121,八肖参数!$A:$B,2,FALSE),""))</f>
        <v/>
      </c>
      <c r="D121" s="32">
        <f>IF($A121="","",IFERROR(VLOOKUP($A121,开奖记录!$A:$L,9,FALSE),""))</f>
        <v/>
      </c>
      <c r="E121" s="32">
        <f>IF($A121="","",IFERROR(VLOOKUP($A121,开奖记录!$A:$L,11,FALSE),""))</f>
        <v/>
      </c>
      <c r="F121" s="32">
        <f>IF(A121="","",IF(B121="","缺上期数据",IF(E121="","待开奖",IF(ISNUMBER(SEARCH(E121,C121)),"命中","未命中"))))</f>
        <v/>
      </c>
    </row>
    <row r="122" ht="23" customHeight="1" s="21">
      <c r="A122" s="32">
        <f>IFERROR(LARGE(开奖记录!$A$2:$A$400,121),"")</f>
        <v/>
      </c>
      <c r="B122" s="32">
        <f>IF($A122="","",IFERROR(VLOOKUP($A122-1,开奖记录!$A:$L,11,FALSE),""))</f>
        <v/>
      </c>
      <c r="C122" s="36">
        <f>IF(B122="","",IFERROR(VLOOKUP(B122,八肖参数!$A:$B,2,FALSE),""))</f>
        <v/>
      </c>
      <c r="D122" s="32">
        <f>IF($A122="","",IFERROR(VLOOKUP($A122,开奖记录!$A:$L,9,FALSE),""))</f>
        <v/>
      </c>
      <c r="E122" s="32">
        <f>IF($A122="","",IFERROR(VLOOKUP($A122,开奖记录!$A:$L,11,FALSE),""))</f>
        <v/>
      </c>
      <c r="F122" s="32">
        <f>IF(A122="","",IF(B122="","缺上期数据",IF(E122="","待开奖",IF(ISNUMBER(SEARCH(E122,C122)),"命中","未命中"))))</f>
        <v/>
      </c>
    </row>
    <row r="123" ht="23" customHeight="1" s="21">
      <c r="A123" s="32">
        <f>IFERROR(LARGE(开奖记录!$A$2:$A$400,122),"")</f>
        <v/>
      </c>
      <c r="B123" s="32">
        <f>IF($A123="","",IFERROR(VLOOKUP($A123-1,开奖记录!$A:$L,11,FALSE),""))</f>
        <v/>
      </c>
      <c r="C123" s="36">
        <f>IF(B123="","",IFERROR(VLOOKUP(B123,八肖参数!$A:$B,2,FALSE),""))</f>
        <v/>
      </c>
      <c r="D123" s="32">
        <f>IF($A123="","",IFERROR(VLOOKUP($A123,开奖记录!$A:$L,9,FALSE),""))</f>
        <v/>
      </c>
      <c r="E123" s="32">
        <f>IF($A123="","",IFERROR(VLOOKUP($A123,开奖记录!$A:$L,11,FALSE),""))</f>
        <v/>
      </c>
      <c r="F123" s="32">
        <f>IF(A123="","",IF(B123="","缺上期数据",IF(E123="","待开奖",IF(ISNUMBER(SEARCH(E123,C123)),"命中","未命中"))))</f>
        <v/>
      </c>
    </row>
    <row r="124" ht="23" customHeight="1" s="21">
      <c r="A124" s="32">
        <f>IFERROR(LARGE(开奖记录!$A$2:$A$400,123),"")</f>
        <v/>
      </c>
      <c r="B124" s="32">
        <f>IF($A124="","",IFERROR(VLOOKUP($A124-1,开奖记录!$A:$L,11,FALSE),""))</f>
        <v/>
      </c>
      <c r="C124" s="36">
        <f>IF(B124="","",IFERROR(VLOOKUP(B124,八肖参数!$A:$B,2,FALSE),""))</f>
        <v/>
      </c>
      <c r="D124" s="32">
        <f>IF($A124="","",IFERROR(VLOOKUP($A124,开奖记录!$A:$L,9,FALSE),""))</f>
        <v/>
      </c>
      <c r="E124" s="32">
        <f>IF($A124="","",IFERROR(VLOOKUP($A124,开奖记录!$A:$L,11,FALSE),""))</f>
        <v/>
      </c>
      <c r="F124" s="32">
        <f>IF(A124="","",IF(B124="","缺上期数据",IF(E124="","待开奖",IF(ISNUMBER(SEARCH(E124,C124)),"命中","未命中"))))</f>
        <v/>
      </c>
    </row>
    <row r="125" ht="23" customHeight="1" s="21">
      <c r="A125" s="32">
        <f>IFERROR(LARGE(开奖记录!$A$2:$A$400,124),"")</f>
        <v/>
      </c>
      <c r="B125" s="32">
        <f>IF($A125="","",IFERROR(VLOOKUP($A125-1,开奖记录!$A:$L,11,FALSE),""))</f>
        <v/>
      </c>
      <c r="C125" s="36">
        <f>IF(B125="","",IFERROR(VLOOKUP(B125,八肖参数!$A:$B,2,FALSE),""))</f>
        <v/>
      </c>
      <c r="D125" s="32">
        <f>IF($A125="","",IFERROR(VLOOKUP($A125,开奖记录!$A:$L,9,FALSE),""))</f>
        <v/>
      </c>
      <c r="E125" s="32">
        <f>IF($A125="","",IFERROR(VLOOKUP($A125,开奖记录!$A:$L,11,FALSE),""))</f>
        <v/>
      </c>
      <c r="F125" s="32">
        <f>IF(A125="","",IF(B125="","缺上期数据",IF(E125="","待开奖",IF(ISNUMBER(SEARCH(E125,C125)),"命中","未命中"))))</f>
        <v/>
      </c>
    </row>
    <row r="126" ht="23" customHeight="1" s="21">
      <c r="A126" s="32">
        <f>IFERROR(LARGE(开奖记录!$A$2:$A$400,125),"")</f>
        <v/>
      </c>
      <c r="B126" s="32">
        <f>IF($A126="","",IFERROR(VLOOKUP($A126-1,开奖记录!$A:$L,11,FALSE),""))</f>
        <v/>
      </c>
      <c r="C126" s="36">
        <f>IF(B126="","",IFERROR(VLOOKUP(B126,八肖参数!$A:$B,2,FALSE),""))</f>
        <v/>
      </c>
      <c r="D126" s="32">
        <f>IF($A126="","",IFERROR(VLOOKUP($A126,开奖记录!$A:$L,9,FALSE),""))</f>
        <v/>
      </c>
      <c r="E126" s="32">
        <f>IF($A126="","",IFERROR(VLOOKUP($A126,开奖记录!$A:$L,11,FALSE),""))</f>
        <v/>
      </c>
      <c r="F126" s="32">
        <f>IF(A126="","",IF(B126="","缺上期数据",IF(E126="","待开奖",IF(ISNUMBER(SEARCH(E126,C126)),"命中","未命中"))))</f>
        <v/>
      </c>
    </row>
    <row r="127" ht="23" customHeight="1" s="21">
      <c r="A127" s="32">
        <f>IFERROR(LARGE(开奖记录!$A$2:$A$400,126),"")</f>
        <v/>
      </c>
      <c r="B127" s="32">
        <f>IF($A127="","",IFERROR(VLOOKUP($A127-1,开奖记录!$A:$L,11,FALSE),""))</f>
        <v/>
      </c>
      <c r="C127" s="36">
        <f>IF(B127="","",IFERROR(VLOOKUP(B127,八肖参数!$A:$B,2,FALSE),""))</f>
        <v/>
      </c>
      <c r="D127" s="32">
        <f>IF($A127="","",IFERROR(VLOOKUP($A127,开奖记录!$A:$L,9,FALSE),""))</f>
        <v/>
      </c>
      <c r="E127" s="32">
        <f>IF($A127="","",IFERROR(VLOOKUP($A127,开奖记录!$A:$L,11,FALSE),""))</f>
        <v/>
      </c>
      <c r="F127" s="32">
        <f>IF(A127="","",IF(B127="","缺上期数据",IF(E127="","待开奖",IF(ISNUMBER(SEARCH(E127,C127)),"命中","未命中"))))</f>
        <v/>
      </c>
    </row>
    <row r="128" ht="23" customHeight="1" s="21">
      <c r="A128" s="32">
        <f>IFERROR(LARGE(开奖记录!$A$2:$A$400,127),"")</f>
        <v/>
      </c>
      <c r="B128" s="32">
        <f>IF($A128="","",IFERROR(VLOOKUP($A128-1,开奖记录!$A:$L,11,FALSE),""))</f>
        <v/>
      </c>
      <c r="C128" s="36">
        <f>IF(B128="","",IFERROR(VLOOKUP(B128,八肖参数!$A:$B,2,FALSE),""))</f>
        <v/>
      </c>
      <c r="D128" s="32">
        <f>IF($A128="","",IFERROR(VLOOKUP($A128,开奖记录!$A:$L,9,FALSE),""))</f>
        <v/>
      </c>
      <c r="E128" s="32">
        <f>IF($A128="","",IFERROR(VLOOKUP($A128,开奖记录!$A:$L,11,FALSE),""))</f>
        <v/>
      </c>
      <c r="F128" s="32">
        <f>IF(A128="","",IF(B128="","缺上期数据",IF(E128="","待开奖",IF(ISNUMBER(SEARCH(E128,C128)),"命中","未命中"))))</f>
        <v/>
      </c>
    </row>
    <row r="129" ht="23" customHeight="1" s="21">
      <c r="A129" s="32">
        <f>IFERROR(LARGE(开奖记录!$A$2:$A$400,128),"")</f>
        <v/>
      </c>
      <c r="B129" s="32">
        <f>IF($A129="","",IFERROR(VLOOKUP($A129-1,开奖记录!$A:$L,11,FALSE),""))</f>
        <v/>
      </c>
      <c r="C129" s="36">
        <f>IF(B129="","",IFERROR(VLOOKUP(B129,八肖参数!$A:$B,2,FALSE),""))</f>
        <v/>
      </c>
      <c r="D129" s="32">
        <f>IF($A129="","",IFERROR(VLOOKUP($A129,开奖记录!$A:$L,9,FALSE),""))</f>
        <v/>
      </c>
      <c r="E129" s="32">
        <f>IF($A129="","",IFERROR(VLOOKUP($A129,开奖记录!$A:$L,11,FALSE),""))</f>
        <v/>
      </c>
      <c r="F129" s="32">
        <f>IF(A129="","",IF(B129="","缺上期数据",IF(E129="","待开奖",IF(ISNUMBER(SEARCH(E129,C129)),"命中","未命中"))))</f>
        <v/>
      </c>
    </row>
    <row r="130" ht="23" customHeight="1" s="21">
      <c r="A130" s="32">
        <f>IFERROR(LARGE(开奖记录!$A$2:$A$400,129),"")</f>
        <v/>
      </c>
      <c r="B130" s="32">
        <f>IF($A130="","",IFERROR(VLOOKUP($A130-1,开奖记录!$A:$L,11,FALSE),""))</f>
        <v/>
      </c>
      <c r="C130" s="36">
        <f>IF(B130="","",IFERROR(VLOOKUP(B130,八肖参数!$A:$B,2,FALSE),""))</f>
        <v/>
      </c>
      <c r="D130" s="32">
        <f>IF($A130="","",IFERROR(VLOOKUP($A130,开奖记录!$A:$L,9,FALSE),""))</f>
        <v/>
      </c>
      <c r="E130" s="32">
        <f>IF($A130="","",IFERROR(VLOOKUP($A130,开奖记录!$A:$L,11,FALSE),""))</f>
        <v/>
      </c>
      <c r="F130" s="32">
        <f>IF(A130="","",IF(B130="","缺上期数据",IF(E130="","待开奖",IF(ISNUMBER(SEARCH(E130,C130)),"命中","未命中"))))</f>
        <v/>
      </c>
    </row>
    <row r="131" ht="23" customHeight="1" s="21">
      <c r="A131" s="32">
        <f>IFERROR(LARGE(开奖记录!$A$2:$A$400,130),"")</f>
        <v/>
      </c>
      <c r="B131" s="32">
        <f>IF($A131="","",IFERROR(VLOOKUP($A131-1,开奖记录!$A:$L,11,FALSE),""))</f>
        <v/>
      </c>
      <c r="C131" s="36">
        <f>IF(B131="","",IFERROR(VLOOKUP(B131,八肖参数!$A:$B,2,FALSE),""))</f>
        <v/>
      </c>
      <c r="D131" s="32">
        <f>IF($A131="","",IFERROR(VLOOKUP($A131,开奖记录!$A:$L,9,FALSE),""))</f>
        <v/>
      </c>
      <c r="E131" s="32">
        <f>IF($A131="","",IFERROR(VLOOKUP($A131,开奖记录!$A:$L,11,FALSE),""))</f>
        <v/>
      </c>
      <c r="F131" s="32">
        <f>IF(A131="","",IF(B131="","缺上期数据",IF(E131="","待开奖",IF(ISNUMBER(SEARCH(E131,C131)),"命中","未命中"))))</f>
        <v/>
      </c>
    </row>
    <row r="132" ht="23" customHeight="1" s="21">
      <c r="A132" s="32">
        <f>IFERROR(LARGE(开奖记录!$A$2:$A$400,131),"")</f>
        <v/>
      </c>
      <c r="B132" s="32">
        <f>IF($A132="","",IFERROR(VLOOKUP($A132-1,开奖记录!$A:$L,11,FALSE),""))</f>
        <v/>
      </c>
      <c r="C132" s="36">
        <f>IF(B132="","",IFERROR(VLOOKUP(B132,八肖参数!$A:$B,2,FALSE),""))</f>
        <v/>
      </c>
      <c r="D132" s="32">
        <f>IF($A132="","",IFERROR(VLOOKUP($A132,开奖记录!$A:$L,9,FALSE),""))</f>
        <v/>
      </c>
      <c r="E132" s="32">
        <f>IF($A132="","",IFERROR(VLOOKUP($A132,开奖记录!$A:$L,11,FALSE),""))</f>
        <v/>
      </c>
      <c r="F132" s="32">
        <f>IF(A132="","",IF(B132="","缺上期数据",IF(E132="","待开奖",IF(ISNUMBER(SEARCH(E132,C132)),"命中","未命中"))))</f>
        <v/>
      </c>
    </row>
    <row r="133" ht="23" customHeight="1" s="21">
      <c r="A133" s="32">
        <f>IFERROR(LARGE(开奖记录!$A$2:$A$400,132),"")</f>
        <v/>
      </c>
      <c r="B133" s="32">
        <f>IF($A133="","",IFERROR(VLOOKUP($A133-1,开奖记录!$A:$L,11,FALSE),""))</f>
        <v/>
      </c>
      <c r="C133" s="36">
        <f>IF(B133="","",IFERROR(VLOOKUP(B133,八肖参数!$A:$B,2,FALSE),""))</f>
        <v/>
      </c>
      <c r="D133" s="32">
        <f>IF($A133="","",IFERROR(VLOOKUP($A133,开奖记录!$A:$L,9,FALSE),""))</f>
        <v/>
      </c>
      <c r="E133" s="32">
        <f>IF($A133="","",IFERROR(VLOOKUP($A133,开奖记录!$A:$L,11,FALSE),""))</f>
        <v/>
      </c>
      <c r="F133" s="32">
        <f>IF(A133="","",IF(B133="","缺上期数据",IF(E133="","待开奖",IF(ISNUMBER(SEARCH(E133,C133)),"命中","未命中"))))</f>
        <v/>
      </c>
    </row>
    <row r="134" ht="23" customHeight="1" s="21">
      <c r="A134" s="32">
        <f>IFERROR(LARGE(开奖记录!$A$2:$A$400,133),"")</f>
        <v/>
      </c>
      <c r="B134" s="32">
        <f>IF($A134="","",IFERROR(VLOOKUP($A134-1,开奖记录!$A:$L,11,FALSE),""))</f>
        <v/>
      </c>
      <c r="C134" s="36">
        <f>IF(B134="","",IFERROR(VLOOKUP(B134,八肖参数!$A:$B,2,FALSE),""))</f>
        <v/>
      </c>
      <c r="D134" s="32">
        <f>IF($A134="","",IFERROR(VLOOKUP($A134,开奖记录!$A:$L,9,FALSE),""))</f>
        <v/>
      </c>
      <c r="E134" s="32">
        <f>IF($A134="","",IFERROR(VLOOKUP($A134,开奖记录!$A:$L,11,FALSE),""))</f>
        <v/>
      </c>
      <c r="F134" s="32">
        <f>IF(A134="","",IF(B134="","缺上期数据",IF(E134="","待开奖",IF(ISNUMBER(SEARCH(E134,C134)),"命中","未命中"))))</f>
        <v/>
      </c>
    </row>
    <row r="135" ht="23" customHeight="1" s="21">
      <c r="A135" s="32">
        <f>IFERROR(LARGE(开奖记录!$A$2:$A$400,134),"")</f>
        <v/>
      </c>
      <c r="B135" s="32">
        <f>IF($A135="","",IFERROR(VLOOKUP($A135-1,开奖记录!$A:$L,11,FALSE),""))</f>
        <v/>
      </c>
      <c r="C135" s="36">
        <f>IF(B135="","",IFERROR(VLOOKUP(B135,八肖参数!$A:$B,2,FALSE),""))</f>
        <v/>
      </c>
      <c r="D135" s="32">
        <f>IF($A135="","",IFERROR(VLOOKUP($A135,开奖记录!$A:$L,9,FALSE),""))</f>
        <v/>
      </c>
      <c r="E135" s="32">
        <f>IF($A135="","",IFERROR(VLOOKUP($A135,开奖记录!$A:$L,11,FALSE),""))</f>
        <v/>
      </c>
      <c r="F135" s="32">
        <f>IF(A135="","",IF(B135="","缺上期数据",IF(E135="","待开奖",IF(ISNUMBER(SEARCH(E135,C135)),"命中","未命中"))))</f>
        <v/>
      </c>
    </row>
    <row r="136" ht="23" customHeight="1" s="21">
      <c r="A136" s="32">
        <f>IFERROR(LARGE(开奖记录!$A$2:$A$400,135),"")</f>
        <v/>
      </c>
      <c r="B136" s="32">
        <f>IF($A136="","",IFERROR(VLOOKUP($A136-1,开奖记录!$A:$L,11,FALSE),""))</f>
        <v/>
      </c>
      <c r="C136" s="36">
        <f>IF(B136="","",IFERROR(VLOOKUP(B136,八肖参数!$A:$B,2,FALSE),""))</f>
        <v/>
      </c>
      <c r="D136" s="32">
        <f>IF($A136="","",IFERROR(VLOOKUP($A136,开奖记录!$A:$L,9,FALSE),""))</f>
        <v/>
      </c>
      <c r="E136" s="32">
        <f>IF($A136="","",IFERROR(VLOOKUP($A136,开奖记录!$A:$L,11,FALSE),""))</f>
        <v/>
      </c>
      <c r="F136" s="32">
        <f>IF(A136="","",IF(B136="","缺上期数据",IF(E136="","待开奖",IF(ISNUMBER(SEARCH(E136,C136)),"命中","未命中"))))</f>
        <v/>
      </c>
    </row>
    <row r="137" ht="23" customHeight="1" s="21">
      <c r="A137" s="32">
        <f>IFERROR(LARGE(开奖记录!$A$2:$A$400,136),"")</f>
        <v/>
      </c>
      <c r="B137" s="32">
        <f>IF($A137="","",IFERROR(VLOOKUP($A137-1,开奖记录!$A:$L,11,FALSE),""))</f>
        <v/>
      </c>
      <c r="C137" s="36">
        <f>IF(B137="","",IFERROR(VLOOKUP(B137,八肖参数!$A:$B,2,FALSE),""))</f>
        <v/>
      </c>
      <c r="D137" s="32">
        <f>IF($A137="","",IFERROR(VLOOKUP($A137,开奖记录!$A:$L,9,FALSE),""))</f>
        <v/>
      </c>
      <c r="E137" s="32">
        <f>IF($A137="","",IFERROR(VLOOKUP($A137,开奖记录!$A:$L,11,FALSE),""))</f>
        <v/>
      </c>
      <c r="F137" s="32">
        <f>IF(A137="","",IF(B137="","缺上期数据",IF(E137="","待开奖",IF(ISNUMBER(SEARCH(E137,C137)),"命中","未命中"))))</f>
        <v/>
      </c>
    </row>
    <row r="138" ht="23" customHeight="1" s="21">
      <c r="A138" s="32">
        <f>IFERROR(LARGE(开奖记录!$A$2:$A$400,137),"")</f>
        <v/>
      </c>
      <c r="B138" s="32">
        <f>IF($A138="","",IFERROR(VLOOKUP($A138-1,开奖记录!$A:$L,11,FALSE),""))</f>
        <v/>
      </c>
      <c r="C138" s="36">
        <f>IF(B138="","",IFERROR(VLOOKUP(B138,八肖参数!$A:$B,2,FALSE),""))</f>
        <v/>
      </c>
      <c r="D138" s="32">
        <f>IF($A138="","",IFERROR(VLOOKUP($A138,开奖记录!$A:$L,9,FALSE),""))</f>
        <v/>
      </c>
      <c r="E138" s="32">
        <f>IF($A138="","",IFERROR(VLOOKUP($A138,开奖记录!$A:$L,11,FALSE),""))</f>
        <v/>
      </c>
      <c r="F138" s="32">
        <f>IF(A138="","",IF(B138="","缺上期数据",IF(E138="","待开奖",IF(ISNUMBER(SEARCH(E138,C138)),"命中","未命中"))))</f>
        <v/>
      </c>
    </row>
    <row r="139" ht="23" customHeight="1" s="21">
      <c r="A139" s="32">
        <f>IFERROR(LARGE(开奖记录!$A$2:$A$400,138),"")</f>
        <v/>
      </c>
      <c r="B139" s="32">
        <f>IF($A139="","",IFERROR(VLOOKUP($A139-1,开奖记录!$A:$L,11,FALSE),""))</f>
        <v/>
      </c>
      <c r="C139" s="36">
        <f>IF(B139="","",IFERROR(VLOOKUP(B139,八肖参数!$A:$B,2,FALSE),""))</f>
        <v/>
      </c>
      <c r="D139" s="32">
        <f>IF($A139="","",IFERROR(VLOOKUP($A139,开奖记录!$A:$L,9,FALSE),""))</f>
        <v/>
      </c>
      <c r="E139" s="32">
        <f>IF($A139="","",IFERROR(VLOOKUP($A139,开奖记录!$A:$L,11,FALSE),""))</f>
        <v/>
      </c>
      <c r="F139" s="32">
        <f>IF(A139="","",IF(B139="","缺上期数据",IF(E139="","待开奖",IF(ISNUMBER(SEARCH(E139,C139)),"命中","未命中"))))</f>
        <v/>
      </c>
    </row>
    <row r="140" ht="23" customHeight="1" s="21">
      <c r="A140" s="32">
        <f>IFERROR(LARGE(开奖记录!$A$2:$A$400,139),"")</f>
        <v/>
      </c>
      <c r="B140" s="32">
        <f>IF($A140="","",IFERROR(VLOOKUP($A140-1,开奖记录!$A:$L,11,FALSE),""))</f>
        <v/>
      </c>
      <c r="C140" s="36">
        <f>IF(B140="","",IFERROR(VLOOKUP(B140,八肖参数!$A:$B,2,FALSE),""))</f>
        <v/>
      </c>
      <c r="D140" s="32">
        <f>IF($A140="","",IFERROR(VLOOKUP($A140,开奖记录!$A:$L,9,FALSE),""))</f>
        <v/>
      </c>
      <c r="E140" s="32">
        <f>IF($A140="","",IFERROR(VLOOKUP($A140,开奖记录!$A:$L,11,FALSE),""))</f>
        <v/>
      </c>
      <c r="F140" s="32">
        <f>IF(A140="","",IF(B140="","缺上期数据",IF(E140="","待开奖",IF(ISNUMBER(SEARCH(E140,C140)),"命中","未命中"))))</f>
        <v/>
      </c>
    </row>
    <row r="141" ht="23" customHeight="1" s="21">
      <c r="A141" s="32">
        <f>IFERROR(LARGE(开奖记录!$A$2:$A$400,140),"")</f>
        <v/>
      </c>
      <c r="B141" s="32">
        <f>IF($A141="","",IFERROR(VLOOKUP($A141-1,开奖记录!$A:$L,11,FALSE),""))</f>
        <v/>
      </c>
      <c r="C141" s="36">
        <f>IF(B141="","",IFERROR(VLOOKUP(B141,八肖参数!$A:$B,2,FALSE),""))</f>
        <v/>
      </c>
      <c r="D141" s="32">
        <f>IF($A141="","",IFERROR(VLOOKUP($A141,开奖记录!$A:$L,9,FALSE),""))</f>
        <v/>
      </c>
      <c r="E141" s="32">
        <f>IF($A141="","",IFERROR(VLOOKUP($A141,开奖记录!$A:$L,11,FALSE),""))</f>
        <v/>
      </c>
      <c r="F141" s="32">
        <f>IF(A141="","",IF(B141="","缺上期数据",IF(E141="","待开奖",IF(ISNUMBER(SEARCH(E141,C141)),"命中","未命中"))))</f>
        <v/>
      </c>
    </row>
    <row r="142" ht="23" customHeight="1" s="21">
      <c r="A142" s="32">
        <f>IFERROR(LARGE(开奖记录!$A$2:$A$400,141),"")</f>
        <v/>
      </c>
      <c r="B142" s="32">
        <f>IF($A142="","",IFERROR(VLOOKUP($A142-1,开奖记录!$A:$L,11,FALSE),""))</f>
        <v/>
      </c>
      <c r="C142" s="36">
        <f>IF(B142="","",IFERROR(VLOOKUP(B142,八肖参数!$A:$B,2,FALSE),""))</f>
        <v/>
      </c>
      <c r="D142" s="32">
        <f>IF($A142="","",IFERROR(VLOOKUP($A142,开奖记录!$A:$L,9,FALSE),""))</f>
        <v/>
      </c>
      <c r="E142" s="32">
        <f>IF($A142="","",IFERROR(VLOOKUP($A142,开奖记录!$A:$L,11,FALSE),""))</f>
        <v/>
      </c>
      <c r="F142" s="32">
        <f>IF(A142="","",IF(B142="","缺上期数据",IF(E142="","待开奖",IF(ISNUMBER(SEARCH(E142,C142)),"命中","未命中"))))</f>
        <v/>
      </c>
    </row>
    <row r="143" ht="23" customHeight="1" s="21">
      <c r="A143" s="32">
        <f>IFERROR(LARGE(开奖记录!$A$2:$A$400,142),"")</f>
        <v/>
      </c>
      <c r="B143" s="32">
        <f>IF($A143="","",IFERROR(VLOOKUP($A143-1,开奖记录!$A:$L,11,FALSE),""))</f>
        <v/>
      </c>
      <c r="C143" s="36">
        <f>IF(B143="","",IFERROR(VLOOKUP(B143,八肖参数!$A:$B,2,FALSE),""))</f>
        <v/>
      </c>
      <c r="D143" s="32">
        <f>IF($A143="","",IFERROR(VLOOKUP($A143,开奖记录!$A:$L,9,FALSE),""))</f>
        <v/>
      </c>
      <c r="E143" s="32">
        <f>IF($A143="","",IFERROR(VLOOKUP($A143,开奖记录!$A:$L,11,FALSE),""))</f>
        <v/>
      </c>
      <c r="F143" s="32">
        <f>IF(A143="","",IF(B143="","缺上期数据",IF(E143="","待开奖",IF(ISNUMBER(SEARCH(E143,C143)),"命中","未命中"))))</f>
        <v/>
      </c>
    </row>
    <row r="144" ht="23" customHeight="1" s="21">
      <c r="A144" s="32">
        <f>IFERROR(LARGE(开奖记录!$A$2:$A$400,143),"")</f>
        <v/>
      </c>
      <c r="B144" s="32">
        <f>IF($A144="","",IFERROR(VLOOKUP($A144-1,开奖记录!$A:$L,11,FALSE),""))</f>
        <v/>
      </c>
      <c r="C144" s="36">
        <f>IF(B144="","",IFERROR(VLOOKUP(B144,八肖参数!$A:$B,2,FALSE),""))</f>
        <v/>
      </c>
      <c r="D144" s="32">
        <f>IF($A144="","",IFERROR(VLOOKUP($A144,开奖记录!$A:$L,9,FALSE),""))</f>
        <v/>
      </c>
      <c r="E144" s="32">
        <f>IF($A144="","",IFERROR(VLOOKUP($A144,开奖记录!$A:$L,11,FALSE),""))</f>
        <v/>
      </c>
      <c r="F144" s="32">
        <f>IF(A144="","",IF(B144="","缺上期数据",IF(E144="","待开奖",IF(ISNUMBER(SEARCH(E144,C144)),"命中","未命中"))))</f>
        <v/>
      </c>
    </row>
    <row r="145" ht="23" customHeight="1" s="21">
      <c r="A145" s="32">
        <f>IFERROR(LARGE(开奖记录!$A$2:$A$400,144),"")</f>
        <v/>
      </c>
      <c r="B145" s="32">
        <f>IF($A145="","",IFERROR(VLOOKUP($A145-1,开奖记录!$A:$L,11,FALSE),""))</f>
        <v/>
      </c>
      <c r="C145" s="36">
        <f>IF(B145="","",IFERROR(VLOOKUP(B145,八肖参数!$A:$B,2,FALSE),""))</f>
        <v/>
      </c>
      <c r="D145" s="32">
        <f>IF($A145="","",IFERROR(VLOOKUP($A145,开奖记录!$A:$L,9,FALSE),""))</f>
        <v/>
      </c>
      <c r="E145" s="32">
        <f>IF($A145="","",IFERROR(VLOOKUP($A145,开奖记录!$A:$L,11,FALSE),""))</f>
        <v/>
      </c>
      <c r="F145" s="32">
        <f>IF(A145="","",IF(B145="","缺上期数据",IF(E145="","待开奖",IF(ISNUMBER(SEARCH(E145,C145)),"命中","未命中"))))</f>
        <v/>
      </c>
    </row>
    <row r="146" ht="23" customHeight="1" s="21">
      <c r="A146" s="32">
        <f>IFERROR(LARGE(开奖记录!$A$2:$A$400,145),"")</f>
        <v/>
      </c>
      <c r="B146" s="32">
        <f>IF($A146="","",IFERROR(VLOOKUP($A146-1,开奖记录!$A:$L,11,FALSE),""))</f>
        <v/>
      </c>
      <c r="C146" s="36">
        <f>IF(B146="","",IFERROR(VLOOKUP(B146,八肖参数!$A:$B,2,FALSE),""))</f>
        <v/>
      </c>
      <c r="D146" s="32">
        <f>IF($A146="","",IFERROR(VLOOKUP($A146,开奖记录!$A:$L,9,FALSE),""))</f>
        <v/>
      </c>
      <c r="E146" s="32">
        <f>IF($A146="","",IFERROR(VLOOKUP($A146,开奖记录!$A:$L,11,FALSE),""))</f>
        <v/>
      </c>
      <c r="F146" s="32">
        <f>IF(A146="","",IF(B146="","缺上期数据",IF(E146="","待开奖",IF(ISNUMBER(SEARCH(E146,C146)),"命中","未命中"))))</f>
        <v/>
      </c>
    </row>
    <row r="147" ht="23" customHeight="1" s="21">
      <c r="A147" s="32">
        <f>IFERROR(LARGE(开奖记录!$A$2:$A$400,146),"")</f>
        <v/>
      </c>
      <c r="B147" s="32">
        <f>IF($A147="","",IFERROR(VLOOKUP($A147-1,开奖记录!$A:$L,11,FALSE),""))</f>
        <v/>
      </c>
      <c r="C147" s="36">
        <f>IF(B147="","",IFERROR(VLOOKUP(B147,八肖参数!$A:$B,2,FALSE),""))</f>
        <v/>
      </c>
      <c r="D147" s="32">
        <f>IF($A147="","",IFERROR(VLOOKUP($A147,开奖记录!$A:$L,9,FALSE),""))</f>
        <v/>
      </c>
      <c r="E147" s="32">
        <f>IF($A147="","",IFERROR(VLOOKUP($A147,开奖记录!$A:$L,11,FALSE),""))</f>
        <v/>
      </c>
      <c r="F147" s="32">
        <f>IF(A147="","",IF(B147="","缺上期数据",IF(E147="","待开奖",IF(ISNUMBER(SEARCH(E147,C147)),"命中","未命中"))))</f>
        <v/>
      </c>
    </row>
    <row r="148" ht="23" customHeight="1" s="21">
      <c r="A148" s="32">
        <f>IFERROR(LARGE(开奖记录!$A$2:$A$400,147),"")</f>
        <v/>
      </c>
      <c r="B148" s="32">
        <f>IF($A148="","",IFERROR(VLOOKUP($A148-1,开奖记录!$A:$L,11,FALSE),""))</f>
        <v/>
      </c>
      <c r="C148" s="36">
        <f>IF(B148="","",IFERROR(VLOOKUP(B148,八肖参数!$A:$B,2,FALSE),""))</f>
        <v/>
      </c>
      <c r="D148" s="32">
        <f>IF($A148="","",IFERROR(VLOOKUP($A148,开奖记录!$A:$L,9,FALSE),""))</f>
        <v/>
      </c>
      <c r="E148" s="32">
        <f>IF($A148="","",IFERROR(VLOOKUP($A148,开奖记录!$A:$L,11,FALSE),""))</f>
        <v/>
      </c>
      <c r="F148" s="32">
        <f>IF(A148="","",IF(B148="","缺上期数据",IF(E148="","待开奖",IF(ISNUMBER(SEARCH(E148,C148)),"命中","未命中"))))</f>
        <v/>
      </c>
    </row>
    <row r="149" ht="23" customHeight="1" s="21">
      <c r="A149" s="32">
        <f>IFERROR(LARGE(开奖记录!$A$2:$A$400,148),"")</f>
        <v/>
      </c>
      <c r="B149" s="32">
        <f>IF($A149="","",IFERROR(VLOOKUP($A149-1,开奖记录!$A:$L,11,FALSE),""))</f>
        <v/>
      </c>
      <c r="C149" s="36">
        <f>IF(B149="","",IFERROR(VLOOKUP(B149,八肖参数!$A:$B,2,FALSE),""))</f>
        <v/>
      </c>
      <c r="D149" s="32">
        <f>IF($A149="","",IFERROR(VLOOKUP($A149,开奖记录!$A:$L,9,FALSE),""))</f>
        <v/>
      </c>
      <c r="E149" s="32">
        <f>IF($A149="","",IFERROR(VLOOKUP($A149,开奖记录!$A:$L,11,FALSE),""))</f>
        <v/>
      </c>
      <c r="F149" s="32">
        <f>IF(A149="","",IF(B149="","缺上期数据",IF(E149="","待开奖",IF(ISNUMBER(SEARCH(E149,C149)),"命中","未命中"))))</f>
        <v/>
      </c>
    </row>
    <row r="150" ht="23" customHeight="1" s="21">
      <c r="A150" s="32">
        <f>IFERROR(LARGE(开奖记录!$A$2:$A$400,149),"")</f>
        <v/>
      </c>
      <c r="B150" s="32">
        <f>IF($A150="","",IFERROR(VLOOKUP($A150-1,开奖记录!$A:$L,11,FALSE),""))</f>
        <v/>
      </c>
      <c r="C150" s="36">
        <f>IF(B150="","",IFERROR(VLOOKUP(B150,八肖参数!$A:$B,2,FALSE),""))</f>
        <v/>
      </c>
      <c r="D150" s="32">
        <f>IF($A150="","",IFERROR(VLOOKUP($A150,开奖记录!$A:$L,9,FALSE),""))</f>
        <v/>
      </c>
      <c r="E150" s="32">
        <f>IF($A150="","",IFERROR(VLOOKUP($A150,开奖记录!$A:$L,11,FALSE),""))</f>
        <v/>
      </c>
      <c r="F150" s="32">
        <f>IF(A150="","",IF(B150="","缺上期数据",IF(E150="","待开奖",IF(ISNUMBER(SEARCH(E150,C150)),"命中","未命中"))))</f>
        <v/>
      </c>
    </row>
    <row r="151" ht="23" customHeight="1" s="21">
      <c r="A151" s="32">
        <f>IFERROR(LARGE(开奖记录!$A$2:$A$400,150),"")</f>
        <v/>
      </c>
      <c r="B151" s="32">
        <f>IF($A151="","",IFERROR(VLOOKUP($A151-1,开奖记录!$A:$L,11,FALSE),""))</f>
        <v/>
      </c>
      <c r="C151" s="36">
        <f>IF(B151="","",IFERROR(VLOOKUP(B151,八肖参数!$A:$B,2,FALSE),""))</f>
        <v/>
      </c>
      <c r="D151" s="32">
        <f>IF($A151="","",IFERROR(VLOOKUP($A151,开奖记录!$A:$L,9,FALSE),""))</f>
        <v/>
      </c>
      <c r="E151" s="32">
        <f>IF($A151="","",IFERROR(VLOOKUP($A151,开奖记录!$A:$L,11,FALSE),""))</f>
        <v/>
      </c>
      <c r="F151" s="32">
        <f>IF(A151="","",IF(B151="","缺上期数据",IF(E151="","待开奖",IF(ISNUMBER(SEARCH(E151,C151)),"命中","未命中"))))</f>
        <v/>
      </c>
    </row>
    <row r="152" ht="23" customHeight="1" s="21">
      <c r="A152" s="32">
        <f>IFERROR(LARGE(开奖记录!$A$2:$A$400,151),"")</f>
        <v/>
      </c>
      <c r="B152" s="32">
        <f>IF($A152="","",IFERROR(VLOOKUP($A152-1,开奖记录!$A:$L,11,FALSE),""))</f>
        <v/>
      </c>
      <c r="C152" s="36">
        <f>IF(B152="","",IFERROR(VLOOKUP(B152,八肖参数!$A:$B,2,FALSE),""))</f>
        <v/>
      </c>
      <c r="D152" s="32">
        <f>IF($A152="","",IFERROR(VLOOKUP($A152,开奖记录!$A:$L,9,FALSE),""))</f>
        <v/>
      </c>
      <c r="E152" s="32">
        <f>IF($A152="","",IFERROR(VLOOKUP($A152,开奖记录!$A:$L,11,FALSE),""))</f>
        <v/>
      </c>
      <c r="F152" s="32">
        <f>IF(A152="","",IF(B152="","缺上期数据",IF(E152="","待开奖",IF(ISNUMBER(SEARCH(E152,C152)),"命中","未命中"))))</f>
        <v/>
      </c>
    </row>
    <row r="153" ht="23" customHeight="1" s="21">
      <c r="A153" s="32">
        <f>IFERROR(LARGE(开奖记录!$A$2:$A$400,152),"")</f>
        <v/>
      </c>
      <c r="B153" s="32">
        <f>IF($A153="","",IFERROR(VLOOKUP($A153-1,开奖记录!$A:$L,11,FALSE),""))</f>
        <v/>
      </c>
      <c r="C153" s="36">
        <f>IF(B153="","",IFERROR(VLOOKUP(B153,八肖参数!$A:$B,2,FALSE),""))</f>
        <v/>
      </c>
      <c r="D153" s="32">
        <f>IF($A153="","",IFERROR(VLOOKUP($A153,开奖记录!$A:$L,9,FALSE),""))</f>
        <v/>
      </c>
      <c r="E153" s="32">
        <f>IF($A153="","",IFERROR(VLOOKUP($A153,开奖记录!$A:$L,11,FALSE),""))</f>
        <v/>
      </c>
      <c r="F153" s="32">
        <f>IF(A153="","",IF(B153="","缺上期数据",IF(E153="","待开奖",IF(ISNUMBER(SEARCH(E153,C153)),"命中","未命中"))))</f>
        <v/>
      </c>
    </row>
    <row r="154" ht="23" customHeight="1" s="21">
      <c r="A154" s="32">
        <f>IFERROR(LARGE(开奖记录!$A$2:$A$400,153),"")</f>
        <v/>
      </c>
      <c r="B154" s="32">
        <f>IF($A154="","",IFERROR(VLOOKUP($A154-1,开奖记录!$A:$L,11,FALSE),""))</f>
        <v/>
      </c>
      <c r="C154" s="36">
        <f>IF(B154="","",IFERROR(VLOOKUP(B154,八肖参数!$A:$B,2,FALSE),""))</f>
        <v/>
      </c>
      <c r="D154" s="32">
        <f>IF($A154="","",IFERROR(VLOOKUP($A154,开奖记录!$A:$L,9,FALSE),""))</f>
        <v/>
      </c>
      <c r="E154" s="32">
        <f>IF($A154="","",IFERROR(VLOOKUP($A154,开奖记录!$A:$L,11,FALSE),""))</f>
        <v/>
      </c>
      <c r="F154" s="32">
        <f>IF(A154="","",IF(B154="","缺上期数据",IF(E154="","待开奖",IF(ISNUMBER(SEARCH(E154,C154)),"命中","未命中"))))</f>
        <v/>
      </c>
    </row>
    <row r="155" ht="23" customHeight="1" s="21">
      <c r="A155" s="32">
        <f>IFERROR(LARGE(开奖记录!$A$2:$A$400,154),"")</f>
        <v/>
      </c>
      <c r="B155" s="32">
        <f>IF($A155="","",IFERROR(VLOOKUP($A155-1,开奖记录!$A:$L,11,FALSE),""))</f>
        <v/>
      </c>
      <c r="C155" s="36">
        <f>IF(B155="","",IFERROR(VLOOKUP(B155,八肖参数!$A:$B,2,FALSE),""))</f>
        <v/>
      </c>
      <c r="D155" s="32">
        <f>IF($A155="","",IFERROR(VLOOKUP($A155,开奖记录!$A:$L,9,FALSE),""))</f>
        <v/>
      </c>
      <c r="E155" s="32">
        <f>IF($A155="","",IFERROR(VLOOKUP($A155,开奖记录!$A:$L,11,FALSE),""))</f>
        <v/>
      </c>
      <c r="F155" s="32">
        <f>IF(A155="","",IF(B155="","缺上期数据",IF(E155="","待开奖",IF(ISNUMBER(SEARCH(E155,C155)),"命中","未命中"))))</f>
        <v/>
      </c>
    </row>
    <row r="156" ht="23" customHeight="1" s="21">
      <c r="A156" s="32">
        <f>IFERROR(LARGE(开奖记录!$A$2:$A$400,155),"")</f>
        <v/>
      </c>
      <c r="B156" s="32">
        <f>IF($A156="","",IFERROR(VLOOKUP($A156-1,开奖记录!$A:$L,11,FALSE),""))</f>
        <v/>
      </c>
      <c r="C156" s="36">
        <f>IF(B156="","",IFERROR(VLOOKUP(B156,八肖参数!$A:$B,2,FALSE),""))</f>
        <v/>
      </c>
      <c r="D156" s="32">
        <f>IF($A156="","",IFERROR(VLOOKUP($A156,开奖记录!$A:$L,9,FALSE),""))</f>
        <v/>
      </c>
      <c r="E156" s="32">
        <f>IF($A156="","",IFERROR(VLOOKUP($A156,开奖记录!$A:$L,11,FALSE),""))</f>
        <v/>
      </c>
      <c r="F156" s="32">
        <f>IF(A156="","",IF(B156="","缺上期数据",IF(E156="","待开奖",IF(ISNUMBER(SEARCH(E156,C156)),"命中","未命中"))))</f>
        <v/>
      </c>
    </row>
    <row r="157" ht="23" customHeight="1" s="21">
      <c r="A157" s="32">
        <f>IFERROR(LARGE(开奖记录!$A$2:$A$400,156),"")</f>
        <v/>
      </c>
      <c r="B157" s="32">
        <f>IF($A157="","",IFERROR(VLOOKUP($A157-1,开奖记录!$A:$L,11,FALSE),""))</f>
        <v/>
      </c>
      <c r="C157" s="36">
        <f>IF(B157="","",IFERROR(VLOOKUP(B157,八肖参数!$A:$B,2,FALSE),""))</f>
        <v/>
      </c>
      <c r="D157" s="32">
        <f>IF($A157="","",IFERROR(VLOOKUP($A157,开奖记录!$A:$L,9,FALSE),""))</f>
        <v/>
      </c>
      <c r="E157" s="32">
        <f>IF($A157="","",IFERROR(VLOOKUP($A157,开奖记录!$A:$L,11,FALSE),""))</f>
        <v/>
      </c>
      <c r="F157" s="32">
        <f>IF(A157="","",IF(B157="","缺上期数据",IF(E157="","待开奖",IF(ISNUMBER(SEARCH(E157,C157)),"命中","未命中"))))</f>
        <v/>
      </c>
    </row>
    <row r="158" ht="23" customHeight="1" s="21">
      <c r="A158" s="32">
        <f>IFERROR(LARGE(开奖记录!$A$2:$A$400,157),"")</f>
        <v/>
      </c>
      <c r="B158" s="32">
        <f>IF($A158="","",IFERROR(VLOOKUP($A158-1,开奖记录!$A:$L,11,FALSE),""))</f>
        <v/>
      </c>
      <c r="C158" s="36">
        <f>IF(B158="","",IFERROR(VLOOKUP(B158,八肖参数!$A:$B,2,FALSE),""))</f>
        <v/>
      </c>
      <c r="D158" s="32">
        <f>IF($A158="","",IFERROR(VLOOKUP($A158,开奖记录!$A:$L,9,FALSE),""))</f>
        <v/>
      </c>
      <c r="E158" s="32">
        <f>IF($A158="","",IFERROR(VLOOKUP($A158,开奖记录!$A:$L,11,FALSE),""))</f>
        <v/>
      </c>
      <c r="F158" s="32">
        <f>IF(A158="","",IF(B158="","缺上期数据",IF(E158="","待开奖",IF(ISNUMBER(SEARCH(E158,C158)),"命中","未命中"))))</f>
        <v/>
      </c>
    </row>
    <row r="159" ht="23" customHeight="1" s="21">
      <c r="A159" s="32">
        <f>IFERROR(LARGE(开奖记录!$A$2:$A$400,158),"")</f>
        <v/>
      </c>
      <c r="B159" s="32">
        <f>IF($A159="","",IFERROR(VLOOKUP($A159-1,开奖记录!$A:$L,11,FALSE),""))</f>
        <v/>
      </c>
      <c r="C159" s="36">
        <f>IF(B159="","",IFERROR(VLOOKUP(B159,八肖参数!$A:$B,2,FALSE),""))</f>
        <v/>
      </c>
      <c r="D159" s="32">
        <f>IF($A159="","",IFERROR(VLOOKUP($A159,开奖记录!$A:$L,9,FALSE),""))</f>
        <v/>
      </c>
      <c r="E159" s="32">
        <f>IF($A159="","",IFERROR(VLOOKUP($A159,开奖记录!$A:$L,11,FALSE),""))</f>
        <v/>
      </c>
      <c r="F159" s="32">
        <f>IF(A159="","",IF(B159="","缺上期数据",IF(E159="","待开奖",IF(ISNUMBER(SEARCH(E159,C159)),"命中","未命中"))))</f>
        <v/>
      </c>
    </row>
    <row r="160" ht="23" customHeight="1" s="21">
      <c r="A160" s="32">
        <f>IFERROR(LARGE(开奖记录!$A$2:$A$400,159),"")</f>
        <v/>
      </c>
      <c r="B160" s="32">
        <f>IF($A160="","",IFERROR(VLOOKUP($A160-1,开奖记录!$A:$L,11,FALSE),""))</f>
        <v/>
      </c>
      <c r="C160" s="36">
        <f>IF(B160="","",IFERROR(VLOOKUP(B160,八肖参数!$A:$B,2,FALSE),""))</f>
        <v/>
      </c>
      <c r="D160" s="32">
        <f>IF($A160="","",IFERROR(VLOOKUP($A160,开奖记录!$A:$L,9,FALSE),""))</f>
        <v/>
      </c>
      <c r="E160" s="32">
        <f>IF($A160="","",IFERROR(VLOOKUP($A160,开奖记录!$A:$L,11,FALSE),""))</f>
        <v/>
      </c>
      <c r="F160" s="32">
        <f>IF(A160="","",IF(B160="","缺上期数据",IF(E160="","待开奖",IF(ISNUMBER(SEARCH(E160,C160)),"命中","未命中"))))</f>
        <v/>
      </c>
    </row>
    <row r="161" ht="23" customHeight="1" s="21">
      <c r="A161" s="32">
        <f>IFERROR(LARGE(开奖记录!$A$2:$A$400,160),"")</f>
        <v/>
      </c>
      <c r="B161" s="32">
        <f>IF($A161="","",IFERROR(VLOOKUP($A161-1,开奖记录!$A:$L,11,FALSE),""))</f>
        <v/>
      </c>
      <c r="C161" s="36">
        <f>IF(B161="","",IFERROR(VLOOKUP(B161,八肖参数!$A:$B,2,FALSE),""))</f>
        <v/>
      </c>
      <c r="D161" s="32">
        <f>IF($A161="","",IFERROR(VLOOKUP($A161,开奖记录!$A:$L,9,FALSE),""))</f>
        <v/>
      </c>
      <c r="E161" s="32">
        <f>IF($A161="","",IFERROR(VLOOKUP($A161,开奖记录!$A:$L,11,FALSE),""))</f>
        <v/>
      </c>
      <c r="F161" s="32">
        <f>IF(A161="","",IF(B161="","缺上期数据",IF(E161="","待开奖",IF(ISNUMBER(SEARCH(E161,C161)),"命中","未命中"))))</f>
        <v/>
      </c>
    </row>
    <row r="162" ht="23" customHeight="1" s="21">
      <c r="A162" s="32">
        <f>IFERROR(LARGE(开奖记录!$A$2:$A$400,161),"")</f>
        <v/>
      </c>
      <c r="B162" s="32">
        <f>IF($A162="","",IFERROR(VLOOKUP($A162-1,开奖记录!$A:$L,11,FALSE),""))</f>
        <v/>
      </c>
      <c r="C162" s="36">
        <f>IF(B162="","",IFERROR(VLOOKUP(B162,八肖参数!$A:$B,2,FALSE),""))</f>
        <v/>
      </c>
      <c r="D162" s="32">
        <f>IF($A162="","",IFERROR(VLOOKUP($A162,开奖记录!$A:$L,9,FALSE),""))</f>
        <v/>
      </c>
      <c r="E162" s="32">
        <f>IF($A162="","",IFERROR(VLOOKUP($A162,开奖记录!$A:$L,11,FALSE),""))</f>
        <v/>
      </c>
      <c r="F162" s="32">
        <f>IF(A162="","",IF(B162="","缺上期数据",IF(E162="","待开奖",IF(ISNUMBER(SEARCH(E162,C162)),"命中","未命中"))))</f>
        <v/>
      </c>
    </row>
    <row r="163" ht="23" customHeight="1" s="21">
      <c r="A163" s="32">
        <f>IFERROR(LARGE(开奖记录!$A$2:$A$400,162),"")</f>
        <v/>
      </c>
      <c r="B163" s="32">
        <f>IF($A163="","",IFERROR(VLOOKUP($A163-1,开奖记录!$A:$L,11,FALSE),""))</f>
        <v/>
      </c>
      <c r="C163" s="36">
        <f>IF(B163="","",IFERROR(VLOOKUP(B163,八肖参数!$A:$B,2,FALSE),""))</f>
        <v/>
      </c>
      <c r="D163" s="32">
        <f>IF($A163="","",IFERROR(VLOOKUP($A163,开奖记录!$A:$L,9,FALSE),""))</f>
        <v/>
      </c>
      <c r="E163" s="32">
        <f>IF($A163="","",IFERROR(VLOOKUP($A163,开奖记录!$A:$L,11,FALSE),""))</f>
        <v/>
      </c>
      <c r="F163" s="32">
        <f>IF(A163="","",IF(B163="","缺上期数据",IF(E163="","待开奖",IF(ISNUMBER(SEARCH(E163,C163)),"命中","未命中"))))</f>
        <v/>
      </c>
    </row>
    <row r="164" ht="23" customHeight="1" s="21">
      <c r="A164" s="32">
        <f>IFERROR(LARGE(开奖记录!$A$2:$A$400,163),"")</f>
        <v/>
      </c>
      <c r="B164" s="32">
        <f>IF($A164="","",IFERROR(VLOOKUP($A164-1,开奖记录!$A:$L,11,FALSE),""))</f>
        <v/>
      </c>
      <c r="C164" s="36">
        <f>IF(B164="","",IFERROR(VLOOKUP(B164,八肖参数!$A:$B,2,FALSE),""))</f>
        <v/>
      </c>
      <c r="D164" s="32">
        <f>IF($A164="","",IFERROR(VLOOKUP($A164,开奖记录!$A:$L,9,FALSE),""))</f>
        <v/>
      </c>
      <c r="E164" s="32">
        <f>IF($A164="","",IFERROR(VLOOKUP($A164,开奖记录!$A:$L,11,FALSE),""))</f>
        <v/>
      </c>
      <c r="F164" s="32">
        <f>IF(A164="","",IF(B164="","缺上期数据",IF(E164="","待开奖",IF(ISNUMBER(SEARCH(E164,C164)),"命中","未命中"))))</f>
        <v/>
      </c>
    </row>
    <row r="165" ht="23" customHeight="1" s="21">
      <c r="A165" s="32">
        <f>IFERROR(LARGE(开奖记录!$A$2:$A$400,164),"")</f>
        <v/>
      </c>
      <c r="B165" s="32">
        <f>IF($A165="","",IFERROR(VLOOKUP($A165-1,开奖记录!$A:$L,11,FALSE),""))</f>
        <v/>
      </c>
      <c r="C165" s="36">
        <f>IF(B165="","",IFERROR(VLOOKUP(B165,八肖参数!$A:$B,2,FALSE),""))</f>
        <v/>
      </c>
      <c r="D165" s="32">
        <f>IF($A165="","",IFERROR(VLOOKUP($A165,开奖记录!$A:$L,9,FALSE),""))</f>
        <v/>
      </c>
      <c r="E165" s="32">
        <f>IF($A165="","",IFERROR(VLOOKUP($A165,开奖记录!$A:$L,11,FALSE),""))</f>
        <v/>
      </c>
      <c r="F165" s="32">
        <f>IF(A165="","",IF(B165="","缺上期数据",IF(E165="","待开奖",IF(ISNUMBER(SEARCH(E165,C165)),"命中","未命中"))))</f>
        <v/>
      </c>
    </row>
    <row r="166" ht="23" customHeight="1" s="21">
      <c r="A166" s="32">
        <f>IFERROR(LARGE(开奖记录!$A$2:$A$400,165),"")</f>
        <v/>
      </c>
      <c r="B166" s="32">
        <f>IF($A166="","",IFERROR(VLOOKUP($A166-1,开奖记录!$A:$L,11,FALSE),""))</f>
        <v/>
      </c>
      <c r="C166" s="36">
        <f>IF(B166="","",IFERROR(VLOOKUP(B166,八肖参数!$A:$B,2,FALSE),""))</f>
        <v/>
      </c>
      <c r="D166" s="32">
        <f>IF($A166="","",IFERROR(VLOOKUP($A166,开奖记录!$A:$L,9,FALSE),""))</f>
        <v/>
      </c>
      <c r="E166" s="32">
        <f>IF($A166="","",IFERROR(VLOOKUP($A166,开奖记录!$A:$L,11,FALSE),""))</f>
        <v/>
      </c>
      <c r="F166" s="32">
        <f>IF(A166="","",IF(B166="","缺上期数据",IF(E166="","待开奖",IF(ISNUMBER(SEARCH(E166,C166)),"命中","未命中"))))</f>
        <v/>
      </c>
    </row>
    <row r="167" ht="23" customHeight="1" s="21">
      <c r="A167" s="32">
        <f>IFERROR(LARGE(开奖记录!$A$2:$A$400,166),"")</f>
        <v/>
      </c>
      <c r="B167" s="32">
        <f>IF($A167="","",IFERROR(VLOOKUP($A167-1,开奖记录!$A:$L,11,FALSE),""))</f>
        <v/>
      </c>
      <c r="C167" s="36">
        <f>IF(B167="","",IFERROR(VLOOKUP(B167,八肖参数!$A:$B,2,FALSE),""))</f>
        <v/>
      </c>
      <c r="D167" s="32">
        <f>IF($A167="","",IFERROR(VLOOKUP($A167,开奖记录!$A:$L,9,FALSE),""))</f>
        <v/>
      </c>
      <c r="E167" s="32">
        <f>IF($A167="","",IFERROR(VLOOKUP($A167,开奖记录!$A:$L,11,FALSE),""))</f>
        <v/>
      </c>
      <c r="F167" s="32">
        <f>IF(A167="","",IF(B167="","缺上期数据",IF(E167="","待开奖",IF(ISNUMBER(SEARCH(E167,C167)),"命中","未命中"))))</f>
        <v/>
      </c>
    </row>
    <row r="168" ht="23" customHeight="1" s="21">
      <c r="A168" s="32">
        <f>IFERROR(LARGE(开奖记录!$A$2:$A$400,167),"")</f>
        <v/>
      </c>
      <c r="B168" s="32">
        <f>IF($A168="","",IFERROR(VLOOKUP($A168-1,开奖记录!$A:$L,11,FALSE),""))</f>
        <v/>
      </c>
      <c r="C168" s="36">
        <f>IF(B168="","",IFERROR(VLOOKUP(B168,八肖参数!$A:$B,2,FALSE),""))</f>
        <v/>
      </c>
      <c r="D168" s="32">
        <f>IF($A168="","",IFERROR(VLOOKUP($A168,开奖记录!$A:$L,9,FALSE),""))</f>
        <v/>
      </c>
      <c r="E168" s="32">
        <f>IF($A168="","",IFERROR(VLOOKUP($A168,开奖记录!$A:$L,11,FALSE),""))</f>
        <v/>
      </c>
      <c r="F168" s="32">
        <f>IF(A168="","",IF(B168="","缺上期数据",IF(E168="","待开奖",IF(ISNUMBER(SEARCH(E168,C168)),"命中","未命中"))))</f>
        <v/>
      </c>
    </row>
    <row r="169" ht="23" customHeight="1" s="21">
      <c r="A169" s="32">
        <f>IFERROR(LARGE(开奖记录!$A$2:$A$400,168),"")</f>
        <v/>
      </c>
      <c r="B169" s="32">
        <f>IF($A169="","",IFERROR(VLOOKUP($A169-1,开奖记录!$A:$L,11,FALSE),""))</f>
        <v/>
      </c>
      <c r="C169" s="36">
        <f>IF(B169="","",IFERROR(VLOOKUP(B169,八肖参数!$A:$B,2,FALSE),""))</f>
        <v/>
      </c>
      <c r="D169" s="32">
        <f>IF($A169="","",IFERROR(VLOOKUP($A169,开奖记录!$A:$L,9,FALSE),""))</f>
        <v/>
      </c>
      <c r="E169" s="32">
        <f>IF($A169="","",IFERROR(VLOOKUP($A169,开奖记录!$A:$L,11,FALSE),""))</f>
        <v/>
      </c>
      <c r="F169" s="32">
        <f>IF(A169="","",IF(B169="","缺上期数据",IF(E169="","待开奖",IF(ISNUMBER(SEARCH(E169,C169)),"命中","未命中"))))</f>
        <v/>
      </c>
    </row>
    <row r="170" ht="23" customHeight="1" s="21">
      <c r="A170" s="32">
        <f>IFERROR(LARGE(开奖记录!$A$2:$A$400,169),"")</f>
        <v/>
      </c>
      <c r="B170" s="32">
        <f>IF($A170="","",IFERROR(VLOOKUP($A170-1,开奖记录!$A:$L,11,FALSE),""))</f>
        <v/>
      </c>
      <c r="C170" s="36">
        <f>IF(B170="","",IFERROR(VLOOKUP(B170,八肖参数!$A:$B,2,FALSE),""))</f>
        <v/>
      </c>
      <c r="D170" s="32">
        <f>IF($A170="","",IFERROR(VLOOKUP($A170,开奖记录!$A:$L,9,FALSE),""))</f>
        <v/>
      </c>
      <c r="E170" s="32">
        <f>IF($A170="","",IFERROR(VLOOKUP($A170,开奖记录!$A:$L,11,FALSE),""))</f>
        <v/>
      </c>
      <c r="F170" s="32">
        <f>IF(A170="","",IF(B170="","缺上期数据",IF(E170="","待开奖",IF(ISNUMBER(SEARCH(E170,C170)),"命中","未命中"))))</f>
        <v/>
      </c>
    </row>
    <row r="171" ht="23" customHeight="1" s="21">
      <c r="A171" s="32">
        <f>IFERROR(LARGE(开奖记录!$A$2:$A$400,170),"")</f>
        <v/>
      </c>
      <c r="B171" s="32">
        <f>IF($A171="","",IFERROR(VLOOKUP($A171-1,开奖记录!$A:$L,11,FALSE),""))</f>
        <v/>
      </c>
      <c r="C171" s="36">
        <f>IF(B171="","",IFERROR(VLOOKUP(B171,八肖参数!$A:$B,2,FALSE),""))</f>
        <v/>
      </c>
      <c r="D171" s="32">
        <f>IF($A171="","",IFERROR(VLOOKUP($A171,开奖记录!$A:$L,9,FALSE),""))</f>
        <v/>
      </c>
      <c r="E171" s="32">
        <f>IF($A171="","",IFERROR(VLOOKUP($A171,开奖记录!$A:$L,11,FALSE),""))</f>
        <v/>
      </c>
      <c r="F171" s="32">
        <f>IF(A171="","",IF(B171="","缺上期数据",IF(E171="","待开奖",IF(ISNUMBER(SEARCH(E171,C171)),"命中","未命中"))))</f>
        <v/>
      </c>
    </row>
    <row r="172" ht="23" customHeight="1" s="21">
      <c r="A172" s="32">
        <f>IFERROR(LARGE(开奖记录!$A$2:$A$400,171),"")</f>
        <v/>
      </c>
      <c r="B172" s="32">
        <f>IF($A172="","",IFERROR(VLOOKUP($A172-1,开奖记录!$A:$L,11,FALSE),""))</f>
        <v/>
      </c>
      <c r="C172" s="36">
        <f>IF(B172="","",IFERROR(VLOOKUP(B172,八肖参数!$A:$B,2,FALSE),""))</f>
        <v/>
      </c>
      <c r="D172" s="32">
        <f>IF($A172="","",IFERROR(VLOOKUP($A172,开奖记录!$A:$L,9,FALSE),""))</f>
        <v/>
      </c>
      <c r="E172" s="32">
        <f>IF($A172="","",IFERROR(VLOOKUP($A172,开奖记录!$A:$L,11,FALSE),""))</f>
        <v/>
      </c>
      <c r="F172" s="32">
        <f>IF(A172="","",IF(B172="","缺上期数据",IF(E172="","待开奖",IF(ISNUMBER(SEARCH(E172,C172)),"命中","未命中"))))</f>
        <v/>
      </c>
    </row>
    <row r="173" ht="23" customHeight="1" s="21">
      <c r="A173" s="32">
        <f>IFERROR(LARGE(开奖记录!$A$2:$A$400,172),"")</f>
        <v/>
      </c>
      <c r="B173" s="32">
        <f>IF($A173="","",IFERROR(VLOOKUP($A173-1,开奖记录!$A:$L,11,FALSE),""))</f>
        <v/>
      </c>
      <c r="C173" s="36">
        <f>IF(B173="","",IFERROR(VLOOKUP(B173,八肖参数!$A:$B,2,FALSE),""))</f>
        <v/>
      </c>
      <c r="D173" s="32">
        <f>IF($A173="","",IFERROR(VLOOKUP($A173,开奖记录!$A:$L,9,FALSE),""))</f>
        <v/>
      </c>
      <c r="E173" s="32">
        <f>IF($A173="","",IFERROR(VLOOKUP($A173,开奖记录!$A:$L,11,FALSE),""))</f>
        <v/>
      </c>
      <c r="F173" s="32">
        <f>IF(A173="","",IF(B173="","缺上期数据",IF(E173="","待开奖",IF(ISNUMBER(SEARCH(E173,C173)),"命中","未命中"))))</f>
        <v/>
      </c>
    </row>
    <row r="174" ht="23" customHeight="1" s="21">
      <c r="A174" s="32">
        <f>IFERROR(LARGE(开奖记录!$A$2:$A$400,173),"")</f>
        <v/>
      </c>
      <c r="B174" s="32">
        <f>IF($A174="","",IFERROR(VLOOKUP($A174-1,开奖记录!$A:$L,11,FALSE),""))</f>
        <v/>
      </c>
      <c r="C174" s="36">
        <f>IF(B174="","",IFERROR(VLOOKUP(B174,八肖参数!$A:$B,2,FALSE),""))</f>
        <v/>
      </c>
      <c r="D174" s="32">
        <f>IF($A174="","",IFERROR(VLOOKUP($A174,开奖记录!$A:$L,9,FALSE),""))</f>
        <v/>
      </c>
      <c r="E174" s="32">
        <f>IF($A174="","",IFERROR(VLOOKUP($A174,开奖记录!$A:$L,11,FALSE),""))</f>
        <v/>
      </c>
      <c r="F174" s="32">
        <f>IF(A174="","",IF(B174="","缺上期数据",IF(E174="","待开奖",IF(ISNUMBER(SEARCH(E174,C174)),"命中","未命中"))))</f>
        <v/>
      </c>
    </row>
    <row r="175" ht="23" customHeight="1" s="21">
      <c r="A175" s="32">
        <f>IFERROR(LARGE(开奖记录!$A$2:$A$400,174),"")</f>
        <v/>
      </c>
      <c r="B175" s="32">
        <f>IF($A175="","",IFERROR(VLOOKUP($A175-1,开奖记录!$A:$L,11,FALSE),""))</f>
        <v/>
      </c>
      <c r="C175" s="36">
        <f>IF(B175="","",IFERROR(VLOOKUP(B175,八肖参数!$A:$B,2,FALSE),""))</f>
        <v/>
      </c>
      <c r="D175" s="32">
        <f>IF($A175="","",IFERROR(VLOOKUP($A175,开奖记录!$A:$L,9,FALSE),""))</f>
        <v/>
      </c>
      <c r="E175" s="32">
        <f>IF($A175="","",IFERROR(VLOOKUP($A175,开奖记录!$A:$L,11,FALSE),""))</f>
        <v/>
      </c>
      <c r="F175" s="32">
        <f>IF(A175="","",IF(B175="","缺上期数据",IF(E175="","待开奖",IF(ISNUMBER(SEARCH(E175,C175)),"命中","未命中"))))</f>
        <v/>
      </c>
    </row>
    <row r="176" ht="23" customHeight="1" s="21">
      <c r="A176" s="32">
        <f>IFERROR(LARGE(开奖记录!$A$2:$A$400,175),"")</f>
        <v/>
      </c>
      <c r="B176" s="32">
        <f>IF($A176="","",IFERROR(VLOOKUP($A176-1,开奖记录!$A:$L,11,FALSE),""))</f>
        <v/>
      </c>
      <c r="C176" s="36">
        <f>IF(B176="","",IFERROR(VLOOKUP(B176,八肖参数!$A:$B,2,FALSE),""))</f>
        <v/>
      </c>
      <c r="D176" s="32">
        <f>IF($A176="","",IFERROR(VLOOKUP($A176,开奖记录!$A:$L,9,FALSE),""))</f>
        <v/>
      </c>
      <c r="E176" s="32">
        <f>IF($A176="","",IFERROR(VLOOKUP($A176,开奖记录!$A:$L,11,FALSE),""))</f>
        <v/>
      </c>
      <c r="F176" s="32">
        <f>IF(A176="","",IF(B176="","缺上期数据",IF(E176="","待开奖",IF(ISNUMBER(SEARCH(E176,C176)),"命中","未命中"))))</f>
        <v/>
      </c>
    </row>
    <row r="177" ht="23" customHeight="1" s="21">
      <c r="A177" s="32">
        <f>IFERROR(LARGE(开奖记录!$A$2:$A$400,176),"")</f>
        <v/>
      </c>
      <c r="B177" s="32">
        <f>IF($A177="","",IFERROR(VLOOKUP($A177-1,开奖记录!$A:$L,11,FALSE),""))</f>
        <v/>
      </c>
      <c r="C177" s="36">
        <f>IF(B177="","",IFERROR(VLOOKUP(B177,八肖参数!$A:$B,2,FALSE),""))</f>
        <v/>
      </c>
      <c r="D177" s="32">
        <f>IF($A177="","",IFERROR(VLOOKUP($A177,开奖记录!$A:$L,9,FALSE),""))</f>
        <v/>
      </c>
      <c r="E177" s="32">
        <f>IF($A177="","",IFERROR(VLOOKUP($A177,开奖记录!$A:$L,11,FALSE),""))</f>
        <v/>
      </c>
      <c r="F177" s="32">
        <f>IF(A177="","",IF(B177="","缺上期数据",IF(E177="","待开奖",IF(ISNUMBER(SEARCH(E177,C177)),"命中","未命中"))))</f>
        <v/>
      </c>
    </row>
    <row r="178" ht="23" customHeight="1" s="21">
      <c r="A178" s="32">
        <f>IFERROR(LARGE(开奖记录!$A$2:$A$400,177),"")</f>
        <v/>
      </c>
      <c r="B178" s="32">
        <f>IF($A178="","",IFERROR(VLOOKUP($A178-1,开奖记录!$A:$L,11,FALSE),""))</f>
        <v/>
      </c>
      <c r="C178" s="36">
        <f>IF(B178="","",IFERROR(VLOOKUP(B178,八肖参数!$A:$B,2,FALSE),""))</f>
        <v/>
      </c>
      <c r="D178" s="32">
        <f>IF($A178="","",IFERROR(VLOOKUP($A178,开奖记录!$A:$L,9,FALSE),""))</f>
        <v/>
      </c>
      <c r="E178" s="32">
        <f>IF($A178="","",IFERROR(VLOOKUP($A178,开奖记录!$A:$L,11,FALSE),""))</f>
        <v/>
      </c>
      <c r="F178" s="32">
        <f>IF(A178="","",IF(B178="","缺上期数据",IF(E178="","待开奖",IF(ISNUMBER(SEARCH(E178,C178)),"命中","未命中"))))</f>
        <v/>
      </c>
    </row>
    <row r="179" ht="23" customHeight="1" s="21">
      <c r="A179" s="32">
        <f>IFERROR(LARGE(开奖记录!$A$2:$A$400,178),"")</f>
        <v/>
      </c>
      <c r="B179" s="32">
        <f>IF($A179="","",IFERROR(VLOOKUP($A179-1,开奖记录!$A:$L,11,FALSE),""))</f>
        <v/>
      </c>
      <c r="C179" s="36">
        <f>IF(B179="","",IFERROR(VLOOKUP(B179,八肖参数!$A:$B,2,FALSE),""))</f>
        <v/>
      </c>
      <c r="D179" s="32">
        <f>IF($A179="","",IFERROR(VLOOKUP($A179,开奖记录!$A:$L,9,FALSE),""))</f>
        <v/>
      </c>
      <c r="E179" s="32">
        <f>IF($A179="","",IFERROR(VLOOKUP($A179,开奖记录!$A:$L,11,FALSE),""))</f>
        <v/>
      </c>
      <c r="F179" s="32">
        <f>IF(A179="","",IF(B179="","缺上期数据",IF(E179="","待开奖",IF(ISNUMBER(SEARCH(E179,C179)),"命中","未命中"))))</f>
        <v/>
      </c>
    </row>
    <row r="180" ht="23" customHeight="1" s="21">
      <c r="A180" s="32">
        <f>IFERROR(LARGE(开奖记录!$A$2:$A$400,179),"")</f>
        <v/>
      </c>
      <c r="B180" s="32">
        <f>IF($A180="","",IFERROR(VLOOKUP($A180-1,开奖记录!$A:$L,11,FALSE),""))</f>
        <v/>
      </c>
      <c r="C180" s="36">
        <f>IF(B180="","",IFERROR(VLOOKUP(B180,八肖参数!$A:$B,2,FALSE),""))</f>
        <v/>
      </c>
      <c r="D180" s="32">
        <f>IF($A180="","",IFERROR(VLOOKUP($A180,开奖记录!$A:$L,9,FALSE),""))</f>
        <v/>
      </c>
      <c r="E180" s="32">
        <f>IF($A180="","",IFERROR(VLOOKUP($A180,开奖记录!$A:$L,11,FALSE),""))</f>
        <v/>
      </c>
      <c r="F180" s="32">
        <f>IF(A180="","",IF(B180="","缺上期数据",IF(E180="","待开奖",IF(ISNUMBER(SEARCH(E180,C180)),"命中","未命中"))))</f>
        <v/>
      </c>
    </row>
    <row r="181" ht="23" customHeight="1" s="21">
      <c r="A181" s="32">
        <f>IFERROR(LARGE(开奖记录!$A$2:$A$400,180),"")</f>
        <v/>
      </c>
      <c r="B181" s="32">
        <f>IF($A181="","",IFERROR(VLOOKUP($A181-1,开奖记录!$A:$L,11,FALSE),""))</f>
        <v/>
      </c>
      <c r="C181" s="36">
        <f>IF(B181="","",IFERROR(VLOOKUP(B181,八肖参数!$A:$B,2,FALSE),""))</f>
        <v/>
      </c>
      <c r="D181" s="32">
        <f>IF($A181="","",IFERROR(VLOOKUP($A181,开奖记录!$A:$L,9,FALSE),""))</f>
        <v/>
      </c>
      <c r="E181" s="32">
        <f>IF($A181="","",IFERROR(VLOOKUP($A181,开奖记录!$A:$L,11,FALSE),""))</f>
        <v/>
      </c>
      <c r="F181" s="32">
        <f>IF(A181="","",IF(B181="","缺上期数据",IF(E181="","待开奖",IF(ISNUMBER(SEARCH(E181,C181)),"命中","未命中"))))</f>
        <v/>
      </c>
    </row>
    <row r="182" ht="23" customHeight="1" s="21">
      <c r="A182" s="32">
        <f>IFERROR(LARGE(开奖记录!$A$2:$A$400,181),"")</f>
        <v/>
      </c>
      <c r="B182" s="32">
        <f>IF($A182="","",IFERROR(VLOOKUP($A182-1,开奖记录!$A:$L,11,FALSE),""))</f>
        <v/>
      </c>
      <c r="C182" s="36">
        <f>IF(B182="","",IFERROR(VLOOKUP(B182,八肖参数!$A:$B,2,FALSE),""))</f>
        <v/>
      </c>
      <c r="D182" s="32">
        <f>IF($A182="","",IFERROR(VLOOKUP($A182,开奖记录!$A:$L,9,FALSE),""))</f>
        <v/>
      </c>
      <c r="E182" s="32">
        <f>IF($A182="","",IFERROR(VLOOKUP($A182,开奖记录!$A:$L,11,FALSE),""))</f>
        <v/>
      </c>
      <c r="F182" s="32">
        <f>IF(A182="","",IF(B182="","缺上期数据",IF(E182="","待开奖",IF(ISNUMBER(SEARCH(E182,C182)),"命中","未命中"))))</f>
        <v/>
      </c>
    </row>
    <row r="183" ht="23" customHeight="1" s="21">
      <c r="A183" s="32">
        <f>IFERROR(LARGE(开奖记录!$A$2:$A$400,182),"")</f>
        <v/>
      </c>
      <c r="B183" s="32">
        <f>IF($A183="","",IFERROR(VLOOKUP($A183-1,开奖记录!$A:$L,11,FALSE),""))</f>
        <v/>
      </c>
      <c r="C183" s="36">
        <f>IF(B183="","",IFERROR(VLOOKUP(B183,八肖参数!$A:$B,2,FALSE),""))</f>
        <v/>
      </c>
      <c r="D183" s="32">
        <f>IF($A183="","",IFERROR(VLOOKUP($A183,开奖记录!$A:$L,9,FALSE),""))</f>
        <v/>
      </c>
      <c r="E183" s="32">
        <f>IF($A183="","",IFERROR(VLOOKUP($A183,开奖记录!$A:$L,11,FALSE),""))</f>
        <v/>
      </c>
      <c r="F183" s="32">
        <f>IF(A183="","",IF(B183="","缺上期数据",IF(E183="","待开奖",IF(ISNUMBER(SEARCH(E183,C183)),"命中","未命中"))))</f>
        <v/>
      </c>
    </row>
    <row r="184" ht="23" customHeight="1" s="21">
      <c r="A184" s="32">
        <f>IFERROR(LARGE(开奖记录!$A$2:$A$400,183),"")</f>
        <v/>
      </c>
      <c r="B184" s="32">
        <f>IF($A184="","",IFERROR(VLOOKUP($A184-1,开奖记录!$A:$L,11,FALSE),""))</f>
        <v/>
      </c>
      <c r="C184" s="36">
        <f>IF(B184="","",IFERROR(VLOOKUP(B184,八肖参数!$A:$B,2,FALSE),""))</f>
        <v/>
      </c>
      <c r="D184" s="32">
        <f>IF($A184="","",IFERROR(VLOOKUP($A184,开奖记录!$A:$L,9,FALSE),""))</f>
        <v/>
      </c>
      <c r="E184" s="32">
        <f>IF($A184="","",IFERROR(VLOOKUP($A184,开奖记录!$A:$L,11,FALSE),""))</f>
        <v/>
      </c>
      <c r="F184" s="32">
        <f>IF(A184="","",IF(B184="","缺上期数据",IF(E184="","待开奖",IF(ISNUMBER(SEARCH(E184,C184)),"命中","未命中"))))</f>
        <v/>
      </c>
    </row>
    <row r="185" ht="23" customHeight="1" s="21">
      <c r="A185" s="32">
        <f>IFERROR(LARGE(开奖记录!$A$2:$A$400,184),"")</f>
        <v/>
      </c>
      <c r="B185" s="32">
        <f>IF($A185="","",IFERROR(VLOOKUP($A185-1,开奖记录!$A:$L,11,FALSE),""))</f>
        <v/>
      </c>
      <c r="C185" s="36">
        <f>IF(B185="","",IFERROR(VLOOKUP(B185,八肖参数!$A:$B,2,FALSE),""))</f>
        <v/>
      </c>
      <c r="D185" s="32">
        <f>IF($A185="","",IFERROR(VLOOKUP($A185,开奖记录!$A:$L,9,FALSE),""))</f>
        <v/>
      </c>
      <c r="E185" s="32">
        <f>IF($A185="","",IFERROR(VLOOKUP($A185,开奖记录!$A:$L,11,FALSE),""))</f>
        <v/>
      </c>
      <c r="F185" s="32">
        <f>IF(A185="","",IF(B185="","缺上期数据",IF(E185="","待开奖",IF(ISNUMBER(SEARCH(E185,C185)),"命中","未命中"))))</f>
        <v/>
      </c>
    </row>
    <row r="186" ht="23" customHeight="1" s="21">
      <c r="A186" s="32">
        <f>IFERROR(LARGE(开奖记录!$A$2:$A$400,185),"")</f>
        <v/>
      </c>
      <c r="B186" s="32">
        <f>IF($A186="","",IFERROR(VLOOKUP($A186-1,开奖记录!$A:$L,11,FALSE),""))</f>
        <v/>
      </c>
      <c r="C186" s="36">
        <f>IF(B186="","",IFERROR(VLOOKUP(B186,八肖参数!$A:$B,2,FALSE),""))</f>
        <v/>
      </c>
      <c r="D186" s="32">
        <f>IF($A186="","",IFERROR(VLOOKUP($A186,开奖记录!$A:$L,9,FALSE),""))</f>
        <v/>
      </c>
      <c r="E186" s="32">
        <f>IF($A186="","",IFERROR(VLOOKUP($A186,开奖记录!$A:$L,11,FALSE),""))</f>
        <v/>
      </c>
      <c r="F186" s="32">
        <f>IF(A186="","",IF(B186="","缺上期数据",IF(E186="","待开奖",IF(ISNUMBER(SEARCH(E186,C186)),"命中","未命中"))))</f>
        <v/>
      </c>
    </row>
    <row r="187" ht="23" customHeight="1" s="21">
      <c r="A187" s="32">
        <f>IFERROR(LARGE(开奖记录!$A$2:$A$400,186),"")</f>
        <v/>
      </c>
      <c r="B187" s="32">
        <f>IF($A187="","",IFERROR(VLOOKUP($A187-1,开奖记录!$A:$L,11,FALSE),""))</f>
        <v/>
      </c>
      <c r="C187" s="36">
        <f>IF(B187="","",IFERROR(VLOOKUP(B187,八肖参数!$A:$B,2,FALSE),""))</f>
        <v/>
      </c>
      <c r="D187" s="32">
        <f>IF($A187="","",IFERROR(VLOOKUP($A187,开奖记录!$A:$L,9,FALSE),""))</f>
        <v/>
      </c>
      <c r="E187" s="32">
        <f>IF($A187="","",IFERROR(VLOOKUP($A187,开奖记录!$A:$L,11,FALSE),""))</f>
        <v/>
      </c>
      <c r="F187" s="32">
        <f>IF(A187="","",IF(B187="","缺上期数据",IF(E187="","待开奖",IF(ISNUMBER(SEARCH(E187,C187)),"命中","未命中"))))</f>
        <v/>
      </c>
    </row>
    <row r="188" ht="23" customHeight="1" s="21">
      <c r="A188" s="32">
        <f>IFERROR(LARGE(开奖记录!$A$2:$A$400,187),"")</f>
        <v/>
      </c>
      <c r="B188" s="32">
        <f>IF($A188="","",IFERROR(VLOOKUP($A188-1,开奖记录!$A:$L,11,FALSE),""))</f>
        <v/>
      </c>
      <c r="C188" s="36">
        <f>IF(B188="","",IFERROR(VLOOKUP(B188,八肖参数!$A:$B,2,FALSE),""))</f>
        <v/>
      </c>
      <c r="D188" s="32">
        <f>IF($A188="","",IFERROR(VLOOKUP($A188,开奖记录!$A:$L,9,FALSE),""))</f>
        <v/>
      </c>
      <c r="E188" s="32">
        <f>IF($A188="","",IFERROR(VLOOKUP($A188,开奖记录!$A:$L,11,FALSE),""))</f>
        <v/>
      </c>
      <c r="F188" s="32">
        <f>IF(A188="","",IF(B188="","缺上期数据",IF(E188="","待开奖",IF(ISNUMBER(SEARCH(E188,C188)),"命中","未命中"))))</f>
        <v/>
      </c>
    </row>
    <row r="189" ht="23" customHeight="1" s="21">
      <c r="A189" s="32">
        <f>IFERROR(LARGE(开奖记录!$A$2:$A$400,188),"")</f>
        <v/>
      </c>
      <c r="B189" s="32">
        <f>IF($A189="","",IFERROR(VLOOKUP($A189-1,开奖记录!$A:$L,11,FALSE),""))</f>
        <v/>
      </c>
      <c r="C189" s="36">
        <f>IF(B189="","",IFERROR(VLOOKUP(B189,八肖参数!$A:$B,2,FALSE),""))</f>
        <v/>
      </c>
      <c r="D189" s="32">
        <f>IF($A189="","",IFERROR(VLOOKUP($A189,开奖记录!$A:$L,9,FALSE),""))</f>
        <v/>
      </c>
      <c r="E189" s="32">
        <f>IF($A189="","",IFERROR(VLOOKUP($A189,开奖记录!$A:$L,11,FALSE),""))</f>
        <v/>
      </c>
      <c r="F189" s="32">
        <f>IF(A189="","",IF(B189="","缺上期数据",IF(E189="","待开奖",IF(ISNUMBER(SEARCH(E189,C189)),"命中","未命中"))))</f>
        <v/>
      </c>
    </row>
    <row r="190" ht="23" customHeight="1" s="21">
      <c r="A190" s="32">
        <f>IFERROR(LARGE(开奖记录!$A$2:$A$400,189),"")</f>
        <v/>
      </c>
      <c r="B190" s="32">
        <f>IF($A190="","",IFERROR(VLOOKUP($A190-1,开奖记录!$A:$L,11,FALSE),""))</f>
        <v/>
      </c>
      <c r="C190" s="36">
        <f>IF(B190="","",IFERROR(VLOOKUP(B190,八肖参数!$A:$B,2,FALSE),""))</f>
        <v/>
      </c>
      <c r="D190" s="32">
        <f>IF($A190="","",IFERROR(VLOOKUP($A190,开奖记录!$A:$L,9,FALSE),""))</f>
        <v/>
      </c>
      <c r="E190" s="32">
        <f>IF($A190="","",IFERROR(VLOOKUP($A190,开奖记录!$A:$L,11,FALSE),""))</f>
        <v/>
      </c>
      <c r="F190" s="32">
        <f>IF(A190="","",IF(B190="","缺上期数据",IF(E190="","待开奖",IF(ISNUMBER(SEARCH(E190,C190)),"命中","未命中"))))</f>
        <v/>
      </c>
    </row>
    <row r="191" ht="23" customHeight="1" s="21">
      <c r="A191" s="32">
        <f>IFERROR(LARGE(开奖记录!$A$2:$A$400,190),"")</f>
        <v/>
      </c>
      <c r="B191" s="32">
        <f>IF($A191="","",IFERROR(VLOOKUP($A191-1,开奖记录!$A:$L,11,FALSE),""))</f>
        <v/>
      </c>
      <c r="C191" s="36">
        <f>IF(B191="","",IFERROR(VLOOKUP(B191,八肖参数!$A:$B,2,FALSE),""))</f>
        <v/>
      </c>
      <c r="D191" s="32">
        <f>IF($A191="","",IFERROR(VLOOKUP($A191,开奖记录!$A:$L,9,FALSE),""))</f>
        <v/>
      </c>
      <c r="E191" s="32">
        <f>IF($A191="","",IFERROR(VLOOKUP($A191,开奖记录!$A:$L,11,FALSE),""))</f>
        <v/>
      </c>
      <c r="F191" s="32">
        <f>IF(A191="","",IF(B191="","缺上期数据",IF(E191="","待开奖",IF(ISNUMBER(SEARCH(E191,C191)),"命中","未命中"))))</f>
        <v/>
      </c>
    </row>
    <row r="192" ht="23" customHeight="1" s="21">
      <c r="A192" s="32">
        <f>IFERROR(LARGE(开奖记录!$A$2:$A$400,191),"")</f>
        <v/>
      </c>
      <c r="B192" s="32">
        <f>IF($A192="","",IFERROR(VLOOKUP($A192-1,开奖记录!$A:$L,11,FALSE),""))</f>
        <v/>
      </c>
      <c r="C192" s="36">
        <f>IF(B192="","",IFERROR(VLOOKUP(B192,八肖参数!$A:$B,2,FALSE),""))</f>
        <v/>
      </c>
      <c r="D192" s="32">
        <f>IF($A192="","",IFERROR(VLOOKUP($A192,开奖记录!$A:$L,9,FALSE),""))</f>
        <v/>
      </c>
      <c r="E192" s="32">
        <f>IF($A192="","",IFERROR(VLOOKUP($A192,开奖记录!$A:$L,11,FALSE),""))</f>
        <v/>
      </c>
      <c r="F192" s="32">
        <f>IF(A192="","",IF(B192="","缺上期数据",IF(E192="","待开奖",IF(ISNUMBER(SEARCH(E192,C192)),"命中","未命中"))))</f>
        <v/>
      </c>
    </row>
    <row r="193" ht="23" customHeight="1" s="21">
      <c r="A193" s="32">
        <f>IFERROR(LARGE(开奖记录!$A$2:$A$400,192),"")</f>
        <v/>
      </c>
      <c r="B193" s="32">
        <f>IF($A193="","",IFERROR(VLOOKUP($A193-1,开奖记录!$A:$L,11,FALSE),""))</f>
        <v/>
      </c>
      <c r="C193" s="36">
        <f>IF(B193="","",IFERROR(VLOOKUP(B193,八肖参数!$A:$B,2,FALSE),""))</f>
        <v/>
      </c>
      <c r="D193" s="32">
        <f>IF($A193="","",IFERROR(VLOOKUP($A193,开奖记录!$A:$L,9,FALSE),""))</f>
        <v/>
      </c>
      <c r="E193" s="32">
        <f>IF($A193="","",IFERROR(VLOOKUP($A193,开奖记录!$A:$L,11,FALSE),""))</f>
        <v/>
      </c>
      <c r="F193" s="32">
        <f>IF(A193="","",IF(B193="","缺上期数据",IF(E193="","待开奖",IF(ISNUMBER(SEARCH(E193,C193)),"命中","未命中"))))</f>
        <v/>
      </c>
    </row>
    <row r="194" ht="23" customHeight="1" s="21">
      <c r="A194" s="32">
        <f>IFERROR(LARGE(开奖记录!$A$2:$A$400,193),"")</f>
        <v/>
      </c>
      <c r="B194" s="32">
        <f>IF($A194="","",IFERROR(VLOOKUP($A194-1,开奖记录!$A:$L,11,FALSE),""))</f>
        <v/>
      </c>
      <c r="C194" s="36">
        <f>IF(B194="","",IFERROR(VLOOKUP(B194,八肖参数!$A:$B,2,FALSE),""))</f>
        <v/>
      </c>
      <c r="D194" s="32">
        <f>IF($A194="","",IFERROR(VLOOKUP($A194,开奖记录!$A:$L,9,FALSE),""))</f>
        <v/>
      </c>
      <c r="E194" s="32">
        <f>IF($A194="","",IFERROR(VLOOKUP($A194,开奖记录!$A:$L,11,FALSE),""))</f>
        <v/>
      </c>
      <c r="F194" s="32">
        <f>IF(A194="","",IF(B194="","缺上期数据",IF(E194="","待开奖",IF(ISNUMBER(SEARCH(E194,C194)),"命中","未命中"))))</f>
        <v/>
      </c>
    </row>
    <row r="195" ht="23" customHeight="1" s="21">
      <c r="A195" s="32">
        <f>IFERROR(LARGE(开奖记录!$A$2:$A$400,194),"")</f>
        <v/>
      </c>
      <c r="B195" s="32">
        <f>IF($A195="","",IFERROR(VLOOKUP($A195-1,开奖记录!$A:$L,11,FALSE),""))</f>
        <v/>
      </c>
      <c r="C195" s="36">
        <f>IF(B195="","",IFERROR(VLOOKUP(B195,八肖参数!$A:$B,2,FALSE),""))</f>
        <v/>
      </c>
      <c r="D195" s="32">
        <f>IF($A195="","",IFERROR(VLOOKUP($A195,开奖记录!$A:$L,9,FALSE),""))</f>
        <v/>
      </c>
      <c r="E195" s="32">
        <f>IF($A195="","",IFERROR(VLOOKUP($A195,开奖记录!$A:$L,11,FALSE),""))</f>
        <v/>
      </c>
      <c r="F195" s="32">
        <f>IF(A195="","",IF(B195="","缺上期数据",IF(E195="","待开奖",IF(ISNUMBER(SEARCH(E195,C195)),"命中","未命中"))))</f>
        <v/>
      </c>
    </row>
    <row r="196" ht="23" customHeight="1" s="21">
      <c r="A196" s="32">
        <f>IFERROR(LARGE(开奖记录!$A$2:$A$400,195),"")</f>
        <v/>
      </c>
      <c r="B196" s="32">
        <f>IF($A196="","",IFERROR(VLOOKUP($A196-1,开奖记录!$A:$L,11,FALSE),""))</f>
        <v/>
      </c>
      <c r="C196" s="36">
        <f>IF(B196="","",IFERROR(VLOOKUP(B196,八肖参数!$A:$B,2,FALSE),""))</f>
        <v/>
      </c>
      <c r="D196" s="32">
        <f>IF($A196="","",IFERROR(VLOOKUP($A196,开奖记录!$A:$L,9,FALSE),""))</f>
        <v/>
      </c>
      <c r="E196" s="32">
        <f>IF($A196="","",IFERROR(VLOOKUP($A196,开奖记录!$A:$L,11,FALSE),""))</f>
        <v/>
      </c>
      <c r="F196" s="32">
        <f>IF(A196="","",IF(B196="","缺上期数据",IF(E196="","待开奖",IF(ISNUMBER(SEARCH(E196,C196)),"命中","未命中"))))</f>
        <v/>
      </c>
    </row>
    <row r="197" ht="23" customHeight="1" s="21">
      <c r="A197" s="32">
        <f>IFERROR(LARGE(开奖记录!$A$2:$A$400,196),"")</f>
        <v/>
      </c>
      <c r="B197" s="32">
        <f>IF($A197="","",IFERROR(VLOOKUP($A197-1,开奖记录!$A:$L,11,FALSE),""))</f>
        <v/>
      </c>
      <c r="C197" s="36">
        <f>IF(B197="","",IFERROR(VLOOKUP(B197,八肖参数!$A:$B,2,FALSE),""))</f>
        <v/>
      </c>
      <c r="D197" s="32">
        <f>IF($A197="","",IFERROR(VLOOKUP($A197,开奖记录!$A:$L,9,FALSE),""))</f>
        <v/>
      </c>
      <c r="E197" s="32">
        <f>IF($A197="","",IFERROR(VLOOKUP($A197,开奖记录!$A:$L,11,FALSE),""))</f>
        <v/>
      </c>
      <c r="F197" s="32">
        <f>IF(A197="","",IF(B197="","缺上期数据",IF(E197="","待开奖",IF(ISNUMBER(SEARCH(E197,C197)),"命中","未命中"))))</f>
        <v/>
      </c>
    </row>
    <row r="198" ht="23" customHeight="1" s="21">
      <c r="A198" s="32">
        <f>IFERROR(LARGE(开奖记录!$A$2:$A$400,197),"")</f>
        <v/>
      </c>
      <c r="B198" s="32">
        <f>IF($A198="","",IFERROR(VLOOKUP($A198-1,开奖记录!$A:$L,11,FALSE),""))</f>
        <v/>
      </c>
      <c r="C198" s="36">
        <f>IF(B198="","",IFERROR(VLOOKUP(B198,八肖参数!$A:$B,2,FALSE),""))</f>
        <v/>
      </c>
      <c r="D198" s="32">
        <f>IF($A198="","",IFERROR(VLOOKUP($A198,开奖记录!$A:$L,9,FALSE),""))</f>
        <v/>
      </c>
      <c r="E198" s="32">
        <f>IF($A198="","",IFERROR(VLOOKUP($A198,开奖记录!$A:$L,11,FALSE),""))</f>
        <v/>
      </c>
      <c r="F198" s="32">
        <f>IF(A198="","",IF(B198="","缺上期数据",IF(E198="","待开奖",IF(ISNUMBER(SEARCH(E198,C198)),"命中","未命中"))))</f>
        <v/>
      </c>
    </row>
    <row r="199" ht="23" customHeight="1" s="21">
      <c r="A199" s="32">
        <f>IFERROR(LARGE(开奖记录!$A$2:$A$400,198),"")</f>
        <v/>
      </c>
      <c r="B199" s="32">
        <f>IF($A199="","",IFERROR(VLOOKUP($A199-1,开奖记录!$A:$L,11,FALSE),""))</f>
        <v/>
      </c>
      <c r="C199" s="36">
        <f>IF(B199="","",IFERROR(VLOOKUP(B199,八肖参数!$A:$B,2,FALSE),""))</f>
        <v/>
      </c>
      <c r="D199" s="32">
        <f>IF($A199="","",IFERROR(VLOOKUP($A199,开奖记录!$A:$L,9,FALSE),""))</f>
        <v/>
      </c>
      <c r="E199" s="32">
        <f>IF($A199="","",IFERROR(VLOOKUP($A199,开奖记录!$A:$L,11,FALSE),""))</f>
        <v/>
      </c>
      <c r="F199" s="32">
        <f>IF(A199="","",IF(B199="","缺上期数据",IF(E199="","待开奖",IF(ISNUMBER(SEARCH(E199,C199)),"命中","未命中"))))</f>
        <v/>
      </c>
    </row>
    <row r="200" ht="23" customHeight="1" s="21">
      <c r="A200" s="32">
        <f>IFERROR(LARGE(开奖记录!$A$2:$A$400,199),"")</f>
        <v/>
      </c>
      <c r="B200" s="32">
        <f>IF($A200="","",IFERROR(VLOOKUP($A200-1,开奖记录!$A:$L,11,FALSE),""))</f>
        <v/>
      </c>
      <c r="C200" s="36">
        <f>IF(B200="","",IFERROR(VLOOKUP(B200,八肖参数!$A:$B,2,FALSE),""))</f>
        <v/>
      </c>
      <c r="D200" s="32">
        <f>IF($A200="","",IFERROR(VLOOKUP($A200,开奖记录!$A:$L,9,FALSE),""))</f>
        <v/>
      </c>
      <c r="E200" s="32">
        <f>IF($A200="","",IFERROR(VLOOKUP($A200,开奖记录!$A:$L,11,FALSE),""))</f>
        <v/>
      </c>
      <c r="F200" s="32">
        <f>IF(A200="","",IF(B200="","缺上期数据",IF(E200="","待开奖",IF(ISNUMBER(SEARCH(E200,C200)),"命中","未命中"))))</f>
        <v/>
      </c>
    </row>
    <row r="201" ht="23" customHeight="1" s="21">
      <c r="A201" s="32">
        <f>IFERROR(LARGE(开奖记录!$A$2:$A$400,200),"")</f>
        <v/>
      </c>
      <c r="B201" s="32">
        <f>IF($A201="","",IFERROR(VLOOKUP($A201-1,开奖记录!$A:$L,11,FALSE),""))</f>
        <v/>
      </c>
      <c r="C201" s="36">
        <f>IF(B201="","",IFERROR(VLOOKUP(B201,八肖参数!$A:$B,2,FALSE),""))</f>
        <v/>
      </c>
      <c r="D201" s="32">
        <f>IF($A201="","",IFERROR(VLOOKUP($A201,开奖记录!$A:$L,9,FALSE),""))</f>
        <v/>
      </c>
      <c r="E201" s="32">
        <f>IF($A201="","",IFERROR(VLOOKUP($A201,开奖记录!$A:$L,11,FALSE),""))</f>
        <v/>
      </c>
      <c r="F201" s="32">
        <f>IF(A201="","",IF(B201="","缺上期数据",IF(E201="","待开奖",IF(ISNUMBER(SEARCH(E201,C201)),"命中","未命中"))))</f>
        <v/>
      </c>
    </row>
    <row r="202" ht="23" customHeight="1" s="21">
      <c r="A202" s="32">
        <f>IFERROR(LARGE(开奖记录!$A$2:$A$400,201),"")</f>
        <v/>
      </c>
      <c r="B202" s="32">
        <f>IF($A202="","",IFERROR(VLOOKUP($A202-1,开奖记录!$A:$L,11,FALSE),""))</f>
        <v/>
      </c>
      <c r="C202" s="36">
        <f>IF(B202="","",IFERROR(VLOOKUP(B202,八肖参数!$A:$B,2,FALSE),""))</f>
        <v/>
      </c>
      <c r="D202" s="32">
        <f>IF($A202="","",IFERROR(VLOOKUP($A202,开奖记录!$A:$L,9,FALSE),""))</f>
        <v/>
      </c>
      <c r="E202" s="32">
        <f>IF($A202="","",IFERROR(VLOOKUP($A202,开奖记录!$A:$L,11,FALSE),""))</f>
        <v/>
      </c>
      <c r="F202" s="32">
        <f>IF(A202="","",IF(B202="","缺上期数据",IF(E202="","待开奖",IF(ISNUMBER(SEARCH(E202,C202)),"命中","未命中"))))</f>
        <v/>
      </c>
    </row>
    <row r="203" ht="23" customHeight="1" s="21">
      <c r="A203" s="32">
        <f>IFERROR(LARGE(开奖记录!$A$2:$A$400,202),"")</f>
        <v/>
      </c>
      <c r="B203" s="32">
        <f>IF($A203="","",IFERROR(VLOOKUP($A203-1,开奖记录!$A:$L,11,FALSE),""))</f>
        <v/>
      </c>
      <c r="C203" s="36">
        <f>IF(B203="","",IFERROR(VLOOKUP(B203,八肖参数!$A:$B,2,FALSE),""))</f>
        <v/>
      </c>
      <c r="D203" s="32">
        <f>IF($A203="","",IFERROR(VLOOKUP($A203,开奖记录!$A:$L,9,FALSE),""))</f>
        <v/>
      </c>
      <c r="E203" s="32">
        <f>IF($A203="","",IFERROR(VLOOKUP($A203,开奖记录!$A:$L,11,FALSE),""))</f>
        <v/>
      </c>
      <c r="F203" s="32">
        <f>IF(A203="","",IF(B203="","缺上期数据",IF(E203="","待开奖",IF(ISNUMBER(SEARCH(E203,C203)),"命中","未命中"))))</f>
        <v/>
      </c>
    </row>
    <row r="204" ht="23" customHeight="1" s="21">
      <c r="A204" s="32">
        <f>IFERROR(LARGE(开奖记录!$A$2:$A$400,203),"")</f>
        <v/>
      </c>
      <c r="B204" s="32">
        <f>IF($A204="","",IFERROR(VLOOKUP($A204-1,开奖记录!$A:$L,11,FALSE),""))</f>
        <v/>
      </c>
      <c r="C204" s="36">
        <f>IF(B204="","",IFERROR(VLOOKUP(B204,八肖参数!$A:$B,2,FALSE),""))</f>
        <v/>
      </c>
      <c r="D204" s="32">
        <f>IF($A204="","",IFERROR(VLOOKUP($A204,开奖记录!$A:$L,9,FALSE),""))</f>
        <v/>
      </c>
      <c r="E204" s="32">
        <f>IF($A204="","",IFERROR(VLOOKUP($A204,开奖记录!$A:$L,11,FALSE),""))</f>
        <v/>
      </c>
      <c r="F204" s="32">
        <f>IF(A204="","",IF(B204="","缺上期数据",IF(E204="","待开奖",IF(ISNUMBER(SEARCH(E204,C204)),"命中","未命中"))))</f>
        <v/>
      </c>
    </row>
    <row r="205" ht="23" customHeight="1" s="21">
      <c r="A205" s="32">
        <f>IFERROR(LARGE(开奖记录!$A$2:$A$400,204),"")</f>
        <v/>
      </c>
      <c r="B205" s="32">
        <f>IF($A205="","",IFERROR(VLOOKUP($A205-1,开奖记录!$A:$L,11,FALSE),""))</f>
        <v/>
      </c>
      <c r="C205" s="36">
        <f>IF(B205="","",IFERROR(VLOOKUP(B205,八肖参数!$A:$B,2,FALSE),""))</f>
        <v/>
      </c>
      <c r="D205" s="32">
        <f>IF($A205="","",IFERROR(VLOOKUP($A205,开奖记录!$A:$L,9,FALSE),""))</f>
        <v/>
      </c>
      <c r="E205" s="32">
        <f>IF($A205="","",IFERROR(VLOOKUP($A205,开奖记录!$A:$L,11,FALSE),""))</f>
        <v/>
      </c>
      <c r="F205" s="32">
        <f>IF(A205="","",IF(B205="","缺上期数据",IF(E205="","待开奖",IF(ISNUMBER(SEARCH(E205,C205)),"命中","未命中"))))</f>
        <v/>
      </c>
    </row>
    <row r="206" ht="23" customHeight="1" s="21">
      <c r="A206" s="32">
        <f>IFERROR(LARGE(开奖记录!$A$2:$A$400,205),"")</f>
        <v/>
      </c>
      <c r="B206" s="32">
        <f>IF($A206="","",IFERROR(VLOOKUP($A206-1,开奖记录!$A:$L,11,FALSE),""))</f>
        <v/>
      </c>
      <c r="C206" s="36">
        <f>IF(B206="","",IFERROR(VLOOKUP(B206,八肖参数!$A:$B,2,FALSE),""))</f>
        <v/>
      </c>
      <c r="D206" s="32">
        <f>IF($A206="","",IFERROR(VLOOKUP($A206,开奖记录!$A:$L,9,FALSE),""))</f>
        <v/>
      </c>
      <c r="E206" s="32">
        <f>IF($A206="","",IFERROR(VLOOKUP($A206,开奖记录!$A:$L,11,FALSE),""))</f>
        <v/>
      </c>
      <c r="F206" s="32">
        <f>IF(A206="","",IF(B206="","缺上期数据",IF(E206="","待开奖",IF(ISNUMBER(SEARCH(E206,C206)),"命中","未命中"))))</f>
        <v/>
      </c>
    </row>
    <row r="207" ht="23" customHeight="1" s="21">
      <c r="A207" s="32">
        <f>IFERROR(LARGE(开奖记录!$A$2:$A$400,206),"")</f>
        <v/>
      </c>
      <c r="B207" s="32">
        <f>IF($A207="","",IFERROR(VLOOKUP($A207-1,开奖记录!$A:$L,11,FALSE),""))</f>
        <v/>
      </c>
      <c r="C207" s="36">
        <f>IF(B207="","",IFERROR(VLOOKUP(B207,八肖参数!$A:$B,2,FALSE),""))</f>
        <v/>
      </c>
      <c r="D207" s="32">
        <f>IF($A207="","",IFERROR(VLOOKUP($A207,开奖记录!$A:$L,9,FALSE),""))</f>
        <v/>
      </c>
      <c r="E207" s="32">
        <f>IF($A207="","",IFERROR(VLOOKUP($A207,开奖记录!$A:$L,11,FALSE),""))</f>
        <v/>
      </c>
      <c r="F207" s="32">
        <f>IF(A207="","",IF(B207="","缺上期数据",IF(E207="","待开奖",IF(ISNUMBER(SEARCH(E207,C207)),"命中","未命中"))))</f>
        <v/>
      </c>
    </row>
    <row r="208" ht="23" customHeight="1" s="21">
      <c r="A208" s="32">
        <f>IFERROR(LARGE(开奖记录!$A$2:$A$400,207),"")</f>
        <v/>
      </c>
      <c r="B208" s="32">
        <f>IF($A208="","",IFERROR(VLOOKUP($A208-1,开奖记录!$A:$L,11,FALSE),""))</f>
        <v/>
      </c>
      <c r="C208" s="36">
        <f>IF(B208="","",IFERROR(VLOOKUP(B208,八肖参数!$A:$B,2,FALSE),""))</f>
        <v/>
      </c>
      <c r="D208" s="32">
        <f>IF($A208="","",IFERROR(VLOOKUP($A208,开奖记录!$A:$L,9,FALSE),""))</f>
        <v/>
      </c>
      <c r="E208" s="32">
        <f>IF($A208="","",IFERROR(VLOOKUP($A208,开奖记录!$A:$L,11,FALSE),""))</f>
        <v/>
      </c>
      <c r="F208" s="32">
        <f>IF(A208="","",IF(B208="","缺上期数据",IF(E208="","待开奖",IF(ISNUMBER(SEARCH(E208,C208)),"命中","未命中"))))</f>
        <v/>
      </c>
    </row>
    <row r="209" ht="23" customHeight="1" s="21">
      <c r="A209" s="32">
        <f>IFERROR(LARGE(开奖记录!$A$2:$A$400,208),"")</f>
        <v/>
      </c>
      <c r="B209" s="32">
        <f>IF($A209="","",IFERROR(VLOOKUP($A209-1,开奖记录!$A:$L,11,FALSE),""))</f>
        <v/>
      </c>
      <c r="C209" s="36">
        <f>IF(B209="","",IFERROR(VLOOKUP(B209,八肖参数!$A:$B,2,FALSE),""))</f>
        <v/>
      </c>
      <c r="D209" s="32">
        <f>IF($A209="","",IFERROR(VLOOKUP($A209,开奖记录!$A:$L,9,FALSE),""))</f>
        <v/>
      </c>
      <c r="E209" s="32">
        <f>IF($A209="","",IFERROR(VLOOKUP($A209,开奖记录!$A:$L,11,FALSE),""))</f>
        <v/>
      </c>
      <c r="F209" s="32">
        <f>IF(A209="","",IF(B209="","缺上期数据",IF(E209="","待开奖",IF(ISNUMBER(SEARCH(E209,C209)),"命中","未命中"))))</f>
        <v/>
      </c>
    </row>
    <row r="210" ht="23" customHeight="1" s="21">
      <c r="A210" s="32">
        <f>IFERROR(LARGE(开奖记录!$A$2:$A$400,209),"")</f>
        <v/>
      </c>
      <c r="B210" s="32">
        <f>IF($A210="","",IFERROR(VLOOKUP($A210-1,开奖记录!$A:$L,11,FALSE),""))</f>
        <v/>
      </c>
      <c r="C210" s="36">
        <f>IF(B210="","",IFERROR(VLOOKUP(B210,八肖参数!$A:$B,2,FALSE),""))</f>
        <v/>
      </c>
      <c r="D210" s="32">
        <f>IF($A210="","",IFERROR(VLOOKUP($A210,开奖记录!$A:$L,9,FALSE),""))</f>
        <v/>
      </c>
      <c r="E210" s="32">
        <f>IF($A210="","",IFERROR(VLOOKUP($A210,开奖记录!$A:$L,11,FALSE),""))</f>
        <v/>
      </c>
      <c r="F210" s="32">
        <f>IF(A210="","",IF(B210="","缺上期数据",IF(E210="","待开奖",IF(ISNUMBER(SEARCH(E210,C210)),"命中","未命中"))))</f>
        <v/>
      </c>
    </row>
    <row r="211" ht="23" customHeight="1" s="21">
      <c r="A211" s="32">
        <f>IFERROR(LARGE(开奖记录!$A$2:$A$400,210),"")</f>
        <v/>
      </c>
      <c r="B211" s="32">
        <f>IF($A211="","",IFERROR(VLOOKUP($A211-1,开奖记录!$A:$L,11,FALSE),""))</f>
        <v/>
      </c>
      <c r="C211" s="36">
        <f>IF(B211="","",IFERROR(VLOOKUP(B211,八肖参数!$A:$B,2,FALSE),""))</f>
        <v/>
      </c>
      <c r="D211" s="32">
        <f>IF($A211="","",IFERROR(VLOOKUP($A211,开奖记录!$A:$L,9,FALSE),""))</f>
        <v/>
      </c>
      <c r="E211" s="32">
        <f>IF($A211="","",IFERROR(VLOOKUP($A211,开奖记录!$A:$L,11,FALSE),""))</f>
        <v/>
      </c>
      <c r="F211" s="32">
        <f>IF(A211="","",IF(B211="","缺上期数据",IF(E211="","待开奖",IF(ISNUMBER(SEARCH(E211,C211)),"命中","未命中"))))</f>
        <v/>
      </c>
    </row>
    <row r="212" ht="23" customHeight="1" s="21">
      <c r="A212" s="32">
        <f>IFERROR(LARGE(开奖记录!$A$2:$A$400,211),"")</f>
        <v/>
      </c>
      <c r="B212" s="32">
        <f>IF($A212="","",IFERROR(VLOOKUP($A212-1,开奖记录!$A:$L,11,FALSE),""))</f>
        <v/>
      </c>
      <c r="C212" s="36">
        <f>IF(B212="","",IFERROR(VLOOKUP(B212,八肖参数!$A:$B,2,FALSE),""))</f>
        <v/>
      </c>
      <c r="D212" s="32">
        <f>IF($A212="","",IFERROR(VLOOKUP($A212,开奖记录!$A:$L,9,FALSE),""))</f>
        <v/>
      </c>
      <c r="E212" s="32">
        <f>IF($A212="","",IFERROR(VLOOKUP($A212,开奖记录!$A:$L,11,FALSE),""))</f>
        <v/>
      </c>
      <c r="F212" s="32">
        <f>IF(A212="","",IF(B212="","缺上期数据",IF(E212="","待开奖",IF(ISNUMBER(SEARCH(E212,C212)),"命中","未命中"))))</f>
        <v/>
      </c>
    </row>
    <row r="213" ht="23" customHeight="1" s="21">
      <c r="A213" s="32">
        <f>IFERROR(LARGE(开奖记录!$A$2:$A$400,212),"")</f>
        <v/>
      </c>
      <c r="B213" s="32">
        <f>IF($A213="","",IFERROR(VLOOKUP($A213-1,开奖记录!$A:$L,11,FALSE),""))</f>
        <v/>
      </c>
      <c r="C213" s="36">
        <f>IF(B213="","",IFERROR(VLOOKUP(B213,八肖参数!$A:$B,2,FALSE),""))</f>
        <v/>
      </c>
      <c r="D213" s="32">
        <f>IF($A213="","",IFERROR(VLOOKUP($A213,开奖记录!$A:$L,9,FALSE),""))</f>
        <v/>
      </c>
      <c r="E213" s="32">
        <f>IF($A213="","",IFERROR(VLOOKUP($A213,开奖记录!$A:$L,11,FALSE),""))</f>
        <v/>
      </c>
      <c r="F213" s="32">
        <f>IF(A213="","",IF(B213="","缺上期数据",IF(E213="","待开奖",IF(ISNUMBER(SEARCH(E213,C213)),"命中","未命中"))))</f>
        <v/>
      </c>
    </row>
    <row r="214" ht="23" customHeight="1" s="21">
      <c r="A214" s="32">
        <f>IFERROR(LARGE(开奖记录!$A$2:$A$400,213),"")</f>
        <v/>
      </c>
      <c r="B214" s="32">
        <f>IF($A214="","",IFERROR(VLOOKUP($A214-1,开奖记录!$A:$L,11,FALSE),""))</f>
        <v/>
      </c>
      <c r="C214" s="36">
        <f>IF(B214="","",IFERROR(VLOOKUP(B214,八肖参数!$A:$B,2,FALSE),""))</f>
        <v/>
      </c>
      <c r="D214" s="32">
        <f>IF($A214="","",IFERROR(VLOOKUP($A214,开奖记录!$A:$L,9,FALSE),""))</f>
        <v/>
      </c>
      <c r="E214" s="32">
        <f>IF($A214="","",IFERROR(VLOOKUP($A214,开奖记录!$A:$L,11,FALSE),""))</f>
        <v/>
      </c>
      <c r="F214" s="32">
        <f>IF(A214="","",IF(B214="","缺上期数据",IF(E214="","待开奖",IF(ISNUMBER(SEARCH(E214,C214)),"命中","未命中"))))</f>
        <v/>
      </c>
    </row>
    <row r="215" ht="23" customHeight="1" s="21">
      <c r="A215" s="32">
        <f>IFERROR(LARGE(开奖记录!$A$2:$A$400,214),"")</f>
        <v/>
      </c>
      <c r="B215" s="32">
        <f>IF($A215="","",IFERROR(VLOOKUP($A215-1,开奖记录!$A:$L,11,FALSE),""))</f>
        <v/>
      </c>
      <c r="C215" s="36">
        <f>IF(B215="","",IFERROR(VLOOKUP(B215,八肖参数!$A:$B,2,FALSE),""))</f>
        <v/>
      </c>
      <c r="D215" s="32">
        <f>IF($A215="","",IFERROR(VLOOKUP($A215,开奖记录!$A:$L,9,FALSE),""))</f>
        <v/>
      </c>
      <c r="E215" s="32">
        <f>IF($A215="","",IFERROR(VLOOKUP($A215,开奖记录!$A:$L,11,FALSE),""))</f>
        <v/>
      </c>
      <c r="F215" s="32">
        <f>IF(A215="","",IF(B215="","缺上期数据",IF(E215="","待开奖",IF(ISNUMBER(SEARCH(E215,C215)),"命中","未命中"))))</f>
        <v/>
      </c>
    </row>
    <row r="216" ht="23" customHeight="1" s="21">
      <c r="A216" s="32">
        <f>IFERROR(LARGE(开奖记录!$A$2:$A$400,215),"")</f>
        <v/>
      </c>
      <c r="B216" s="32">
        <f>IF($A216="","",IFERROR(VLOOKUP($A216-1,开奖记录!$A:$L,11,FALSE),""))</f>
        <v/>
      </c>
      <c r="C216" s="36">
        <f>IF(B216="","",IFERROR(VLOOKUP(B216,八肖参数!$A:$B,2,FALSE),""))</f>
        <v/>
      </c>
      <c r="D216" s="32">
        <f>IF($A216="","",IFERROR(VLOOKUP($A216,开奖记录!$A:$L,9,FALSE),""))</f>
        <v/>
      </c>
      <c r="E216" s="32">
        <f>IF($A216="","",IFERROR(VLOOKUP($A216,开奖记录!$A:$L,11,FALSE),""))</f>
        <v/>
      </c>
      <c r="F216" s="32">
        <f>IF(A216="","",IF(B216="","缺上期数据",IF(E216="","待开奖",IF(ISNUMBER(SEARCH(E216,C216)),"命中","未命中"))))</f>
        <v/>
      </c>
    </row>
    <row r="217" ht="23" customHeight="1" s="21">
      <c r="A217" s="32">
        <f>IFERROR(LARGE(开奖记录!$A$2:$A$400,216),"")</f>
        <v/>
      </c>
      <c r="B217" s="32">
        <f>IF($A217="","",IFERROR(VLOOKUP($A217-1,开奖记录!$A:$L,11,FALSE),""))</f>
        <v/>
      </c>
      <c r="C217" s="36">
        <f>IF(B217="","",IFERROR(VLOOKUP(B217,八肖参数!$A:$B,2,FALSE),""))</f>
        <v/>
      </c>
      <c r="D217" s="32">
        <f>IF($A217="","",IFERROR(VLOOKUP($A217,开奖记录!$A:$L,9,FALSE),""))</f>
        <v/>
      </c>
      <c r="E217" s="32">
        <f>IF($A217="","",IFERROR(VLOOKUP($A217,开奖记录!$A:$L,11,FALSE),""))</f>
        <v/>
      </c>
      <c r="F217" s="32">
        <f>IF(A217="","",IF(B217="","缺上期数据",IF(E217="","待开奖",IF(ISNUMBER(SEARCH(E217,C217)),"命中","未命中"))))</f>
        <v/>
      </c>
    </row>
    <row r="218" ht="23" customHeight="1" s="21">
      <c r="A218" s="32">
        <f>IFERROR(LARGE(开奖记录!$A$2:$A$400,217),"")</f>
        <v/>
      </c>
      <c r="B218" s="32">
        <f>IF($A218="","",IFERROR(VLOOKUP($A218-1,开奖记录!$A:$L,11,FALSE),""))</f>
        <v/>
      </c>
      <c r="C218" s="36">
        <f>IF(B218="","",IFERROR(VLOOKUP(B218,八肖参数!$A:$B,2,FALSE),""))</f>
        <v/>
      </c>
      <c r="D218" s="32">
        <f>IF($A218="","",IFERROR(VLOOKUP($A218,开奖记录!$A:$L,9,FALSE),""))</f>
        <v/>
      </c>
      <c r="E218" s="32">
        <f>IF($A218="","",IFERROR(VLOOKUP($A218,开奖记录!$A:$L,11,FALSE),""))</f>
        <v/>
      </c>
      <c r="F218" s="32">
        <f>IF(A218="","",IF(B218="","缺上期数据",IF(E218="","待开奖",IF(ISNUMBER(SEARCH(E218,C218)),"命中","未命中"))))</f>
        <v/>
      </c>
    </row>
    <row r="219" ht="23" customHeight="1" s="21">
      <c r="A219" s="32">
        <f>IFERROR(LARGE(开奖记录!$A$2:$A$400,218),"")</f>
        <v/>
      </c>
      <c r="B219" s="32">
        <f>IF($A219="","",IFERROR(VLOOKUP($A219-1,开奖记录!$A:$L,11,FALSE),""))</f>
        <v/>
      </c>
      <c r="C219" s="36">
        <f>IF(B219="","",IFERROR(VLOOKUP(B219,八肖参数!$A:$B,2,FALSE),""))</f>
        <v/>
      </c>
      <c r="D219" s="32">
        <f>IF($A219="","",IFERROR(VLOOKUP($A219,开奖记录!$A:$L,9,FALSE),""))</f>
        <v/>
      </c>
      <c r="E219" s="32">
        <f>IF($A219="","",IFERROR(VLOOKUP($A219,开奖记录!$A:$L,11,FALSE),""))</f>
        <v/>
      </c>
      <c r="F219" s="32">
        <f>IF(A219="","",IF(B219="","缺上期数据",IF(E219="","待开奖",IF(ISNUMBER(SEARCH(E219,C219)),"命中","未命中"))))</f>
        <v/>
      </c>
    </row>
    <row r="220" ht="23" customHeight="1" s="21">
      <c r="A220" s="32">
        <f>IFERROR(LARGE(开奖记录!$A$2:$A$400,219),"")</f>
        <v/>
      </c>
      <c r="B220" s="32">
        <f>IF($A220="","",IFERROR(VLOOKUP($A220-1,开奖记录!$A:$L,11,FALSE),""))</f>
        <v/>
      </c>
      <c r="C220" s="36">
        <f>IF(B220="","",IFERROR(VLOOKUP(B220,八肖参数!$A:$B,2,FALSE),""))</f>
        <v/>
      </c>
      <c r="D220" s="32">
        <f>IF($A220="","",IFERROR(VLOOKUP($A220,开奖记录!$A:$L,9,FALSE),""))</f>
        <v/>
      </c>
      <c r="E220" s="32">
        <f>IF($A220="","",IFERROR(VLOOKUP($A220,开奖记录!$A:$L,11,FALSE),""))</f>
        <v/>
      </c>
      <c r="F220" s="32">
        <f>IF(A220="","",IF(B220="","缺上期数据",IF(E220="","待开奖",IF(ISNUMBER(SEARCH(E220,C220)),"命中","未命中"))))</f>
        <v/>
      </c>
    </row>
    <row r="221" ht="23" customHeight="1" s="21">
      <c r="A221" s="32">
        <f>IFERROR(LARGE(开奖记录!$A$2:$A$400,220),"")</f>
        <v/>
      </c>
      <c r="B221" s="32">
        <f>IF($A221="","",IFERROR(VLOOKUP($A221-1,开奖记录!$A:$L,11,FALSE),""))</f>
        <v/>
      </c>
      <c r="C221" s="36">
        <f>IF(B221="","",IFERROR(VLOOKUP(B221,八肖参数!$A:$B,2,FALSE),""))</f>
        <v/>
      </c>
      <c r="D221" s="32">
        <f>IF($A221="","",IFERROR(VLOOKUP($A221,开奖记录!$A:$L,9,FALSE),""))</f>
        <v/>
      </c>
      <c r="E221" s="32">
        <f>IF($A221="","",IFERROR(VLOOKUP($A221,开奖记录!$A:$L,11,FALSE),""))</f>
        <v/>
      </c>
      <c r="F221" s="32">
        <f>IF(A221="","",IF(B221="","缺上期数据",IF(E221="","待开奖",IF(ISNUMBER(SEARCH(E221,C221)),"命中","未命中"))))</f>
        <v/>
      </c>
    </row>
    <row r="222" ht="23" customHeight="1" s="21">
      <c r="A222" s="32">
        <f>IFERROR(LARGE(开奖记录!$A$2:$A$400,221),"")</f>
        <v/>
      </c>
      <c r="B222" s="32">
        <f>IF($A222="","",IFERROR(VLOOKUP($A222-1,开奖记录!$A:$L,11,FALSE),""))</f>
        <v/>
      </c>
      <c r="C222" s="36">
        <f>IF(B222="","",IFERROR(VLOOKUP(B222,八肖参数!$A:$B,2,FALSE),""))</f>
        <v/>
      </c>
      <c r="D222" s="32">
        <f>IF($A222="","",IFERROR(VLOOKUP($A222,开奖记录!$A:$L,9,FALSE),""))</f>
        <v/>
      </c>
      <c r="E222" s="32">
        <f>IF($A222="","",IFERROR(VLOOKUP($A222,开奖记录!$A:$L,11,FALSE),""))</f>
        <v/>
      </c>
      <c r="F222" s="32">
        <f>IF(A222="","",IF(B222="","缺上期数据",IF(E222="","待开奖",IF(ISNUMBER(SEARCH(E222,C222)),"命中","未命中"))))</f>
        <v/>
      </c>
    </row>
    <row r="223" ht="23" customHeight="1" s="21">
      <c r="A223" s="32">
        <f>IFERROR(LARGE(开奖记录!$A$2:$A$400,222),"")</f>
        <v/>
      </c>
      <c r="B223" s="32">
        <f>IF($A223="","",IFERROR(VLOOKUP($A223-1,开奖记录!$A:$L,11,FALSE),""))</f>
        <v/>
      </c>
      <c r="C223" s="36">
        <f>IF(B223="","",IFERROR(VLOOKUP(B223,八肖参数!$A:$B,2,FALSE),""))</f>
        <v/>
      </c>
      <c r="D223" s="32">
        <f>IF($A223="","",IFERROR(VLOOKUP($A223,开奖记录!$A:$L,9,FALSE),""))</f>
        <v/>
      </c>
      <c r="E223" s="32">
        <f>IF($A223="","",IFERROR(VLOOKUP($A223,开奖记录!$A:$L,11,FALSE),""))</f>
        <v/>
      </c>
      <c r="F223" s="32">
        <f>IF(A223="","",IF(B223="","缺上期数据",IF(E223="","待开奖",IF(ISNUMBER(SEARCH(E223,C223)),"命中","未命中"))))</f>
        <v/>
      </c>
    </row>
    <row r="224" ht="23" customHeight="1" s="21">
      <c r="A224" s="32">
        <f>IFERROR(LARGE(开奖记录!$A$2:$A$400,223),"")</f>
        <v/>
      </c>
      <c r="B224" s="32">
        <f>IF($A224="","",IFERROR(VLOOKUP($A224-1,开奖记录!$A:$L,11,FALSE),""))</f>
        <v/>
      </c>
      <c r="C224" s="36">
        <f>IF(B224="","",IFERROR(VLOOKUP(B224,八肖参数!$A:$B,2,FALSE),""))</f>
        <v/>
      </c>
      <c r="D224" s="32">
        <f>IF($A224="","",IFERROR(VLOOKUP($A224,开奖记录!$A:$L,9,FALSE),""))</f>
        <v/>
      </c>
      <c r="E224" s="32">
        <f>IF($A224="","",IFERROR(VLOOKUP($A224,开奖记录!$A:$L,11,FALSE),""))</f>
        <v/>
      </c>
      <c r="F224" s="32">
        <f>IF(A224="","",IF(B224="","缺上期数据",IF(E224="","待开奖",IF(ISNUMBER(SEARCH(E224,C224)),"命中","未命中"))))</f>
        <v/>
      </c>
    </row>
    <row r="225" ht="23" customHeight="1" s="21">
      <c r="A225" s="32">
        <f>IFERROR(LARGE(开奖记录!$A$2:$A$400,224),"")</f>
        <v/>
      </c>
      <c r="B225" s="32">
        <f>IF($A225="","",IFERROR(VLOOKUP($A225-1,开奖记录!$A:$L,11,FALSE),""))</f>
        <v/>
      </c>
      <c r="C225" s="36">
        <f>IF(B225="","",IFERROR(VLOOKUP(B225,八肖参数!$A:$B,2,FALSE),""))</f>
        <v/>
      </c>
      <c r="D225" s="32">
        <f>IF($A225="","",IFERROR(VLOOKUP($A225,开奖记录!$A:$L,9,FALSE),""))</f>
        <v/>
      </c>
      <c r="E225" s="32">
        <f>IF($A225="","",IFERROR(VLOOKUP($A225,开奖记录!$A:$L,11,FALSE),""))</f>
        <v/>
      </c>
      <c r="F225" s="32">
        <f>IF(A225="","",IF(B225="","缺上期数据",IF(E225="","待开奖",IF(ISNUMBER(SEARCH(E225,C225)),"命中","未命中"))))</f>
        <v/>
      </c>
    </row>
    <row r="226" ht="23" customHeight="1" s="21">
      <c r="A226" s="32">
        <f>IFERROR(LARGE(开奖记录!$A$2:$A$400,225),"")</f>
        <v/>
      </c>
      <c r="B226" s="32">
        <f>IF($A226="","",IFERROR(VLOOKUP($A226-1,开奖记录!$A:$L,11,FALSE),""))</f>
        <v/>
      </c>
      <c r="C226" s="36">
        <f>IF(B226="","",IFERROR(VLOOKUP(B226,八肖参数!$A:$B,2,FALSE),""))</f>
        <v/>
      </c>
      <c r="D226" s="32">
        <f>IF($A226="","",IFERROR(VLOOKUP($A226,开奖记录!$A:$L,9,FALSE),""))</f>
        <v/>
      </c>
      <c r="E226" s="32">
        <f>IF($A226="","",IFERROR(VLOOKUP($A226,开奖记录!$A:$L,11,FALSE),""))</f>
        <v/>
      </c>
      <c r="F226" s="32">
        <f>IF(A226="","",IF(B226="","缺上期数据",IF(E226="","待开奖",IF(ISNUMBER(SEARCH(E226,C226)),"命中","未命中"))))</f>
        <v/>
      </c>
    </row>
    <row r="227" ht="23" customHeight="1" s="21">
      <c r="A227" s="32">
        <f>IFERROR(LARGE(开奖记录!$A$2:$A$400,226),"")</f>
        <v/>
      </c>
      <c r="B227" s="32">
        <f>IF($A227="","",IFERROR(VLOOKUP($A227-1,开奖记录!$A:$L,11,FALSE),""))</f>
        <v/>
      </c>
      <c r="C227" s="36">
        <f>IF(B227="","",IFERROR(VLOOKUP(B227,八肖参数!$A:$B,2,FALSE),""))</f>
        <v/>
      </c>
      <c r="D227" s="32">
        <f>IF($A227="","",IFERROR(VLOOKUP($A227,开奖记录!$A:$L,9,FALSE),""))</f>
        <v/>
      </c>
      <c r="E227" s="32">
        <f>IF($A227="","",IFERROR(VLOOKUP($A227,开奖记录!$A:$L,11,FALSE),""))</f>
        <v/>
      </c>
      <c r="F227" s="32">
        <f>IF(A227="","",IF(B227="","缺上期数据",IF(E227="","待开奖",IF(ISNUMBER(SEARCH(E227,C227)),"命中","未命中"))))</f>
        <v/>
      </c>
    </row>
    <row r="228" ht="23" customHeight="1" s="21">
      <c r="A228" s="32">
        <f>IFERROR(LARGE(开奖记录!$A$2:$A$400,227),"")</f>
        <v/>
      </c>
      <c r="B228" s="32">
        <f>IF($A228="","",IFERROR(VLOOKUP($A228-1,开奖记录!$A:$L,11,FALSE),""))</f>
        <v/>
      </c>
      <c r="C228" s="36">
        <f>IF(B228="","",IFERROR(VLOOKUP(B228,八肖参数!$A:$B,2,FALSE),""))</f>
        <v/>
      </c>
      <c r="D228" s="32">
        <f>IF($A228="","",IFERROR(VLOOKUP($A228,开奖记录!$A:$L,9,FALSE),""))</f>
        <v/>
      </c>
      <c r="E228" s="32">
        <f>IF($A228="","",IFERROR(VLOOKUP($A228,开奖记录!$A:$L,11,FALSE),""))</f>
        <v/>
      </c>
      <c r="F228" s="32">
        <f>IF(A228="","",IF(B228="","缺上期数据",IF(E228="","待开奖",IF(ISNUMBER(SEARCH(E228,C228)),"命中","未命中"))))</f>
        <v/>
      </c>
    </row>
    <row r="229" ht="23" customHeight="1" s="21">
      <c r="A229" s="32">
        <f>IFERROR(LARGE(开奖记录!$A$2:$A$400,228),"")</f>
        <v/>
      </c>
      <c r="B229" s="32">
        <f>IF($A229="","",IFERROR(VLOOKUP($A229-1,开奖记录!$A:$L,11,FALSE),""))</f>
        <v/>
      </c>
      <c r="C229" s="36">
        <f>IF(B229="","",IFERROR(VLOOKUP(B229,八肖参数!$A:$B,2,FALSE),""))</f>
        <v/>
      </c>
      <c r="D229" s="32">
        <f>IF($A229="","",IFERROR(VLOOKUP($A229,开奖记录!$A:$L,9,FALSE),""))</f>
        <v/>
      </c>
      <c r="E229" s="32">
        <f>IF($A229="","",IFERROR(VLOOKUP($A229,开奖记录!$A:$L,11,FALSE),""))</f>
        <v/>
      </c>
      <c r="F229" s="32">
        <f>IF(A229="","",IF(B229="","缺上期数据",IF(E229="","待开奖",IF(ISNUMBER(SEARCH(E229,C229)),"命中","未命中"))))</f>
        <v/>
      </c>
    </row>
    <row r="230" ht="23" customHeight="1" s="21">
      <c r="A230" s="32">
        <f>IFERROR(LARGE(开奖记录!$A$2:$A$400,229),"")</f>
        <v/>
      </c>
      <c r="B230" s="32">
        <f>IF($A230="","",IFERROR(VLOOKUP($A230-1,开奖记录!$A:$L,11,FALSE),""))</f>
        <v/>
      </c>
      <c r="C230" s="36">
        <f>IF(B230="","",IFERROR(VLOOKUP(B230,八肖参数!$A:$B,2,FALSE),""))</f>
        <v/>
      </c>
      <c r="D230" s="32">
        <f>IF($A230="","",IFERROR(VLOOKUP($A230,开奖记录!$A:$L,9,FALSE),""))</f>
        <v/>
      </c>
      <c r="E230" s="32">
        <f>IF($A230="","",IFERROR(VLOOKUP($A230,开奖记录!$A:$L,11,FALSE),""))</f>
        <v/>
      </c>
      <c r="F230" s="32">
        <f>IF(A230="","",IF(B230="","缺上期数据",IF(E230="","待开奖",IF(ISNUMBER(SEARCH(E230,C230)),"命中","未命中"))))</f>
        <v/>
      </c>
    </row>
    <row r="231" ht="23" customHeight="1" s="21">
      <c r="A231" s="32">
        <f>IFERROR(LARGE(开奖记录!$A$2:$A$400,230),"")</f>
        <v/>
      </c>
      <c r="B231" s="32">
        <f>IF($A231="","",IFERROR(VLOOKUP($A231-1,开奖记录!$A:$L,11,FALSE),""))</f>
        <v/>
      </c>
      <c r="C231" s="36">
        <f>IF(B231="","",IFERROR(VLOOKUP(B231,八肖参数!$A:$B,2,FALSE),""))</f>
        <v/>
      </c>
      <c r="D231" s="32">
        <f>IF($A231="","",IFERROR(VLOOKUP($A231,开奖记录!$A:$L,9,FALSE),""))</f>
        <v/>
      </c>
      <c r="E231" s="32">
        <f>IF($A231="","",IFERROR(VLOOKUP($A231,开奖记录!$A:$L,11,FALSE),""))</f>
        <v/>
      </c>
      <c r="F231" s="32">
        <f>IF(A231="","",IF(B231="","缺上期数据",IF(E231="","待开奖",IF(ISNUMBER(SEARCH(E231,C231)),"命中","未命中"))))</f>
        <v/>
      </c>
    </row>
    <row r="232" ht="23" customHeight="1" s="21">
      <c r="A232" s="32">
        <f>IFERROR(LARGE(开奖记录!$A$2:$A$400,231),"")</f>
        <v/>
      </c>
      <c r="B232" s="32">
        <f>IF($A232="","",IFERROR(VLOOKUP($A232-1,开奖记录!$A:$L,11,FALSE),""))</f>
        <v/>
      </c>
      <c r="C232" s="36">
        <f>IF(B232="","",IFERROR(VLOOKUP(B232,八肖参数!$A:$B,2,FALSE),""))</f>
        <v/>
      </c>
      <c r="D232" s="32">
        <f>IF($A232="","",IFERROR(VLOOKUP($A232,开奖记录!$A:$L,9,FALSE),""))</f>
        <v/>
      </c>
      <c r="E232" s="32">
        <f>IF($A232="","",IFERROR(VLOOKUP($A232,开奖记录!$A:$L,11,FALSE),""))</f>
        <v/>
      </c>
      <c r="F232" s="32">
        <f>IF(A232="","",IF(B232="","缺上期数据",IF(E232="","待开奖",IF(ISNUMBER(SEARCH(E232,C232)),"命中","未命中"))))</f>
        <v/>
      </c>
    </row>
    <row r="233" ht="23" customHeight="1" s="21">
      <c r="A233" s="32">
        <f>IFERROR(LARGE(开奖记录!$A$2:$A$400,232),"")</f>
        <v/>
      </c>
      <c r="B233" s="32">
        <f>IF($A233="","",IFERROR(VLOOKUP($A233-1,开奖记录!$A:$L,11,FALSE),""))</f>
        <v/>
      </c>
      <c r="C233" s="36">
        <f>IF(B233="","",IFERROR(VLOOKUP(B233,八肖参数!$A:$B,2,FALSE),""))</f>
        <v/>
      </c>
      <c r="D233" s="32">
        <f>IF($A233="","",IFERROR(VLOOKUP($A233,开奖记录!$A:$L,9,FALSE),""))</f>
        <v/>
      </c>
      <c r="E233" s="32">
        <f>IF($A233="","",IFERROR(VLOOKUP($A233,开奖记录!$A:$L,11,FALSE),""))</f>
        <v/>
      </c>
      <c r="F233" s="32">
        <f>IF(A233="","",IF(B233="","缺上期数据",IF(E233="","待开奖",IF(ISNUMBER(SEARCH(E233,C233)),"命中","未命中"))))</f>
        <v/>
      </c>
    </row>
    <row r="234" ht="23" customHeight="1" s="21">
      <c r="A234" s="32">
        <f>IFERROR(LARGE(开奖记录!$A$2:$A$400,233),"")</f>
        <v/>
      </c>
      <c r="B234" s="32">
        <f>IF($A234="","",IFERROR(VLOOKUP($A234-1,开奖记录!$A:$L,11,FALSE),""))</f>
        <v/>
      </c>
      <c r="C234" s="36">
        <f>IF(B234="","",IFERROR(VLOOKUP(B234,八肖参数!$A:$B,2,FALSE),""))</f>
        <v/>
      </c>
      <c r="D234" s="32">
        <f>IF($A234="","",IFERROR(VLOOKUP($A234,开奖记录!$A:$L,9,FALSE),""))</f>
        <v/>
      </c>
      <c r="E234" s="32">
        <f>IF($A234="","",IFERROR(VLOOKUP($A234,开奖记录!$A:$L,11,FALSE),""))</f>
        <v/>
      </c>
      <c r="F234" s="32">
        <f>IF(A234="","",IF(B234="","缺上期数据",IF(E234="","待开奖",IF(ISNUMBER(SEARCH(E234,C234)),"命中","未命中"))))</f>
        <v/>
      </c>
    </row>
    <row r="235" ht="23" customHeight="1" s="21">
      <c r="A235" s="32">
        <f>IFERROR(LARGE(开奖记录!$A$2:$A$400,234),"")</f>
        <v/>
      </c>
      <c r="B235" s="32">
        <f>IF($A235="","",IFERROR(VLOOKUP($A235-1,开奖记录!$A:$L,11,FALSE),""))</f>
        <v/>
      </c>
      <c r="C235" s="36">
        <f>IF(B235="","",IFERROR(VLOOKUP(B235,八肖参数!$A:$B,2,FALSE),""))</f>
        <v/>
      </c>
      <c r="D235" s="32">
        <f>IF($A235="","",IFERROR(VLOOKUP($A235,开奖记录!$A:$L,9,FALSE),""))</f>
        <v/>
      </c>
      <c r="E235" s="32">
        <f>IF($A235="","",IFERROR(VLOOKUP($A235,开奖记录!$A:$L,11,FALSE),""))</f>
        <v/>
      </c>
      <c r="F235" s="32">
        <f>IF(A235="","",IF(B235="","缺上期数据",IF(E235="","待开奖",IF(ISNUMBER(SEARCH(E235,C235)),"命中","未命中"))))</f>
        <v/>
      </c>
    </row>
    <row r="236" ht="23" customHeight="1" s="21">
      <c r="A236" s="32">
        <f>IFERROR(LARGE(开奖记录!$A$2:$A$400,235),"")</f>
        <v/>
      </c>
      <c r="B236" s="32">
        <f>IF($A236="","",IFERROR(VLOOKUP($A236-1,开奖记录!$A:$L,11,FALSE),""))</f>
        <v/>
      </c>
      <c r="C236" s="36">
        <f>IF(B236="","",IFERROR(VLOOKUP(B236,八肖参数!$A:$B,2,FALSE),""))</f>
        <v/>
      </c>
      <c r="D236" s="32">
        <f>IF($A236="","",IFERROR(VLOOKUP($A236,开奖记录!$A:$L,9,FALSE),""))</f>
        <v/>
      </c>
      <c r="E236" s="32">
        <f>IF($A236="","",IFERROR(VLOOKUP($A236,开奖记录!$A:$L,11,FALSE),""))</f>
        <v/>
      </c>
      <c r="F236" s="32">
        <f>IF(A236="","",IF(B236="","缺上期数据",IF(E236="","待开奖",IF(ISNUMBER(SEARCH(E236,C236)),"命中","未命中"))))</f>
        <v/>
      </c>
    </row>
    <row r="237" ht="23" customHeight="1" s="21">
      <c r="A237" s="32">
        <f>IFERROR(LARGE(开奖记录!$A$2:$A$400,236),"")</f>
        <v/>
      </c>
      <c r="B237" s="32">
        <f>IF($A237="","",IFERROR(VLOOKUP($A237-1,开奖记录!$A:$L,11,FALSE),""))</f>
        <v/>
      </c>
      <c r="C237" s="36">
        <f>IF(B237="","",IFERROR(VLOOKUP(B237,八肖参数!$A:$B,2,FALSE),""))</f>
        <v/>
      </c>
      <c r="D237" s="32">
        <f>IF($A237="","",IFERROR(VLOOKUP($A237,开奖记录!$A:$L,9,FALSE),""))</f>
        <v/>
      </c>
      <c r="E237" s="32">
        <f>IF($A237="","",IFERROR(VLOOKUP($A237,开奖记录!$A:$L,11,FALSE),""))</f>
        <v/>
      </c>
      <c r="F237" s="32">
        <f>IF(A237="","",IF(B237="","缺上期数据",IF(E237="","待开奖",IF(ISNUMBER(SEARCH(E237,C237)),"命中","未命中"))))</f>
        <v/>
      </c>
    </row>
    <row r="238" ht="23" customHeight="1" s="21">
      <c r="A238" s="32">
        <f>IFERROR(LARGE(开奖记录!$A$2:$A$400,237),"")</f>
        <v/>
      </c>
      <c r="B238" s="32">
        <f>IF($A238="","",IFERROR(VLOOKUP($A238-1,开奖记录!$A:$L,11,FALSE),""))</f>
        <v/>
      </c>
      <c r="C238" s="36">
        <f>IF(B238="","",IFERROR(VLOOKUP(B238,八肖参数!$A:$B,2,FALSE),""))</f>
        <v/>
      </c>
      <c r="D238" s="32">
        <f>IF($A238="","",IFERROR(VLOOKUP($A238,开奖记录!$A:$L,9,FALSE),""))</f>
        <v/>
      </c>
      <c r="E238" s="32">
        <f>IF($A238="","",IFERROR(VLOOKUP($A238,开奖记录!$A:$L,11,FALSE),""))</f>
        <v/>
      </c>
      <c r="F238" s="32">
        <f>IF(A238="","",IF(B238="","缺上期数据",IF(E238="","待开奖",IF(ISNUMBER(SEARCH(E238,C238)),"命中","未命中"))))</f>
        <v/>
      </c>
    </row>
    <row r="239" ht="23" customHeight="1" s="21">
      <c r="A239" s="32">
        <f>IFERROR(LARGE(开奖记录!$A$2:$A$400,238),"")</f>
        <v/>
      </c>
      <c r="B239" s="32">
        <f>IF($A239="","",IFERROR(VLOOKUP($A239-1,开奖记录!$A:$L,11,FALSE),""))</f>
        <v/>
      </c>
      <c r="C239" s="36">
        <f>IF(B239="","",IFERROR(VLOOKUP(B239,八肖参数!$A:$B,2,FALSE),""))</f>
        <v/>
      </c>
      <c r="D239" s="32">
        <f>IF($A239="","",IFERROR(VLOOKUP($A239,开奖记录!$A:$L,9,FALSE),""))</f>
        <v/>
      </c>
      <c r="E239" s="32">
        <f>IF($A239="","",IFERROR(VLOOKUP($A239,开奖记录!$A:$L,11,FALSE),""))</f>
        <v/>
      </c>
      <c r="F239" s="32">
        <f>IF(A239="","",IF(B239="","缺上期数据",IF(E239="","待开奖",IF(ISNUMBER(SEARCH(E239,C239)),"命中","未命中"))))</f>
        <v/>
      </c>
    </row>
    <row r="240" ht="23" customHeight="1" s="21">
      <c r="A240" s="32">
        <f>IFERROR(LARGE(开奖记录!$A$2:$A$400,239),"")</f>
        <v/>
      </c>
      <c r="B240" s="32">
        <f>IF($A240="","",IFERROR(VLOOKUP($A240-1,开奖记录!$A:$L,11,FALSE),""))</f>
        <v/>
      </c>
      <c r="C240" s="36">
        <f>IF(B240="","",IFERROR(VLOOKUP(B240,八肖参数!$A:$B,2,FALSE),""))</f>
        <v/>
      </c>
      <c r="D240" s="32">
        <f>IF($A240="","",IFERROR(VLOOKUP($A240,开奖记录!$A:$L,9,FALSE),""))</f>
        <v/>
      </c>
      <c r="E240" s="32">
        <f>IF($A240="","",IFERROR(VLOOKUP($A240,开奖记录!$A:$L,11,FALSE),""))</f>
        <v/>
      </c>
      <c r="F240" s="32">
        <f>IF(A240="","",IF(B240="","缺上期数据",IF(E240="","待开奖",IF(ISNUMBER(SEARCH(E240,C240)),"命中","未命中"))))</f>
        <v/>
      </c>
    </row>
    <row r="241" ht="23" customHeight="1" s="21">
      <c r="A241" s="32">
        <f>IFERROR(LARGE(开奖记录!$A$2:$A$400,240),"")</f>
        <v/>
      </c>
      <c r="B241" s="32">
        <f>IF($A241="","",IFERROR(VLOOKUP($A241-1,开奖记录!$A:$L,11,FALSE),""))</f>
        <v/>
      </c>
      <c r="C241" s="36">
        <f>IF(B241="","",IFERROR(VLOOKUP(B241,八肖参数!$A:$B,2,FALSE),""))</f>
        <v/>
      </c>
      <c r="D241" s="32">
        <f>IF($A241="","",IFERROR(VLOOKUP($A241,开奖记录!$A:$L,9,FALSE),""))</f>
        <v/>
      </c>
      <c r="E241" s="32">
        <f>IF($A241="","",IFERROR(VLOOKUP($A241,开奖记录!$A:$L,11,FALSE),""))</f>
        <v/>
      </c>
      <c r="F241" s="32">
        <f>IF(A241="","",IF(B241="","缺上期数据",IF(E241="","待开奖",IF(ISNUMBER(SEARCH(E241,C241)),"命中","未命中"))))</f>
        <v/>
      </c>
    </row>
    <row r="242" ht="23" customHeight="1" s="21">
      <c r="A242" s="32">
        <f>IFERROR(LARGE(开奖记录!$A$2:$A$400,241),"")</f>
        <v/>
      </c>
      <c r="B242" s="32">
        <f>IF($A242="","",IFERROR(VLOOKUP($A242-1,开奖记录!$A:$L,11,FALSE),""))</f>
        <v/>
      </c>
      <c r="C242" s="36">
        <f>IF(B242="","",IFERROR(VLOOKUP(B242,八肖参数!$A:$B,2,FALSE),""))</f>
        <v/>
      </c>
      <c r="D242" s="32">
        <f>IF($A242="","",IFERROR(VLOOKUP($A242,开奖记录!$A:$L,9,FALSE),""))</f>
        <v/>
      </c>
      <c r="E242" s="32">
        <f>IF($A242="","",IFERROR(VLOOKUP($A242,开奖记录!$A:$L,11,FALSE),""))</f>
        <v/>
      </c>
      <c r="F242" s="32">
        <f>IF(A242="","",IF(B242="","缺上期数据",IF(E242="","待开奖",IF(ISNUMBER(SEARCH(E242,C242)),"命中","未命中"))))</f>
        <v/>
      </c>
    </row>
    <row r="243" ht="23" customHeight="1" s="21">
      <c r="A243" s="32">
        <f>IFERROR(LARGE(开奖记录!$A$2:$A$400,242),"")</f>
        <v/>
      </c>
      <c r="B243" s="32">
        <f>IF($A243="","",IFERROR(VLOOKUP($A243-1,开奖记录!$A:$L,11,FALSE),""))</f>
        <v/>
      </c>
      <c r="C243" s="36">
        <f>IF(B243="","",IFERROR(VLOOKUP(B243,八肖参数!$A:$B,2,FALSE),""))</f>
        <v/>
      </c>
      <c r="D243" s="32">
        <f>IF($A243="","",IFERROR(VLOOKUP($A243,开奖记录!$A:$L,9,FALSE),""))</f>
        <v/>
      </c>
      <c r="E243" s="32">
        <f>IF($A243="","",IFERROR(VLOOKUP($A243,开奖记录!$A:$L,11,FALSE),""))</f>
        <v/>
      </c>
      <c r="F243" s="32">
        <f>IF(A243="","",IF(B243="","缺上期数据",IF(E243="","待开奖",IF(ISNUMBER(SEARCH(E243,C243)),"命中","未命中"))))</f>
        <v/>
      </c>
    </row>
    <row r="244" ht="23" customHeight="1" s="21">
      <c r="A244" s="32">
        <f>IFERROR(LARGE(开奖记录!$A$2:$A$400,243),"")</f>
        <v/>
      </c>
      <c r="B244" s="32">
        <f>IF($A244="","",IFERROR(VLOOKUP($A244-1,开奖记录!$A:$L,11,FALSE),""))</f>
        <v/>
      </c>
      <c r="C244" s="36">
        <f>IF(B244="","",IFERROR(VLOOKUP(B244,八肖参数!$A:$B,2,FALSE),""))</f>
        <v/>
      </c>
      <c r="D244" s="32">
        <f>IF($A244="","",IFERROR(VLOOKUP($A244,开奖记录!$A:$L,9,FALSE),""))</f>
        <v/>
      </c>
      <c r="E244" s="32">
        <f>IF($A244="","",IFERROR(VLOOKUP($A244,开奖记录!$A:$L,11,FALSE),""))</f>
        <v/>
      </c>
      <c r="F244" s="32">
        <f>IF(A244="","",IF(B244="","缺上期数据",IF(E244="","待开奖",IF(ISNUMBER(SEARCH(E244,C244)),"命中","未命中"))))</f>
        <v/>
      </c>
    </row>
    <row r="245" ht="23" customHeight="1" s="21">
      <c r="A245" s="32">
        <f>IFERROR(LARGE(开奖记录!$A$2:$A$400,244),"")</f>
        <v/>
      </c>
      <c r="B245" s="32">
        <f>IF($A245="","",IFERROR(VLOOKUP($A245-1,开奖记录!$A:$L,11,FALSE),""))</f>
        <v/>
      </c>
      <c r="C245" s="36">
        <f>IF(B245="","",IFERROR(VLOOKUP(B245,八肖参数!$A:$B,2,FALSE),""))</f>
        <v/>
      </c>
      <c r="D245" s="32">
        <f>IF($A245="","",IFERROR(VLOOKUP($A245,开奖记录!$A:$L,9,FALSE),""))</f>
        <v/>
      </c>
      <c r="E245" s="32">
        <f>IF($A245="","",IFERROR(VLOOKUP($A245,开奖记录!$A:$L,11,FALSE),""))</f>
        <v/>
      </c>
      <c r="F245" s="32">
        <f>IF(A245="","",IF(B245="","缺上期数据",IF(E245="","待开奖",IF(ISNUMBER(SEARCH(E245,C245)),"命中","未命中"))))</f>
        <v/>
      </c>
    </row>
    <row r="246" ht="23" customHeight="1" s="21">
      <c r="A246" s="32">
        <f>IFERROR(LARGE(开奖记录!$A$2:$A$400,245),"")</f>
        <v/>
      </c>
      <c r="B246" s="32">
        <f>IF($A246="","",IFERROR(VLOOKUP($A246-1,开奖记录!$A:$L,11,FALSE),""))</f>
        <v/>
      </c>
      <c r="C246" s="36">
        <f>IF(B246="","",IFERROR(VLOOKUP(B246,八肖参数!$A:$B,2,FALSE),""))</f>
        <v/>
      </c>
      <c r="D246" s="32">
        <f>IF($A246="","",IFERROR(VLOOKUP($A246,开奖记录!$A:$L,9,FALSE),""))</f>
        <v/>
      </c>
      <c r="E246" s="32">
        <f>IF($A246="","",IFERROR(VLOOKUP($A246,开奖记录!$A:$L,11,FALSE),""))</f>
        <v/>
      </c>
      <c r="F246" s="32">
        <f>IF(A246="","",IF(B246="","缺上期数据",IF(E246="","待开奖",IF(ISNUMBER(SEARCH(E246,C246)),"命中","未命中"))))</f>
        <v/>
      </c>
    </row>
    <row r="247" ht="23" customHeight="1" s="21">
      <c r="A247" s="32">
        <f>IFERROR(LARGE(开奖记录!$A$2:$A$400,246),"")</f>
        <v/>
      </c>
      <c r="B247" s="32">
        <f>IF($A247="","",IFERROR(VLOOKUP($A247-1,开奖记录!$A:$L,11,FALSE),""))</f>
        <v/>
      </c>
      <c r="C247" s="36">
        <f>IF(B247="","",IFERROR(VLOOKUP(B247,八肖参数!$A:$B,2,FALSE),""))</f>
        <v/>
      </c>
      <c r="D247" s="32">
        <f>IF($A247="","",IFERROR(VLOOKUP($A247,开奖记录!$A:$L,9,FALSE),""))</f>
        <v/>
      </c>
      <c r="E247" s="32">
        <f>IF($A247="","",IFERROR(VLOOKUP($A247,开奖记录!$A:$L,11,FALSE),""))</f>
        <v/>
      </c>
      <c r="F247" s="32">
        <f>IF(A247="","",IF(B247="","缺上期数据",IF(E247="","待开奖",IF(ISNUMBER(SEARCH(E247,C247)),"命中","未命中"))))</f>
        <v/>
      </c>
    </row>
    <row r="248" ht="23" customHeight="1" s="21">
      <c r="A248" s="32">
        <f>IFERROR(LARGE(开奖记录!$A$2:$A$400,247),"")</f>
        <v/>
      </c>
      <c r="B248" s="32">
        <f>IF($A248="","",IFERROR(VLOOKUP($A248-1,开奖记录!$A:$L,11,FALSE),""))</f>
        <v/>
      </c>
      <c r="C248" s="36">
        <f>IF(B248="","",IFERROR(VLOOKUP(B248,八肖参数!$A:$B,2,FALSE),""))</f>
        <v/>
      </c>
      <c r="D248" s="32">
        <f>IF($A248="","",IFERROR(VLOOKUP($A248,开奖记录!$A:$L,9,FALSE),""))</f>
        <v/>
      </c>
      <c r="E248" s="32">
        <f>IF($A248="","",IFERROR(VLOOKUP($A248,开奖记录!$A:$L,11,FALSE),""))</f>
        <v/>
      </c>
      <c r="F248" s="32">
        <f>IF(A248="","",IF(B248="","缺上期数据",IF(E248="","待开奖",IF(ISNUMBER(SEARCH(E248,C248)),"命中","未命中"))))</f>
        <v/>
      </c>
    </row>
    <row r="249" ht="23" customHeight="1" s="21">
      <c r="A249" s="32">
        <f>IFERROR(LARGE(开奖记录!$A$2:$A$400,248),"")</f>
        <v/>
      </c>
      <c r="B249" s="32">
        <f>IF($A249="","",IFERROR(VLOOKUP($A249-1,开奖记录!$A:$L,11,FALSE),""))</f>
        <v/>
      </c>
      <c r="C249" s="36">
        <f>IF(B249="","",IFERROR(VLOOKUP(B249,八肖参数!$A:$B,2,FALSE),""))</f>
        <v/>
      </c>
      <c r="D249" s="32">
        <f>IF($A249="","",IFERROR(VLOOKUP($A249,开奖记录!$A:$L,9,FALSE),""))</f>
        <v/>
      </c>
      <c r="E249" s="32">
        <f>IF($A249="","",IFERROR(VLOOKUP($A249,开奖记录!$A:$L,11,FALSE),""))</f>
        <v/>
      </c>
      <c r="F249" s="32">
        <f>IF(A249="","",IF(B249="","缺上期数据",IF(E249="","待开奖",IF(ISNUMBER(SEARCH(E249,C249)),"命中","未命中"))))</f>
        <v/>
      </c>
    </row>
    <row r="250" ht="23" customHeight="1" s="21">
      <c r="A250" s="32">
        <f>IFERROR(LARGE(开奖记录!$A$2:$A$400,249),"")</f>
        <v/>
      </c>
      <c r="B250" s="32">
        <f>IF($A250="","",IFERROR(VLOOKUP($A250-1,开奖记录!$A:$L,11,FALSE),""))</f>
        <v/>
      </c>
      <c r="C250" s="36">
        <f>IF(B250="","",IFERROR(VLOOKUP(B250,八肖参数!$A:$B,2,FALSE),""))</f>
        <v/>
      </c>
      <c r="D250" s="32">
        <f>IF($A250="","",IFERROR(VLOOKUP($A250,开奖记录!$A:$L,9,FALSE),""))</f>
        <v/>
      </c>
      <c r="E250" s="32">
        <f>IF($A250="","",IFERROR(VLOOKUP($A250,开奖记录!$A:$L,11,FALSE),""))</f>
        <v/>
      </c>
      <c r="F250" s="32">
        <f>IF(A250="","",IF(B250="","缺上期数据",IF(E250="","待开奖",IF(ISNUMBER(SEARCH(E250,C250)),"命中","未命中"))))</f>
        <v/>
      </c>
    </row>
    <row r="251" ht="23" customHeight="1" s="21">
      <c r="A251" s="32">
        <f>IFERROR(LARGE(开奖记录!$A$2:$A$400,250),"")</f>
        <v/>
      </c>
      <c r="B251" s="32">
        <f>IF($A251="","",IFERROR(VLOOKUP($A251-1,开奖记录!$A:$L,11,FALSE),""))</f>
        <v/>
      </c>
      <c r="C251" s="36">
        <f>IF(B251="","",IFERROR(VLOOKUP(B251,八肖参数!$A:$B,2,FALSE),""))</f>
        <v/>
      </c>
      <c r="D251" s="32">
        <f>IF($A251="","",IFERROR(VLOOKUP($A251,开奖记录!$A:$L,9,FALSE),""))</f>
        <v/>
      </c>
      <c r="E251" s="32">
        <f>IF($A251="","",IFERROR(VLOOKUP($A251,开奖记录!$A:$L,11,FALSE),""))</f>
        <v/>
      </c>
      <c r="F251" s="32">
        <f>IF(A251="","",IF(B251="","缺上期数据",IF(E251="","待开奖",IF(ISNUMBER(SEARCH(E251,C251)),"命中","未命中"))))</f>
        <v/>
      </c>
    </row>
    <row r="252" ht="23" customHeight="1" s="21">
      <c r="A252" s="32">
        <f>IFERROR(LARGE(开奖记录!$A$2:$A$400,251),"")</f>
        <v/>
      </c>
      <c r="B252" s="32">
        <f>IF($A252="","",IFERROR(VLOOKUP($A252-1,开奖记录!$A:$L,11,FALSE),""))</f>
        <v/>
      </c>
      <c r="C252" s="36">
        <f>IF(B252="","",IFERROR(VLOOKUP(B252,八肖参数!$A:$B,2,FALSE),""))</f>
        <v/>
      </c>
      <c r="D252" s="32">
        <f>IF($A252="","",IFERROR(VLOOKUP($A252,开奖记录!$A:$L,9,FALSE),""))</f>
        <v/>
      </c>
      <c r="E252" s="32">
        <f>IF($A252="","",IFERROR(VLOOKUP($A252,开奖记录!$A:$L,11,FALSE),""))</f>
        <v/>
      </c>
      <c r="F252" s="32">
        <f>IF(A252="","",IF(B252="","缺上期数据",IF(E252="","待开奖",IF(ISNUMBER(SEARCH(E252,C252)),"命中","未命中"))))</f>
        <v/>
      </c>
    </row>
    <row r="253" ht="23" customHeight="1" s="21">
      <c r="A253" s="32">
        <f>IFERROR(LARGE(开奖记录!$A$2:$A$400,252),"")</f>
        <v/>
      </c>
      <c r="B253" s="32">
        <f>IF($A253="","",IFERROR(VLOOKUP($A253-1,开奖记录!$A:$L,11,FALSE),""))</f>
        <v/>
      </c>
      <c r="C253" s="36">
        <f>IF(B253="","",IFERROR(VLOOKUP(B253,八肖参数!$A:$B,2,FALSE),""))</f>
        <v/>
      </c>
      <c r="D253" s="32">
        <f>IF($A253="","",IFERROR(VLOOKUP($A253,开奖记录!$A:$L,9,FALSE),""))</f>
        <v/>
      </c>
      <c r="E253" s="32">
        <f>IF($A253="","",IFERROR(VLOOKUP($A253,开奖记录!$A:$L,11,FALSE),""))</f>
        <v/>
      </c>
      <c r="F253" s="32">
        <f>IF(A253="","",IF(B253="","缺上期数据",IF(E253="","待开奖",IF(ISNUMBER(SEARCH(E253,C253)),"命中","未命中"))))</f>
        <v/>
      </c>
    </row>
    <row r="254" ht="23" customHeight="1" s="21">
      <c r="A254" s="32">
        <f>IFERROR(LARGE(开奖记录!$A$2:$A$400,253),"")</f>
        <v/>
      </c>
      <c r="B254" s="32">
        <f>IF($A254="","",IFERROR(VLOOKUP($A254-1,开奖记录!$A:$L,11,FALSE),""))</f>
        <v/>
      </c>
      <c r="C254" s="36">
        <f>IF(B254="","",IFERROR(VLOOKUP(B254,八肖参数!$A:$B,2,FALSE),""))</f>
        <v/>
      </c>
      <c r="D254" s="32">
        <f>IF($A254="","",IFERROR(VLOOKUP($A254,开奖记录!$A:$L,9,FALSE),""))</f>
        <v/>
      </c>
      <c r="E254" s="32">
        <f>IF($A254="","",IFERROR(VLOOKUP($A254,开奖记录!$A:$L,11,FALSE),""))</f>
        <v/>
      </c>
      <c r="F254" s="32">
        <f>IF(A254="","",IF(B254="","缺上期数据",IF(E254="","待开奖",IF(ISNUMBER(SEARCH(E254,C254)),"命中","未命中"))))</f>
        <v/>
      </c>
    </row>
    <row r="255" ht="23" customHeight="1" s="21">
      <c r="A255" s="32">
        <f>IFERROR(LARGE(开奖记录!$A$2:$A$400,254),"")</f>
        <v/>
      </c>
      <c r="B255" s="32">
        <f>IF($A255="","",IFERROR(VLOOKUP($A255-1,开奖记录!$A:$L,11,FALSE),""))</f>
        <v/>
      </c>
      <c r="C255" s="36">
        <f>IF(B255="","",IFERROR(VLOOKUP(B255,八肖参数!$A:$B,2,FALSE),""))</f>
        <v/>
      </c>
      <c r="D255" s="32">
        <f>IF($A255="","",IFERROR(VLOOKUP($A255,开奖记录!$A:$L,9,FALSE),""))</f>
        <v/>
      </c>
      <c r="E255" s="32">
        <f>IF($A255="","",IFERROR(VLOOKUP($A255,开奖记录!$A:$L,11,FALSE),""))</f>
        <v/>
      </c>
      <c r="F255" s="32">
        <f>IF(A255="","",IF(B255="","缺上期数据",IF(E255="","待开奖",IF(ISNUMBER(SEARCH(E255,C255)),"命中","未命中"))))</f>
        <v/>
      </c>
    </row>
    <row r="256" ht="23" customHeight="1" s="21">
      <c r="A256" s="32">
        <f>IFERROR(LARGE(开奖记录!$A$2:$A$400,255),"")</f>
        <v/>
      </c>
      <c r="B256" s="32">
        <f>IF($A256="","",IFERROR(VLOOKUP($A256-1,开奖记录!$A:$L,11,FALSE),""))</f>
        <v/>
      </c>
      <c r="C256" s="36">
        <f>IF(B256="","",IFERROR(VLOOKUP(B256,八肖参数!$A:$B,2,FALSE),""))</f>
        <v/>
      </c>
      <c r="D256" s="32">
        <f>IF($A256="","",IFERROR(VLOOKUP($A256,开奖记录!$A:$L,9,FALSE),""))</f>
        <v/>
      </c>
      <c r="E256" s="32">
        <f>IF($A256="","",IFERROR(VLOOKUP($A256,开奖记录!$A:$L,11,FALSE),""))</f>
        <v/>
      </c>
      <c r="F256" s="32">
        <f>IF(A256="","",IF(B256="","缺上期数据",IF(E256="","待开奖",IF(ISNUMBER(SEARCH(E256,C256)),"命中","未命中"))))</f>
        <v/>
      </c>
    </row>
    <row r="257" ht="23" customHeight="1" s="21">
      <c r="A257" s="32">
        <f>IFERROR(LARGE(开奖记录!$A$2:$A$400,256),"")</f>
        <v/>
      </c>
      <c r="B257" s="32">
        <f>IF($A257="","",IFERROR(VLOOKUP($A257-1,开奖记录!$A:$L,11,FALSE),""))</f>
        <v/>
      </c>
      <c r="C257" s="36">
        <f>IF(B257="","",IFERROR(VLOOKUP(B257,八肖参数!$A:$B,2,FALSE),""))</f>
        <v/>
      </c>
      <c r="D257" s="32">
        <f>IF($A257="","",IFERROR(VLOOKUP($A257,开奖记录!$A:$L,9,FALSE),""))</f>
        <v/>
      </c>
      <c r="E257" s="32">
        <f>IF($A257="","",IFERROR(VLOOKUP($A257,开奖记录!$A:$L,11,FALSE),""))</f>
        <v/>
      </c>
      <c r="F257" s="32">
        <f>IF(A257="","",IF(B257="","缺上期数据",IF(E257="","待开奖",IF(ISNUMBER(SEARCH(E257,C257)),"命中","未命中"))))</f>
        <v/>
      </c>
    </row>
    <row r="258" ht="23" customHeight="1" s="21">
      <c r="A258" s="32">
        <f>IFERROR(LARGE(开奖记录!$A$2:$A$400,257),"")</f>
        <v/>
      </c>
      <c r="B258" s="32">
        <f>IF($A258="","",IFERROR(VLOOKUP($A258-1,开奖记录!$A:$L,11,FALSE),""))</f>
        <v/>
      </c>
      <c r="C258" s="36">
        <f>IF(B258="","",IFERROR(VLOOKUP(B258,八肖参数!$A:$B,2,FALSE),""))</f>
        <v/>
      </c>
      <c r="D258" s="32">
        <f>IF($A258="","",IFERROR(VLOOKUP($A258,开奖记录!$A:$L,9,FALSE),""))</f>
        <v/>
      </c>
      <c r="E258" s="32">
        <f>IF($A258="","",IFERROR(VLOOKUP($A258,开奖记录!$A:$L,11,FALSE),""))</f>
        <v/>
      </c>
      <c r="F258" s="32">
        <f>IF(A258="","",IF(B258="","缺上期数据",IF(E258="","待开奖",IF(ISNUMBER(SEARCH(E258,C258)),"命中","未命中"))))</f>
        <v/>
      </c>
    </row>
    <row r="259" ht="23" customHeight="1" s="21">
      <c r="A259" s="32">
        <f>IFERROR(LARGE(开奖记录!$A$2:$A$400,258),"")</f>
        <v/>
      </c>
      <c r="B259" s="32">
        <f>IF($A259="","",IFERROR(VLOOKUP($A259-1,开奖记录!$A:$L,11,FALSE),""))</f>
        <v/>
      </c>
      <c r="C259" s="36">
        <f>IF(B259="","",IFERROR(VLOOKUP(B259,八肖参数!$A:$B,2,FALSE),""))</f>
        <v/>
      </c>
      <c r="D259" s="32">
        <f>IF($A259="","",IFERROR(VLOOKUP($A259,开奖记录!$A:$L,9,FALSE),""))</f>
        <v/>
      </c>
      <c r="E259" s="32">
        <f>IF($A259="","",IFERROR(VLOOKUP($A259,开奖记录!$A:$L,11,FALSE),""))</f>
        <v/>
      </c>
      <c r="F259" s="32">
        <f>IF(A259="","",IF(B259="","缺上期数据",IF(E259="","待开奖",IF(ISNUMBER(SEARCH(E259,C259)),"命中","未命中"))))</f>
        <v/>
      </c>
    </row>
    <row r="260" ht="23" customHeight="1" s="21">
      <c r="A260" s="32">
        <f>IFERROR(LARGE(开奖记录!$A$2:$A$400,259),"")</f>
        <v/>
      </c>
      <c r="B260" s="32">
        <f>IF($A260="","",IFERROR(VLOOKUP($A260-1,开奖记录!$A:$L,11,FALSE),""))</f>
        <v/>
      </c>
      <c r="C260" s="36">
        <f>IF(B260="","",IFERROR(VLOOKUP(B260,八肖参数!$A:$B,2,FALSE),""))</f>
        <v/>
      </c>
      <c r="D260" s="32">
        <f>IF($A260="","",IFERROR(VLOOKUP($A260,开奖记录!$A:$L,9,FALSE),""))</f>
        <v/>
      </c>
      <c r="E260" s="32">
        <f>IF($A260="","",IFERROR(VLOOKUP($A260,开奖记录!$A:$L,11,FALSE),""))</f>
        <v/>
      </c>
      <c r="F260" s="32">
        <f>IF(A260="","",IF(B260="","缺上期数据",IF(E260="","待开奖",IF(ISNUMBER(SEARCH(E260,C260)),"命中","未命中"))))</f>
        <v/>
      </c>
    </row>
    <row r="261" ht="23" customHeight="1" s="21">
      <c r="A261" s="32">
        <f>IFERROR(LARGE(开奖记录!$A$2:$A$400,260),"")</f>
        <v/>
      </c>
      <c r="B261" s="32">
        <f>IF($A261="","",IFERROR(VLOOKUP($A261-1,开奖记录!$A:$L,11,FALSE),""))</f>
        <v/>
      </c>
      <c r="C261" s="36">
        <f>IF(B261="","",IFERROR(VLOOKUP(B261,八肖参数!$A:$B,2,FALSE),""))</f>
        <v/>
      </c>
      <c r="D261" s="32">
        <f>IF($A261="","",IFERROR(VLOOKUP($A261,开奖记录!$A:$L,9,FALSE),""))</f>
        <v/>
      </c>
      <c r="E261" s="32">
        <f>IF($A261="","",IFERROR(VLOOKUP($A261,开奖记录!$A:$L,11,FALSE),""))</f>
        <v/>
      </c>
      <c r="F261" s="32">
        <f>IF(A261="","",IF(B261="","缺上期数据",IF(E261="","待开奖",IF(ISNUMBER(SEARCH(E261,C261)),"命中","未命中"))))</f>
        <v/>
      </c>
    </row>
    <row r="262" ht="23" customHeight="1" s="21">
      <c r="A262" s="32">
        <f>IFERROR(LARGE(开奖记录!$A$2:$A$400,261),"")</f>
        <v/>
      </c>
      <c r="B262" s="32">
        <f>IF($A262="","",IFERROR(VLOOKUP($A262-1,开奖记录!$A:$L,11,FALSE),""))</f>
        <v/>
      </c>
      <c r="C262" s="36">
        <f>IF(B262="","",IFERROR(VLOOKUP(B262,八肖参数!$A:$B,2,FALSE),""))</f>
        <v/>
      </c>
      <c r="D262" s="32">
        <f>IF($A262="","",IFERROR(VLOOKUP($A262,开奖记录!$A:$L,9,FALSE),""))</f>
        <v/>
      </c>
      <c r="E262" s="32">
        <f>IF($A262="","",IFERROR(VLOOKUP($A262,开奖记录!$A:$L,11,FALSE),""))</f>
        <v/>
      </c>
      <c r="F262" s="32">
        <f>IF(A262="","",IF(B262="","缺上期数据",IF(E262="","待开奖",IF(ISNUMBER(SEARCH(E262,C262)),"命中","未命中"))))</f>
        <v/>
      </c>
    </row>
    <row r="263" ht="23" customHeight="1" s="21">
      <c r="A263" s="32">
        <f>IFERROR(LARGE(开奖记录!$A$2:$A$400,262),"")</f>
        <v/>
      </c>
      <c r="B263" s="32">
        <f>IF($A263="","",IFERROR(VLOOKUP($A263-1,开奖记录!$A:$L,11,FALSE),""))</f>
        <v/>
      </c>
      <c r="C263" s="36">
        <f>IF(B263="","",IFERROR(VLOOKUP(B263,八肖参数!$A:$B,2,FALSE),""))</f>
        <v/>
      </c>
      <c r="D263" s="32">
        <f>IF($A263="","",IFERROR(VLOOKUP($A263,开奖记录!$A:$L,9,FALSE),""))</f>
        <v/>
      </c>
      <c r="E263" s="32">
        <f>IF($A263="","",IFERROR(VLOOKUP($A263,开奖记录!$A:$L,11,FALSE),""))</f>
        <v/>
      </c>
      <c r="F263" s="32">
        <f>IF(A263="","",IF(B263="","缺上期数据",IF(E263="","待开奖",IF(ISNUMBER(SEARCH(E263,C263)),"命中","未命中"))))</f>
        <v/>
      </c>
    </row>
    <row r="264" ht="23" customHeight="1" s="21">
      <c r="A264" s="32">
        <f>IFERROR(LARGE(开奖记录!$A$2:$A$400,263),"")</f>
        <v/>
      </c>
      <c r="B264" s="32">
        <f>IF($A264="","",IFERROR(VLOOKUP($A264-1,开奖记录!$A:$L,11,FALSE),""))</f>
        <v/>
      </c>
      <c r="C264" s="36">
        <f>IF(B264="","",IFERROR(VLOOKUP(B264,八肖参数!$A:$B,2,FALSE),""))</f>
        <v/>
      </c>
      <c r="D264" s="32">
        <f>IF($A264="","",IFERROR(VLOOKUP($A264,开奖记录!$A:$L,9,FALSE),""))</f>
        <v/>
      </c>
      <c r="E264" s="32">
        <f>IF($A264="","",IFERROR(VLOOKUP($A264,开奖记录!$A:$L,11,FALSE),""))</f>
        <v/>
      </c>
      <c r="F264" s="32">
        <f>IF(A264="","",IF(B264="","缺上期数据",IF(E264="","待开奖",IF(ISNUMBER(SEARCH(E264,C264)),"命中","未命中"))))</f>
        <v/>
      </c>
    </row>
    <row r="265" ht="23" customHeight="1" s="21">
      <c r="A265" s="32">
        <f>IFERROR(LARGE(开奖记录!$A$2:$A$400,264),"")</f>
        <v/>
      </c>
      <c r="B265" s="32">
        <f>IF($A265="","",IFERROR(VLOOKUP($A265-1,开奖记录!$A:$L,11,FALSE),""))</f>
        <v/>
      </c>
      <c r="C265" s="36">
        <f>IF(B265="","",IFERROR(VLOOKUP(B265,八肖参数!$A:$B,2,FALSE),""))</f>
        <v/>
      </c>
      <c r="D265" s="32">
        <f>IF($A265="","",IFERROR(VLOOKUP($A265,开奖记录!$A:$L,9,FALSE),""))</f>
        <v/>
      </c>
      <c r="E265" s="32">
        <f>IF($A265="","",IFERROR(VLOOKUP($A265,开奖记录!$A:$L,11,FALSE),""))</f>
        <v/>
      </c>
      <c r="F265" s="32">
        <f>IF(A265="","",IF(B265="","缺上期数据",IF(E265="","待开奖",IF(ISNUMBER(SEARCH(E265,C265)),"命中","未命中"))))</f>
        <v/>
      </c>
    </row>
    <row r="266" ht="23" customHeight="1" s="21">
      <c r="A266" s="32">
        <f>IFERROR(LARGE(开奖记录!$A$2:$A$400,265),"")</f>
        <v/>
      </c>
      <c r="B266" s="32">
        <f>IF($A266="","",IFERROR(VLOOKUP($A266-1,开奖记录!$A:$L,11,FALSE),""))</f>
        <v/>
      </c>
      <c r="C266" s="36">
        <f>IF(B266="","",IFERROR(VLOOKUP(B266,八肖参数!$A:$B,2,FALSE),""))</f>
        <v/>
      </c>
      <c r="D266" s="32">
        <f>IF($A266="","",IFERROR(VLOOKUP($A266,开奖记录!$A:$L,9,FALSE),""))</f>
        <v/>
      </c>
      <c r="E266" s="32">
        <f>IF($A266="","",IFERROR(VLOOKUP($A266,开奖记录!$A:$L,11,FALSE),""))</f>
        <v/>
      </c>
      <c r="F266" s="32">
        <f>IF(A266="","",IF(B266="","缺上期数据",IF(E266="","待开奖",IF(ISNUMBER(SEARCH(E266,C266)),"命中","未命中"))))</f>
        <v/>
      </c>
    </row>
    <row r="267" ht="23" customHeight="1" s="21">
      <c r="A267" s="32">
        <f>IFERROR(LARGE(开奖记录!$A$2:$A$400,266),"")</f>
        <v/>
      </c>
      <c r="B267" s="32">
        <f>IF($A267="","",IFERROR(VLOOKUP($A267-1,开奖记录!$A:$L,11,FALSE),""))</f>
        <v/>
      </c>
      <c r="C267" s="36">
        <f>IF(B267="","",IFERROR(VLOOKUP(B267,八肖参数!$A:$B,2,FALSE),""))</f>
        <v/>
      </c>
      <c r="D267" s="32">
        <f>IF($A267="","",IFERROR(VLOOKUP($A267,开奖记录!$A:$L,9,FALSE),""))</f>
        <v/>
      </c>
      <c r="E267" s="32">
        <f>IF($A267="","",IFERROR(VLOOKUP($A267,开奖记录!$A:$L,11,FALSE),""))</f>
        <v/>
      </c>
      <c r="F267" s="32">
        <f>IF(A267="","",IF(B267="","缺上期数据",IF(E267="","待开奖",IF(ISNUMBER(SEARCH(E267,C267)),"命中","未命中"))))</f>
        <v/>
      </c>
    </row>
    <row r="268" ht="23" customHeight="1" s="21">
      <c r="A268" s="32">
        <f>IFERROR(LARGE(开奖记录!$A$2:$A$400,267),"")</f>
        <v/>
      </c>
      <c r="B268" s="32">
        <f>IF($A268="","",IFERROR(VLOOKUP($A268-1,开奖记录!$A:$L,11,FALSE),""))</f>
        <v/>
      </c>
      <c r="C268" s="36">
        <f>IF(B268="","",IFERROR(VLOOKUP(B268,八肖参数!$A:$B,2,FALSE),""))</f>
        <v/>
      </c>
      <c r="D268" s="32">
        <f>IF($A268="","",IFERROR(VLOOKUP($A268,开奖记录!$A:$L,9,FALSE),""))</f>
        <v/>
      </c>
      <c r="E268" s="32">
        <f>IF($A268="","",IFERROR(VLOOKUP($A268,开奖记录!$A:$L,11,FALSE),""))</f>
        <v/>
      </c>
      <c r="F268" s="32">
        <f>IF(A268="","",IF(B268="","缺上期数据",IF(E268="","待开奖",IF(ISNUMBER(SEARCH(E268,C268)),"命中","未命中"))))</f>
        <v/>
      </c>
    </row>
    <row r="269" ht="23" customHeight="1" s="21">
      <c r="A269" s="32">
        <f>IFERROR(LARGE(开奖记录!$A$2:$A$400,268),"")</f>
        <v/>
      </c>
      <c r="B269" s="32">
        <f>IF($A269="","",IFERROR(VLOOKUP($A269-1,开奖记录!$A:$L,11,FALSE),""))</f>
        <v/>
      </c>
      <c r="C269" s="36">
        <f>IF(B269="","",IFERROR(VLOOKUP(B269,八肖参数!$A:$B,2,FALSE),""))</f>
        <v/>
      </c>
      <c r="D269" s="32">
        <f>IF($A269="","",IFERROR(VLOOKUP($A269,开奖记录!$A:$L,9,FALSE),""))</f>
        <v/>
      </c>
      <c r="E269" s="32">
        <f>IF($A269="","",IFERROR(VLOOKUP($A269,开奖记录!$A:$L,11,FALSE),""))</f>
        <v/>
      </c>
      <c r="F269" s="32">
        <f>IF(A269="","",IF(B269="","缺上期数据",IF(E269="","待开奖",IF(ISNUMBER(SEARCH(E269,C269)),"命中","未命中"))))</f>
        <v/>
      </c>
    </row>
    <row r="270" ht="23" customHeight="1" s="21">
      <c r="A270" s="32">
        <f>IFERROR(LARGE(开奖记录!$A$2:$A$400,269),"")</f>
        <v/>
      </c>
      <c r="B270" s="32">
        <f>IF($A270="","",IFERROR(VLOOKUP($A270-1,开奖记录!$A:$L,11,FALSE),""))</f>
        <v/>
      </c>
      <c r="C270" s="36">
        <f>IF(B270="","",IFERROR(VLOOKUP(B270,八肖参数!$A:$B,2,FALSE),""))</f>
        <v/>
      </c>
      <c r="D270" s="32">
        <f>IF($A270="","",IFERROR(VLOOKUP($A270,开奖记录!$A:$L,9,FALSE),""))</f>
        <v/>
      </c>
      <c r="E270" s="32">
        <f>IF($A270="","",IFERROR(VLOOKUP($A270,开奖记录!$A:$L,11,FALSE),""))</f>
        <v/>
      </c>
      <c r="F270" s="32">
        <f>IF(A270="","",IF(B270="","缺上期数据",IF(E270="","待开奖",IF(ISNUMBER(SEARCH(E270,C270)),"命中","未命中"))))</f>
        <v/>
      </c>
    </row>
    <row r="271" ht="23" customHeight="1" s="21">
      <c r="A271" s="32">
        <f>IFERROR(LARGE(开奖记录!$A$2:$A$400,270),"")</f>
        <v/>
      </c>
      <c r="B271" s="32">
        <f>IF($A271="","",IFERROR(VLOOKUP($A271-1,开奖记录!$A:$L,11,FALSE),""))</f>
        <v/>
      </c>
      <c r="C271" s="36">
        <f>IF(B271="","",IFERROR(VLOOKUP(B271,八肖参数!$A:$B,2,FALSE),""))</f>
        <v/>
      </c>
      <c r="D271" s="32">
        <f>IF($A271="","",IFERROR(VLOOKUP($A271,开奖记录!$A:$L,9,FALSE),""))</f>
        <v/>
      </c>
      <c r="E271" s="32">
        <f>IF($A271="","",IFERROR(VLOOKUP($A271,开奖记录!$A:$L,11,FALSE),""))</f>
        <v/>
      </c>
      <c r="F271" s="32">
        <f>IF(A271="","",IF(B271="","缺上期数据",IF(E271="","待开奖",IF(ISNUMBER(SEARCH(E271,C271)),"命中","未命中"))))</f>
        <v/>
      </c>
    </row>
    <row r="272" ht="23" customHeight="1" s="21">
      <c r="A272" s="32">
        <f>IFERROR(LARGE(开奖记录!$A$2:$A$400,271),"")</f>
        <v/>
      </c>
      <c r="B272" s="32">
        <f>IF($A272="","",IFERROR(VLOOKUP($A272-1,开奖记录!$A:$L,11,FALSE),""))</f>
        <v/>
      </c>
      <c r="C272" s="36">
        <f>IF(B272="","",IFERROR(VLOOKUP(B272,八肖参数!$A:$B,2,FALSE),""))</f>
        <v/>
      </c>
      <c r="D272" s="32">
        <f>IF($A272="","",IFERROR(VLOOKUP($A272,开奖记录!$A:$L,9,FALSE),""))</f>
        <v/>
      </c>
      <c r="E272" s="32">
        <f>IF($A272="","",IFERROR(VLOOKUP($A272,开奖记录!$A:$L,11,FALSE),""))</f>
        <v/>
      </c>
      <c r="F272" s="32">
        <f>IF(A272="","",IF(B272="","缺上期数据",IF(E272="","待开奖",IF(ISNUMBER(SEARCH(E272,C272)),"命中","未命中"))))</f>
        <v/>
      </c>
    </row>
    <row r="273" ht="23" customHeight="1" s="21">
      <c r="A273" s="32">
        <f>IFERROR(LARGE(开奖记录!$A$2:$A$400,272),"")</f>
        <v/>
      </c>
      <c r="B273" s="32">
        <f>IF($A273="","",IFERROR(VLOOKUP($A273-1,开奖记录!$A:$L,11,FALSE),""))</f>
        <v/>
      </c>
      <c r="C273" s="36">
        <f>IF(B273="","",IFERROR(VLOOKUP(B273,八肖参数!$A:$B,2,FALSE),""))</f>
        <v/>
      </c>
      <c r="D273" s="32">
        <f>IF($A273="","",IFERROR(VLOOKUP($A273,开奖记录!$A:$L,9,FALSE),""))</f>
        <v/>
      </c>
      <c r="E273" s="32">
        <f>IF($A273="","",IFERROR(VLOOKUP($A273,开奖记录!$A:$L,11,FALSE),""))</f>
        <v/>
      </c>
      <c r="F273" s="32">
        <f>IF(A273="","",IF(B273="","缺上期数据",IF(E273="","待开奖",IF(ISNUMBER(SEARCH(E273,C273)),"命中","未命中"))))</f>
        <v/>
      </c>
    </row>
    <row r="274" ht="23" customHeight="1" s="21">
      <c r="A274" s="32">
        <f>IFERROR(LARGE(开奖记录!$A$2:$A$400,273),"")</f>
        <v/>
      </c>
      <c r="B274" s="32">
        <f>IF($A274="","",IFERROR(VLOOKUP($A274-1,开奖记录!$A:$L,11,FALSE),""))</f>
        <v/>
      </c>
      <c r="C274" s="36">
        <f>IF(B274="","",IFERROR(VLOOKUP(B274,八肖参数!$A:$B,2,FALSE),""))</f>
        <v/>
      </c>
      <c r="D274" s="32">
        <f>IF($A274="","",IFERROR(VLOOKUP($A274,开奖记录!$A:$L,9,FALSE),""))</f>
        <v/>
      </c>
      <c r="E274" s="32">
        <f>IF($A274="","",IFERROR(VLOOKUP($A274,开奖记录!$A:$L,11,FALSE),""))</f>
        <v/>
      </c>
      <c r="F274" s="32">
        <f>IF(A274="","",IF(B274="","缺上期数据",IF(E274="","待开奖",IF(ISNUMBER(SEARCH(E274,C274)),"命中","未命中"))))</f>
        <v/>
      </c>
    </row>
    <row r="275" ht="23" customHeight="1" s="21">
      <c r="A275" s="32">
        <f>IFERROR(LARGE(开奖记录!$A$2:$A$400,274),"")</f>
        <v/>
      </c>
      <c r="B275" s="32">
        <f>IF($A275="","",IFERROR(VLOOKUP($A275-1,开奖记录!$A:$L,11,FALSE),""))</f>
        <v/>
      </c>
      <c r="C275" s="36">
        <f>IF(B275="","",IFERROR(VLOOKUP(B275,八肖参数!$A:$B,2,FALSE),""))</f>
        <v/>
      </c>
      <c r="D275" s="32">
        <f>IF($A275="","",IFERROR(VLOOKUP($A275,开奖记录!$A:$L,9,FALSE),""))</f>
        <v/>
      </c>
      <c r="E275" s="32">
        <f>IF($A275="","",IFERROR(VLOOKUP($A275,开奖记录!$A:$L,11,FALSE),""))</f>
        <v/>
      </c>
      <c r="F275" s="32">
        <f>IF(A275="","",IF(B275="","缺上期数据",IF(E275="","待开奖",IF(ISNUMBER(SEARCH(E275,C275)),"命中","未命中"))))</f>
        <v/>
      </c>
    </row>
    <row r="276" ht="23" customHeight="1" s="21">
      <c r="A276" s="32">
        <f>IFERROR(LARGE(开奖记录!$A$2:$A$400,275),"")</f>
        <v/>
      </c>
      <c r="B276" s="32">
        <f>IF($A276="","",IFERROR(VLOOKUP($A276-1,开奖记录!$A:$L,11,FALSE),""))</f>
        <v/>
      </c>
      <c r="C276" s="36">
        <f>IF(B276="","",IFERROR(VLOOKUP(B276,八肖参数!$A:$B,2,FALSE),""))</f>
        <v/>
      </c>
      <c r="D276" s="32">
        <f>IF($A276="","",IFERROR(VLOOKUP($A276,开奖记录!$A:$L,9,FALSE),""))</f>
        <v/>
      </c>
      <c r="E276" s="32">
        <f>IF($A276="","",IFERROR(VLOOKUP($A276,开奖记录!$A:$L,11,FALSE),""))</f>
        <v/>
      </c>
      <c r="F276" s="32">
        <f>IF(A276="","",IF(B276="","缺上期数据",IF(E276="","待开奖",IF(ISNUMBER(SEARCH(E276,C276)),"命中","未命中"))))</f>
        <v/>
      </c>
    </row>
    <row r="277" ht="23" customHeight="1" s="21">
      <c r="A277" s="32">
        <f>IFERROR(LARGE(开奖记录!$A$2:$A$400,276),"")</f>
        <v/>
      </c>
      <c r="B277" s="32">
        <f>IF($A277="","",IFERROR(VLOOKUP($A277-1,开奖记录!$A:$L,11,FALSE),""))</f>
        <v/>
      </c>
      <c r="C277" s="36">
        <f>IF(B277="","",IFERROR(VLOOKUP(B277,八肖参数!$A:$B,2,FALSE),""))</f>
        <v/>
      </c>
      <c r="D277" s="32">
        <f>IF($A277="","",IFERROR(VLOOKUP($A277,开奖记录!$A:$L,9,FALSE),""))</f>
        <v/>
      </c>
      <c r="E277" s="32">
        <f>IF($A277="","",IFERROR(VLOOKUP($A277,开奖记录!$A:$L,11,FALSE),""))</f>
        <v/>
      </c>
      <c r="F277" s="32">
        <f>IF(A277="","",IF(B277="","缺上期数据",IF(E277="","待开奖",IF(ISNUMBER(SEARCH(E277,C277)),"命中","未命中"))))</f>
        <v/>
      </c>
    </row>
    <row r="278" ht="23" customHeight="1" s="21">
      <c r="A278" s="32">
        <f>IFERROR(LARGE(开奖记录!$A$2:$A$400,277),"")</f>
        <v/>
      </c>
      <c r="B278" s="32">
        <f>IF($A278="","",IFERROR(VLOOKUP($A278-1,开奖记录!$A:$L,11,FALSE),""))</f>
        <v/>
      </c>
      <c r="C278" s="36">
        <f>IF(B278="","",IFERROR(VLOOKUP(B278,八肖参数!$A:$B,2,FALSE),""))</f>
        <v/>
      </c>
      <c r="D278" s="32">
        <f>IF($A278="","",IFERROR(VLOOKUP($A278,开奖记录!$A:$L,9,FALSE),""))</f>
        <v/>
      </c>
      <c r="E278" s="32">
        <f>IF($A278="","",IFERROR(VLOOKUP($A278,开奖记录!$A:$L,11,FALSE),""))</f>
        <v/>
      </c>
      <c r="F278" s="32">
        <f>IF(A278="","",IF(B278="","缺上期数据",IF(E278="","待开奖",IF(ISNUMBER(SEARCH(E278,C278)),"命中","未命中"))))</f>
        <v/>
      </c>
    </row>
    <row r="279" ht="23" customHeight="1" s="21">
      <c r="A279" s="32">
        <f>IFERROR(LARGE(开奖记录!$A$2:$A$400,278),"")</f>
        <v/>
      </c>
      <c r="B279" s="32">
        <f>IF($A279="","",IFERROR(VLOOKUP($A279-1,开奖记录!$A:$L,11,FALSE),""))</f>
        <v/>
      </c>
      <c r="C279" s="36">
        <f>IF(B279="","",IFERROR(VLOOKUP(B279,八肖参数!$A:$B,2,FALSE),""))</f>
        <v/>
      </c>
      <c r="D279" s="32">
        <f>IF($A279="","",IFERROR(VLOOKUP($A279,开奖记录!$A:$L,9,FALSE),""))</f>
        <v/>
      </c>
      <c r="E279" s="32">
        <f>IF($A279="","",IFERROR(VLOOKUP($A279,开奖记录!$A:$L,11,FALSE),""))</f>
        <v/>
      </c>
      <c r="F279" s="32">
        <f>IF(A279="","",IF(B279="","缺上期数据",IF(E279="","待开奖",IF(ISNUMBER(SEARCH(E279,C279)),"命中","未命中"))))</f>
        <v/>
      </c>
    </row>
    <row r="280" ht="23" customHeight="1" s="21">
      <c r="A280" s="32">
        <f>IFERROR(LARGE(开奖记录!$A$2:$A$400,279),"")</f>
        <v/>
      </c>
      <c r="B280" s="32">
        <f>IF($A280="","",IFERROR(VLOOKUP($A280-1,开奖记录!$A:$L,11,FALSE),""))</f>
        <v/>
      </c>
      <c r="C280" s="36">
        <f>IF(B280="","",IFERROR(VLOOKUP(B280,八肖参数!$A:$B,2,FALSE),""))</f>
        <v/>
      </c>
      <c r="D280" s="32">
        <f>IF($A280="","",IFERROR(VLOOKUP($A280,开奖记录!$A:$L,9,FALSE),""))</f>
        <v/>
      </c>
      <c r="E280" s="32">
        <f>IF($A280="","",IFERROR(VLOOKUP($A280,开奖记录!$A:$L,11,FALSE),""))</f>
        <v/>
      </c>
      <c r="F280" s="32">
        <f>IF(A280="","",IF(B280="","缺上期数据",IF(E280="","待开奖",IF(ISNUMBER(SEARCH(E280,C280)),"命中","未命中"))))</f>
        <v/>
      </c>
    </row>
    <row r="281" ht="23" customHeight="1" s="21">
      <c r="A281" s="32">
        <f>IFERROR(LARGE(开奖记录!$A$2:$A$400,280),"")</f>
        <v/>
      </c>
      <c r="B281" s="32">
        <f>IF($A281="","",IFERROR(VLOOKUP($A281-1,开奖记录!$A:$L,11,FALSE),""))</f>
        <v/>
      </c>
      <c r="C281" s="36">
        <f>IF(B281="","",IFERROR(VLOOKUP(B281,八肖参数!$A:$B,2,FALSE),""))</f>
        <v/>
      </c>
      <c r="D281" s="32">
        <f>IF($A281="","",IFERROR(VLOOKUP($A281,开奖记录!$A:$L,9,FALSE),""))</f>
        <v/>
      </c>
      <c r="E281" s="32">
        <f>IF($A281="","",IFERROR(VLOOKUP($A281,开奖记录!$A:$L,11,FALSE),""))</f>
        <v/>
      </c>
      <c r="F281" s="32">
        <f>IF(A281="","",IF(B281="","缺上期数据",IF(E281="","待开奖",IF(ISNUMBER(SEARCH(E281,C281)),"命中","未命中"))))</f>
        <v/>
      </c>
    </row>
    <row r="282" ht="23" customHeight="1" s="21">
      <c r="A282" s="32">
        <f>IFERROR(LARGE(开奖记录!$A$2:$A$400,281),"")</f>
        <v/>
      </c>
      <c r="B282" s="32">
        <f>IF($A282="","",IFERROR(VLOOKUP($A282-1,开奖记录!$A:$L,11,FALSE),""))</f>
        <v/>
      </c>
      <c r="C282" s="36">
        <f>IF(B282="","",IFERROR(VLOOKUP(B282,八肖参数!$A:$B,2,FALSE),""))</f>
        <v/>
      </c>
      <c r="D282" s="32">
        <f>IF($A282="","",IFERROR(VLOOKUP($A282,开奖记录!$A:$L,9,FALSE),""))</f>
        <v/>
      </c>
      <c r="E282" s="32">
        <f>IF($A282="","",IFERROR(VLOOKUP($A282,开奖记录!$A:$L,11,FALSE),""))</f>
        <v/>
      </c>
      <c r="F282" s="32">
        <f>IF(A282="","",IF(B282="","缺上期数据",IF(E282="","待开奖",IF(ISNUMBER(SEARCH(E282,C282)),"命中","未命中"))))</f>
        <v/>
      </c>
    </row>
    <row r="283" ht="23" customHeight="1" s="21">
      <c r="A283" s="32">
        <f>IFERROR(LARGE(开奖记录!$A$2:$A$400,282),"")</f>
        <v/>
      </c>
      <c r="B283" s="32">
        <f>IF($A283="","",IFERROR(VLOOKUP($A283-1,开奖记录!$A:$L,11,FALSE),""))</f>
        <v/>
      </c>
      <c r="C283" s="36">
        <f>IF(B283="","",IFERROR(VLOOKUP(B283,八肖参数!$A:$B,2,FALSE),""))</f>
        <v/>
      </c>
      <c r="D283" s="32">
        <f>IF($A283="","",IFERROR(VLOOKUP($A283,开奖记录!$A:$L,9,FALSE),""))</f>
        <v/>
      </c>
      <c r="E283" s="32">
        <f>IF($A283="","",IFERROR(VLOOKUP($A283,开奖记录!$A:$L,11,FALSE),""))</f>
        <v/>
      </c>
      <c r="F283" s="32">
        <f>IF(A283="","",IF(B283="","缺上期数据",IF(E283="","待开奖",IF(ISNUMBER(SEARCH(E283,C283)),"命中","未命中"))))</f>
        <v/>
      </c>
    </row>
    <row r="284" ht="23" customHeight="1" s="21">
      <c r="A284" s="32">
        <f>IFERROR(LARGE(开奖记录!$A$2:$A$400,283),"")</f>
        <v/>
      </c>
      <c r="B284" s="32">
        <f>IF($A284="","",IFERROR(VLOOKUP($A284-1,开奖记录!$A:$L,11,FALSE),""))</f>
        <v/>
      </c>
      <c r="C284" s="36">
        <f>IF(B284="","",IFERROR(VLOOKUP(B284,八肖参数!$A:$B,2,FALSE),""))</f>
        <v/>
      </c>
      <c r="D284" s="32">
        <f>IF($A284="","",IFERROR(VLOOKUP($A284,开奖记录!$A:$L,9,FALSE),""))</f>
        <v/>
      </c>
      <c r="E284" s="32">
        <f>IF($A284="","",IFERROR(VLOOKUP($A284,开奖记录!$A:$L,11,FALSE),""))</f>
        <v/>
      </c>
      <c r="F284" s="32">
        <f>IF(A284="","",IF(B284="","缺上期数据",IF(E284="","待开奖",IF(ISNUMBER(SEARCH(E284,C284)),"命中","未命中"))))</f>
        <v/>
      </c>
    </row>
    <row r="285" ht="23" customHeight="1" s="21">
      <c r="A285" s="32">
        <f>IFERROR(LARGE(开奖记录!$A$2:$A$400,284),"")</f>
        <v/>
      </c>
      <c r="B285" s="32">
        <f>IF($A285="","",IFERROR(VLOOKUP($A285-1,开奖记录!$A:$L,11,FALSE),""))</f>
        <v/>
      </c>
      <c r="C285" s="36">
        <f>IF(B285="","",IFERROR(VLOOKUP(B285,八肖参数!$A:$B,2,FALSE),""))</f>
        <v/>
      </c>
      <c r="D285" s="32">
        <f>IF($A285="","",IFERROR(VLOOKUP($A285,开奖记录!$A:$L,9,FALSE),""))</f>
        <v/>
      </c>
      <c r="E285" s="32">
        <f>IF($A285="","",IFERROR(VLOOKUP($A285,开奖记录!$A:$L,11,FALSE),""))</f>
        <v/>
      </c>
      <c r="F285" s="32">
        <f>IF(A285="","",IF(B285="","缺上期数据",IF(E285="","待开奖",IF(ISNUMBER(SEARCH(E285,C285)),"命中","未命中"))))</f>
        <v/>
      </c>
    </row>
    <row r="286" ht="23" customHeight="1" s="21">
      <c r="A286" s="32">
        <f>IFERROR(LARGE(开奖记录!$A$2:$A$400,285),"")</f>
        <v/>
      </c>
      <c r="B286" s="32">
        <f>IF($A286="","",IFERROR(VLOOKUP($A286-1,开奖记录!$A:$L,11,FALSE),""))</f>
        <v/>
      </c>
      <c r="C286" s="36">
        <f>IF(B286="","",IFERROR(VLOOKUP(B286,八肖参数!$A:$B,2,FALSE),""))</f>
        <v/>
      </c>
      <c r="D286" s="32">
        <f>IF($A286="","",IFERROR(VLOOKUP($A286,开奖记录!$A:$L,9,FALSE),""))</f>
        <v/>
      </c>
      <c r="E286" s="32">
        <f>IF($A286="","",IFERROR(VLOOKUP($A286,开奖记录!$A:$L,11,FALSE),""))</f>
        <v/>
      </c>
      <c r="F286" s="32">
        <f>IF(A286="","",IF(B286="","缺上期数据",IF(E286="","待开奖",IF(ISNUMBER(SEARCH(E286,C286)),"命中","未命中"))))</f>
        <v/>
      </c>
    </row>
    <row r="287" ht="23" customHeight="1" s="21">
      <c r="A287" s="32">
        <f>IFERROR(LARGE(开奖记录!$A$2:$A$400,286),"")</f>
        <v/>
      </c>
      <c r="B287" s="32">
        <f>IF($A287="","",IFERROR(VLOOKUP($A287-1,开奖记录!$A:$L,11,FALSE),""))</f>
        <v/>
      </c>
      <c r="C287" s="36">
        <f>IF(B287="","",IFERROR(VLOOKUP(B287,八肖参数!$A:$B,2,FALSE),""))</f>
        <v/>
      </c>
      <c r="D287" s="32">
        <f>IF($A287="","",IFERROR(VLOOKUP($A287,开奖记录!$A:$L,9,FALSE),""))</f>
        <v/>
      </c>
      <c r="E287" s="32">
        <f>IF($A287="","",IFERROR(VLOOKUP($A287,开奖记录!$A:$L,11,FALSE),""))</f>
        <v/>
      </c>
      <c r="F287" s="32">
        <f>IF(A287="","",IF(B287="","缺上期数据",IF(E287="","待开奖",IF(ISNUMBER(SEARCH(E287,C287)),"命中","未命中"))))</f>
        <v/>
      </c>
    </row>
    <row r="288" ht="23" customHeight="1" s="21">
      <c r="A288" s="32">
        <f>IFERROR(LARGE(开奖记录!$A$2:$A$400,287),"")</f>
        <v/>
      </c>
      <c r="B288" s="32">
        <f>IF($A288="","",IFERROR(VLOOKUP($A288-1,开奖记录!$A:$L,11,FALSE),""))</f>
        <v/>
      </c>
      <c r="C288" s="36">
        <f>IF(B288="","",IFERROR(VLOOKUP(B288,八肖参数!$A:$B,2,FALSE),""))</f>
        <v/>
      </c>
      <c r="D288" s="32">
        <f>IF($A288="","",IFERROR(VLOOKUP($A288,开奖记录!$A:$L,9,FALSE),""))</f>
        <v/>
      </c>
      <c r="E288" s="32">
        <f>IF($A288="","",IFERROR(VLOOKUP($A288,开奖记录!$A:$L,11,FALSE),""))</f>
        <v/>
      </c>
      <c r="F288" s="32">
        <f>IF(A288="","",IF(B288="","缺上期数据",IF(E288="","待开奖",IF(ISNUMBER(SEARCH(E288,C288)),"命中","未命中"))))</f>
        <v/>
      </c>
    </row>
    <row r="289" ht="23" customHeight="1" s="21">
      <c r="A289" s="32">
        <f>IFERROR(LARGE(开奖记录!$A$2:$A$400,288),"")</f>
        <v/>
      </c>
      <c r="B289" s="32">
        <f>IF($A289="","",IFERROR(VLOOKUP($A289-1,开奖记录!$A:$L,11,FALSE),""))</f>
        <v/>
      </c>
      <c r="C289" s="36">
        <f>IF(B289="","",IFERROR(VLOOKUP(B289,八肖参数!$A:$B,2,FALSE),""))</f>
        <v/>
      </c>
      <c r="D289" s="32">
        <f>IF($A289="","",IFERROR(VLOOKUP($A289,开奖记录!$A:$L,9,FALSE),""))</f>
        <v/>
      </c>
      <c r="E289" s="32">
        <f>IF($A289="","",IFERROR(VLOOKUP($A289,开奖记录!$A:$L,11,FALSE),""))</f>
        <v/>
      </c>
      <c r="F289" s="32">
        <f>IF(A289="","",IF(B289="","缺上期数据",IF(E289="","待开奖",IF(ISNUMBER(SEARCH(E289,C289)),"命中","未命中"))))</f>
        <v/>
      </c>
    </row>
    <row r="290" ht="23" customHeight="1" s="21">
      <c r="A290" s="32">
        <f>IFERROR(LARGE(开奖记录!$A$2:$A$400,289),"")</f>
        <v/>
      </c>
      <c r="B290" s="32">
        <f>IF($A290="","",IFERROR(VLOOKUP($A290-1,开奖记录!$A:$L,11,FALSE),""))</f>
        <v/>
      </c>
      <c r="C290" s="36">
        <f>IF(B290="","",IFERROR(VLOOKUP(B290,八肖参数!$A:$B,2,FALSE),""))</f>
        <v/>
      </c>
      <c r="D290" s="32">
        <f>IF($A290="","",IFERROR(VLOOKUP($A290,开奖记录!$A:$L,9,FALSE),""))</f>
        <v/>
      </c>
      <c r="E290" s="32">
        <f>IF($A290="","",IFERROR(VLOOKUP($A290,开奖记录!$A:$L,11,FALSE),""))</f>
        <v/>
      </c>
      <c r="F290" s="32">
        <f>IF(A290="","",IF(B290="","缺上期数据",IF(E290="","待开奖",IF(ISNUMBER(SEARCH(E290,C290)),"命中","未命中"))))</f>
        <v/>
      </c>
    </row>
    <row r="291" ht="23" customHeight="1" s="21">
      <c r="A291" s="32">
        <f>IFERROR(LARGE(开奖记录!$A$2:$A$400,290),"")</f>
        <v/>
      </c>
      <c r="B291" s="32">
        <f>IF($A291="","",IFERROR(VLOOKUP($A291-1,开奖记录!$A:$L,11,FALSE),""))</f>
        <v/>
      </c>
      <c r="C291" s="36">
        <f>IF(B291="","",IFERROR(VLOOKUP(B291,八肖参数!$A:$B,2,FALSE),""))</f>
        <v/>
      </c>
      <c r="D291" s="32">
        <f>IF($A291="","",IFERROR(VLOOKUP($A291,开奖记录!$A:$L,9,FALSE),""))</f>
        <v/>
      </c>
      <c r="E291" s="32">
        <f>IF($A291="","",IFERROR(VLOOKUP($A291,开奖记录!$A:$L,11,FALSE),""))</f>
        <v/>
      </c>
      <c r="F291" s="32">
        <f>IF(A291="","",IF(B291="","缺上期数据",IF(E291="","待开奖",IF(ISNUMBER(SEARCH(E291,C291)),"命中","未命中"))))</f>
        <v/>
      </c>
    </row>
    <row r="292" ht="23" customHeight="1" s="21">
      <c r="A292" s="32">
        <f>IFERROR(LARGE(开奖记录!$A$2:$A$400,291),"")</f>
        <v/>
      </c>
      <c r="B292" s="32">
        <f>IF($A292="","",IFERROR(VLOOKUP($A292-1,开奖记录!$A:$L,11,FALSE),""))</f>
        <v/>
      </c>
      <c r="C292" s="36">
        <f>IF(B292="","",IFERROR(VLOOKUP(B292,八肖参数!$A:$B,2,FALSE),""))</f>
        <v/>
      </c>
      <c r="D292" s="32">
        <f>IF($A292="","",IFERROR(VLOOKUP($A292,开奖记录!$A:$L,9,FALSE),""))</f>
        <v/>
      </c>
      <c r="E292" s="32">
        <f>IF($A292="","",IFERROR(VLOOKUP($A292,开奖记录!$A:$L,11,FALSE),""))</f>
        <v/>
      </c>
      <c r="F292" s="32">
        <f>IF(A292="","",IF(B292="","缺上期数据",IF(E292="","待开奖",IF(ISNUMBER(SEARCH(E292,C292)),"命中","未命中"))))</f>
        <v/>
      </c>
    </row>
    <row r="293" ht="23" customHeight="1" s="21">
      <c r="A293" s="32">
        <f>IFERROR(LARGE(开奖记录!$A$2:$A$400,292),"")</f>
        <v/>
      </c>
      <c r="B293" s="32">
        <f>IF($A293="","",IFERROR(VLOOKUP($A293-1,开奖记录!$A:$L,11,FALSE),""))</f>
        <v/>
      </c>
      <c r="C293" s="36">
        <f>IF(B293="","",IFERROR(VLOOKUP(B293,八肖参数!$A:$B,2,FALSE),""))</f>
        <v/>
      </c>
      <c r="D293" s="32">
        <f>IF($A293="","",IFERROR(VLOOKUP($A293,开奖记录!$A:$L,9,FALSE),""))</f>
        <v/>
      </c>
      <c r="E293" s="32">
        <f>IF($A293="","",IFERROR(VLOOKUP($A293,开奖记录!$A:$L,11,FALSE),""))</f>
        <v/>
      </c>
      <c r="F293" s="32">
        <f>IF(A293="","",IF(B293="","缺上期数据",IF(E293="","待开奖",IF(ISNUMBER(SEARCH(E293,C293)),"命中","未命中"))))</f>
        <v/>
      </c>
    </row>
    <row r="294" ht="23" customHeight="1" s="21">
      <c r="A294" s="32">
        <f>IFERROR(LARGE(开奖记录!$A$2:$A$400,293),"")</f>
        <v/>
      </c>
      <c r="B294" s="32">
        <f>IF($A294="","",IFERROR(VLOOKUP($A294-1,开奖记录!$A:$L,11,FALSE),""))</f>
        <v/>
      </c>
      <c r="C294" s="36">
        <f>IF(B294="","",IFERROR(VLOOKUP(B294,八肖参数!$A:$B,2,FALSE),""))</f>
        <v/>
      </c>
      <c r="D294" s="32">
        <f>IF($A294="","",IFERROR(VLOOKUP($A294,开奖记录!$A:$L,9,FALSE),""))</f>
        <v/>
      </c>
      <c r="E294" s="32">
        <f>IF($A294="","",IFERROR(VLOOKUP($A294,开奖记录!$A:$L,11,FALSE),""))</f>
        <v/>
      </c>
      <c r="F294" s="32">
        <f>IF(A294="","",IF(B294="","缺上期数据",IF(E294="","待开奖",IF(ISNUMBER(SEARCH(E294,C294)),"命中","未命中"))))</f>
        <v/>
      </c>
    </row>
    <row r="295" ht="23" customHeight="1" s="21">
      <c r="A295" s="32">
        <f>IFERROR(LARGE(开奖记录!$A$2:$A$400,294),"")</f>
        <v/>
      </c>
      <c r="B295" s="32">
        <f>IF($A295="","",IFERROR(VLOOKUP($A295-1,开奖记录!$A:$L,11,FALSE),""))</f>
        <v/>
      </c>
      <c r="C295" s="36">
        <f>IF(B295="","",IFERROR(VLOOKUP(B295,八肖参数!$A:$B,2,FALSE),""))</f>
        <v/>
      </c>
      <c r="D295" s="32">
        <f>IF($A295="","",IFERROR(VLOOKUP($A295,开奖记录!$A:$L,9,FALSE),""))</f>
        <v/>
      </c>
      <c r="E295" s="32">
        <f>IF($A295="","",IFERROR(VLOOKUP($A295,开奖记录!$A:$L,11,FALSE),""))</f>
        <v/>
      </c>
      <c r="F295" s="32">
        <f>IF(A295="","",IF(B295="","缺上期数据",IF(E295="","待开奖",IF(ISNUMBER(SEARCH(E295,C295)),"命中","未命中"))))</f>
        <v/>
      </c>
    </row>
    <row r="296" ht="23" customHeight="1" s="21">
      <c r="A296" s="32">
        <f>IFERROR(LARGE(开奖记录!$A$2:$A$400,295),"")</f>
        <v/>
      </c>
      <c r="B296" s="32">
        <f>IF($A296="","",IFERROR(VLOOKUP($A296-1,开奖记录!$A:$L,11,FALSE),""))</f>
        <v/>
      </c>
      <c r="C296" s="36">
        <f>IF(B296="","",IFERROR(VLOOKUP(B296,八肖参数!$A:$B,2,FALSE),""))</f>
        <v/>
      </c>
      <c r="D296" s="32">
        <f>IF($A296="","",IFERROR(VLOOKUP($A296,开奖记录!$A:$L,9,FALSE),""))</f>
        <v/>
      </c>
      <c r="E296" s="32">
        <f>IF($A296="","",IFERROR(VLOOKUP($A296,开奖记录!$A:$L,11,FALSE),""))</f>
        <v/>
      </c>
      <c r="F296" s="32">
        <f>IF(A296="","",IF(B296="","缺上期数据",IF(E296="","待开奖",IF(ISNUMBER(SEARCH(E296,C296)),"命中","未命中"))))</f>
        <v/>
      </c>
    </row>
    <row r="297" ht="23" customHeight="1" s="21">
      <c r="A297" s="32">
        <f>IFERROR(LARGE(开奖记录!$A$2:$A$400,296),"")</f>
        <v/>
      </c>
      <c r="B297" s="32">
        <f>IF($A297="","",IFERROR(VLOOKUP($A297-1,开奖记录!$A:$L,11,FALSE),""))</f>
        <v/>
      </c>
      <c r="C297" s="36">
        <f>IF(B297="","",IFERROR(VLOOKUP(B297,八肖参数!$A:$B,2,FALSE),""))</f>
        <v/>
      </c>
      <c r="D297" s="32">
        <f>IF($A297="","",IFERROR(VLOOKUP($A297,开奖记录!$A:$L,9,FALSE),""))</f>
        <v/>
      </c>
      <c r="E297" s="32">
        <f>IF($A297="","",IFERROR(VLOOKUP($A297,开奖记录!$A:$L,11,FALSE),""))</f>
        <v/>
      </c>
      <c r="F297" s="32">
        <f>IF(A297="","",IF(B297="","缺上期数据",IF(E297="","待开奖",IF(ISNUMBER(SEARCH(E297,C297)),"命中","未命中"))))</f>
        <v/>
      </c>
    </row>
    <row r="298" ht="23" customHeight="1" s="21">
      <c r="A298" s="32">
        <f>IFERROR(LARGE(开奖记录!$A$2:$A$400,297),"")</f>
        <v/>
      </c>
      <c r="B298" s="32">
        <f>IF($A298="","",IFERROR(VLOOKUP($A298-1,开奖记录!$A:$L,11,FALSE),""))</f>
        <v/>
      </c>
      <c r="C298" s="36">
        <f>IF(B298="","",IFERROR(VLOOKUP(B298,八肖参数!$A:$B,2,FALSE),""))</f>
        <v/>
      </c>
      <c r="D298" s="32">
        <f>IF($A298="","",IFERROR(VLOOKUP($A298,开奖记录!$A:$L,9,FALSE),""))</f>
        <v/>
      </c>
      <c r="E298" s="32">
        <f>IF($A298="","",IFERROR(VLOOKUP($A298,开奖记录!$A:$L,11,FALSE),""))</f>
        <v/>
      </c>
      <c r="F298" s="32">
        <f>IF(A298="","",IF(B298="","缺上期数据",IF(E298="","待开奖",IF(ISNUMBER(SEARCH(E298,C298)),"命中","未命中"))))</f>
        <v/>
      </c>
    </row>
    <row r="299" ht="23" customHeight="1" s="21">
      <c r="A299" s="32">
        <f>IFERROR(LARGE(开奖记录!$A$2:$A$400,298),"")</f>
        <v/>
      </c>
      <c r="B299" s="32">
        <f>IF($A299="","",IFERROR(VLOOKUP($A299-1,开奖记录!$A:$L,11,FALSE),""))</f>
        <v/>
      </c>
      <c r="C299" s="36">
        <f>IF(B299="","",IFERROR(VLOOKUP(B299,八肖参数!$A:$B,2,FALSE),""))</f>
        <v/>
      </c>
      <c r="D299" s="32">
        <f>IF($A299="","",IFERROR(VLOOKUP($A299,开奖记录!$A:$L,9,FALSE),""))</f>
        <v/>
      </c>
      <c r="E299" s="32">
        <f>IF($A299="","",IFERROR(VLOOKUP($A299,开奖记录!$A:$L,11,FALSE),""))</f>
        <v/>
      </c>
      <c r="F299" s="32">
        <f>IF(A299="","",IF(B299="","缺上期数据",IF(E299="","待开奖",IF(ISNUMBER(SEARCH(E299,C299)),"命中","未命中"))))</f>
        <v/>
      </c>
    </row>
    <row r="300" ht="23" customHeight="1" s="21">
      <c r="A300" s="32">
        <f>IFERROR(LARGE(开奖记录!$A$2:$A$400,299),"")</f>
        <v/>
      </c>
      <c r="B300" s="32">
        <f>IF($A300="","",IFERROR(VLOOKUP($A300-1,开奖记录!$A:$L,11,FALSE),""))</f>
        <v/>
      </c>
      <c r="C300" s="36">
        <f>IF(B300="","",IFERROR(VLOOKUP(B300,八肖参数!$A:$B,2,FALSE),""))</f>
        <v/>
      </c>
      <c r="D300" s="32">
        <f>IF($A300="","",IFERROR(VLOOKUP($A300,开奖记录!$A:$L,9,FALSE),""))</f>
        <v/>
      </c>
      <c r="E300" s="32">
        <f>IF($A300="","",IFERROR(VLOOKUP($A300,开奖记录!$A:$L,11,FALSE),""))</f>
        <v/>
      </c>
      <c r="F300" s="32">
        <f>IF(A300="","",IF(B300="","缺上期数据",IF(E300="","待开奖",IF(ISNUMBER(SEARCH(E300,C300)),"命中","未命中"))))</f>
        <v/>
      </c>
    </row>
    <row r="301" ht="23" customHeight="1" s="21">
      <c r="A301" s="32">
        <f>IFERROR(LARGE(开奖记录!$A$2:$A$400,300),"")</f>
        <v/>
      </c>
      <c r="B301" s="32">
        <f>IF($A301="","",IFERROR(VLOOKUP($A301-1,开奖记录!$A:$L,11,FALSE),""))</f>
        <v/>
      </c>
      <c r="C301" s="36">
        <f>IF(B301="","",IFERROR(VLOOKUP(B301,八肖参数!$A:$B,2,FALSE),""))</f>
        <v/>
      </c>
      <c r="D301" s="32">
        <f>IF($A301="","",IFERROR(VLOOKUP($A301,开奖记录!$A:$L,9,FALSE),""))</f>
        <v/>
      </c>
      <c r="E301" s="32">
        <f>IF($A301="","",IFERROR(VLOOKUP($A301,开奖记录!$A:$L,11,FALSE),""))</f>
        <v/>
      </c>
      <c r="F301" s="32">
        <f>IF(A301="","",IF(B301="","缺上期数据",IF(E301="","待开奖",IF(ISNUMBER(SEARCH(E301,C301)),"命中","未命中"))))</f>
        <v/>
      </c>
    </row>
    <row r="302" ht="23" customHeight="1" s="21">
      <c r="A302" s="32">
        <f>IFERROR(LARGE(开奖记录!$A$2:$A$400,301),"")</f>
        <v/>
      </c>
      <c r="B302" s="32">
        <f>IF($A302="","",IFERROR(VLOOKUP($A302-1,开奖记录!$A:$L,11,FALSE),""))</f>
        <v/>
      </c>
      <c r="C302" s="36">
        <f>IF(B302="","",IFERROR(VLOOKUP(B302,八肖参数!$A:$B,2,FALSE),""))</f>
        <v/>
      </c>
      <c r="D302" s="32">
        <f>IF($A302="","",IFERROR(VLOOKUP($A302,开奖记录!$A:$L,9,FALSE),""))</f>
        <v/>
      </c>
      <c r="E302" s="32">
        <f>IF($A302="","",IFERROR(VLOOKUP($A302,开奖记录!$A:$L,11,FALSE),""))</f>
        <v/>
      </c>
      <c r="F302" s="32">
        <f>IF(A302="","",IF(B302="","缺上期数据",IF(E302="","待开奖",IF(ISNUMBER(SEARCH(E302,C302)),"命中","未命中"))))</f>
        <v/>
      </c>
    </row>
    <row r="303" ht="23" customHeight="1" s="21">
      <c r="A303" s="32">
        <f>IFERROR(LARGE(开奖记录!$A$2:$A$400,302),"")</f>
        <v/>
      </c>
      <c r="B303" s="32">
        <f>IF($A303="","",IFERROR(VLOOKUP($A303-1,开奖记录!$A:$L,11,FALSE),""))</f>
        <v/>
      </c>
      <c r="C303" s="36">
        <f>IF(B303="","",IFERROR(VLOOKUP(B303,八肖参数!$A:$B,2,FALSE),""))</f>
        <v/>
      </c>
      <c r="D303" s="32">
        <f>IF($A303="","",IFERROR(VLOOKUP($A303,开奖记录!$A:$L,9,FALSE),""))</f>
        <v/>
      </c>
      <c r="E303" s="32">
        <f>IF($A303="","",IFERROR(VLOOKUP($A303,开奖记录!$A:$L,11,FALSE),""))</f>
        <v/>
      </c>
      <c r="F303" s="32">
        <f>IF(A303="","",IF(B303="","缺上期数据",IF(E303="","待开奖",IF(ISNUMBER(SEARCH(E303,C303)),"命中","未命中"))))</f>
        <v/>
      </c>
    </row>
    <row r="304" ht="23" customHeight="1" s="21">
      <c r="A304" s="32">
        <f>IFERROR(LARGE(开奖记录!$A$2:$A$400,303),"")</f>
        <v/>
      </c>
      <c r="B304" s="32">
        <f>IF($A304="","",IFERROR(VLOOKUP($A304-1,开奖记录!$A:$L,11,FALSE),""))</f>
        <v/>
      </c>
      <c r="C304" s="36">
        <f>IF(B304="","",IFERROR(VLOOKUP(B304,八肖参数!$A:$B,2,FALSE),""))</f>
        <v/>
      </c>
      <c r="D304" s="32">
        <f>IF($A304="","",IFERROR(VLOOKUP($A304,开奖记录!$A:$L,9,FALSE),""))</f>
        <v/>
      </c>
      <c r="E304" s="32">
        <f>IF($A304="","",IFERROR(VLOOKUP($A304,开奖记录!$A:$L,11,FALSE),""))</f>
        <v/>
      </c>
      <c r="F304" s="32">
        <f>IF(A304="","",IF(B304="","缺上期数据",IF(E304="","待开奖",IF(ISNUMBER(SEARCH(E304,C304)),"命中","未命中"))))</f>
        <v/>
      </c>
    </row>
    <row r="305" ht="23" customHeight="1" s="21">
      <c r="A305" s="32">
        <f>IFERROR(LARGE(开奖记录!$A$2:$A$400,304),"")</f>
        <v/>
      </c>
      <c r="B305" s="32">
        <f>IF($A305="","",IFERROR(VLOOKUP($A305-1,开奖记录!$A:$L,11,FALSE),""))</f>
        <v/>
      </c>
      <c r="C305" s="36">
        <f>IF(B305="","",IFERROR(VLOOKUP(B305,八肖参数!$A:$B,2,FALSE),""))</f>
        <v/>
      </c>
      <c r="D305" s="32">
        <f>IF($A305="","",IFERROR(VLOOKUP($A305,开奖记录!$A:$L,9,FALSE),""))</f>
        <v/>
      </c>
      <c r="E305" s="32">
        <f>IF($A305="","",IFERROR(VLOOKUP($A305,开奖记录!$A:$L,11,FALSE),""))</f>
        <v/>
      </c>
      <c r="F305" s="32">
        <f>IF(A305="","",IF(B305="","缺上期数据",IF(E305="","待开奖",IF(ISNUMBER(SEARCH(E305,C305)),"命中","未命中"))))</f>
        <v/>
      </c>
    </row>
    <row r="306" ht="23" customHeight="1" s="21">
      <c r="A306" s="32">
        <f>IFERROR(LARGE(开奖记录!$A$2:$A$400,305),"")</f>
        <v/>
      </c>
      <c r="B306" s="32">
        <f>IF($A306="","",IFERROR(VLOOKUP($A306-1,开奖记录!$A:$L,11,FALSE),""))</f>
        <v/>
      </c>
      <c r="C306" s="36">
        <f>IF(B306="","",IFERROR(VLOOKUP(B306,八肖参数!$A:$B,2,FALSE),""))</f>
        <v/>
      </c>
      <c r="D306" s="32">
        <f>IF($A306="","",IFERROR(VLOOKUP($A306,开奖记录!$A:$L,9,FALSE),""))</f>
        <v/>
      </c>
      <c r="E306" s="32">
        <f>IF($A306="","",IFERROR(VLOOKUP($A306,开奖记录!$A:$L,11,FALSE),""))</f>
        <v/>
      </c>
      <c r="F306" s="32">
        <f>IF(A306="","",IF(B306="","缺上期数据",IF(E306="","待开奖",IF(ISNUMBER(SEARCH(E306,C306)),"命中","未命中"))))</f>
        <v/>
      </c>
    </row>
    <row r="307" ht="23" customHeight="1" s="21">
      <c r="A307" s="32">
        <f>IFERROR(LARGE(开奖记录!$A$2:$A$400,306),"")</f>
        <v/>
      </c>
      <c r="B307" s="32">
        <f>IF($A307="","",IFERROR(VLOOKUP($A307-1,开奖记录!$A:$L,11,FALSE),""))</f>
        <v/>
      </c>
      <c r="C307" s="36">
        <f>IF(B307="","",IFERROR(VLOOKUP(B307,八肖参数!$A:$B,2,FALSE),""))</f>
        <v/>
      </c>
      <c r="D307" s="32">
        <f>IF($A307="","",IFERROR(VLOOKUP($A307,开奖记录!$A:$L,9,FALSE),""))</f>
        <v/>
      </c>
      <c r="E307" s="32">
        <f>IF($A307="","",IFERROR(VLOOKUP($A307,开奖记录!$A:$L,11,FALSE),""))</f>
        <v/>
      </c>
      <c r="F307" s="32">
        <f>IF(A307="","",IF(B307="","缺上期数据",IF(E307="","待开奖",IF(ISNUMBER(SEARCH(E307,C307)),"命中","未命中"))))</f>
        <v/>
      </c>
    </row>
    <row r="308" ht="23" customHeight="1" s="21">
      <c r="A308" s="32">
        <f>IFERROR(LARGE(开奖记录!$A$2:$A$400,307),"")</f>
        <v/>
      </c>
      <c r="B308" s="32">
        <f>IF($A308="","",IFERROR(VLOOKUP($A308-1,开奖记录!$A:$L,11,FALSE),""))</f>
        <v/>
      </c>
      <c r="C308" s="36">
        <f>IF(B308="","",IFERROR(VLOOKUP(B308,八肖参数!$A:$B,2,FALSE),""))</f>
        <v/>
      </c>
      <c r="D308" s="32">
        <f>IF($A308="","",IFERROR(VLOOKUP($A308,开奖记录!$A:$L,9,FALSE),""))</f>
        <v/>
      </c>
      <c r="E308" s="32">
        <f>IF($A308="","",IFERROR(VLOOKUP($A308,开奖记录!$A:$L,11,FALSE),""))</f>
        <v/>
      </c>
      <c r="F308" s="32">
        <f>IF(A308="","",IF(B308="","缺上期数据",IF(E308="","待开奖",IF(ISNUMBER(SEARCH(E308,C308)),"命中","未命中"))))</f>
        <v/>
      </c>
    </row>
    <row r="309" ht="23" customHeight="1" s="21">
      <c r="A309" s="32">
        <f>IFERROR(LARGE(开奖记录!$A$2:$A$400,308),"")</f>
        <v/>
      </c>
      <c r="B309" s="32">
        <f>IF($A309="","",IFERROR(VLOOKUP($A309-1,开奖记录!$A:$L,11,FALSE),""))</f>
        <v/>
      </c>
      <c r="C309" s="36">
        <f>IF(B309="","",IFERROR(VLOOKUP(B309,八肖参数!$A:$B,2,FALSE),""))</f>
        <v/>
      </c>
      <c r="D309" s="32">
        <f>IF($A309="","",IFERROR(VLOOKUP($A309,开奖记录!$A:$L,9,FALSE),""))</f>
        <v/>
      </c>
      <c r="E309" s="32">
        <f>IF($A309="","",IFERROR(VLOOKUP($A309,开奖记录!$A:$L,11,FALSE),""))</f>
        <v/>
      </c>
      <c r="F309" s="32">
        <f>IF(A309="","",IF(B309="","缺上期数据",IF(E309="","待开奖",IF(ISNUMBER(SEARCH(E309,C309)),"命中","未命中"))))</f>
        <v/>
      </c>
    </row>
    <row r="310" ht="23" customHeight="1" s="21">
      <c r="A310" s="32">
        <f>IFERROR(LARGE(开奖记录!$A$2:$A$400,309),"")</f>
        <v/>
      </c>
      <c r="B310" s="32">
        <f>IF($A310="","",IFERROR(VLOOKUP($A310-1,开奖记录!$A:$L,11,FALSE),""))</f>
        <v/>
      </c>
      <c r="C310" s="36">
        <f>IF(B310="","",IFERROR(VLOOKUP(B310,八肖参数!$A:$B,2,FALSE),""))</f>
        <v/>
      </c>
      <c r="D310" s="32">
        <f>IF($A310="","",IFERROR(VLOOKUP($A310,开奖记录!$A:$L,9,FALSE),""))</f>
        <v/>
      </c>
      <c r="E310" s="32">
        <f>IF($A310="","",IFERROR(VLOOKUP($A310,开奖记录!$A:$L,11,FALSE),""))</f>
        <v/>
      </c>
      <c r="F310" s="32">
        <f>IF(A310="","",IF(B310="","缺上期数据",IF(E310="","待开奖",IF(ISNUMBER(SEARCH(E310,C310)),"命中","未命中"))))</f>
        <v/>
      </c>
    </row>
    <row r="311" ht="23" customHeight="1" s="21">
      <c r="A311" s="32">
        <f>IFERROR(LARGE(开奖记录!$A$2:$A$400,310),"")</f>
        <v/>
      </c>
      <c r="B311" s="32">
        <f>IF($A311="","",IFERROR(VLOOKUP($A311-1,开奖记录!$A:$L,11,FALSE),""))</f>
        <v/>
      </c>
      <c r="C311" s="36">
        <f>IF(B311="","",IFERROR(VLOOKUP(B311,八肖参数!$A:$B,2,FALSE),""))</f>
        <v/>
      </c>
      <c r="D311" s="32">
        <f>IF($A311="","",IFERROR(VLOOKUP($A311,开奖记录!$A:$L,9,FALSE),""))</f>
        <v/>
      </c>
      <c r="E311" s="32">
        <f>IF($A311="","",IFERROR(VLOOKUP($A311,开奖记录!$A:$L,11,FALSE),""))</f>
        <v/>
      </c>
      <c r="F311" s="32">
        <f>IF(A311="","",IF(B311="","缺上期数据",IF(E311="","待开奖",IF(ISNUMBER(SEARCH(E311,C311)),"命中","未命中"))))</f>
        <v/>
      </c>
    </row>
    <row r="312" ht="23" customHeight="1" s="21">
      <c r="A312" s="32">
        <f>IFERROR(LARGE(开奖记录!$A$2:$A$400,311),"")</f>
        <v/>
      </c>
      <c r="B312" s="32">
        <f>IF($A312="","",IFERROR(VLOOKUP($A312-1,开奖记录!$A:$L,11,FALSE),""))</f>
        <v/>
      </c>
      <c r="C312" s="36">
        <f>IF(B312="","",IFERROR(VLOOKUP(B312,八肖参数!$A:$B,2,FALSE),""))</f>
        <v/>
      </c>
      <c r="D312" s="32">
        <f>IF($A312="","",IFERROR(VLOOKUP($A312,开奖记录!$A:$L,9,FALSE),""))</f>
        <v/>
      </c>
      <c r="E312" s="32">
        <f>IF($A312="","",IFERROR(VLOOKUP($A312,开奖记录!$A:$L,11,FALSE),""))</f>
        <v/>
      </c>
      <c r="F312" s="32">
        <f>IF(A312="","",IF(B312="","缺上期数据",IF(E312="","待开奖",IF(ISNUMBER(SEARCH(E312,C312)),"命中","未命中"))))</f>
        <v/>
      </c>
    </row>
    <row r="313" ht="23" customHeight="1" s="21">
      <c r="A313" s="32">
        <f>IFERROR(LARGE(开奖记录!$A$2:$A$400,312),"")</f>
        <v/>
      </c>
      <c r="B313" s="32">
        <f>IF($A313="","",IFERROR(VLOOKUP($A313-1,开奖记录!$A:$L,11,FALSE),""))</f>
        <v/>
      </c>
      <c r="C313" s="36">
        <f>IF(B313="","",IFERROR(VLOOKUP(B313,八肖参数!$A:$B,2,FALSE),""))</f>
        <v/>
      </c>
      <c r="D313" s="32">
        <f>IF($A313="","",IFERROR(VLOOKUP($A313,开奖记录!$A:$L,9,FALSE),""))</f>
        <v/>
      </c>
      <c r="E313" s="32">
        <f>IF($A313="","",IFERROR(VLOOKUP($A313,开奖记录!$A:$L,11,FALSE),""))</f>
        <v/>
      </c>
      <c r="F313" s="32">
        <f>IF(A313="","",IF(B313="","缺上期数据",IF(E313="","待开奖",IF(ISNUMBER(SEARCH(E313,C313)),"命中","未命中"))))</f>
        <v/>
      </c>
    </row>
    <row r="314" ht="23" customHeight="1" s="21">
      <c r="A314" s="32">
        <f>IFERROR(LARGE(开奖记录!$A$2:$A$400,313),"")</f>
        <v/>
      </c>
      <c r="B314" s="32">
        <f>IF($A314="","",IFERROR(VLOOKUP($A314-1,开奖记录!$A:$L,11,FALSE),""))</f>
        <v/>
      </c>
      <c r="C314" s="36">
        <f>IF(B314="","",IFERROR(VLOOKUP(B314,八肖参数!$A:$B,2,FALSE),""))</f>
        <v/>
      </c>
      <c r="D314" s="32">
        <f>IF($A314="","",IFERROR(VLOOKUP($A314,开奖记录!$A:$L,9,FALSE),""))</f>
        <v/>
      </c>
      <c r="E314" s="32">
        <f>IF($A314="","",IFERROR(VLOOKUP($A314,开奖记录!$A:$L,11,FALSE),""))</f>
        <v/>
      </c>
      <c r="F314" s="32">
        <f>IF(A314="","",IF(B314="","缺上期数据",IF(E314="","待开奖",IF(ISNUMBER(SEARCH(E314,C314)),"命中","未命中"))))</f>
        <v/>
      </c>
    </row>
    <row r="315" ht="23" customHeight="1" s="21">
      <c r="A315" s="32">
        <f>IFERROR(LARGE(开奖记录!$A$2:$A$400,314),"")</f>
        <v/>
      </c>
      <c r="B315" s="32">
        <f>IF($A315="","",IFERROR(VLOOKUP($A315-1,开奖记录!$A:$L,11,FALSE),""))</f>
        <v/>
      </c>
      <c r="C315" s="36">
        <f>IF(B315="","",IFERROR(VLOOKUP(B315,八肖参数!$A:$B,2,FALSE),""))</f>
        <v/>
      </c>
      <c r="D315" s="32">
        <f>IF($A315="","",IFERROR(VLOOKUP($A315,开奖记录!$A:$L,9,FALSE),""))</f>
        <v/>
      </c>
      <c r="E315" s="32">
        <f>IF($A315="","",IFERROR(VLOOKUP($A315,开奖记录!$A:$L,11,FALSE),""))</f>
        <v/>
      </c>
      <c r="F315" s="32">
        <f>IF(A315="","",IF(B315="","缺上期数据",IF(E315="","待开奖",IF(ISNUMBER(SEARCH(E315,C315)),"命中","未命中"))))</f>
        <v/>
      </c>
    </row>
    <row r="316" ht="23" customHeight="1" s="21">
      <c r="A316" s="32">
        <f>IFERROR(LARGE(开奖记录!$A$2:$A$400,315),"")</f>
        <v/>
      </c>
      <c r="B316" s="32">
        <f>IF($A316="","",IFERROR(VLOOKUP($A316-1,开奖记录!$A:$L,11,FALSE),""))</f>
        <v/>
      </c>
      <c r="C316" s="36">
        <f>IF(B316="","",IFERROR(VLOOKUP(B316,八肖参数!$A:$B,2,FALSE),""))</f>
        <v/>
      </c>
      <c r="D316" s="32">
        <f>IF($A316="","",IFERROR(VLOOKUP($A316,开奖记录!$A:$L,9,FALSE),""))</f>
        <v/>
      </c>
      <c r="E316" s="32">
        <f>IF($A316="","",IFERROR(VLOOKUP($A316,开奖记录!$A:$L,11,FALSE),""))</f>
        <v/>
      </c>
      <c r="F316" s="32">
        <f>IF(A316="","",IF(B316="","缺上期数据",IF(E316="","待开奖",IF(ISNUMBER(SEARCH(E316,C316)),"命中","未命中"))))</f>
        <v/>
      </c>
    </row>
    <row r="317" ht="23" customHeight="1" s="21">
      <c r="A317" s="32">
        <f>IFERROR(LARGE(开奖记录!$A$2:$A$400,316),"")</f>
        <v/>
      </c>
      <c r="B317" s="32">
        <f>IF($A317="","",IFERROR(VLOOKUP($A317-1,开奖记录!$A:$L,11,FALSE),""))</f>
        <v/>
      </c>
      <c r="C317" s="36">
        <f>IF(B317="","",IFERROR(VLOOKUP(B317,八肖参数!$A:$B,2,FALSE),""))</f>
        <v/>
      </c>
      <c r="D317" s="32">
        <f>IF($A317="","",IFERROR(VLOOKUP($A317,开奖记录!$A:$L,9,FALSE),""))</f>
        <v/>
      </c>
      <c r="E317" s="32">
        <f>IF($A317="","",IFERROR(VLOOKUP($A317,开奖记录!$A:$L,11,FALSE),""))</f>
        <v/>
      </c>
      <c r="F317" s="32">
        <f>IF(A317="","",IF(B317="","缺上期数据",IF(E317="","待开奖",IF(ISNUMBER(SEARCH(E317,C317)),"命中","未命中"))))</f>
        <v/>
      </c>
    </row>
    <row r="318" ht="23" customHeight="1" s="21">
      <c r="A318" s="32">
        <f>IFERROR(LARGE(开奖记录!$A$2:$A$400,317),"")</f>
        <v/>
      </c>
      <c r="B318" s="32">
        <f>IF($A318="","",IFERROR(VLOOKUP($A318-1,开奖记录!$A:$L,11,FALSE),""))</f>
        <v/>
      </c>
      <c r="C318" s="36">
        <f>IF(B318="","",IFERROR(VLOOKUP(B318,八肖参数!$A:$B,2,FALSE),""))</f>
        <v/>
      </c>
      <c r="D318" s="32">
        <f>IF($A318="","",IFERROR(VLOOKUP($A318,开奖记录!$A:$L,9,FALSE),""))</f>
        <v/>
      </c>
      <c r="E318" s="32">
        <f>IF($A318="","",IFERROR(VLOOKUP($A318,开奖记录!$A:$L,11,FALSE),""))</f>
        <v/>
      </c>
      <c r="F318" s="32">
        <f>IF(A318="","",IF(B318="","缺上期数据",IF(E318="","待开奖",IF(ISNUMBER(SEARCH(E318,C318)),"命中","未命中"))))</f>
        <v/>
      </c>
    </row>
    <row r="319" ht="23" customHeight="1" s="21">
      <c r="A319" s="32">
        <f>IFERROR(LARGE(开奖记录!$A$2:$A$400,318),"")</f>
        <v/>
      </c>
      <c r="B319" s="32">
        <f>IF($A319="","",IFERROR(VLOOKUP($A319-1,开奖记录!$A:$L,11,FALSE),""))</f>
        <v/>
      </c>
      <c r="C319" s="36">
        <f>IF(B319="","",IFERROR(VLOOKUP(B319,八肖参数!$A:$B,2,FALSE),""))</f>
        <v/>
      </c>
      <c r="D319" s="32">
        <f>IF($A319="","",IFERROR(VLOOKUP($A319,开奖记录!$A:$L,9,FALSE),""))</f>
        <v/>
      </c>
      <c r="E319" s="32">
        <f>IF($A319="","",IFERROR(VLOOKUP($A319,开奖记录!$A:$L,11,FALSE),""))</f>
        <v/>
      </c>
      <c r="F319" s="32">
        <f>IF(A319="","",IF(B319="","缺上期数据",IF(E319="","待开奖",IF(ISNUMBER(SEARCH(E319,C319)),"命中","未命中"))))</f>
        <v/>
      </c>
    </row>
    <row r="320" ht="23" customHeight="1" s="21">
      <c r="A320" s="32">
        <f>IFERROR(LARGE(开奖记录!$A$2:$A$400,319),"")</f>
        <v/>
      </c>
      <c r="B320" s="32">
        <f>IF($A320="","",IFERROR(VLOOKUP($A320-1,开奖记录!$A:$L,11,FALSE),""))</f>
        <v/>
      </c>
      <c r="C320" s="36">
        <f>IF(B320="","",IFERROR(VLOOKUP(B320,八肖参数!$A:$B,2,FALSE),""))</f>
        <v/>
      </c>
      <c r="D320" s="32">
        <f>IF($A320="","",IFERROR(VLOOKUP($A320,开奖记录!$A:$L,9,FALSE),""))</f>
        <v/>
      </c>
      <c r="E320" s="32">
        <f>IF($A320="","",IFERROR(VLOOKUP($A320,开奖记录!$A:$L,11,FALSE),""))</f>
        <v/>
      </c>
      <c r="F320" s="32">
        <f>IF(A320="","",IF(B320="","缺上期数据",IF(E320="","待开奖",IF(ISNUMBER(SEARCH(E320,C320)),"命中","未命中"))))</f>
        <v/>
      </c>
    </row>
    <row r="321" ht="23" customHeight="1" s="21">
      <c r="A321" s="32">
        <f>IFERROR(LARGE(开奖记录!$A$2:$A$400,320),"")</f>
        <v/>
      </c>
      <c r="B321" s="32">
        <f>IF($A321="","",IFERROR(VLOOKUP($A321-1,开奖记录!$A:$L,11,FALSE),""))</f>
        <v/>
      </c>
      <c r="C321" s="36">
        <f>IF(B321="","",IFERROR(VLOOKUP(B321,八肖参数!$A:$B,2,FALSE),""))</f>
        <v/>
      </c>
      <c r="D321" s="32">
        <f>IF($A321="","",IFERROR(VLOOKUP($A321,开奖记录!$A:$L,9,FALSE),""))</f>
        <v/>
      </c>
      <c r="E321" s="32">
        <f>IF($A321="","",IFERROR(VLOOKUP($A321,开奖记录!$A:$L,11,FALSE),""))</f>
        <v/>
      </c>
      <c r="F321" s="32">
        <f>IF(A321="","",IF(B321="","缺上期数据",IF(E321="","待开奖",IF(ISNUMBER(SEARCH(E321,C321)),"命中","未命中"))))</f>
        <v/>
      </c>
    </row>
    <row r="322" ht="23" customHeight="1" s="21">
      <c r="A322" s="32">
        <f>IFERROR(LARGE(开奖记录!$A$2:$A$400,321),"")</f>
        <v/>
      </c>
      <c r="B322" s="32">
        <f>IF($A322="","",IFERROR(VLOOKUP($A322-1,开奖记录!$A:$L,11,FALSE),""))</f>
        <v/>
      </c>
      <c r="C322" s="36">
        <f>IF(B322="","",IFERROR(VLOOKUP(B322,八肖参数!$A:$B,2,FALSE),""))</f>
        <v/>
      </c>
      <c r="D322" s="32">
        <f>IF($A322="","",IFERROR(VLOOKUP($A322,开奖记录!$A:$L,9,FALSE),""))</f>
        <v/>
      </c>
      <c r="E322" s="32">
        <f>IF($A322="","",IFERROR(VLOOKUP($A322,开奖记录!$A:$L,11,FALSE),""))</f>
        <v/>
      </c>
      <c r="F322" s="32">
        <f>IF(A322="","",IF(B322="","缺上期数据",IF(E322="","待开奖",IF(ISNUMBER(SEARCH(E322,C322)),"命中","未命中"))))</f>
        <v/>
      </c>
    </row>
    <row r="323" ht="23" customHeight="1" s="21">
      <c r="A323" s="32">
        <f>IFERROR(LARGE(开奖记录!$A$2:$A$400,322),"")</f>
        <v/>
      </c>
      <c r="B323" s="32">
        <f>IF($A323="","",IFERROR(VLOOKUP($A323-1,开奖记录!$A:$L,11,FALSE),""))</f>
        <v/>
      </c>
      <c r="C323" s="36">
        <f>IF(B323="","",IFERROR(VLOOKUP(B323,八肖参数!$A:$B,2,FALSE),""))</f>
        <v/>
      </c>
      <c r="D323" s="32">
        <f>IF($A323="","",IFERROR(VLOOKUP($A323,开奖记录!$A:$L,9,FALSE),""))</f>
        <v/>
      </c>
      <c r="E323" s="32">
        <f>IF($A323="","",IFERROR(VLOOKUP($A323,开奖记录!$A:$L,11,FALSE),""))</f>
        <v/>
      </c>
      <c r="F323" s="32">
        <f>IF(A323="","",IF(B323="","缺上期数据",IF(E323="","待开奖",IF(ISNUMBER(SEARCH(E323,C323)),"命中","未命中"))))</f>
        <v/>
      </c>
    </row>
    <row r="324" ht="23" customHeight="1" s="21">
      <c r="A324" s="32">
        <f>IFERROR(LARGE(开奖记录!$A$2:$A$400,323),"")</f>
        <v/>
      </c>
      <c r="B324" s="32">
        <f>IF($A324="","",IFERROR(VLOOKUP($A324-1,开奖记录!$A:$L,11,FALSE),""))</f>
        <v/>
      </c>
      <c r="C324" s="36">
        <f>IF(B324="","",IFERROR(VLOOKUP(B324,八肖参数!$A:$B,2,FALSE),""))</f>
        <v/>
      </c>
      <c r="D324" s="32">
        <f>IF($A324="","",IFERROR(VLOOKUP($A324,开奖记录!$A:$L,9,FALSE),""))</f>
        <v/>
      </c>
      <c r="E324" s="32">
        <f>IF($A324="","",IFERROR(VLOOKUP($A324,开奖记录!$A:$L,11,FALSE),""))</f>
        <v/>
      </c>
      <c r="F324" s="32">
        <f>IF(A324="","",IF(B324="","缺上期数据",IF(E324="","待开奖",IF(ISNUMBER(SEARCH(E324,C324)),"命中","未命中"))))</f>
        <v/>
      </c>
    </row>
    <row r="325" ht="23" customHeight="1" s="21">
      <c r="A325" s="32">
        <f>IFERROR(LARGE(开奖记录!$A$2:$A$400,324),"")</f>
        <v/>
      </c>
      <c r="B325" s="32">
        <f>IF($A325="","",IFERROR(VLOOKUP($A325-1,开奖记录!$A:$L,11,FALSE),""))</f>
        <v/>
      </c>
      <c r="C325" s="36">
        <f>IF(B325="","",IFERROR(VLOOKUP(B325,八肖参数!$A:$B,2,FALSE),""))</f>
        <v/>
      </c>
      <c r="D325" s="32">
        <f>IF($A325="","",IFERROR(VLOOKUP($A325,开奖记录!$A:$L,9,FALSE),""))</f>
        <v/>
      </c>
      <c r="E325" s="32">
        <f>IF($A325="","",IFERROR(VLOOKUP($A325,开奖记录!$A:$L,11,FALSE),""))</f>
        <v/>
      </c>
      <c r="F325" s="32">
        <f>IF(A325="","",IF(B325="","缺上期数据",IF(E325="","待开奖",IF(ISNUMBER(SEARCH(E325,C325)),"命中","未命中"))))</f>
        <v/>
      </c>
    </row>
    <row r="326" ht="23" customHeight="1" s="21">
      <c r="A326" s="32">
        <f>IFERROR(LARGE(开奖记录!$A$2:$A$400,325),"")</f>
        <v/>
      </c>
      <c r="B326" s="32">
        <f>IF($A326="","",IFERROR(VLOOKUP($A326-1,开奖记录!$A:$L,11,FALSE),""))</f>
        <v/>
      </c>
      <c r="C326" s="36">
        <f>IF(B326="","",IFERROR(VLOOKUP(B326,八肖参数!$A:$B,2,FALSE),""))</f>
        <v/>
      </c>
      <c r="D326" s="32">
        <f>IF($A326="","",IFERROR(VLOOKUP($A326,开奖记录!$A:$L,9,FALSE),""))</f>
        <v/>
      </c>
      <c r="E326" s="32">
        <f>IF($A326="","",IFERROR(VLOOKUP($A326,开奖记录!$A:$L,11,FALSE),""))</f>
        <v/>
      </c>
      <c r="F326" s="32">
        <f>IF(A326="","",IF(B326="","缺上期数据",IF(E326="","待开奖",IF(ISNUMBER(SEARCH(E326,C326)),"命中","未命中"))))</f>
        <v/>
      </c>
    </row>
    <row r="327" ht="23" customHeight="1" s="21">
      <c r="A327" s="32">
        <f>IFERROR(LARGE(开奖记录!$A$2:$A$400,326),"")</f>
        <v/>
      </c>
      <c r="B327" s="32">
        <f>IF($A327="","",IFERROR(VLOOKUP($A327-1,开奖记录!$A:$L,11,FALSE),""))</f>
        <v/>
      </c>
      <c r="C327" s="36">
        <f>IF(B327="","",IFERROR(VLOOKUP(B327,八肖参数!$A:$B,2,FALSE),""))</f>
        <v/>
      </c>
      <c r="D327" s="32">
        <f>IF($A327="","",IFERROR(VLOOKUP($A327,开奖记录!$A:$L,9,FALSE),""))</f>
        <v/>
      </c>
      <c r="E327" s="32">
        <f>IF($A327="","",IFERROR(VLOOKUP($A327,开奖记录!$A:$L,11,FALSE),""))</f>
        <v/>
      </c>
      <c r="F327" s="32">
        <f>IF(A327="","",IF(B327="","缺上期数据",IF(E327="","待开奖",IF(ISNUMBER(SEARCH(E327,C327)),"命中","未命中"))))</f>
        <v/>
      </c>
    </row>
    <row r="328" ht="23" customHeight="1" s="21">
      <c r="A328" s="32">
        <f>IFERROR(LARGE(开奖记录!$A$2:$A$400,327),"")</f>
        <v/>
      </c>
      <c r="B328" s="32">
        <f>IF($A328="","",IFERROR(VLOOKUP($A328-1,开奖记录!$A:$L,11,FALSE),""))</f>
        <v/>
      </c>
      <c r="C328" s="36">
        <f>IF(B328="","",IFERROR(VLOOKUP(B328,八肖参数!$A:$B,2,FALSE),""))</f>
        <v/>
      </c>
      <c r="D328" s="32">
        <f>IF($A328="","",IFERROR(VLOOKUP($A328,开奖记录!$A:$L,9,FALSE),""))</f>
        <v/>
      </c>
      <c r="E328" s="32">
        <f>IF($A328="","",IFERROR(VLOOKUP($A328,开奖记录!$A:$L,11,FALSE),""))</f>
        <v/>
      </c>
      <c r="F328" s="32">
        <f>IF(A328="","",IF(B328="","缺上期数据",IF(E328="","待开奖",IF(ISNUMBER(SEARCH(E328,C328)),"命中","未命中"))))</f>
        <v/>
      </c>
    </row>
    <row r="329" ht="23" customHeight="1" s="21">
      <c r="A329" s="32">
        <f>IFERROR(LARGE(开奖记录!$A$2:$A$400,328),"")</f>
        <v/>
      </c>
      <c r="B329" s="32">
        <f>IF($A329="","",IFERROR(VLOOKUP($A329-1,开奖记录!$A:$L,11,FALSE),""))</f>
        <v/>
      </c>
      <c r="C329" s="36">
        <f>IF(B329="","",IFERROR(VLOOKUP(B329,八肖参数!$A:$B,2,FALSE),""))</f>
        <v/>
      </c>
      <c r="D329" s="32">
        <f>IF($A329="","",IFERROR(VLOOKUP($A329,开奖记录!$A:$L,9,FALSE),""))</f>
        <v/>
      </c>
      <c r="E329" s="32">
        <f>IF($A329="","",IFERROR(VLOOKUP($A329,开奖记录!$A:$L,11,FALSE),""))</f>
        <v/>
      </c>
      <c r="F329" s="32">
        <f>IF(A329="","",IF(B329="","缺上期数据",IF(E329="","待开奖",IF(ISNUMBER(SEARCH(E329,C329)),"命中","未命中"))))</f>
        <v/>
      </c>
    </row>
    <row r="330" ht="23" customHeight="1" s="21">
      <c r="A330" s="32">
        <f>IFERROR(LARGE(开奖记录!$A$2:$A$400,329),"")</f>
        <v/>
      </c>
      <c r="B330" s="32">
        <f>IF($A330="","",IFERROR(VLOOKUP($A330-1,开奖记录!$A:$L,11,FALSE),""))</f>
        <v/>
      </c>
      <c r="C330" s="36">
        <f>IF(B330="","",IFERROR(VLOOKUP(B330,八肖参数!$A:$B,2,FALSE),""))</f>
        <v/>
      </c>
      <c r="D330" s="32">
        <f>IF($A330="","",IFERROR(VLOOKUP($A330,开奖记录!$A:$L,9,FALSE),""))</f>
        <v/>
      </c>
      <c r="E330" s="32">
        <f>IF($A330="","",IFERROR(VLOOKUP($A330,开奖记录!$A:$L,11,FALSE),""))</f>
        <v/>
      </c>
      <c r="F330" s="32">
        <f>IF(A330="","",IF(B330="","缺上期数据",IF(E330="","待开奖",IF(ISNUMBER(SEARCH(E330,C330)),"命中","未命中"))))</f>
        <v/>
      </c>
    </row>
    <row r="331" ht="23" customHeight="1" s="21">
      <c r="A331" s="32">
        <f>IFERROR(LARGE(开奖记录!$A$2:$A$400,330),"")</f>
        <v/>
      </c>
      <c r="B331" s="32">
        <f>IF($A331="","",IFERROR(VLOOKUP($A331-1,开奖记录!$A:$L,11,FALSE),""))</f>
        <v/>
      </c>
      <c r="C331" s="36">
        <f>IF(B331="","",IFERROR(VLOOKUP(B331,八肖参数!$A:$B,2,FALSE),""))</f>
        <v/>
      </c>
      <c r="D331" s="32">
        <f>IF($A331="","",IFERROR(VLOOKUP($A331,开奖记录!$A:$L,9,FALSE),""))</f>
        <v/>
      </c>
      <c r="E331" s="32">
        <f>IF($A331="","",IFERROR(VLOOKUP($A331,开奖记录!$A:$L,11,FALSE),""))</f>
        <v/>
      </c>
      <c r="F331" s="32">
        <f>IF(A331="","",IF(B331="","缺上期数据",IF(E331="","待开奖",IF(ISNUMBER(SEARCH(E331,C331)),"命中","未命中"))))</f>
        <v/>
      </c>
    </row>
    <row r="332" ht="23" customHeight="1" s="21">
      <c r="A332" s="32">
        <f>IFERROR(LARGE(开奖记录!$A$2:$A$400,331),"")</f>
        <v/>
      </c>
      <c r="B332" s="32">
        <f>IF($A332="","",IFERROR(VLOOKUP($A332-1,开奖记录!$A:$L,11,FALSE),""))</f>
        <v/>
      </c>
      <c r="C332" s="36">
        <f>IF(B332="","",IFERROR(VLOOKUP(B332,八肖参数!$A:$B,2,FALSE),""))</f>
        <v/>
      </c>
      <c r="D332" s="32">
        <f>IF($A332="","",IFERROR(VLOOKUP($A332,开奖记录!$A:$L,9,FALSE),""))</f>
        <v/>
      </c>
      <c r="E332" s="32">
        <f>IF($A332="","",IFERROR(VLOOKUP($A332,开奖记录!$A:$L,11,FALSE),""))</f>
        <v/>
      </c>
      <c r="F332" s="32">
        <f>IF(A332="","",IF(B332="","缺上期数据",IF(E332="","待开奖",IF(ISNUMBER(SEARCH(E332,C332)),"命中","未命中"))))</f>
        <v/>
      </c>
    </row>
    <row r="333" ht="23" customHeight="1" s="21">
      <c r="A333" s="32">
        <f>IFERROR(LARGE(开奖记录!$A$2:$A$400,332),"")</f>
        <v/>
      </c>
      <c r="B333" s="32">
        <f>IF($A333="","",IFERROR(VLOOKUP($A333-1,开奖记录!$A:$L,11,FALSE),""))</f>
        <v/>
      </c>
      <c r="C333" s="36">
        <f>IF(B333="","",IFERROR(VLOOKUP(B333,八肖参数!$A:$B,2,FALSE),""))</f>
        <v/>
      </c>
      <c r="D333" s="32">
        <f>IF($A333="","",IFERROR(VLOOKUP($A333,开奖记录!$A:$L,9,FALSE),""))</f>
        <v/>
      </c>
      <c r="E333" s="32">
        <f>IF($A333="","",IFERROR(VLOOKUP($A333,开奖记录!$A:$L,11,FALSE),""))</f>
        <v/>
      </c>
      <c r="F333" s="32">
        <f>IF(A333="","",IF(B333="","缺上期数据",IF(E333="","待开奖",IF(ISNUMBER(SEARCH(E333,C333)),"命中","未命中"))))</f>
        <v/>
      </c>
    </row>
    <row r="334" ht="23" customHeight="1" s="21">
      <c r="A334" s="32">
        <f>IFERROR(LARGE(开奖记录!$A$2:$A$400,333),"")</f>
        <v/>
      </c>
      <c r="B334" s="32">
        <f>IF($A334="","",IFERROR(VLOOKUP($A334-1,开奖记录!$A:$L,11,FALSE),""))</f>
        <v/>
      </c>
      <c r="C334" s="36">
        <f>IF(B334="","",IFERROR(VLOOKUP(B334,八肖参数!$A:$B,2,FALSE),""))</f>
        <v/>
      </c>
      <c r="D334" s="32">
        <f>IF($A334="","",IFERROR(VLOOKUP($A334,开奖记录!$A:$L,9,FALSE),""))</f>
        <v/>
      </c>
      <c r="E334" s="32">
        <f>IF($A334="","",IFERROR(VLOOKUP($A334,开奖记录!$A:$L,11,FALSE),""))</f>
        <v/>
      </c>
      <c r="F334" s="32">
        <f>IF(A334="","",IF(B334="","缺上期数据",IF(E334="","待开奖",IF(ISNUMBER(SEARCH(E334,C334)),"命中","未命中"))))</f>
        <v/>
      </c>
    </row>
    <row r="335" ht="23" customHeight="1" s="21">
      <c r="A335" s="32">
        <f>IFERROR(LARGE(开奖记录!$A$2:$A$400,334),"")</f>
        <v/>
      </c>
      <c r="B335" s="32">
        <f>IF($A335="","",IFERROR(VLOOKUP($A335-1,开奖记录!$A:$L,11,FALSE),""))</f>
        <v/>
      </c>
      <c r="C335" s="36">
        <f>IF(B335="","",IFERROR(VLOOKUP(B335,八肖参数!$A:$B,2,FALSE),""))</f>
        <v/>
      </c>
      <c r="D335" s="32">
        <f>IF($A335="","",IFERROR(VLOOKUP($A335,开奖记录!$A:$L,9,FALSE),""))</f>
        <v/>
      </c>
      <c r="E335" s="32">
        <f>IF($A335="","",IFERROR(VLOOKUP($A335,开奖记录!$A:$L,11,FALSE),""))</f>
        <v/>
      </c>
      <c r="F335" s="32">
        <f>IF(A335="","",IF(B335="","缺上期数据",IF(E335="","待开奖",IF(ISNUMBER(SEARCH(E335,C335)),"命中","未命中"))))</f>
        <v/>
      </c>
    </row>
    <row r="336" ht="23" customHeight="1" s="21">
      <c r="A336" s="32">
        <f>IFERROR(LARGE(开奖记录!$A$2:$A$400,335),"")</f>
        <v/>
      </c>
      <c r="B336" s="32">
        <f>IF($A336="","",IFERROR(VLOOKUP($A336-1,开奖记录!$A:$L,11,FALSE),""))</f>
        <v/>
      </c>
      <c r="C336" s="36">
        <f>IF(B336="","",IFERROR(VLOOKUP(B336,八肖参数!$A:$B,2,FALSE),""))</f>
        <v/>
      </c>
      <c r="D336" s="32">
        <f>IF($A336="","",IFERROR(VLOOKUP($A336,开奖记录!$A:$L,9,FALSE),""))</f>
        <v/>
      </c>
      <c r="E336" s="32">
        <f>IF($A336="","",IFERROR(VLOOKUP($A336,开奖记录!$A:$L,11,FALSE),""))</f>
        <v/>
      </c>
      <c r="F336" s="32">
        <f>IF(A336="","",IF(B336="","缺上期数据",IF(E336="","待开奖",IF(ISNUMBER(SEARCH(E336,C336)),"命中","未命中"))))</f>
        <v/>
      </c>
    </row>
    <row r="337" ht="23" customHeight="1" s="21">
      <c r="A337" s="32">
        <f>IFERROR(LARGE(开奖记录!$A$2:$A$400,336),"")</f>
        <v/>
      </c>
      <c r="B337" s="32">
        <f>IF($A337="","",IFERROR(VLOOKUP($A337-1,开奖记录!$A:$L,11,FALSE),""))</f>
        <v/>
      </c>
      <c r="C337" s="36">
        <f>IF(B337="","",IFERROR(VLOOKUP(B337,八肖参数!$A:$B,2,FALSE),""))</f>
        <v/>
      </c>
      <c r="D337" s="32">
        <f>IF($A337="","",IFERROR(VLOOKUP($A337,开奖记录!$A:$L,9,FALSE),""))</f>
        <v/>
      </c>
      <c r="E337" s="32">
        <f>IF($A337="","",IFERROR(VLOOKUP($A337,开奖记录!$A:$L,11,FALSE),""))</f>
        <v/>
      </c>
      <c r="F337" s="32">
        <f>IF(A337="","",IF(B337="","缺上期数据",IF(E337="","待开奖",IF(ISNUMBER(SEARCH(E337,C337)),"命中","未命中"))))</f>
        <v/>
      </c>
    </row>
    <row r="338" ht="23" customHeight="1" s="21">
      <c r="A338" s="32">
        <f>IFERROR(LARGE(开奖记录!$A$2:$A$400,337),"")</f>
        <v/>
      </c>
      <c r="B338" s="32">
        <f>IF($A338="","",IFERROR(VLOOKUP($A338-1,开奖记录!$A:$L,11,FALSE),""))</f>
        <v/>
      </c>
      <c r="C338" s="36">
        <f>IF(B338="","",IFERROR(VLOOKUP(B338,八肖参数!$A:$B,2,FALSE),""))</f>
        <v/>
      </c>
      <c r="D338" s="32">
        <f>IF($A338="","",IFERROR(VLOOKUP($A338,开奖记录!$A:$L,9,FALSE),""))</f>
        <v/>
      </c>
      <c r="E338" s="32">
        <f>IF($A338="","",IFERROR(VLOOKUP($A338,开奖记录!$A:$L,11,FALSE),""))</f>
        <v/>
      </c>
      <c r="F338" s="32">
        <f>IF(A338="","",IF(B338="","缺上期数据",IF(E338="","待开奖",IF(ISNUMBER(SEARCH(E338,C338)),"命中","未命中"))))</f>
        <v/>
      </c>
    </row>
    <row r="339" ht="23" customHeight="1" s="21">
      <c r="A339" s="32">
        <f>IFERROR(LARGE(开奖记录!$A$2:$A$400,338),"")</f>
        <v/>
      </c>
      <c r="B339" s="32">
        <f>IF($A339="","",IFERROR(VLOOKUP($A339-1,开奖记录!$A:$L,11,FALSE),""))</f>
        <v/>
      </c>
      <c r="C339" s="36">
        <f>IF(B339="","",IFERROR(VLOOKUP(B339,八肖参数!$A:$B,2,FALSE),""))</f>
        <v/>
      </c>
      <c r="D339" s="32">
        <f>IF($A339="","",IFERROR(VLOOKUP($A339,开奖记录!$A:$L,9,FALSE),""))</f>
        <v/>
      </c>
      <c r="E339" s="32">
        <f>IF($A339="","",IFERROR(VLOOKUP($A339,开奖记录!$A:$L,11,FALSE),""))</f>
        <v/>
      </c>
      <c r="F339" s="32">
        <f>IF(A339="","",IF(B339="","缺上期数据",IF(E339="","待开奖",IF(ISNUMBER(SEARCH(E339,C339)),"命中","未命中"))))</f>
        <v/>
      </c>
    </row>
    <row r="340" ht="23" customHeight="1" s="21">
      <c r="A340" s="32">
        <f>IFERROR(LARGE(开奖记录!$A$2:$A$400,339),"")</f>
        <v/>
      </c>
      <c r="B340" s="32">
        <f>IF($A340="","",IFERROR(VLOOKUP($A340-1,开奖记录!$A:$L,11,FALSE),""))</f>
        <v/>
      </c>
      <c r="C340" s="36">
        <f>IF(B340="","",IFERROR(VLOOKUP(B340,八肖参数!$A:$B,2,FALSE),""))</f>
        <v/>
      </c>
      <c r="D340" s="32">
        <f>IF($A340="","",IFERROR(VLOOKUP($A340,开奖记录!$A:$L,9,FALSE),""))</f>
        <v/>
      </c>
      <c r="E340" s="32">
        <f>IF($A340="","",IFERROR(VLOOKUP($A340,开奖记录!$A:$L,11,FALSE),""))</f>
        <v/>
      </c>
      <c r="F340" s="32">
        <f>IF(A340="","",IF(B340="","缺上期数据",IF(E340="","待开奖",IF(ISNUMBER(SEARCH(E340,C340)),"命中","未命中"))))</f>
        <v/>
      </c>
    </row>
    <row r="341" ht="23" customHeight="1" s="21">
      <c r="A341" s="32">
        <f>IFERROR(LARGE(开奖记录!$A$2:$A$400,340),"")</f>
        <v/>
      </c>
      <c r="B341" s="32">
        <f>IF($A341="","",IFERROR(VLOOKUP($A341-1,开奖记录!$A:$L,11,FALSE),""))</f>
        <v/>
      </c>
      <c r="C341" s="36">
        <f>IF(B341="","",IFERROR(VLOOKUP(B341,八肖参数!$A:$B,2,FALSE),""))</f>
        <v/>
      </c>
      <c r="D341" s="32">
        <f>IF($A341="","",IFERROR(VLOOKUP($A341,开奖记录!$A:$L,9,FALSE),""))</f>
        <v/>
      </c>
      <c r="E341" s="32">
        <f>IF($A341="","",IFERROR(VLOOKUP($A341,开奖记录!$A:$L,11,FALSE),""))</f>
        <v/>
      </c>
      <c r="F341" s="32">
        <f>IF(A341="","",IF(B341="","缺上期数据",IF(E341="","待开奖",IF(ISNUMBER(SEARCH(E341,C341)),"命中","未命中"))))</f>
        <v/>
      </c>
    </row>
    <row r="342" ht="23" customHeight="1" s="21">
      <c r="A342" s="32">
        <f>IFERROR(LARGE(开奖记录!$A$2:$A$400,341),"")</f>
        <v/>
      </c>
      <c r="B342" s="32">
        <f>IF($A342="","",IFERROR(VLOOKUP($A342-1,开奖记录!$A:$L,11,FALSE),""))</f>
        <v/>
      </c>
      <c r="C342" s="36">
        <f>IF(B342="","",IFERROR(VLOOKUP(B342,八肖参数!$A:$B,2,FALSE),""))</f>
        <v/>
      </c>
      <c r="D342" s="32">
        <f>IF($A342="","",IFERROR(VLOOKUP($A342,开奖记录!$A:$L,9,FALSE),""))</f>
        <v/>
      </c>
      <c r="E342" s="32">
        <f>IF($A342="","",IFERROR(VLOOKUP($A342,开奖记录!$A:$L,11,FALSE),""))</f>
        <v/>
      </c>
      <c r="F342" s="32">
        <f>IF(A342="","",IF(B342="","缺上期数据",IF(E342="","待开奖",IF(ISNUMBER(SEARCH(E342,C342)),"命中","未命中"))))</f>
        <v/>
      </c>
    </row>
    <row r="343" ht="23" customHeight="1" s="21">
      <c r="A343" s="32">
        <f>IFERROR(LARGE(开奖记录!$A$2:$A$400,342),"")</f>
        <v/>
      </c>
      <c r="B343" s="32">
        <f>IF($A343="","",IFERROR(VLOOKUP($A343-1,开奖记录!$A:$L,11,FALSE),""))</f>
        <v/>
      </c>
      <c r="C343" s="36">
        <f>IF(B343="","",IFERROR(VLOOKUP(B343,八肖参数!$A:$B,2,FALSE),""))</f>
        <v/>
      </c>
      <c r="D343" s="32">
        <f>IF($A343="","",IFERROR(VLOOKUP($A343,开奖记录!$A:$L,9,FALSE),""))</f>
        <v/>
      </c>
      <c r="E343" s="32">
        <f>IF($A343="","",IFERROR(VLOOKUP($A343,开奖记录!$A:$L,11,FALSE),""))</f>
        <v/>
      </c>
      <c r="F343" s="32">
        <f>IF(A343="","",IF(B343="","缺上期数据",IF(E343="","待开奖",IF(ISNUMBER(SEARCH(E343,C343)),"命中","未命中"))))</f>
        <v/>
      </c>
    </row>
    <row r="344" ht="23" customHeight="1" s="21">
      <c r="A344" s="32">
        <f>IFERROR(LARGE(开奖记录!$A$2:$A$400,343),"")</f>
        <v/>
      </c>
      <c r="B344" s="32">
        <f>IF($A344="","",IFERROR(VLOOKUP($A344-1,开奖记录!$A:$L,11,FALSE),""))</f>
        <v/>
      </c>
      <c r="C344" s="36">
        <f>IF(B344="","",IFERROR(VLOOKUP(B344,八肖参数!$A:$B,2,FALSE),""))</f>
        <v/>
      </c>
      <c r="D344" s="32">
        <f>IF($A344="","",IFERROR(VLOOKUP($A344,开奖记录!$A:$L,9,FALSE),""))</f>
        <v/>
      </c>
      <c r="E344" s="32">
        <f>IF($A344="","",IFERROR(VLOOKUP($A344,开奖记录!$A:$L,11,FALSE),""))</f>
        <v/>
      </c>
      <c r="F344" s="32">
        <f>IF(A344="","",IF(B344="","缺上期数据",IF(E344="","待开奖",IF(ISNUMBER(SEARCH(E344,C344)),"命中","未命中"))))</f>
        <v/>
      </c>
    </row>
    <row r="345" ht="23" customHeight="1" s="21">
      <c r="A345" s="32">
        <f>IFERROR(LARGE(开奖记录!$A$2:$A$400,344),"")</f>
        <v/>
      </c>
      <c r="B345" s="32">
        <f>IF($A345="","",IFERROR(VLOOKUP($A345-1,开奖记录!$A:$L,11,FALSE),""))</f>
        <v/>
      </c>
      <c r="C345" s="36">
        <f>IF(B345="","",IFERROR(VLOOKUP(B345,八肖参数!$A:$B,2,FALSE),""))</f>
        <v/>
      </c>
      <c r="D345" s="32">
        <f>IF($A345="","",IFERROR(VLOOKUP($A345,开奖记录!$A:$L,9,FALSE),""))</f>
        <v/>
      </c>
      <c r="E345" s="32">
        <f>IF($A345="","",IFERROR(VLOOKUP($A345,开奖记录!$A:$L,11,FALSE),""))</f>
        <v/>
      </c>
      <c r="F345" s="32">
        <f>IF(A345="","",IF(B345="","缺上期数据",IF(E345="","待开奖",IF(ISNUMBER(SEARCH(E345,C345)),"命中","未命中"))))</f>
        <v/>
      </c>
    </row>
    <row r="346" ht="23" customHeight="1" s="21">
      <c r="A346" s="32">
        <f>IFERROR(LARGE(开奖记录!$A$2:$A$400,345),"")</f>
        <v/>
      </c>
      <c r="B346" s="32">
        <f>IF($A346="","",IFERROR(VLOOKUP($A346-1,开奖记录!$A:$L,11,FALSE),""))</f>
        <v/>
      </c>
      <c r="C346" s="36">
        <f>IF(B346="","",IFERROR(VLOOKUP(B346,八肖参数!$A:$B,2,FALSE),""))</f>
        <v/>
      </c>
      <c r="D346" s="32">
        <f>IF($A346="","",IFERROR(VLOOKUP($A346,开奖记录!$A:$L,9,FALSE),""))</f>
        <v/>
      </c>
      <c r="E346" s="32">
        <f>IF($A346="","",IFERROR(VLOOKUP($A346,开奖记录!$A:$L,11,FALSE),""))</f>
        <v/>
      </c>
      <c r="F346" s="32">
        <f>IF(A346="","",IF(B346="","缺上期数据",IF(E346="","待开奖",IF(ISNUMBER(SEARCH(E346,C346)),"命中","未命中"))))</f>
        <v/>
      </c>
    </row>
    <row r="347" ht="23" customHeight="1" s="21">
      <c r="A347" s="32">
        <f>IFERROR(LARGE(开奖记录!$A$2:$A$400,346),"")</f>
        <v/>
      </c>
      <c r="B347" s="32">
        <f>IF($A347="","",IFERROR(VLOOKUP($A347-1,开奖记录!$A:$L,11,FALSE),""))</f>
        <v/>
      </c>
      <c r="C347" s="36">
        <f>IF(B347="","",IFERROR(VLOOKUP(B347,八肖参数!$A:$B,2,FALSE),""))</f>
        <v/>
      </c>
      <c r="D347" s="32">
        <f>IF($A347="","",IFERROR(VLOOKUP($A347,开奖记录!$A:$L,9,FALSE),""))</f>
        <v/>
      </c>
      <c r="E347" s="32">
        <f>IF($A347="","",IFERROR(VLOOKUP($A347,开奖记录!$A:$L,11,FALSE),""))</f>
        <v/>
      </c>
      <c r="F347" s="32">
        <f>IF(A347="","",IF(B347="","缺上期数据",IF(E347="","待开奖",IF(ISNUMBER(SEARCH(E347,C347)),"命中","未命中"))))</f>
        <v/>
      </c>
    </row>
    <row r="348" ht="23" customHeight="1" s="21">
      <c r="A348" s="32">
        <f>IFERROR(LARGE(开奖记录!$A$2:$A$400,347),"")</f>
        <v/>
      </c>
      <c r="B348" s="32">
        <f>IF($A348="","",IFERROR(VLOOKUP($A348-1,开奖记录!$A:$L,11,FALSE),""))</f>
        <v/>
      </c>
      <c r="C348" s="36">
        <f>IF(B348="","",IFERROR(VLOOKUP(B348,八肖参数!$A:$B,2,FALSE),""))</f>
        <v/>
      </c>
      <c r="D348" s="32">
        <f>IF($A348="","",IFERROR(VLOOKUP($A348,开奖记录!$A:$L,9,FALSE),""))</f>
        <v/>
      </c>
      <c r="E348" s="32">
        <f>IF($A348="","",IFERROR(VLOOKUP($A348,开奖记录!$A:$L,11,FALSE),""))</f>
        <v/>
      </c>
      <c r="F348" s="32">
        <f>IF(A348="","",IF(B348="","缺上期数据",IF(E348="","待开奖",IF(ISNUMBER(SEARCH(E348,C348)),"命中","未命中"))))</f>
        <v/>
      </c>
    </row>
    <row r="349" ht="23" customHeight="1" s="21">
      <c r="A349" s="32">
        <f>IFERROR(LARGE(开奖记录!$A$2:$A$400,348),"")</f>
        <v/>
      </c>
      <c r="B349" s="32">
        <f>IF($A349="","",IFERROR(VLOOKUP($A349-1,开奖记录!$A:$L,11,FALSE),""))</f>
        <v/>
      </c>
      <c r="C349" s="36">
        <f>IF(B349="","",IFERROR(VLOOKUP(B349,八肖参数!$A:$B,2,FALSE),""))</f>
        <v/>
      </c>
      <c r="D349" s="32">
        <f>IF($A349="","",IFERROR(VLOOKUP($A349,开奖记录!$A:$L,9,FALSE),""))</f>
        <v/>
      </c>
      <c r="E349" s="32">
        <f>IF($A349="","",IFERROR(VLOOKUP($A349,开奖记录!$A:$L,11,FALSE),""))</f>
        <v/>
      </c>
      <c r="F349" s="32">
        <f>IF(A349="","",IF(B349="","缺上期数据",IF(E349="","待开奖",IF(ISNUMBER(SEARCH(E349,C349)),"命中","未命中"))))</f>
        <v/>
      </c>
    </row>
    <row r="350" ht="23" customHeight="1" s="21">
      <c r="A350" s="32">
        <f>IFERROR(LARGE(开奖记录!$A$2:$A$400,349),"")</f>
        <v/>
      </c>
      <c r="B350" s="32">
        <f>IF($A350="","",IFERROR(VLOOKUP($A350-1,开奖记录!$A:$L,11,FALSE),""))</f>
        <v/>
      </c>
      <c r="C350" s="36">
        <f>IF(B350="","",IFERROR(VLOOKUP(B350,八肖参数!$A:$B,2,FALSE),""))</f>
        <v/>
      </c>
      <c r="D350" s="32">
        <f>IF($A350="","",IFERROR(VLOOKUP($A350,开奖记录!$A:$L,9,FALSE),""))</f>
        <v/>
      </c>
      <c r="E350" s="32">
        <f>IF($A350="","",IFERROR(VLOOKUP($A350,开奖记录!$A:$L,11,FALSE),""))</f>
        <v/>
      </c>
      <c r="F350" s="32">
        <f>IF(A350="","",IF(B350="","缺上期数据",IF(E350="","待开奖",IF(ISNUMBER(SEARCH(E350,C350)),"命中","未命中"))))</f>
        <v/>
      </c>
    </row>
    <row r="351" ht="23" customHeight="1" s="21">
      <c r="A351" s="32">
        <f>IFERROR(LARGE(开奖记录!$A$2:$A$400,350),"")</f>
        <v/>
      </c>
      <c r="B351" s="32">
        <f>IF($A351="","",IFERROR(VLOOKUP($A351-1,开奖记录!$A:$L,11,FALSE),""))</f>
        <v/>
      </c>
      <c r="C351" s="36">
        <f>IF(B351="","",IFERROR(VLOOKUP(B351,八肖参数!$A:$B,2,FALSE),""))</f>
        <v/>
      </c>
      <c r="D351" s="32">
        <f>IF($A351="","",IFERROR(VLOOKUP($A351,开奖记录!$A:$L,9,FALSE),""))</f>
        <v/>
      </c>
      <c r="E351" s="32">
        <f>IF($A351="","",IFERROR(VLOOKUP($A351,开奖记录!$A:$L,11,FALSE),""))</f>
        <v/>
      </c>
      <c r="F351" s="32">
        <f>IF(A351="","",IF(B351="","缺上期数据",IF(E351="","待开奖",IF(ISNUMBER(SEARCH(E351,C351)),"命中","未命中"))))</f>
        <v/>
      </c>
    </row>
    <row r="352" ht="23" customHeight="1" s="21">
      <c r="A352" s="32">
        <f>IFERROR(LARGE(开奖记录!$A$2:$A$400,351),"")</f>
        <v/>
      </c>
      <c r="B352" s="32">
        <f>IF($A352="","",IFERROR(VLOOKUP($A352-1,开奖记录!$A:$L,11,FALSE),""))</f>
        <v/>
      </c>
      <c r="C352" s="36">
        <f>IF(B352="","",IFERROR(VLOOKUP(B352,八肖参数!$A:$B,2,FALSE),""))</f>
        <v/>
      </c>
      <c r="D352" s="32">
        <f>IF($A352="","",IFERROR(VLOOKUP($A352,开奖记录!$A:$L,9,FALSE),""))</f>
        <v/>
      </c>
      <c r="E352" s="32">
        <f>IF($A352="","",IFERROR(VLOOKUP($A352,开奖记录!$A:$L,11,FALSE),""))</f>
        <v/>
      </c>
      <c r="F352" s="32">
        <f>IF(A352="","",IF(B352="","缺上期数据",IF(E352="","待开奖",IF(ISNUMBER(SEARCH(E352,C352)),"命中","未命中"))))</f>
        <v/>
      </c>
    </row>
    <row r="353" ht="23" customHeight="1" s="21">
      <c r="A353" s="32">
        <f>IFERROR(LARGE(开奖记录!$A$2:$A$400,352),"")</f>
        <v/>
      </c>
      <c r="B353" s="32">
        <f>IF($A353="","",IFERROR(VLOOKUP($A353-1,开奖记录!$A:$L,11,FALSE),""))</f>
        <v/>
      </c>
      <c r="C353" s="36">
        <f>IF(B353="","",IFERROR(VLOOKUP(B353,八肖参数!$A:$B,2,FALSE),""))</f>
        <v/>
      </c>
      <c r="D353" s="32">
        <f>IF($A353="","",IFERROR(VLOOKUP($A353,开奖记录!$A:$L,9,FALSE),""))</f>
        <v/>
      </c>
      <c r="E353" s="32">
        <f>IF($A353="","",IFERROR(VLOOKUP($A353,开奖记录!$A:$L,11,FALSE),""))</f>
        <v/>
      </c>
      <c r="F353" s="32">
        <f>IF(A353="","",IF(B353="","缺上期数据",IF(E353="","待开奖",IF(ISNUMBER(SEARCH(E353,C353)),"命中","未命中"))))</f>
        <v/>
      </c>
    </row>
    <row r="354" ht="23" customHeight="1" s="21">
      <c r="A354" s="32">
        <f>IFERROR(LARGE(开奖记录!$A$2:$A$400,353),"")</f>
        <v/>
      </c>
      <c r="B354" s="32">
        <f>IF($A354="","",IFERROR(VLOOKUP($A354-1,开奖记录!$A:$L,11,FALSE),""))</f>
        <v/>
      </c>
      <c r="C354" s="36">
        <f>IF(B354="","",IFERROR(VLOOKUP(B354,八肖参数!$A:$B,2,FALSE),""))</f>
        <v/>
      </c>
      <c r="D354" s="32">
        <f>IF($A354="","",IFERROR(VLOOKUP($A354,开奖记录!$A:$L,9,FALSE),""))</f>
        <v/>
      </c>
      <c r="E354" s="32">
        <f>IF($A354="","",IFERROR(VLOOKUP($A354,开奖记录!$A:$L,11,FALSE),""))</f>
        <v/>
      </c>
      <c r="F354" s="32">
        <f>IF(A354="","",IF(B354="","缺上期数据",IF(E354="","待开奖",IF(ISNUMBER(SEARCH(E354,C354)),"命中","未命中"))))</f>
        <v/>
      </c>
    </row>
    <row r="355" ht="23" customHeight="1" s="21">
      <c r="A355" s="32">
        <f>IFERROR(LARGE(开奖记录!$A$2:$A$400,354),"")</f>
        <v/>
      </c>
      <c r="B355" s="32">
        <f>IF($A355="","",IFERROR(VLOOKUP($A355-1,开奖记录!$A:$L,11,FALSE),""))</f>
        <v/>
      </c>
      <c r="C355" s="36">
        <f>IF(B355="","",IFERROR(VLOOKUP(B355,八肖参数!$A:$B,2,FALSE),""))</f>
        <v/>
      </c>
      <c r="D355" s="32">
        <f>IF($A355="","",IFERROR(VLOOKUP($A355,开奖记录!$A:$L,9,FALSE),""))</f>
        <v/>
      </c>
      <c r="E355" s="32">
        <f>IF($A355="","",IFERROR(VLOOKUP($A355,开奖记录!$A:$L,11,FALSE),""))</f>
        <v/>
      </c>
      <c r="F355" s="32">
        <f>IF(A355="","",IF(B355="","缺上期数据",IF(E355="","待开奖",IF(ISNUMBER(SEARCH(E355,C355)),"命中","未命中"))))</f>
        <v/>
      </c>
    </row>
    <row r="356" ht="23" customHeight="1" s="21">
      <c r="A356" s="32">
        <f>IFERROR(LARGE(开奖记录!$A$2:$A$400,355),"")</f>
        <v/>
      </c>
      <c r="B356" s="32">
        <f>IF($A356="","",IFERROR(VLOOKUP($A356-1,开奖记录!$A:$L,11,FALSE),""))</f>
        <v/>
      </c>
      <c r="C356" s="36">
        <f>IF(B356="","",IFERROR(VLOOKUP(B356,八肖参数!$A:$B,2,FALSE),""))</f>
        <v/>
      </c>
      <c r="D356" s="32">
        <f>IF($A356="","",IFERROR(VLOOKUP($A356,开奖记录!$A:$L,9,FALSE),""))</f>
        <v/>
      </c>
      <c r="E356" s="32">
        <f>IF($A356="","",IFERROR(VLOOKUP($A356,开奖记录!$A:$L,11,FALSE),""))</f>
        <v/>
      </c>
      <c r="F356" s="32">
        <f>IF(A356="","",IF(B356="","缺上期数据",IF(E356="","待开奖",IF(ISNUMBER(SEARCH(E356,C356)),"命中","未命中"))))</f>
        <v/>
      </c>
    </row>
    <row r="357" ht="23" customHeight="1" s="21">
      <c r="A357" s="32">
        <f>IFERROR(LARGE(开奖记录!$A$2:$A$400,356),"")</f>
        <v/>
      </c>
      <c r="B357" s="32">
        <f>IF($A357="","",IFERROR(VLOOKUP($A357-1,开奖记录!$A:$L,11,FALSE),""))</f>
        <v/>
      </c>
      <c r="C357" s="36">
        <f>IF(B357="","",IFERROR(VLOOKUP(B357,八肖参数!$A:$B,2,FALSE),""))</f>
        <v/>
      </c>
      <c r="D357" s="32">
        <f>IF($A357="","",IFERROR(VLOOKUP($A357,开奖记录!$A:$L,9,FALSE),""))</f>
        <v/>
      </c>
      <c r="E357" s="32">
        <f>IF($A357="","",IFERROR(VLOOKUP($A357,开奖记录!$A:$L,11,FALSE),""))</f>
        <v/>
      </c>
      <c r="F357" s="32">
        <f>IF(A357="","",IF(B357="","缺上期数据",IF(E357="","待开奖",IF(ISNUMBER(SEARCH(E357,C357)),"命中","未命中"))))</f>
        <v/>
      </c>
    </row>
    <row r="358" ht="23" customHeight="1" s="21">
      <c r="A358" s="32">
        <f>IFERROR(LARGE(开奖记录!$A$2:$A$400,357),"")</f>
        <v/>
      </c>
      <c r="B358" s="32">
        <f>IF($A358="","",IFERROR(VLOOKUP($A358-1,开奖记录!$A:$L,11,FALSE),""))</f>
        <v/>
      </c>
      <c r="C358" s="36">
        <f>IF(B358="","",IFERROR(VLOOKUP(B358,八肖参数!$A:$B,2,FALSE),""))</f>
        <v/>
      </c>
      <c r="D358" s="32">
        <f>IF($A358="","",IFERROR(VLOOKUP($A358,开奖记录!$A:$L,9,FALSE),""))</f>
        <v/>
      </c>
      <c r="E358" s="32">
        <f>IF($A358="","",IFERROR(VLOOKUP($A358,开奖记录!$A:$L,11,FALSE),""))</f>
        <v/>
      </c>
      <c r="F358" s="32">
        <f>IF(A358="","",IF(B358="","缺上期数据",IF(E358="","待开奖",IF(ISNUMBER(SEARCH(E358,C358)),"命中","未命中"))))</f>
        <v/>
      </c>
    </row>
    <row r="359" ht="23" customHeight="1" s="21">
      <c r="A359" s="32">
        <f>IFERROR(LARGE(开奖记录!$A$2:$A$400,358),"")</f>
        <v/>
      </c>
      <c r="B359" s="32">
        <f>IF($A359="","",IFERROR(VLOOKUP($A359-1,开奖记录!$A:$L,11,FALSE),""))</f>
        <v/>
      </c>
      <c r="C359" s="36">
        <f>IF(B359="","",IFERROR(VLOOKUP(B359,八肖参数!$A:$B,2,FALSE),""))</f>
        <v/>
      </c>
      <c r="D359" s="32">
        <f>IF($A359="","",IFERROR(VLOOKUP($A359,开奖记录!$A:$L,9,FALSE),""))</f>
        <v/>
      </c>
      <c r="E359" s="32">
        <f>IF($A359="","",IFERROR(VLOOKUP($A359,开奖记录!$A:$L,11,FALSE),""))</f>
        <v/>
      </c>
      <c r="F359" s="32">
        <f>IF(A359="","",IF(B359="","缺上期数据",IF(E359="","待开奖",IF(ISNUMBER(SEARCH(E359,C359)),"命中","未命中"))))</f>
        <v/>
      </c>
    </row>
    <row r="360" ht="23" customHeight="1" s="21">
      <c r="A360" s="32">
        <f>IFERROR(LARGE(开奖记录!$A$2:$A$400,359),"")</f>
        <v/>
      </c>
      <c r="B360" s="32">
        <f>IF($A360="","",IFERROR(VLOOKUP($A360-1,开奖记录!$A:$L,11,FALSE),""))</f>
        <v/>
      </c>
      <c r="C360" s="36">
        <f>IF(B360="","",IFERROR(VLOOKUP(B360,八肖参数!$A:$B,2,FALSE),""))</f>
        <v/>
      </c>
      <c r="D360" s="32">
        <f>IF($A360="","",IFERROR(VLOOKUP($A360,开奖记录!$A:$L,9,FALSE),""))</f>
        <v/>
      </c>
      <c r="E360" s="32">
        <f>IF($A360="","",IFERROR(VLOOKUP($A360,开奖记录!$A:$L,11,FALSE),""))</f>
        <v/>
      </c>
      <c r="F360" s="32">
        <f>IF(A360="","",IF(B360="","缺上期数据",IF(E360="","待开奖",IF(ISNUMBER(SEARCH(E360,C360)),"命中","未命中"))))</f>
        <v/>
      </c>
    </row>
    <row r="361" ht="23" customHeight="1" s="21">
      <c r="A361" s="32">
        <f>IFERROR(LARGE(开奖记录!$A$2:$A$400,360),"")</f>
        <v/>
      </c>
      <c r="B361" s="32">
        <f>IF($A361="","",IFERROR(VLOOKUP($A361-1,开奖记录!$A:$L,11,FALSE),""))</f>
        <v/>
      </c>
      <c r="C361" s="36">
        <f>IF(B361="","",IFERROR(VLOOKUP(B361,八肖参数!$A:$B,2,FALSE),""))</f>
        <v/>
      </c>
      <c r="D361" s="32">
        <f>IF($A361="","",IFERROR(VLOOKUP($A361,开奖记录!$A:$L,9,FALSE),""))</f>
        <v/>
      </c>
      <c r="E361" s="32">
        <f>IF($A361="","",IFERROR(VLOOKUP($A361,开奖记录!$A:$L,11,FALSE),""))</f>
        <v/>
      </c>
      <c r="F361" s="32">
        <f>IF(A361="","",IF(B361="","缺上期数据",IF(E361="","待开奖",IF(ISNUMBER(SEARCH(E361,C361)),"命中","未命中"))))</f>
        <v/>
      </c>
    </row>
    <row r="362" ht="23" customHeight="1" s="21">
      <c r="A362" s="32">
        <f>IFERROR(LARGE(开奖记录!$A$2:$A$400,361),"")</f>
        <v/>
      </c>
      <c r="B362" s="32">
        <f>IF($A362="","",IFERROR(VLOOKUP($A362-1,开奖记录!$A:$L,11,FALSE),""))</f>
        <v/>
      </c>
      <c r="C362" s="36">
        <f>IF(B362="","",IFERROR(VLOOKUP(B362,八肖参数!$A:$B,2,FALSE),""))</f>
        <v/>
      </c>
      <c r="D362" s="32">
        <f>IF($A362="","",IFERROR(VLOOKUP($A362,开奖记录!$A:$L,9,FALSE),""))</f>
        <v/>
      </c>
      <c r="E362" s="32">
        <f>IF($A362="","",IFERROR(VLOOKUP($A362,开奖记录!$A:$L,11,FALSE),""))</f>
        <v/>
      </c>
      <c r="F362" s="32">
        <f>IF(A362="","",IF(B362="","缺上期数据",IF(E362="","待开奖",IF(ISNUMBER(SEARCH(E362,C362)),"命中","未命中"))))</f>
        <v/>
      </c>
    </row>
    <row r="363" ht="23" customHeight="1" s="21">
      <c r="A363" s="32">
        <f>IFERROR(LARGE(开奖记录!$A$2:$A$400,362),"")</f>
        <v/>
      </c>
      <c r="B363" s="32">
        <f>IF($A363="","",IFERROR(VLOOKUP($A363-1,开奖记录!$A:$L,11,FALSE),""))</f>
        <v/>
      </c>
      <c r="C363" s="36">
        <f>IF(B363="","",IFERROR(VLOOKUP(B363,八肖参数!$A:$B,2,FALSE),""))</f>
        <v/>
      </c>
      <c r="D363" s="32">
        <f>IF($A363="","",IFERROR(VLOOKUP($A363,开奖记录!$A:$L,9,FALSE),""))</f>
        <v/>
      </c>
      <c r="E363" s="32">
        <f>IF($A363="","",IFERROR(VLOOKUP($A363,开奖记录!$A:$L,11,FALSE),""))</f>
        <v/>
      </c>
      <c r="F363" s="32">
        <f>IF(A363="","",IF(B363="","缺上期数据",IF(E363="","待开奖",IF(ISNUMBER(SEARCH(E363,C363)),"命中","未命中"))))</f>
        <v/>
      </c>
    </row>
    <row r="364" ht="23" customHeight="1" s="21">
      <c r="A364" s="32">
        <f>IFERROR(LARGE(开奖记录!$A$2:$A$400,363),"")</f>
        <v/>
      </c>
      <c r="B364" s="32">
        <f>IF($A364="","",IFERROR(VLOOKUP($A364-1,开奖记录!$A:$L,11,FALSE),""))</f>
        <v/>
      </c>
      <c r="C364" s="36">
        <f>IF(B364="","",IFERROR(VLOOKUP(B364,八肖参数!$A:$B,2,FALSE),""))</f>
        <v/>
      </c>
      <c r="D364" s="32">
        <f>IF($A364="","",IFERROR(VLOOKUP($A364,开奖记录!$A:$L,9,FALSE),""))</f>
        <v/>
      </c>
      <c r="E364" s="32">
        <f>IF($A364="","",IFERROR(VLOOKUP($A364,开奖记录!$A:$L,11,FALSE),""))</f>
        <v/>
      </c>
      <c r="F364" s="32">
        <f>IF(A364="","",IF(B364="","缺上期数据",IF(E364="","待开奖",IF(ISNUMBER(SEARCH(E364,C364)),"命中","未命中"))))</f>
        <v/>
      </c>
    </row>
    <row r="365" ht="23" customHeight="1" s="21">
      <c r="A365" s="32">
        <f>IFERROR(LARGE(开奖记录!$A$2:$A$400,364),"")</f>
        <v/>
      </c>
      <c r="B365" s="32">
        <f>IF($A365="","",IFERROR(VLOOKUP($A365-1,开奖记录!$A:$L,11,FALSE),""))</f>
        <v/>
      </c>
      <c r="C365" s="36">
        <f>IF(B365="","",IFERROR(VLOOKUP(B365,八肖参数!$A:$B,2,FALSE),""))</f>
        <v/>
      </c>
      <c r="D365" s="32">
        <f>IF($A365="","",IFERROR(VLOOKUP($A365,开奖记录!$A:$L,9,FALSE),""))</f>
        <v/>
      </c>
      <c r="E365" s="32">
        <f>IF($A365="","",IFERROR(VLOOKUP($A365,开奖记录!$A:$L,11,FALSE),""))</f>
        <v/>
      </c>
      <c r="F365" s="32">
        <f>IF(A365="","",IF(B365="","缺上期数据",IF(E365="","待开奖",IF(ISNUMBER(SEARCH(E365,C365)),"命中","未命中"))))</f>
        <v/>
      </c>
    </row>
    <row r="366" ht="23" customHeight="1" s="21">
      <c r="A366" s="32">
        <f>IFERROR(LARGE(开奖记录!$A$2:$A$400,365),"")</f>
        <v/>
      </c>
      <c r="B366" s="32">
        <f>IF($A366="","",IFERROR(VLOOKUP($A366-1,开奖记录!$A:$L,11,FALSE),""))</f>
        <v/>
      </c>
      <c r="C366" s="36">
        <f>IF(B366="","",IFERROR(VLOOKUP(B366,八肖参数!$A:$B,2,FALSE),""))</f>
        <v/>
      </c>
      <c r="D366" s="32">
        <f>IF($A366="","",IFERROR(VLOOKUP($A366,开奖记录!$A:$L,9,FALSE),""))</f>
        <v/>
      </c>
      <c r="E366" s="32">
        <f>IF($A366="","",IFERROR(VLOOKUP($A366,开奖记录!$A:$L,11,FALSE),""))</f>
        <v/>
      </c>
      <c r="F366" s="32">
        <f>IF(A366="","",IF(B366="","缺上期数据",IF(E366="","待开奖",IF(ISNUMBER(SEARCH(E366,C366)),"命中","未命中"))))</f>
        <v/>
      </c>
    </row>
    <row r="367" ht="23" customHeight="1" s="21">
      <c r="A367" s="32">
        <f>IFERROR(LARGE(开奖记录!$A$2:$A$400,366),"")</f>
        <v/>
      </c>
      <c r="B367" s="32">
        <f>IF($A367="","",IFERROR(VLOOKUP($A367-1,开奖记录!$A:$L,11,FALSE),""))</f>
        <v/>
      </c>
      <c r="C367" s="36">
        <f>IF(B367="","",IFERROR(VLOOKUP(B367,八肖参数!$A:$B,2,FALSE),""))</f>
        <v/>
      </c>
      <c r="D367" s="32">
        <f>IF($A367="","",IFERROR(VLOOKUP($A367,开奖记录!$A:$L,9,FALSE),""))</f>
        <v/>
      </c>
      <c r="E367" s="32">
        <f>IF($A367="","",IFERROR(VLOOKUP($A367,开奖记录!$A:$L,11,FALSE),""))</f>
        <v/>
      </c>
      <c r="F367" s="32">
        <f>IF(A367="","",IF(B367="","缺上期数据",IF(E367="","待开奖",IF(ISNUMBER(SEARCH(E367,C367)),"命中","未命中"))))</f>
        <v/>
      </c>
    </row>
  </sheetData>
  <autoFilter ref="A1:F367"/>
  <conditionalFormatting sqref="C2:F367">
    <cfRule type="expression" priority="1" dxfId="19">
      <formula>$F2="命中"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10"/>
  <sheetViews>
    <sheetView showGridLines="0" showRowColHeaders="1" zoomScale="100" workbookViewId="0">
      <selection activeCell="A1" sqref="A1"/>
    </sheetView>
  </sheetViews>
  <sheetFormatPr baseColWidth="8" defaultRowHeight="15"/>
  <cols>
    <col width="20" customWidth="1" style="21" min="1" max="1"/>
    <col width="20" customWidth="1" style="21" min="2" max="2"/>
    <col width="4" customWidth="1" style="21" min="3" max="3"/>
    <col width="16" customWidth="1" style="21" min="4" max="4"/>
    <col width="25" customWidth="1" style="21" min="5" max="5"/>
  </cols>
  <sheetData>
    <row r="1" ht="30" customHeight="1" s="21">
      <c r="A1" s="37" t="inlineStr">
        <is>
          <t>2026 智能盈亏统计看板</t>
        </is>
      </c>
    </row>
    <row r="2" ht="18" customHeight="1" s="21"/>
    <row r="4" ht="28" customHeight="1" s="21">
      <c r="A4" s="38" t="inlineStr">
        <is>
          <t>累计盈利</t>
        </is>
      </c>
      <c r="B4" s="39">
        <f>SUMIFS(智能流水!$D$2:$D$1001,智能流水!$C$2:$C$1001,"&lt;&gt;")</f>
        <v/>
      </c>
      <c r="D4" s="40" t="inlineStr">
        <is>
          <t>最新开奖</t>
        </is>
      </c>
    </row>
    <row r="5" ht="28" customHeight="1" s="21">
      <c r="A5" s="38" t="inlineStr">
        <is>
          <t>累计亏损</t>
        </is>
      </c>
      <c r="B5" s="39">
        <f>SUMIFS(智能流水!$E$2:$E$1001,智能流水!$C$2:$C$1001,"&lt;&gt;")</f>
        <v/>
      </c>
      <c r="D5" s="41" t="inlineStr">
        <is>
          <t>期号</t>
        </is>
      </c>
      <c r="E5" s="42">
        <f>开奖记录!A2</f>
        <v/>
      </c>
    </row>
    <row r="6" ht="28" customHeight="1" s="21">
      <c r="A6" s="38" t="inlineStr">
        <is>
          <t>净利润</t>
        </is>
      </c>
      <c r="B6" s="39">
        <f>B4-B5</f>
        <v/>
      </c>
      <c r="D6" s="41" t="inlineStr">
        <is>
          <t>时间</t>
        </is>
      </c>
      <c r="E6" s="42">
        <f>开奖记录!B2</f>
        <v/>
      </c>
    </row>
    <row r="7" ht="28" customHeight="1" s="21">
      <c r="A7" s="38" t="inlineStr">
        <is>
          <t>已关联期数</t>
        </is>
      </c>
      <c r="B7" s="39">
        <f>COUNTIF(智能流水!$C$2:$C$1001,"&lt;&gt;")</f>
        <v/>
      </c>
      <c r="D7" s="41" t="inlineStr">
        <is>
          <t>特码</t>
        </is>
      </c>
      <c r="E7" s="42">
        <f>开奖记录!I2</f>
        <v/>
      </c>
    </row>
    <row r="8" ht="28" customHeight="1" s="21">
      <c r="A8" s="38" t="inlineStr">
        <is>
          <t>命中次数</t>
        </is>
      </c>
      <c r="B8" s="39">
        <f>COUNT(智能流水!$D$2:$D$1001)</f>
        <v/>
      </c>
      <c r="D8" s="41" t="inlineStr">
        <is>
          <t>生肖</t>
        </is>
      </c>
      <c r="E8" s="42">
        <f>开奖记录!K2</f>
        <v/>
      </c>
    </row>
    <row r="9" ht="28" customHeight="1" s="21">
      <c r="A9" s="38" t="inlineStr">
        <is>
          <t>未命中次数</t>
        </is>
      </c>
      <c r="B9" s="39">
        <f>COUNT(智能流水!$E$2:$E$1001)</f>
        <v/>
      </c>
    </row>
    <row r="10" ht="28" customHeight="1" s="21">
      <c r="A10" s="38" t="inlineStr">
        <is>
          <t>命中率</t>
        </is>
      </c>
      <c r="B10" s="43">
        <f>IFERROR(B8/(B8+B9),0)</f>
        <v/>
      </c>
    </row>
  </sheetData>
  <mergeCells count="1"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A13"/>
  <sheetViews>
    <sheetView showGridLines="0" zoomScale="100" workbookViewId="0">
      <selection activeCell="A1" sqref="A1"/>
    </sheetView>
  </sheetViews>
  <sheetFormatPr baseColWidth="8" defaultRowHeight="15"/>
  <cols>
    <col width="115" customWidth="1" style="21" min="1" max="1"/>
  </cols>
  <sheetData>
    <row r="1" ht="34" customHeight="1" s="21">
      <c r="A1" s="44" t="inlineStr">
        <is>
          <t>智能表格使用说明</t>
        </is>
      </c>
    </row>
    <row r="2" ht="30" customHeight="1" s="21">
      <c r="A2" s="45" t="inlineStr">
        <is>
          <t>1. 先关闭本工作簿，再双击同目录下的“更新开奖记录.cmd”。</t>
        </is>
      </c>
    </row>
    <row r="3" ht="30" customHeight="1" s="21">
      <c r="A3" s="46" t="inlineStr">
        <is>
          <t>2. 更新工具会联网获取最新开奖记录，并自动替换“开奖记录”工作表的数据。</t>
        </is>
      </c>
    </row>
    <row r="4" ht="30" customHeight="1" s="21">
      <c r="A4" s="45" t="inlineStr">
        <is>
          <t>3. 已按“原文件第1行=2026001期”的规则自动补齐旧流水期号，并关联实际开奖和命中结果。</t>
        </is>
      </c>
    </row>
    <row r="5" ht="30" customHeight="1" s="21">
      <c r="A5" s="46" t="inlineStr">
        <is>
          <t>4. 第199行以后，录入新流水时期号会从上一行自动顺延；开奖时间、实际特码、生肖和结果自动带出。</t>
        </is>
      </c>
    </row>
    <row r="6" ht="30" customHeight="1" s="21">
      <c r="A6" s="45" t="inlineStr">
        <is>
          <t>5. 今后新增流水时，只需填写投注生肖/号码、盈利或亏损；其余字段自动计算。</t>
        </is>
      </c>
    </row>
    <row r="7" ht="30" customHeight="1" s="21">
      <c r="A7" s="46" t="inlineStr">
        <is>
          <t>6. 若更新失败，请检查网络，并确认工作簿没有被 Excel/WPS 打开。</t>
        </is>
      </c>
    </row>
    <row r="8" ht="30" customHeight="1" s="21">
      <c r="A8" s="45" t="inlineStr">
        <is>
          <t>7. 原始Sheet1的D/F列是波色预测；E/G列会在命中时自动显示对应底色，未命中不显示颜色。</t>
        </is>
      </c>
    </row>
    <row r="9" ht="30" customHeight="1" s="21">
      <c r="A9" s="46" t="inlineStr">
        <is>
          <t>开奖网站：https://www.00853kkjj.cc/post</t>
        </is>
      </c>
    </row>
    <row r="10" ht="30" customHeight="1" s="21">
      <c r="A10" s="45" t="inlineStr">
        <is>
          <t>结构化数据接口：https://api.00853lhc.com/api/HistoryOpenInfo</t>
        </is>
      </c>
    </row>
    <row r="11" ht="30" customHeight="1" s="21">
      <c r="A11" s="46" t="inlineStr">
        <is>
          <t>8. 默认首页“最新流水”会按期号从新到旧自动排列；数据仍在“智能流水”中录入，无需手工排序。</t>
        </is>
      </c>
    </row>
    <row r="12" ht="34" customHeight="1" s="21">
      <c r="A12" s="45" t="inlineStr">
        <is>
          <t>9. 加5验算：用上一期第一个平码加5（超过49循环），查生肖配对并隔一组取4肖；本期特码生肖命中时自动标绿色。</t>
        </is>
      </c>
    </row>
    <row r="13" ht="34" customHeight="1" s="21">
      <c r="A13" s="46" t="inlineStr">
        <is>
          <t>10. 八肖验算：按上一期特玛生肖查八肖表；本期特玛生肖在建议八肖中即为命中并标绿色，全年记录自动计算。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J366"/>
  <sheetViews>
    <sheetView showGridLines="0" tabSelected="1" topLeftCell="A186" zoomScale="90" zoomScaleNormal="102" workbookViewId="0">
      <selection activeCell="C198" sqref="C198"/>
    </sheetView>
  </sheetViews>
  <sheetFormatPr baseColWidth="8" defaultColWidth="9.642857142857141" defaultRowHeight="27.1" customHeight="1"/>
  <cols>
    <col width="8.75" customWidth="1" style="19" min="1" max="7"/>
    <col width="22" customWidth="1" style="19" min="8" max="8"/>
    <col width="8.75" customWidth="1" style="19" min="9" max="16382"/>
    <col width="22" customWidth="1" style="21" min="10" max="10"/>
    <col width="8.75" customWidth="1" style="21" min="16383" max="16383"/>
  </cols>
  <sheetData>
    <row r="1" ht="22" customHeight="1" s="21">
      <c r="A1" s="47" t="inlineStr">
        <is>
          <t xml:space="preserve">牛 29 </t>
        </is>
      </c>
      <c r="B1" s="47" t="n">
        <v>1825</v>
      </c>
      <c r="C1" s="47" t="n"/>
      <c r="D1" s="48" t="n"/>
      <c r="E1" s="47" t="n"/>
      <c r="F1" s="49" t="n"/>
      <c r="G1" s="47" t="n"/>
      <c r="H1" s="47">
        <f>IFERROR(TEXT(VLOOKUP(2026000+ROW()-1,开奖记录!$A:$L,3,FALSE),"00")&amp;"+5="&amp;VLOOKUP(MOD(VLOOKUP(2026000+ROW()-1,开奖记录!$A:$L,3,FALSE)+4,49)+1,规律参数!$A:$C,3,FALSE),"")</f>
        <v/>
      </c>
      <c r="I1" s="47" t="n"/>
      <c r="J1" s="47">
        <f>IFERROR(VLOOKUP(VLOOKUP(2026000+ROW()-1,开奖记录!$A:$L,11,FALSE),八肖参数!$A:$B,2,FALSE),"")</f>
        <v/>
      </c>
    </row>
    <row r="2" ht="22" customHeight="1" s="21">
      <c r="A2" s="47" t="inlineStr">
        <is>
          <t xml:space="preserve">猴 22 </t>
        </is>
      </c>
      <c r="B2" s="47" t="n"/>
      <c r="C2" s="47" t="n">
        <v>890</v>
      </c>
      <c r="D2" s="50" t="n"/>
      <c r="E2" s="47" t="n"/>
      <c r="F2" s="51" t="n"/>
      <c r="G2" s="47" t="n"/>
      <c r="H2" s="47">
        <f>IFERROR(TEXT(VLOOKUP(2026000+ROW()-1,开奖记录!$A:$L,3,FALSE),"00")&amp;"+5="&amp;VLOOKUP(MOD(VLOOKUP(2026000+ROW()-1,开奖记录!$A:$L,3,FALSE)+4,49)+1,规律参数!$A:$C,3,FALSE),"")</f>
        <v/>
      </c>
      <c r="I2" s="47" t="n"/>
      <c r="J2" s="47">
        <f>IFERROR(VLOOKUP(VLOOKUP(2026000+ROW()-1,开奖记录!$A:$L,11,FALSE),八肖参数!$A:$B,2,FALSE),"")</f>
        <v/>
      </c>
    </row>
    <row r="3" ht="22" customHeight="1" s="21">
      <c r="A3" s="47" t="inlineStr">
        <is>
          <t xml:space="preserve">鸡 09 </t>
        </is>
      </c>
      <c r="B3" s="47" t="n"/>
      <c r="C3" s="47" t="n">
        <v>980</v>
      </c>
      <c r="D3" s="51" t="n"/>
      <c r="E3" s="47" t="n"/>
      <c r="F3" s="48" t="n"/>
      <c r="G3" s="47" t="n"/>
      <c r="H3" s="47">
        <f>IFERROR(TEXT(VLOOKUP(2026000+ROW()-1,开奖记录!$A:$L,3,FALSE),"00")&amp;"+5="&amp;VLOOKUP(MOD(VLOOKUP(2026000+ROW()-1,开奖记录!$A:$L,3,FALSE)+4,49)+1,规律参数!$A:$C,3,FALSE),"")</f>
        <v/>
      </c>
      <c r="I3" s="47" t="n"/>
      <c r="J3" s="47">
        <f>IFERROR(VLOOKUP(VLOOKUP(2026000+ROW()-1,开奖记录!$A:$L,11,FALSE),八肖参数!$A:$B,2,FALSE),"")</f>
        <v/>
      </c>
    </row>
    <row r="4" ht="22" customHeight="1" s="21">
      <c r="A4" s="47" t="inlineStr">
        <is>
          <t>鸡 45</t>
        </is>
      </c>
      <c r="B4" s="47" t="n"/>
      <c r="C4" s="47" t="n">
        <v>750</v>
      </c>
      <c r="D4" s="48" t="n"/>
      <c r="E4" s="47" t="n"/>
      <c r="F4" s="49" t="n"/>
      <c r="G4" s="47" t="n"/>
      <c r="H4" s="47">
        <f>IFERROR(TEXT(VLOOKUP(2026000+ROW()-1,开奖记录!$A:$L,3,FALSE),"00")&amp;"+5="&amp;VLOOKUP(MOD(VLOOKUP(2026000+ROW()-1,开奖记录!$A:$L,3,FALSE)+4,49)+1,规律参数!$A:$C,3,FALSE),"")</f>
        <v/>
      </c>
      <c r="I4" s="47" t="n"/>
      <c r="J4" s="47">
        <f>IFERROR(VLOOKUP(VLOOKUP(2026000+ROW()-1,开奖记录!$A:$L,11,FALSE),八肖参数!$A:$B,2,FALSE),"")</f>
        <v/>
      </c>
    </row>
    <row r="5" ht="22" customHeight="1" s="21">
      <c r="A5" s="47" t="inlineStr">
        <is>
          <t>猪 43</t>
        </is>
      </c>
      <c r="B5" s="47" t="n"/>
      <c r="C5" s="47" t="n">
        <v>540</v>
      </c>
      <c r="D5" s="50" t="n"/>
      <c r="E5" s="47" t="n"/>
      <c r="F5" s="51" t="n"/>
      <c r="G5" s="47" t="n"/>
      <c r="H5" s="47">
        <f>IFERROR(TEXT(VLOOKUP(2026000+ROW()-1,开奖记录!$A:$L,3,FALSE),"00")&amp;"+5="&amp;VLOOKUP(MOD(VLOOKUP(2026000+ROW()-1,开奖记录!$A:$L,3,FALSE)+4,49)+1,规律参数!$A:$C,3,FALSE),"")</f>
        <v/>
      </c>
      <c r="I5" s="47" t="n"/>
      <c r="J5" s="47">
        <f>IFERROR(VLOOKUP(VLOOKUP(2026000+ROW()-1,开奖记录!$A:$L,11,FALSE),八肖参数!$A:$B,2,FALSE),"")</f>
        <v/>
      </c>
    </row>
    <row r="6" ht="22" customHeight="1" s="21">
      <c r="A6" s="47" t="inlineStr">
        <is>
          <t>蛇 13</t>
        </is>
      </c>
      <c r="B6" s="47" t="n">
        <v>1065</v>
      </c>
      <c r="C6" s="47" t="n"/>
      <c r="D6" s="51" t="n"/>
      <c r="E6" s="47" t="n"/>
      <c r="F6" s="48" t="n"/>
      <c r="G6" s="47" t="n"/>
      <c r="H6" s="47">
        <f>IFERROR(TEXT(VLOOKUP(2026000+ROW()-1,开奖记录!$A:$L,3,FALSE),"00")&amp;"+5="&amp;VLOOKUP(MOD(VLOOKUP(2026000+ROW()-1,开奖记录!$A:$L,3,FALSE)+4,49)+1,规律参数!$A:$C,3,FALSE),"")</f>
        <v/>
      </c>
      <c r="I6" s="47" t="n"/>
      <c r="J6" s="47">
        <f>IFERROR(VLOOKUP(VLOOKUP(2026000+ROW()-1,开奖记录!$A:$L,11,FALSE),八肖参数!$A:$B,2,FALSE),"")</f>
        <v/>
      </c>
    </row>
    <row r="7" ht="22" customHeight="1" s="21">
      <c r="A7" s="47" t="inlineStr">
        <is>
          <t xml:space="preserve">牛 41 </t>
        </is>
      </c>
      <c r="B7" s="47" t="n">
        <v>765</v>
      </c>
      <c r="C7" s="47" t="n"/>
      <c r="D7" s="48" t="n"/>
      <c r="E7" s="47" t="n"/>
      <c r="F7" s="49" t="n"/>
      <c r="G7" s="47" t="n"/>
      <c r="H7" s="47">
        <f>IFERROR(TEXT(VLOOKUP(2026000+ROW()-1,开奖记录!$A:$L,3,FALSE),"00")&amp;"+5="&amp;VLOOKUP(MOD(VLOOKUP(2026000+ROW()-1,开奖记录!$A:$L,3,FALSE)+4,49)+1,规律参数!$A:$C,3,FALSE),"")</f>
        <v/>
      </c>
      <c r="I7" s="47" t="n"/>
      <c r="J7" s="47">
        <f>IFERROR(VLOOKUP(VLOOKUP(2026000+ROW()-1,开奖记录!$A:$L,11,FALSE),八肖参数!$A:$B,2,FALSE),"")</f>
        <v/>
      </c>
    </row>
    <row r="8" ht="22" customHeight="1" s="21">
      <c r="A8" s="47" t="inlineStr">
        <is>
          <t>鸡 21</t>
        </is>
      </c>
      <c r="B8" s="47" t="n">
        <v>2870</v>
      </c>
      <c r="C8" s="47" t="n"/>
      <c r="D8" s="50" t="n"/>
      <c r="E8" s="47" t="n"/>
      <c r="F8" s="51" t="n"/>
      <c r="G8" s="47" t="n"/>
      <c r="H8" s="47">
        <f>IFERROR(TEXT(VLOOKUP(2026000+ROW()-1,开奖记录!$A:$L,3,FALSE),"00")&amp;"+5="&amp;VLOOKUP(MOD(VLOOKUP(2026000+ROW()-1,开奖记录!$A:$L,3,FALSE)+4,49)+1,规律参数!$A:$C,3,FALSE),"")</f>
        <v/>
      </c>
      <c r="I8" s="47" t="n"/>
      <c r="J8" s="47">
        <f>IFERROR(VLOOKUP(VLOOKUP(2026000+ROW()-1,开奖记录!$A:$L,11,FALSE),八肖参数!$A:$B,2,FALSE),"")</f>
        <v/>
      </c>
    </row>
    <row r="9" ht="22" customHeight="1" s="21">
      <c r="A9" s="47" t="inlineStr">
        <is>
          <t xml:space="preserve">虎 28 </t>
        </is>
      </c>
      <c r="B9" s="47" t="n"/>
      <c r="C9" s="47" t="n">
        <v>880</v>
      </c>
      <c r="D9" s="51" t="n"/>
      <c r="E9" s="47" t="n"/>
      <c r="F9" s="48" t="n"/>
      <c r="G9" s="47" t="n"/>
      <c r="H9" s="47">
        <f>IFERROR(TEXT(VLOOKUP(2026000+ROW()-1,开奖记录!$A:$L,3,FALSE),"00")&amp;"+5="&amp;VLOOKUP(MOD(VLOOKUP(2026000+ROW()-1,开奖记录!$A:$L,3,FALSE)+4,49)+1,规律参数!$A:$C,3,FALSE),"")</f>
        <v/>
      </c>
      <c r="I9" s="47" t="n"/>
      <c r="J9" s="47">
        <f>IFERROR(VLOOKUP(VLOOKUP(2026000+ROW()-1,开奖记录!$A:$L,11,FALSE),八肖参数!$A:$B,2,FALSE),"")</f>
        <v/>
      </c>
    </row>
    <row r="10" ht="22" customHeight="1" s="21">
      <c r="A10" s="47" t="inlineStr">
        <is>
          <t>兔 27</t>
        </is>
      </c>
      <c r="B10" s="47" t="n">
        <v>130</v>
      </c>
      <c r="C10" s="47" t="n"/>
      <c r="D10" s="48" t="n"/>
      <c r="E10" s="47" t="n"/>
      <c r="F10" s="49" t="n"/>
      <c r="G10" s="47" t="n"/>
      <c r="H10" s="47">
        <f>IFERROR(TEXT(VLOOKUP(2026000+ROW()-1,开奖记录!$A:$L,3,FALSE),"00")&amp;"+5="&amp;VLOOKUP(MOD(VLOOKUP(2026000+ROW()-1,开奖记录!$A:$L,3,FALSE)+4,49)+1,规律参数!$A:$C,3,FALSE),"")</f>
        <v/>
      </c>
      <c r="I10" s="47" t="n"/>
      <c r="J10" s="47">
        <f>IFERROR(VLOOKUP(VLOOKUP(2026000+ROW()-1,开奖记录!$A:$L,11,FALSE),八肖参数!$A:$B,2,FALSE),"")</f>
        <v/>
      </c>
    </row>
    <row r="11" ht="22" customHeight="1" s="21">
      <c r="A11" s="47" t="inlineStr">
        <is>
          <t xml:space="preserve">羊 11 </t>
        </is>
      </c>
      <c r="B11" s="47" t="n"/>
      <c r="C11" s="47" t="n">
        <v>330</v>
      </c>
      <c r="D11" s="50" t="n"/>
      <c r="E11" s="47" t="n"/>
      <c r="F11" s="51" t="n"/>
      <c r="G11" s="47" t="n"/>
      <c r="H11" s="47">
        <f>IFERROR(TEXT(VLOOKUP(2026000+ROW()-1,开奖记录!$A:$L,3,FALSE),"00")&amp;"+5="&amp;VLOOKUP(MOD(VLOOKUP(2026000+ROW()-1,开奖记录!$A:$L,3,FALSE)+4,49)+1,规律参数!$A:$C,3,FALSE),"")</f>
        <v/>
      </c>
      <c r="I11" s="47" t="n"/>
      <c r="J11" s="47">
        <f>IFERROR(VLOOKUP(VLOOKUP(2026000+ROW()-1,开奖记录!$A:$L,11,FALSE),八肖参数!$A:$B,2,FALSE),"")</f>
        <v/>
      </c>
    </row>
    <row r="12" ht="22" customHeight="1" s="21">
      <c r="A12" s="47" t="inlineStr">
        <is>
          <t xml:space="preserve">羊 11 </t>
        </is>
      </c>
      <c r="B12" s="47" t="n"/>
      <c r="C12" s="47" t="n">
        <v>450</v>
      </c>
      <c r="D12" s="51" t="n"/>
      <c r="E12" s="47" t="n"/>
      <c r="F12" s="48" t="n"/>
      <c r="G12" s="47" t="n"/>
      <c r="H12" s="47">
        <f>IFERROR(TEXT(VLOOKUP(2026000+ROW()-1,开奖记录!$A:$L,3,FALSE),"00")&amp;"+5="&amp;VLOOKUP(MOD(VLOOKUP(2026000+ROW()-1,开奖记录!$A:$L,3,FALSE)+4,49)+1,规律参数!$A:$C,3,FALSE),"")</f>
        <v/>
      </c>
      <c r="I12" s="47" t="n"/>
      <c r="J12" s="47">
        <f>IFERROR(VLOOKUP(VLOOKUP(2026000+ROW()-1,开奖记录!$A:$L,11,FALSE),八肖参数!$A:$B,2,FALSE),"")</f>
        <v/>
      </c>
    </row>
    <row r="13" ht="22" customHeight="1" s="21">
      <c r="A13" s="47" t="inlineStr">
        <is>
          <t>蛇 01</t>
        </is>
      </c>
      <c r="B13" s="47" t="n"/>
      <c r="C13" s="47" t="n">
        <v>127</v>
      </c>
      <c r="D13" s="48" t="n"/>
      <c r="E13" s="47" t="n"/>
      <c r="F13" s="49" t="n"/>
      <c r="G13" s="47" t="n"/>
      <c r="H13" s="47">
        <f>IFERROR(TEXT(VLOOKUP(2026000+ROW()-1,开奖记录!$A:$L,3,FALSE),"00")&amp;"+5="&amp;VLOOKUP(MOD(VLOOKUP(2026000+ROW()-1,开奖记录!$A:$L,3,FALSE)+4,49)+1,规律参数!$A:$C,3,FALSE),"")</f>
        <v/>
      </c>
      <c r="I13" s="47" t="n"/>
      <c r="J13" s="47">
        <f>IFERROR(VLOOKUP(VLOOKUP(2026000+ROW()-1,开奖记录!$A:$L,11,FALSE),八肖参数!$A:$B,2,FALSE),"")</f>
        <v/>
      </c>
    </row>
    <row r="14" ht="22" customHeight="1" s="21">
      <c r="A14" s="47" t="inlineStr">
        <is>
          <t>龙26</t>
        </is>
      </c>
      <c r="B14" s="47" t="n"/>
      <c r="C14" s="47" t="n">
        <v>750</v>
      </c>
      <c r="D14" s="50" t="n"/>
      <c r="E14" s="47" t="n"/>
      <c r="F14" s="51" t="n"/>
      <c r="G14" s="47" t="n"/>
      <c r="H14" s="47">
        <f>IFERROR(TEXT(VLOOKUP(2026000+ROW()-1,开奖记录!$A:$L,3,FALSE),"00")&amp;"+5="&amp;VLOOKUP(MOD(VLOOKUP(2026000+ROW()-1,开奖记录!$A:$L,3,FALSE)+4,49)+1,规律参数!$A:$C,3,FALSE),"")</f>
        <v/>
      </c>
      <c r="I14" s="47" t="n"/>
      <c r="J14" s="47">
        <f>IFERROR(VLOOKUP(VLOOKUP(2026000+ROW()-1,开奖记录!$A:$L,11,FALSE),八肖参数!$A:$B,2,FALSE),"")</f>
        <v/>
      </c>
    </row>
    <row r="15" ht="22" customHeight="1" s="21">
      <c r="A15" s="47" t="inlineStr">
        <is>
          <t>猪31</t>
        </is>
      </c>
      <c r="B15" s="47" t="n">
        <v>120</v>
      </c>
      <c r="C15" s="47" t="n"/>
      <c r="D15" s="51" t="n"/>
      <c r="E15" s="47" t="n"/>
      <c r="F15" s="48" t="n"/>
      <c r="G15" s="47" t="n"/>
      <c r="H15" s="47">
        <f>IFERROR(TEXT(VLOOKUP(2026000+ROW()-1,开奖记录!$A:$L,3,FALSE),"00")&amp;"+5="&amp;VLOOKUP(MOD(VLOOKUP(2026000+ROW()-1,开奖记录!$A:$L,3,FALSE)+4,49)+1,规律参数!$A:$C,3,FALSE),"")</f>
        <v/>
      </c>
      <c r="I15" s="47" t="n"/>
      <c r="J15" s="47">
        <f>IFERROR(VLOOKUP(VLOOKUP(2026000+ROW()-1,开奖记录!$A:$L,11,FALSE),八肖参数!$A:$B,2,FALSE),"")</f>
        <v/>
      </c>
    </row>
    <row r="16" ht="22" customHeight="1" s="21">
      <c r="A16" s="47" t="inlineStr">
        <is>
          <t>鼠06</t>
        </is>
      </c>
      <c r="B16" s="47" t="n"/>
      <c r="C16" s="47" t="n">
        <v>60</v>
      </c>
      <c r="D16" s="48" t="n"/>
      <c r="E16" s="47" t="n"/>
      <c r="F16" s="49" t="n"/>
      <c r="G16" s="47" t="n"/>
      <c r="H16" s="47">
        <f>IFERROR(TEXT(VLOOKUP(2026000+ROW()-1,开奖记录!$A:$L,3,FALSE),"00")&amp;"+5="&amp;VLOOKUP(MOD(VLOOKUP(2026000+ROW()-1,开奖记录!$A:$L,3,FALSE)+4,49)+1,规律参数!$A:$C,3,FALSE),"")</f>
        <v/>
      </c>
      <c r="I16" s="47" t="n"/>
      <c r="J16" s="47">
        <f>IFERROR(VLOOKUP(VLOOKUP(2026000+ROW()-1,开奖记录!$A:$L,11,FALSE),八肖参数!$A:$B,2,FALSE),"")</f>
        <v/>
      </c>
    </row>
    <row r="17" ht="22" customHeight="1" s="21">
      <c r="A17" s="47" t="inlineStr">
        <is>
          <t>狗32</t>
        </is>
      </c>
      <c r="B17" s="47" t="n">
        <v>1145</v>
      </c>
      <c r="C17" s="47" t="n"/>
      <c r="D17" s="50" t="n"/>
      <c r="E17" s="47" t="n"/>
      <c r="F17" s="51" t="n"/>
      <c r="G17" s="47" t="n"/>
      <c r="H17" s="47">
        <f>IFERROR(TEXT(VLOOKUP(2026000+ROW()-1,开奖记录!$A:$L,3,FALSE),"00")&amp;"+5="&amp;VLOOKUP(MOD(VLOOKUP(2026000+ROW()-1,开奖记录!$A:$L,3,FALSE)+4,49)+1,规律参数!$A:$C,3,FALSE),"")</f>
        <v/>
      </c>
      <c r="I17" s="47" t="n"/>
      <c r="J17" s="47">
        <f>IFERROR(VLOOKUP(VLOOKUP(2026000+ROW()-1,开奖记录!$A:$L,11,FALSE),八肖参数!$A:$B,2,FALSE),"")</f>
        <v/>
      </c>
    </row>
    <row r="18" ht="22" customHeight="1" s="21">
      <c r="A18" s="47" t="inlineStr">
        <is>
          <t>兔39</t>
        </is>
      </c>
      <c r="B18" s="47" t="n">
        <v>715</v>
      </c>
      <c r="C18" s="47" t="n"/>
      <c r="D18" s="51" t="n"/>
      <c r="E18" s="47" t="n"/>
      <c r="F18" s="48" t="n"/>
      <c r="G18" s="47" t="n"/>
      <c r="H18" s="47">
        <f>IFERROR(TEXT(VLOOKUP(2026000+ROW()-1,开奖记录!$A:$L,3,FALSE),"00")&amp;"+5="&amp;VLOOKUP(MOD(VLOOKUP(2026000+ROW()-1,开奖记录!$A:$L,3,FALSE)+4,49)+1,规律参数!$A:$C,3,FALSE),"")</f>
        <v/>
      </c>
      <c r="I18" s="47" t="n"/>
      <c r="J18" s="47">
        <f>IFERROR(VLOOKUP(VLOOKUP(2026000+ROW()-1,开奖记录!$A:$L,11,FALSE),八肖参数!$A:$B,2,FALSE),"")</f>
        <v/>
      </c>
    </row>
    <row r="19" ht="22" customHeight="1" s="21">
      <c r="A19" s="47" t="inlineStr">
        <is>
          <t>猴46</t>
        </is>
      </c>
      <c r="B19" s="47" t="n"/>
      <c r="C19" s="47" t="n">
        <v>815</v>
      </c>
      <c r="D19" s="48" t="n"/>
      <c r="E19" s="47" t="n"/>
      <c r="F19" s="49" t="n"/>
      <c r="G19" s="47" t="n"/>
      <c r="H19" s="47">
        <f>IFERROR(TEXT(VLOOKUP(2026000+ROW()-1,开奖记录!$A:$L,3,FALSE),"00")&amp;"+5="&amp;VLOOKUP(MOD(VLOOKUP(2026000+ROW()-1,开奖记录!$A:$L,3,FALSE)+4,49)+1,规律参数!$A:$C,3,FALSE),"")</f>
        <v/>
      </c>
      <c r="I19" s="47" t="n"/>
      <c r="J19" s="47">
        <f>IFERROR(VLOOKUP(VLOOKUP(2026000+ROW()-1,开奖记录!$A:$L,11,FALSE),八肖参数!$A:$B,2,FALSE),"")</f>
        <v/>
      </c>
    </row>
    <row r="20" ht="22" customHeight="1" s="21">
      <c r="A20" s="47" t="inlineStr">
        <is>
          <t>马12</t>
        </is>
      </c>
      <c r="B20" s="47" t="n"/>
      <c r="C20" s="47" t="n">
        <v>910</v>
      </c>
      <c r="D20" s="50" t="n"/>
      <c r="E20" s="47" t="n"/>
      <c r="F20" s="51" t="n"/>
      <c r="G20" s="47" t="n"/>
      <c r="H20" s="47">
        <f>IFERROR(TEXT(VLOOKUP(2026000+ROW()-1,开奖记录!$A:$L,3,FALSE),"00")&amp;"+5="&amp;VLOOKUP(MOD(VLOOKUP(2026000+ROW()-1,开奖记录!$A:$L,3,FALSE)+4,49)+1,规律参数!$A:$C,3,FALSE),"")</f>
        <v/>
      </c>
      <c r="I20" s="47" t="n"/>
      <c r="J20" s="47">
        <f>IFERROR(VLOOKUP(VLOOKUP(2026000+ROW()-1,开奖记录!$A:$L,11,FALSE),八肖参数!$A:$B,2,FALSE),"")</f>
        <v/>
      </c>
    </row>
    <row r="21" ht="22" customHeight="1" s="21">
      <c r="A21" s="47" t="inlineStr">
        <is>
          <t>鼠42</t>
        </is>
      </c>
      <c r="B21" s="47" t="n">
        <v>1510</v>
      </c>
      <c r="C21" s="47" t="n"/>
      <c r="D21" s="51" t="n"/>
      <c r="E21" s="47" t="n"/>
      <c r="F21" s="48" t="n"/>
      <c r="G21" s="47" t="n"/>
      <c r="H21" s="47">
        <f>IFERROR(TEXT(VLOOKUP(2026000+ROW()-1,开奖记录!$A:$L,3,FALSE),"00")&amp;"+5="&amp;VLOOKUP(MOD(VLOOKUP(2026000+ROW()-1,开奖记录!$A:$L,3,FALSE)+4,49)+1,规律参数!$A:$C,3,FALSE),"")</f>
        <v/>
      </c>
      <c r="I21" s="47" t="n"/>
      <c r="J21" s="47">
        <f>IFERROR(VLOOKUP(VLOOKUP(2026000+ROW()-1,开奖记录!$A:$L,11,FALSE),八肖参数!$A:$B,2,FALSE),"")</f>
        <v/>
      </c>
    </row>
    <row r="22" ht="22" customHeight="1" s="21">
      <c r="A22" s="47" t="inlineStr">
        <is>
          <t>鼠18</t>
        </is>
      </c>
      <c r="B22" s="47" t="n"/>
      <c r="C22" s="47" t="n">
        <v>1060</v>
      </c>
      <c r="D22" s="48" t="n"/>
      <c r="E22" s="47" t="n"/>
      <c r="F22" s="49" t="n"/>
      <c r="G22" s="47" t="n"/>
      <c r="H22" s="47">
        <f>IFERROR(TEXT(VLOOKUP(2026000+ROW()-1,开奖记录!$A:$L,3,FALSE),"00")&amp;"+5="&amp;VLOOKUP(MOD(VLOOKUP(2026000+ROW()-1,开奖记录!$A:$L,3,FALSE)+4,49)+1,规律参数!$A:$C,3,FALSE),"")</f>
        <v/>
      </c>
      <c r="I22" s="47" t="n"/>
      <c r="J22" s="47">
        <f>IFERROR(VLOOKUP(VLOOKUP(2026000+ROW()-1,开奖记录!$A:$L,11,FALSE),八肖参数!$A:$B,2,FALSE),"")</f>
        <v/>
      </c>
    </row>
    <row r="23" ht="22" customHeight="1" s="21">
      <c r="A23" s="47" t="inlineStr">
        <is>
          <t>羊47</t>
        </is>
      </c>
      <c r="B23" s="47" t="n">
        <v>2480</v>
      </c>
      <c r="C23" s="47" t="n"/>
      <c r="D23" s="50" t="n"/>
      <c r="E23" s="47" t="n"/>
      <c r="F23" s="51" t="n"/>
      <c r="G23" s="47" t="n"/>
      <c r="H23" s="47">
        <f>IFERROR(TEXT(VLOOKUP(2026000+ROW()-1,开奖记录!$A:$L,3,FALSE),"00")&amp;"+5="&amp;VLOOKUP(MOD(VLOOKUP(2026000+ROW()-1,开奖记录!$A:$L,3,FALSE)+4,49)+1,规律参数!$A:$C,3,FALSE),"")</f>
        <v/>
      </c>
      <c r="I23" s="47" t="n"/>
      <c r="J23" s="47">
        <f>IFERROR(VLOOKUP(VLOOKUP(2026000+ROW()-1,开奖记录!$A:$L,11,FALSE),八肖参数!$A:$B,2,FALSE),"")</f>
        <v/>
      </c>
    </row>
    <row r="24" ht="22" customHeight="1" s="21">
      <c r="A24" s="47" t="inlineStr">
        <is>
          <t xml:space="preserve">虎 28 </t>
        </is>
      </c>
      <c r="B24" s="47" t="n">
        <v>1425</v>
      </c>
      <c r="C24" s="47" t="n"/>
      <c r="D24" s="51" t="n"/>
      <c r="E24" s="47" t="n"/>
      <c r="F24" s="48" t="n"/>
      <c r="G24" s="47" t="n"/>
      <c r="H24" s="47">
        <f>IFERROR(TEXT(VLOOKUP(2026000+ROW()-1,开奖记录!$A:$L,3,FALSE),"00")&amp;"+5="&amp;VLOOKUP(MOD(VLOOKUP(2026000+ROW()-1,开奖记录!$A:$L,3,FALSE)+4,49)+1,规律参数!$A:$C,3,FALSE),"")</f>
        <v/>
      </c>
      <c r="I24" s="47" t="n"/>
      <c r="J24" s="47">
        <f>IFERROR(VLOOKUP(VLOOKUP(2026000+ROW()-1,开奖记录!$A:$L,11,FALSE),八肖参数!$A:$B,2,FALSE),"")</f>
        <v/>
      </c>
    </row>
    <row r="25" ht="22" customHeight="1" s="21">
      <c r="A25" s="47" t="inlineStr">
        <is>
          <t>蛇37</t>
        </is>
      </c>
      <c r="B25" s="47" t="n"/>
      <c r="C25" s="47" t="n">
        <v>1250</v>
      </c>
      <c r="D25" s="48" t="n"/>
      <c r="E25" s="47" t="n"/>
      <c r="F25" s="49" t="n"/>
      <c r="G25" s="47" t="n"/>
      <c r="H25" s="47">
        <f>IFERROR(TEXT(VLOOKUP(2026000+ROW()-1,开奖记录!$A:$L,3,FALSE),"00")&amp;"+5="&amp;VLOOKUP(MOD(VLOOKUP(2026000+ROW()-1,开奖记录!$A:$L,3,FALSE)+4,49)+1,规律参数!$A:$C,3,FALSE),"")</f>
        <v/>
      </c>
      <c r="I25" s="47" t="n"/>
      <c r="J25" s="47">
        <f>IFERROR(VLOOKUP(VLOOKUP(2026000+ROW()-1,开奖记录!$A:$L,11,FALSE),八肖参数!$A:$B,2,FALSE),"")</f>
        <v/>
      </c>
    </row>
    <row r="26" ht="22" customHeight="1" s="21">
      <c r="A26" s="47" t="inlineStr">
        <is>
          <t>猪19</t>
        </is>
      </c>
      <c r="B26" s="47" t="n">
        <v>1175</v>
      </c>
      <c r="C26" s="47" t="n"/>
      <c r="D26" s="50" t="n"/>
      <c r="E26" s="47" t="n"/>
      <c r="F26" s="51" t="n"/>
      <c r="G26" s="47" t="n"/>
      <c r="H26" s="47">
        <f>IFERROR(TEXT(VLOOKUP(2026000+ROW()-1,开奖记录!$A:$L,3,FALSE),"00")&amp;"+5="&amp;VLOOKUP(MOD(VLOOKUP(2026000+ROW()-1,开奖记录!$A:$L,3,FALSE)+4,49)+1,规律参数!$A:$C,3,FALSE),"")</f>
        <v/>
      </c>
      <c r="I26" s="47" t="n"/>
      <c r="J26" s="47">
        <f>IFERROR(VLOOKUP(VLOOKUP(2026000+ROW()-1,开奖记录!$A:$L,11,FALSE),八肖参数!$A:$B,2,FALSE),"")</f>
        <v/>
      </c>
    </row>
    <row r="27" ht="22" customHeight="1" s="21">
      <c r="A27" s="47" t="inlineStr">
        <is>
          <t>鸡 45</t>
        </is>
      </c>
      <c r="B27" s="47" t="n">
        <v>2670</v>
      </c>
      <c r="C27" s="47" t="n"/>
      <c r="D27" s="51" t="n"/>
      <c r="E27" s="47" t="n"/>
      <c r="F27" s="48" t="n"/>
      <c r="G27" s="47" t="n"/>
      <c r="H27" s="47">
        <f>IFERROR(TEXT(VLOOKUP(2026000+ROW()-1,开奖记录!$A:$L,3,FALSE),"00")&amp;"+5="&amp;VLOOKUP(MOD(VLOOKUP(2026000+ROW()-1,开奖记录!$A:$L,3,FALSE)+4,49)+1,规律参数!$A:$C,3,FALSE),"")</f>
        <v/>
      </c>
      <c r="I27" s="47" t="n"/>
      <c r="J27" s="47">
        <f>IFERROR(VLOOKUP(VLOOKUP(2026000+ROW()-1,开奖记录!$A:$L,11,FALSE),八肖参数!$A:$B,2,FALSE),"")</f>
        <v/>
      </c>
    </row>
    <row r="28" ht="22" customHeight="1" s="21">
      <c r="A28" s="47" t="inlineStr">
        <is>
          <t>兔03</t>
        </is>
      </c>
      <c r="B28" s="47" t="n"/>
      <c r="C28" s="47" t="n">
        <v>1320</v>
      </c>
      <c r="D28" s="48" t="n"/>
      <c r="E28" s="47" t="n"/>
      <c r="F28" s="49" t="n"/>
      <c r="G28" s="47" t="n"/>
      <c r="H28" s="47">
        <f>IFERROR(TEXT(VLOOKUP(2026000+ROW()-1,开奖记录!$A:$L,3,FALSE),"00")&amp;"+5="&amp;VLOOKUP(MOD(VLOOKUP(2026000+ROW()-1,开奖记录!$A:$L,3,FALSE)+4,49)+1,规律参数!$A:$C,3,FALSE),"")</f>
        <v/>
      </c>
      <c r="I28" s="47" t="n"/>
      <c r="J28" s="47">
        <f>IFERROR(VLOOKUP(VLOOKUP(2026000+ROW()-1,开奖记录!$A:$L,11,FALSE),八肖参数!$A:$B,2,FALSE),"")</f>
        <v/>
      </c>
    </row>
    <row r="29" ht="22" customHeight="1" s="21">
      <c r="A29" s="47" t="inlineStr">
        <is>
          <t>蛇 01</t>
        </is>
      </c>
      <c r="B29" s="47" t="n"/>
      <c r="C29" s="47" t="n">
        <v>1170</v>
      </c>
      <c r="D29" s="50" t="n"/>
      <c r="E29" s="47" t="n"/>
      <c r="F29" s="51" t="n"/>
      <c r="G29" s="47" t="n"/>
      <c r="H29" s="47">
        <f>IFERROR(TEXT(VLOOKUP(2026000+ROW()-1,开奖记录!$A:$L,3,FALSE),"00")&amp;"+5="&amp;VLOOKUP(MOD(VLOOKUP(2026000+ROW()-1,开奖记录!$A:$L,3,FALSE)+4,49)+1,规律参数!$A:$C,3,FALSE),"")</f>
        <v/>
      </c>
      <c r="I29" s="47" t="n"/>
      <c r="J29" s="47">
        <f>IFERROR(VLOOKUP(VLOOKUP(2026000+ROW()-1,开奖记录!$A:$L,11,FALSE),八肖参数!$A:$B,2,FALSE),"")</f>
        <v/>
      </c>
    </row>
    <row r="30" ht="22" customHeight="1" s="21">
      <c r="A30" s="47" t="inlineStr">
        <is>
          <t xml:space="preserve">牛 41 </t>
        </is>
      </c>
      <c r="B30" s="47" t="n">
        <v>130</v>
      </c>
      <c r="C30" s="47" t="n"/>
      <c r="D30" s="51" t="n"/>
      <c r="E30" s="47" t="n"/>
      <c r="F30" s="48" t="n"/>
      <c r="G30" s="47" t="n"/>
      <c r="H30" s="47">
        <f>IFERROR(TEXT(VLOOKUP(2026000+ROW()-1,开奖记录!$A:$L,3,FALSE),"00")&amp;"+5="&amp;VLOOKUP(MOD(VLOOKUP(2026000+ROW()-1,开奖记录!$A:$L,3,FALSE)+4,49)+1,规律参数!$A:$C,3,FALSE),"")</f>
        <v/>
      </c>
      <c r="I30" s="47" t="n"/>
      <c r="J30" s="47">
        <f>IFERROR(VLOOKUP(VLOOKUP(2026000+ROW()-1,开奖记录!$A:$L,11,FALSE),八肖参数!$A:$B,2,FALSE),"")</f>
        <v/>
      </c>
    </row>
    <row r="31" ht="22" customHeight="1" s="21">
      <c r="A31" s="47" t="inlineStr">
        <is>
          <t>龙26</t>
        </is>
      </c>
      <c r="B31" s="47" t="n">
        <v>25</v>
      </c>
      <c r="C31" s="47" t="n"/>
      <c r="D31" s="48" t="n"/>
      <c r="E31" s="47" t="n"/>
      <c r="F31" s="49" t="n"/>
      <c r="G31" s="47" t="n"/>
      <c r="H31" s="47">
        <f>IFERROR(TEXT(VLOOKUP(2026000+ROW()-1,开奖记录!$A:$L,3,FALSE),"00")&amp;"+5="&amp;VLOOKUP(MOD(VLOOKUP(2026000+ROW()-1,开奖记录!$A:$L,3,FALSE)+4,49)+1,规律参数!$A:$C,3,FALSE),"")</f>
        <v/>
      </c>
      <c r="I31" s="52" t="n"/>
      <c r="J31" s="47">
        <f>IFERROR(VLOOKUP(VLOOKUP(2026000+ROW()-1,开奖记录!$A:$L,11,FALSE),八肖参数!$A:$B,2,FALSE),"")</f>
        <v/>
      </c>
    </row>
    <row r="32" ht="22" customHeight="1" s="21">
      <c r="A32" s="47" t="inlineStr">
        <is>
          <t>鼠06</t>
        </is>
      </c>
      <c r="B32" s="47" t="n"/>
      <c r="C32" s="47" t="n">
        <v>750</v>
      </c>
      <c r="D32" s="50" t="n"/>
      <c r="E32" s="47" t="n"/>
      <c r="F32" s="51" t="n"/>
      <c r="G32" s="47" t="n"/>
      <c r="H32" s="47">
        <f>IFERROR(TEXT(VLOOKUP(2026000+ROW()-1,开奖记录!$A:$L,3,FALSE),"00")&amp;"+5="&amp;VLOOKUP(MOD(VLOOKUP(2026000+ROW()-1,开奖记录!$A:$L,3,FALSE)+4,49)+1,规律参数!$A:$C,3,FALSE),"")</f>
        <v/>
      </c>
      <c r="I32" s="52" t="n"/>
      <c r="J32" s="47">
        <f>IFERROR(VLOOKUP(VLOOKUP(2026000+ROW()-1,开奖记录!$A:$L,11,FALSE),八肖参数!$A:$B,2,FALSE),"")</f>
        <v/>
      </c>
    </row>
    <row r="33" ht="22" customHeight="1" s="21">
      <c r="A33" s="47" t="inlineStr">
        <is>
          <t xml:space="preserve">牛 41 </t>
        </is>
      </c>
      <c r="B33" s="47" t="n"/>
      <c r="C33" s="47" t="n">
        <v>650</v>
      </c>
      <c r="D33" s="51" t="n"/>
      <c r="E33" s="47" t="n"/>
      <c r="F33" s="48" t="n"/>
      <c r="G33" s="47" t="n"/>
      <c r="H33" s="47">
        <f>IFERROR(TEXT(VLOOKUP(2026000+ROW()-1,开奖记录!$A:$L,3,FALSE),"00")&amp;"+5="&amp;VLOOKUP(MOD(VLOOKUP(2026000+ROW()-1,开奖记录!$A:$L,3,FALSE)+4,49)+1,规律参数!$A:$C,3,FALSE),"")</f>
        <v/>
      </c>
      <c r="I33" s="52" t="n"/>
      <c r="J33" s="47">
        <f>IFERROR(VLOOKUP(VLOOKUP(2026000+ROW()-1,开奖记录!$A:$L,11,FALSE),八肖参数!$A:$B,2,FALSE),"")</f>
        <v/>
      </c>
    </row>
    <row r="34" ht="22" customHeight="1" s="21">
      <c r="A34" s="47" t="inlineStr">
        <is>
          <t>猪19</t>
        </is>
      </c>
      <c r="B34" s="47" t="n"/>
      <c r="C34" s="47" t="n">
        <v>940</v>
      </c>
      <c r="D34" s="48" t="n"/>
      <c r="E34" s="47" t="n"/>
      <c r="F34" s="49" t="n"/>
      <c r="G34" s="47" t="n"/>
      <c r="H34" s="47">
        <f>IFERROR(TEXT(VLOOKUP(2026000+ROW()-1,开奖记录!$A:$L,3,FALSE),"00")&amp;"+5="&amp;VLOOKUP(MOD(VLOOKUP(2026000+ROW()-1,开奖记录!$A:$L,3,FALSE)+4,49)+1,规律参数!$A:$C,3,FALSE),"")</f>
        <v/>
      </c>
      <c r="I34" s="47" t="n"/>
      <c r="J34" s="47">
        <f>IFERROR(VLOOKUP(VLOOKUP(2026000+ROW()-1,开奖记录!$A:$L,11,FALSE),八肖参数!$A:$B,2,FALSE),"")</f>
        <v/>
      </c>
    </row>
    <row r="35" ht="22" customHeight="1" s="21">
      <c r="A35" s="47" t="inlineStr">
        <is>
          <t>兔 27</t>
        </is>
      </c>
      <c r="B35" s="47" t="n"/>
      <c r="C35" s="47" t="n">
        <v>540</v>
      </c>
      <c r="D35" s="50" t="n"/>
      <c r="E35" s="47" t="n"/>
      <c r="F35" s="51" t="n"/>
      <c r="G35" s="47" t="n"/>
      <c r="H35" s="47">
        <f>IFERROR(TEXT(VLOOKUP(2026000+ROW()-1,开奖记录!$A:$L,3,FALSE),"00")&amp;"+5="&amp;VLOOKUP(MOD(VLOOKUP(2026000+ROW()-1,开奖记录!$A:$L,3,FALSE)+4,49)+1,规律参数!$A:$C,3,FALSE),"")</f>
        <v/>
      </c>
      <c r="I35" s="47" t="n"/>
      <c r="J35" s="47">
        <f>IFERROR(VLOOKUP(VLOOKUP(2026000+ROW()-1,开奖记录!$A:$L,11,FALSE),八肖参数!$A:$B,2,FALSE),"")</f>
        <v/>
      </c>
    </row>
    <row r="36" ht="22" customHeight="1" s="21">
      <c r="A36" s="47" t="inlineStr">
        <is>
          <t>蛇 01</t>
        </is>
      </c>
      <c r="B36" s="47" t="n"/>
      <c r="C36" s="47" t="n">
        <v>480</v>
      </c>
      <c r="D36" s="51" t="n"/>
      <c r="E36" s="47" t="n"/>
      <c r="F36" s="48" t="n"/>
      <c r="G36" s="47" t="n"/>
      <c r="H36" s="47">
        <f>IFERROR(TEXT(VLOOKUP(2026000+ROW()-1,开奖记录!$A:$L,3,FALSE),"00")&amp;"+5="&amp;VLOOKUP(MOD(VLOOKUP(2026000+ROW()-1,开奖记录!$A:$L,3,FALSE)+4,49)+1,规律参数!$A:$C,3,FALSE),"")</f>
        <v/>
      </c>
      <c r="I36" s="47" t="n"/>
      <c r="J36" s="47">
        <f>IFERROR(VLOOKUP(VLOOKUP(2026000+ROW()-1,开奖记录!$A:$L,11,FALSE),八肖参数!$A:$B,2,FALSE),"")</f>
        <v/>
      </c>
    </row>
    <row r="37" ht="22" customHeight="1" s="21">
      <c r="A37" s="47" t="inlineStr">
        <is>
          <t>猪 43</t>
        </is>
      </c>
      <c r="B37" s="47" t="n"/>
      <c r="C37" s="47" t="n"/>
      <c r="D37" s="48" t="n"/>
      <c r="E37" s="47" t="n"/>
      <c r="F37" s="49" t="n"/>
      <c r="G37" s="47" t="n"/>
      <c r="H37" s="47">
        <f>IFERROR(TEXT(VLOOKUP(2026000+ROW()-1,开奖记录!$A:$L,3,FALSE),"00")&amp;"+5="&amp;VLOOKUP(MOD(VLOOKUP(2026000+ROW()-1,开奖记录!$A:$L,3,FALSE)+4,49)+1,规律参数!$A:$C,3,FALSE),"")</f>
        <v/>
      </c>
      <c r="I37" s="52" t="n"/>
      <c r="J37" s="47">
        <f>IFERROR(VLOOKUP(VLOOKUP(2026000+ROW()-1,开奖记录!$A:$L,11,FALSE),八肖参数!$A:$B,2,FALSE),"")</f>
        <v/>
      </c>
    </row>
    <row r="38" ht="22" customHeight="1" s="21">
      <c r="A38" s="47" t="inlineStr">
        <is>
          <t>鼠42</t>
        </is>
      </c>
      <c r="B38" s="47" t="n"/>
      <c r="C38" s="47" t="n">
        <v>470</v>
      </c>
      <c r="D38" s="50" t="n"/>
      <c r="E38" s="47" t="n"/>
      <c r="F38" s="51" t="n"/>
      <c r="G38" s="47" t="n"/>
      <c r="H38" s="47">
        <f>IFERROR(TEXT(VLOOKUP(2026000+ROW()-1,开奖记录!$A:$L,3,FALSE),"00")&amp;"+5="&amp;VLOOKUP(MOD(VLOOKUP(2026000+ROW()-1,开奖记录!$A:$L,3,FALSE)+4,49)+1,规律参数!$A:$C,3,FALSE),"")</f>
        <v/>
      </c>
      <c r="I38" s="47" t="n"/>
      <c r="J38" s="47">
        <f>IFERROR(VLOOKUP(VLOOKUP(2026000+ROW()-1,开奖记录!$A:$L,11,FALSE),八肖参数!$A:$B,2,FALSE),"")</f>
        <v/>
      </c>
    </row>
    <row r="39" ht="22" customHeight="1" s="21">
      <c r="A39" s="47" t="inlineStr">
        <is>
          <t xml:space="preserve">羊 11 </t>
        </is>
      </c>
      <c r="B39" s="47" t="n"/>
      <c r="C39" s="47" t="n">
        <v>195</v>
      </c>
      <c r="D39" s="51" t="n"/>
      <c r="E39" s="47" t="n"/>
      <c r="F39" s="48" t="n"/>
      <c r="G39" s="47" t="n"/>
      <c r="H39" s="47">
        <f>IFERROR(TEXT(VLOOKUP(2026000+ROW()-1,开奖记录!$A:$L,3,FALSE),"00")&amp;"+5="&amp;VLOOKUP(MOD(VLOOKUP(2026000+ROW()-1,开奖记录!$A:$L,3,FALSE)+4,49)+1,规律参数!$A:$C,3,FALSE),"")</f>
        <v/>
      </c>
      <c r="I39" s="52" t="n"/>
      <c r="J39" s="47">
        <f>IFERROR(VLOOKUP(VLOOKUP(2026000+ROW()-1,开奖记录!$A:$L,11,FALSE),八肖参数!$A:$B,2,FALSE),"")</f>
        <v/>
      </c>
    </row>
    <row r="40" ht="22" customHeight="1" s="21">
      <c r="A40" s="47" t="inlineStr">
        <is>
          <t xml:space="preserve">虎 28 </t>
        </is>
      </c>
      <c r="B40" s="47" t="n">
        <v>210</v>
      </c>
      <c r="C40" s="47" t="n"/>
      <c r="D40" s="48" t="n"/>
      <c r="E40" s="47" t="n"/>
      <c r="F40" s="49" t="n"/>
      <c r="G40" s="47" t="n"/>
      <c r="H40" s="47">
        <f>IFERROR(TEXT(VLOOKUP(2026000+ROW()-1,开奖记录!$A:$L,3,FALSE),"00")&amp;"+5="&amp;VLOOKUP(MOD(VLOOKUP(2026000+ROW()-1,开奖记录!$A:$L,3,FALSE)+4,49)+1,规律参数!$A:$C,3,FALSE),"")</f>
        <v/>
      </c>
      <c r="I40" s="52" t="n"/>
      <c r="J40" s="47">
        <f>IFERROR(VLOOKUP(VLOOKUP(2026000+ROW()-1,开奖记录!$A:$L,11,FALSE),八肖参数!$A:$B,2,FALSE),"")</f>
        <v/>
      </c>
    </row>
    <row r="41" ht="22" customHeight="1" s="21">
      <c r="A41" s="47" t="inlineStr">
        <is>
          <t>马48</t>
        </is>
      </c>
      <c r="B41" s="47" t="n">
        <v>825</v>
      </c>
      <c r="C41" s="47" t="n"/>
      <c r="D41" s="50" t="n"/>
      <c r="E41" s="47" t="n"/>
      <c r="F41" s="51" t="n"/>
      <c r="G41" s="47" t="n"/>
      <c r="H41" s="47">
        <f>IFERROR(TEXT(VLOOKUP(2026000+ROW()-1,开奖记录!$A:$L,3,FALSE),"00")&amp;"+5="&amp;VLOOKUP(MOD(VLOOKUP(2026000+ROW()-1,开奖记录!$A:$L,3,FALSE)+4,49)+1,规律参数!$A:$C,3,FALSE),"")</f>
        <v/>
      </c>
      <c r="I41" s="47" t="n"/>
      <c r="J41" s="47">
        <f>IFERROR(VLOOKUP(VLOOKUP(2026000+ROW()-1,开奖记录!$A:$L,11,FALSE),八肖参数!$A:$B,2,FALSE),"")</f>
        <v/>
      </c>
    </row>
    <row r="42" ht="22" customHeight="1" s="21">
      <c r="A42" s="47" t="inlineStr">
        <is>
          <t>虎16</t>
        </is>
      </c>
      <c r="B42" s="47" t="n">
        <v>1070</v>
      </c>
      <c r="C42" s="47" t="n"/>
      <c r="D42" s="51" t="n"/>
      <c r="E42" s="47" t="n"/>
      <c r="F42" s="48" t="n"/>
      <c r="G42" s="47" t="n"/>
      <c r="H42" s="47">
        <f>IFERROR(TEXT(VLOOKUP(2026000+ROW()-1,开奖记录!$A:$L,3,FALSE),"00")&amp;"+5="&amp;VLOOKUP(MOD(VLOOKUP(2026000+ROW()-1,开奖记录!$A:$L,3,FALSE)+4,49)+1,规律参数!$A:$C,3,FALSE),"")</f>
        <v/>
      </c>
      <c r="I42" s="52" t="n"/>
      <c r="J42" s="47">
        <f>IFERROR(VLOOKUP(VLOOKUP(2026000+ROW()-1,开奖记录!$A:$L,11,FALSE),八肖参数!$A:$B,2,FALSE),"")</f>
        <v/>
      </c>
    </row>
    <row r="43" ht="22" customHeight="1" s="21">
      <c r="A43" s="47" t="inlineStr">
        <is>
          <t>蛇 13</t>
        </is>
      </c>
      <c r="B43" s="47" t="n">
        <v>2680</v>
      </c>
      <c r="C43" s="47" t="n"/>
      <c r="D43" s="48" t="n"/>
      <c r="E43" s="47" t="n"/>
      <c r="F43" s="49" t="n"/>
      <c r="G43" s="47" t="n"/>
      <c r="H43" s="47">
        <f>IFERROR(TEXT(VLOOKUP(2026000+ROW()-1,开奖记录!$A:$L,3,FALSE),"00")&amp;"+5="&amp;VLOOKUP(MOD(VLOOKUP(2026000+ROW()-1,开奖记录!$A:$L,3,FALSE)+4,49)+1,规律参数!$A:$C,3,FALSE),"")</f>
        <v/>
      </c>
      <c r="I43" s="47" t="n"/>
      <c r="J43" s="47">
        <f>IFERROR(VLOOKUP(VLOOKUP(2026000+ROW()-1,开奖记录!$A:$L,11,FALSE),八肖参数!$A:$B,2,FALSE),"")</f>
        <v/>
      </c>
    </row>
    <row r="44" ht="22" customHeight="1" s="21">
      <c r="A44" s="47" t="inlineStr">
        <is>
          <t>猪19</t>
        </is>
      </c>
      <c r="B44" s="47" t="n"/>
      <c r="C44" s="47" t="n">
        <v>2740</v>
      </c>
      <c r="D44" s="50" t="n"/>
      <c r="E44" s="47" t="n"/>
      <c r="F44" s="51" t="n"/>
      <c r="G44" s="47" t="n"/>
      <c r="H44" s="47">
        <f>IFERROR(TEXT(VLOOKUP(2026000+ROW()-1,开奖记录!$A:$L,3,FALSE),"00")&amp;"+5="&amp;VLOOKUP(MOD(VLOOKUP(2026000+ROW()-1,开奖记录!$A:$L,3,FALSE)+4,49)+1,规律参数!$A:$C,3,FALSE),"")</f>
        <v/>
      </c>
      <c r="I44" s="52" t="n"/>
      <c r="J44" s="47">
        <f>IFERROR(VLOOKUP(VLOOKUP(2026000+ROW()-1,开奖记录!$A:$L,11,FALSE),八肖参数!$A:$B,2,FALSE),"")</f>
        <v/>
      </c>
    </row>
    <row r="45" ht="22" customHeight="1" s="21">
      <c r="A45" s="47" t="inlineStr">
        <is>
          <t xml:space="preserve">蛇 01 </t>
        </is>
      </c>
      <c r="B45" s="47" t="n"/>
      <c r="C45" s="47" t="n">
        <v>690</v>
      </c>
      <c r="D45" s="51" t="n"/>
      <c r="E45" s="47" t="n"/>
      <c r="F45" s="48" t="n"/>
      <c r="G45" s="47" t="n"/>
      <c r="H45" s="47">
        <f>IFERROR(TEXT(VLOOKUP(2026000+ROW()-1,开奖记录!$A:$L,3,FALSE),"00")&amp;"+5="&amp;VLOOKUP(MOD(VLOOKUP(2026000+ROW()-1,开奖记录!$A:$L,3,FALSE)+4,49)+1,规律参数!$A:$C,3,FALSE),"")</f>
        <v/>
      </c>
      <c r="I45" s="52" t="n"/>
      <c r="J45" s="47">
        <f>IFERROR(VLOOKUP(VLOOKUP(2026000+ROW()-1,开奖记录!$A:$L,11,FALSE),八肖参数!$A:$B,2,FALSE),"")</f>
        <v/>
      </c>
    </row>
    <row r="46" ht="22" customHeight="1" s="21">
      <c r="A46" s="47" t="inlineStr">
        <is>
          <t>兔 03</t>
        </is>
      </c>
      <c r="B46" s="47" t="n">
        <v>1120</v>
      </c>
      <c r="C46" s="47" t="n"/>
      <c r="D46" s="48" t="n"/>
      <c r="E46" s="47" t="n"/>
      <c r="F46" s="49" t="n"/>
      <c r="G46" s="47" t="n"/>
      <c r="H46" s="47">
        <f>IFERROR(TEXT(VLOOKUP(2026000+ROW()-1,开奖记录!$A:$L,3,FALSE),"00")&amp;"+5="&amp;VLOOKUP(MOD(VLOOKUP(2026000+ROW()-1,开奖记录!$A:$L,3,FALSE)+4,49)+1,规律参数!$A:$C,3,FALSE),"")</f>
        <v/>
      </c>
      <c r="I46" s="47" t="n"/>
      <c r="J46" s="47">
        <f>IFERROR(VLOOKUP(VLOOKUP(2026000+ROW()-1,开奖记录!$A:$L,11,FALSE),八肖参数!$A:$B,2,FALSE),"")</f>
        <v/>
      </c>
    </row>
    <row r="47" ht="22" customHeight="1" s="21">
      <c r="A47" s="47" t="inlineStr">
        <is>
          <t>兔39</t>
        </is>
      </c>
      <c r="B47" s="47" t="n">
        <v>620</v>
      </c>
      <c r="C47" s="47" t="n"/>
      <c r="D47" s="50" t="n"/>
      <c r="E47" s="47" t="n"/>
      <c r="F47" s="51" t="n"/>
      <c r="G47" s="47" t="n"/>
      <c r="H47" s="47">
        <f>IFERROR(TEXT(VLOOKUP(2026000+ROW()-1,开奖记录!$A:$L,3,FALSE),"00")&amp;"+5="&amp;VLOOKUP(MOD(VLOOKUP(2026000+ROW()-1,开奖记录!$A:$L,3,FALSE)+4,49)+1,规律参数!$A:$C,3,FALSE),"")</f>
        <v/>
      </c>
      <c r="I47" s="52" t="n"/>
      <c r="J47" s="47">
        <f>IFERROR(VLOOKUP(VLOOKUP(2026000+ROW()-1,开奖记录!$A:$L,11,FALSE),八肖参数!$A:$B,2,FALSE),"")</f>
        <v/>
      </c>
    </row>
    <row r="48" ht="22" customHeight="1" s="21">
      <c r="A48" s="47" t="inlineStr">
        <is>
          <t xml:space="preserve">羊 24 </t>
        </is>
      </c>
      <c r="B48" s="52" t="n"/>
      <c r="C48" s="47" t="n">
        <v>1200</v>
      </c>
      <c r="D48" s="51" t="n"/>
      <c r="E48" s="47" t="n"/>
      <c r="F48" s="48" t="n"/>
      <c r="G48" s="47" t="n"/>
      <c r="H48" s="47">
        <f>IFERROR(TEXT(VLOOKUP(2026000+ROW()-1,开奖记录!$A:$L,3,FALSE),"00")&amp;"+5="&amp;VLOOKUP(MOD(VLOOKUP(2026000+ROW()-1,开奖记录!$A:$L,3,FALSE)+4,49)+1,规律参数!$A:$C,3,FALSE),"")</f>
        <v/>
      </c>
      <c r="I48" s="52" t="n"/>
      <c r="J48" s="47">
        <f>IFERROR(VLOOKUP(VLOOKUP(2026000+ROW()-1,开奖记录!$A:$L,11,FALSE),八肖参数!$A:$B,2,FALSE),"")</f>
        <v/>
      </c>
    </row>
    <row r="49" ht="22" customHeight="1" s="21">
      <c r="A49" s="47" t="inlineStr">
        <is>
          <t xml:space="preserve">马 13 </t>
        </is>
      </c>
      <c r="B49" s="47" t="n"/>
      <c r="C49" s="47" t="n">
        <v>1150</v>
      </c>
      <c r="D49" s="48" t="n"/>
      <c r="E49" s="47" t="n"/>
      <c r="F49" s="49" t="n"/>
      <c r="G49" s="47" t="n"/>
      <c r="H49" s="47">
        <f>IFERROR(TEXT(VLOOKUP(2026000+ROW()-1,开奖记录!$A:$L,3,FALSE),"00")&amp;"+5="&amp;VLOOKUP(MOD(VLOOKUP(2026000+ROW()-1,开奖记录!$A:$L,3,FALSE)+4,49)+1,规律参数!$A:$C,3,FALSE),"")</f>
        <v/>
      </c>
      <c r="I49" s="52" t="n"/>
      <c r="J49" s="47">
        <f>IFERROR(VLOOKUP(VLOOKUP(2026000+ROW()-1,开奖记录!$A:$L,11,FALSE),八肖参数!$A:$B,2,FALSE),"")</f>
        <v/>
      </c>
    </row>
    <row r="50" ht="22" customHeight="1" s="21">
      <c r="A50" s="47" t="inlineStr">
        <is>
          <t>猴 23</t>
        </is>
      </c>
      <c r="B50" s="47" t="n"/>
      <c r="C50" s="47" t="n">
        <v>700</v>
      </c>
      <c r="D50" s="50" t="n"/>
      <c r="E50" s="47" t="n"/>
      <c r="F50" s="51" t="n"/>
      <c r="G50" s="47" t="n"/>
      <c r="H50" s="47">
        <f>IFERROR(TEXT(VLOOKUP(2026000+ROW()-1,开奖记录!$A:$L,3,FALSE),"00")&amp;"+5="&amp;VLOOKUP(MOD(VLOOKUP(2026000+ROW()-1,开奖记录!$A:$L,3,FALSE)+4,49)+1,规律参数!$A:$C,3,FALSE),"")</f>
        <v/>
      </c>
      <c r="I50" s="47" t="n"/>
      <c r="J50" s="47">
        <f>IFERROR(VLOOKUP(VLOOKUP(2026000+ROW()-1,开奖记录!$A:$L,11,FALSE),八肖参数!$A:$B,2,FALSE),"")</f>
        <v/>
      </c>
    </row>
    <row r="51" ht="22" customHeight="1" s="21">
      <c r="A51" s="47" t="inlineStr">
        <is>
          <t>马 01</t>
        </is>
      </c>
      <c r="B51" s="47" t="n"/>
      <c r="C51" s="47" t="n">
        <v>300</v>
      </c>
      <c r="D51" s="51" t="n"/>
      <c r="E51" s="47" t="n"/>
      <c r="F51" s="48" t="n"/>
      <c r="G51" s="47" t="n"/>
      <c r="H51" s="47">
        <f>IFERROR(TEXT(VLOOKUP(2026000+ROW()-1,开奖记录!$A:$L,3,FALSE),"00")&amp;"+5="&amp;VLOOKUP(MOD(VLOOKUP(2026000+ROW()-1,开奖记录!$A:$L,3,FALSE)+4,49)+1,规律参数!$A:$C,3,FALSE),"")</f>
        <v/>
      </c>
      <c r="I51" s="47" t="n"/>
      <c r="J51" s="47">
        <f>IFERROR(VLOOKUP(VLOOKUP(2026000+ROW()-1,开奖记录!$A:$L,11,FALSE),八肖参数!$A:$B,2,FALSE),"")</f>
        <v/>
      </c>
    </row>
    <row r="52" ht="22" customHeight="1" s="21">
      <c r="A52" s="47" t="inlineStr">
        <is>
          <t xml:space="preserve">蛇 38 </t>
        </is>
      </c>
      <c r="B52" s="47" t="n"/>
      <c r="C52" s="47" t="n">
        <v>275</v>
      </c>
      <c r="D52" s="48" t="n"/>
      <c r="E52" s="47" t="n"/>
      <c r="F52" s="49" t="n"/>
      <c r="G52" s="47" t="n"/>
      <c r="H52" s="47">
        <f>IFERROR(TEXT(VLOOKUP(2026000+ROW()-1,开奖记录!$A:$L,3,FALSE),"00")&amp;"+5="&amp;VLOOKUP(MOD(VLOOKUP(2026000+ROW()-1,开奖记录!$A:$L,3,FALSE)+4,49)+1,规律参数!$A:$C,3,FALSE),"")</f>
        <v/>
      </c>
      <c r="I52" s="52" t="n"/>
      <c r="J52" s="47">
        <f>IFERROR(VLOOKUP(VLOOKUP(2026000+ROW()-1,开奖记录!$A:$L,11,FALSE),八肖参数!$A:$B,2,FALSE),"")</f>
        <v/>
      </c>
    </row>
    <row r="53" ht="22" customHeight="1" s="21">
      <c r="A53" s="47" t="inlineStr">
        <is>
          <t>龙 15</t>
        </is>
      </c>
      <c r="B53" s="47" t="n"/>
      <c r="C53" s="47" t="n">
        <v>385</v>
      </c>
      <c r="D53" s="50" t="n"/>
      <c r="E53" s="47" t="n"/>
      <c r="F53" s="51" t="n"/>
      <c r="G53" s="47" t="n"/>
      <c r="H53" s="47">
        <f>IFERROR(TEXT(VLOOKUP(2026000+ROW()-1,开奖记录!$A:$L,3,FALSE),"00")&amp;"+5="&amp;VLOOKUP(MOD(VLOOKUP(2026000+ROW()-1,开奖记录!$A:$L,3,FALSE)+4,49)+1,规律参数!$A:$C,3,FALSE),"")</f>
        <v/>
      </c>
      <c r="I53" s="52" t="n"/>
      <c r="J53" s="47">
        <f>IFERROR(VLOOKUP(VLOOKUP(2026000+ROW()-1,开奖记录!$A:$L,11,FALSE),八肖参数!$A:$B,2,FALSE),"")</f>
        <v/>
      </c>
    </row>
    <row r="54" ht="22" customHeight="1" s="21">
      <c r="A54" s="47" t="inlineStr">
        <is>
          <t xml:space="preserve">羊 48 </t>
        </is>
      </c>
      <c r="B54" s="47" t="n"/>
      <c r="C54" s="47" t="n">
        <v>240</v>
      </c>
      <c r="D54" s="51" t="n"/>
      <c r="E54" s="47" t="n"/>
      <c r="F54" s="48" t="n"/>
      <c r="G54" s="47" t="n"/>
      <c r="H54" s="47">
        <f>IFERROR(TEXT(VLOOKUP(2026000+ROW()-1,开奖记录!$A:$L,3,FALSE),"00")&amp;"+5="&amp;VLOOKUP(MOD(VLOOKUP(2026000+ROW()-1,开奖记录!$A:$L,3,FALSE)+4,49)+1,规律参数!$A:$C,3,FALSE),"")</f>
        <v/>
      </c>
      <c r="I54" s="47" t="n"/>
      <c r="J54" s="47">
        <f>IFERROR(VLOOKUP(VLOOKUP(2026000+ROW()-1,开奖记录!$A:$L,11,FALSE),八肖参数!$A:$B,2,FALSE),"")</f>
        <v/>
      </c>
    </row>
    <row r="55" ht="22" customHeight="1" s="21">
      <c r="A55" s="47" t="inlineStr">
        <is>
          <t xml:space="preserve">蛇 14 </t>
        </is>
      </c>
      <c r="B55" s="47" t="n"/>
      <c r="C55" s="47" t="n">
        <v>340</v>
      </c>
      <c r="D55" s="48" t="n"/>
      <c r="E55" s="47" t="n"/>
      <c r="F55" s="49" t="n"/>
      <c r="G55" s="47" t="n"/>
      <c r="H55" s="47">
        <f>IFERROR(TEXT(VLOOKUP(2026000+ROW()-1,开奖记录!$A:$L,3,FALSE),"00")&amp;"+5="&amp;VLOOKUP(MOD(VLOOKUP(2026000+ROW()-1,开奖记录!$A:$L,3,FALSE)+4,49)+1,规律参数!$A:$C,3,FALSE),"")</f>
        <v/>
      </c>
      <c r="I55" s="52" t="n"/>
      <c r="J55" s="47">
        <f>IFERROR(VLOOKUP(VLOOKUP(2026000+ROW()-1,开奖记录!$A:$L,11,FALSE),八肖参数!$A:$B,2,FALSE),"")</f>
        <v/>
      </c>
    </row>
    <row r="56" ht="22" customHeight="1" s="21">
      <c r="A56" s="47" t="inlineStr">
        <is>
          <t xml:space="preserve">羊 48 </t>
        </is>
      </c>
      <c r="B56" s="47" t="n"/>
      <c r="C56" s="47" t="n">
        <v>150</v>
      </c>
      <c r="D56" s="50" t="n"/>
      <c r="E56" s="47" t="n"/>
      <c r="F56" s="51" t="n"/>
      <c r="G56" s="47" t="n"/>
      <c r="H56" s="47">
        <f>IFERROR(TEXT(VLOOKUP(2026000+ROW()-1,开奖记录!$A:$L,3,FALSE),"00")&amp;"+5="&amp;VLOOKUP(MOD(VLOOKUP(2026000+ROW()-1,开奖记录!$A:$L,3,FALSE)+4,49)+1,规律参数!$A:$C,3,FALSE),"")</f>
        <v/>
      </c>
      <c r="I56" s="47" t="n"/>
      <c r="J56" s="47">
        <f>IFERROR(VLOOKUP(VLOOKUP(2026000+ROW()-1,开奖记录!$A:$L,11,FALSE),八肖参数!$A:$B,2,FALSE),"")</f>
        <v/>
      </c>
    </row>
    <row r="57" ht="22" customHeight="1" s="21">
      <c r="A57" s="47" t="inlineStr">
        <is>
          <t>猴 23</t>
        </is>
      </c>
      <c r="B57" s="47" t="n"/>
      <c r="C57" s="47" t="n"/>
      <c r="D57" s="51" t="n"/>
      <c r="E57" s="47" t="n"/>
      <c r="F57" s="48" t="n"/>
      <c r="G57" s="47" t="n"/>
      <c r="H57" s="47">
        <f>IFERROR(TEXT(VLOOKUP(2026000+ROW()-1,开奖记录!$A:$L,3,FALSE),"00")&amp;"+5="&amp;VLOOKUP(MOD(VLOOKUP(2026000+ROW()-1,开奖记录!$A:$L,3,FALSE)+4,49)+1,规律参数!$A:$C,3,FALSE),"")</f>
        <v/>
      </c>
      <c r="I57" s="52" t="n"/>
      <c r="J57" s="47">
        <f>IFERROR(VLOOKUP(VLOOKUP(2026000+ROW()-1,开奖记录!$A:$L,11,FALSE),八肖参数!$A:$B,2,FALSE),"")</f>
        <v/>
      </c>
    </row>
    <row r="58" ht="22" customHeight="1" s="21">
      <c r="A58" s="47" t="inlineStr">
        <is>
          <t xml:space="preserve">鼠 31 </t>
        </is>
      </c>
      <c r="B58" s="47" t="n"/>
      <c r="C58" s="47" t="n">
        <v>130</v>
      </c>
      <c r="D58" s="48" t="n"/>
      <c r="E58" s="47" t="n"/>
      <c r="F58" s="49" t="n"/>
      <c r="G58" s="47" t="n"/>
      <c r="H58" s="47">
        <f>IFERROR(TEXT(VLOOKUP(2026000+ROW()-1,开奖记录!$A:$L,3,FALSE),"00")&amp;"+5="&amp;VLOOKUP(MOD(VLOOKUP(2026000+ROW()-1,开奖记录!$A:$L,3,FALSE)+4,49)+1,规律参数!$A:$C,3,FALSE),"")</f>
        <v/>
      </c>
      <c r="I58" s="47" t="n"/>
      <c r="J58" s="47">
        <f>IFERROR(VLOOKUP(VLOOKUP(2026000+ROW()-1,开奖记录!$A:$L,11,FALSE),八肖参数!$A:$B,2,FALSE),"")</f>
        <v/>
      </c>
    </row>
    <row r="59" ht="22" customHeight="1" s="21">
      <c r="A59" s="47" t="inlineStr">
        <is>
          <t>鸡 10</t>
        </is>
      </c>
      <c r="B59" s="47" t="n">
        <v>215</v>
      </c>
      <c r="C59" s="47" t="n"/>
      <c r="D59" s="50" t="n"/>
      <c r="E59" s="47" t="n"/>
      <c r="F59" s="51" t="n"/>
      <c r="G59" s="47" t="n"/>
      <c r="H59" s="47">
        <f>IFERROR(TEXT(VLOOKUP(2026000+ROW()-1,开奖记录!$A:$L,3,FALSE),"00")&amp;"+5="&amp;VLOOKUP(MOD(VLOOKUP(2026000+ROW()-1,开奖记录!$A:$L,3,FALSE)+4,49)+1,规律参数!$A:$C,3,FALSE),"")</f>
        <v/>
      </c>
      <c r="I59" s="47" t="n"/>
      <c r="J59" s="47">
        <f>IFERROR(VLOOKUP(VLOOKUP(2026000+ROW()-1,开奖记录!$A:$L,11,FALSE),八肖参数!$A:$B,2,FALSE),"")</f>
        <v/>
      </c>
    </row>
    <row r="60" ht="22" customHeight="1" s="21">
      <c r="A60" s="47" t="inlineStr">
        <is>
          <t xml:space="preserve">狗 09 </t>
        </is>
      </c>
      <c r="B60" s="47" t="n"/>
      <c r="C60" s="47" t="n"/>
      <c r="D60" s="51" t="n"/>
      <c r="E60" s="47" t="n"/>
      <c r="F60" s="48" t="n"/>
      <c r="G60" s="47" t="n"/>
      <c r="H60" s="47">
        <f>IFERROR(TEXT(VLOOKUP(2026000+ROW()-1,开奖记录!$A:$L,3,FALSE),"00")&amp;"+5="&amp;VLOOKUP(MOD(VLOOKUP(2026000+ROW()-1,开奖记录!$A:$L,3,FALSE)+4,49)+1,规律参数!$A:$C,3,FALSE),"")</f>
        <v/>
      </c>
      <c r="I60" s="47" t="n"/>
      <c r="J60" s="47">
        <f>IFERROR(VLOOKUP(VLOOKUP(2026000+ROW()-1,开奖记录!$A:$L,11,FALSE),八肖参数!$A:$B,2,FALSE),"")</f>
        <v/>
      </c>
    </row>
    <row r="61" ht="22" customHeight="1" s="21">
      <c r="A61" s="47" t="inlineStr">
        <is>
          <t>虎 29</t>
        </is>
      </c>
      <c r="B61" s="47" t="n"/>
      <c r="C61" s="47" t="n">
        <v>170</v>
      </c>
      <c r="D61" s="48" t="n"/>
      <c r="E61" s="47" t="n"/>
      <c r="F61" s="49" t="n"/>
      <c r="G61" s="47" t="n"/>
      <c r="H61" s="47">
        <f>IFERROR(TEXT(VLOOKUP(2026000+ROW()-1,开奖记录!$A:$L,3,FALSE),"00")&amp;"+5="&amp;VLOOKUP(MOD(VLOOKUP(2026000+ROW()-1,开奖记录!$A:$L,3,FALSE)+4,49)+1,规律参数!$A:$C,3,FALSE),"")</f>
        <v/>
      </c>
      <c r="I61" s="52" t="n"/>
      <c r="J61" s="47">
        <f>IFERROR(VLOOKUP(VLOOKUP(2026000+ROW()-1,开奖记录!$A:$L,11,FALSE),八肖参数!$A:$B,2,FALSE),"")</f>
        <v/>
      </c>
    </row>
    <row r="62" ht="22" customHeight="1" s="21">
      <c r="A62" s="47" t="inlineStr">
        <is>
          <t xml:space="preserve">羊 24 </t>
        </is>
      </c>
      <c r="B62" s="47" t="n">
        <v>135</v>
      </c>
      <c r="C62" s="47" t="n"/>
      <c r="D62" s="50" t="n"/>
      <c r="E62" s="47" t="n"/>
      <c r="F62" s="51" t="n"/>
      <c r="G62" s="47" t="n"/>
      <c r="H62" s="47">
        <f>IFERROR(TEXT(VLOOKUP(2026000+ROW()-1,开奖记录!$A:$L,3,FALSE),"00")&amp;"+5="&amp;VLOOKUP(MOD(VLOOKUP(2026000+ROW()-1,开奖记录!$A:$L,3,FALSE)+4,49)+1,规律参数!$A:$C,3,FALSE),"")</f>
        <v/>
      </c>
      <c r="I62" s="52" t="n"/>
      <c r="J62" s="47">
        <f>IFERROR(VLOOKUP(VLOOKUP(2026000+ROW()-1,开奖记录!$A:$L,11,FALSE),八肖参数!$A:$B,2,FALSE),"")</f>
        <v/>
      </c>
    </row>
    <row r="63" ht="22" customHeight="1" s="21">
      <c r="A63" s="47" t="inlineStr">
        <is>
          <t>兔 28</t>
        </is>
      </c>
      <c r="B63" s="47" t="n">
        <v>270</v>
      </c>
      <c r="C63" s="47" t="n"/>
      <c r="D63" s="51" t="n"/>
      <c r="E63" s="47" t="n"/>
      <c r="F63" s="48" t="n"/>
      <c r="G63" s="47" t="n"/>
      <c r="H63" s="47">
        <f>IFERROR(TEXT(VLOOKUP(2026000+ROW()-1,开奖记录!$A:$L,3,FALSE),"00")&amp;"+5="&amp;VLOOKUP(MOD(VLOOKUP(2026000+ROW()-1,开奖记录!$A:$L,3,FALSE)+4,49)+1,规律参数!$A:$C,3,FALSE),"")</f>
        <v/>
      </c>
      <c r="I63" s="47" t="n"/>
      <c r="J63" s="47">
        <f>IFERROR(VLOOKUP(VLOOKUP(2026000+ROW()-1,开奖记录!$A:$L,11,FALSE),八肖参数!$A:$B,2,FALSE),"")</f>
        <v/>
      </c>
    </row>
    <row r="64" ht="22" customHeight="1" s="21">
      <c r="A64" s="47" t="inlineStr">
        <is>
          <t>牛 28</t>
        </is>
      </c>
      <c r="B64" s="47" t="n"/>
      <c r="C64" s="47" t="n">
        <v>270</v>
      </c>
      <c r="D64" s="48" t="n"/>
      <c r="E64" s="47" t="n"/>
      <c r="F64" s="49" t="n"/>
      <c r="G64" s="47" t="n"/>
      <c r="H64" s="47">
        <f>IFERROR(TEXT(VLOOKUP(2026000+ROW()-1,开奖记录!$A:$L,3,FALSE),"00")&amp;"+5="&amp;VLOOKUP(MOD(VLOOKUP(2026000+ROW()-1,开奖记录!$A:$L,3,FALSE)+4,49)+1,规律参数!$A:$C,3,FALSE),"")</f>
        <v/>
      </c>
      <c r="I64" s="52" t="n"/>
      <c r="J64" s="47">
        <f>IFERROR(VLOOKUP(VLOOKUP(2026000+ROW()-1,开奖记录!$A:$L,11,FALSE),八肖参数!$A:$B,2,FALSE),"")</f>
        <v/>
      </c>
    </row>
    <row r="65" ht="22" customHeight="1" s="21">
      <c r="A65" s="47" t="inlineStr">
        <is>
          <t xml:space="preserve">虎 05 </t>
        </is>
      </c>
      <c r="B65" s="47" t="n"/>
      <c r="C65" s="47" t="n"/>
      <c r="D65" s="50" t="n"/>
      <c r="E65" s="47" t="n"/>
      <c r="F65" s="51" t="n"/>
      <c r="G65" s="47" t="n"/>
      <c r="H65" s="47">
        <f>IFERROR(TEXT(VLOOKUP(2026000+ROW()-1,开奖记录!$A:$L,3,FALSE),"00")&amp;"+5="&amp;VLOOKUP(MOD(VLOOKUP(2026000+ROW()-1,开奖记录!$A:$L,3,FALSE)+4,49)+1,规律参数!$A:$C,3,FALSE),"")</f>
        <v/>
      </c>
      <c r="I65" s="52" t="n"/>
      <c r="J65" s="47">
        <f>IFERROR(VLOOKUP(VLOOKUP(2026000+ROW()-1,开奖记录!$A:$L,11,FALSE),八肖参数!$A:$B,2,FALSE),"")</f>
        <v/>
      </c>
    </row>
    <row r="66" ht="22" customHeight="1" s="21">
      <c r="A66" s="47" t="inlineStr">
        <is>
          <t xml:space="preserve">马 37 </t>
        </is>
      </c>
      <c r="B66" s="47" t="n"/>
      <c r="C66" s="47" t="n">
        <v>400</v>
      </c>
      <c r="D66" s="51" t="n"/>
      <c r="E66" s="47" t="n"/>
      <c r="F66" s="48" t="n"/>
      <c r="G66" s="47" t="n"/>
      <c r="H66" s="47">
        <f>IFERROR(TEXT(VLOOKUP(2026000+ROW()-1,开奖记录!$A:$L,3,FALSE),"00")&amp;"+5="&amp;VLOOKUP(MOD(VLOOKUP(2026000+ROW()-1,开奖记录!$A:$L,3,FALSE)+4,49)+1,规律参数!$A:$C,3,FALSE),"")</f>
        <v/>
      </c>
      <c r="I66" s="52" t="n"/>
      <c r="J66" s="47">
        <f>IFERROR(VLOOKUP(VLOOKUP(2026000+ROW()-1,开奖记录!$A:$L,11,FALSE),八肖参数!$A:$B,2,FALSE),"")</f>
        <v/>
      </c>
    </row>
    <row r="67" ht="22" customHeight="1" s="21">
      <c r="A67" s="47" t="inlineStr">
        <is>
          <t xml:space="preserve">虎 05 </t>
        </is>
      </c>
      <c r="B67" s="47" t="n">
        <v>650</v>
      </c>
      <c r="C67" s="47" t="n"/>
      <c r="D67" s="48" t="n"/>
      <c r="E67" s="47" t="n"/>
      <c r="F67" s="49" t="n"/>
      <c r="G67" s="47" t="n"/>
      <c r="H67" s="47">
        <f>IFERROR(TEXT(VLOOKUP(2026000+ROW()-1,开奖记录!$A:$L,3,FALSE),"00")&amp;"+5="&amp;VLOOKUP(MOD(VLOOKUP(2026000+ROW()-1,开奖记录!$A:$L,3,FALSE)+4,49)+1,规律参数!$A:$C,3,FALSE),"")</f>
        <v/>
      </c>
      <c r="I67" s="52" t="n"/>
      <c r="J67" s="47">
        <f>IFERROR(VLOOKUP(VLOOKUP(2026000+ROW()-1,开奖记录!$A:$L,11,FALSE),八肖参数!$A:$B,2,FALSE),"")</f>
        <v/>
      </c>
    </row>
    <row r="68" ht="22" customHeight="1" s="21">
      <c r="A68" s="47" t="inlineStr">
        <is>
          <t>猴 23</t>
        </is>
      </c>
      <c r="B68" s="47" t="n"/>
      <c r="C68" s="47" t="n">
        <v>345</v>
      </c>
      <c r="D68" s="50" t="n"/>
      <c r="E68" s="47" t="n"/>
      <c r="F68" s="51" t="n"/>
      <c r="G68" s="47" t="n"/>
      <c r="H68" s="47">
        <f>IFERROR(TEXT(VLOOKUP(2026000+ROW()-1,开奖记录!$A:$L,3,FALSE),"00")&amp;"+5="&amp;VLOOKUP(MOD(VLOOKUP(2026000+ROW()-1,开奖记录!$A:$L,3,FALSE)+4,49)+1,规律参数!$A:$C,3,FALSE),"")</f>
        <v/>
      </c>
      <c r="I68" s="47" t="n"/>
      <c r="J68" s="47">
        <f>IFERROR(VLOOKUP(VLOOKUP(2026000+ROW()-1,开奖记录!$A:$L,11,FALSE),八肖参数!$A:$B,2,FALSE),"")</f>
        <v/>
      </c>
    </row>
    <row r="69" ht="22" customHeight="1" s="21">
      <c r="A69" s="47" t="inlineStr">
        <is>
          <t xml:space="preserve">羊 24 </t>
        </is>
      </c>
      <c r="B69" s="47" t="n"/>
      <c r="C69" s="47" t="n">
        <v>465</v>
      </c>
      <c r="D69" s="51" t="n"/>
      <c r="E69" s="47" t="n"/>
      <c r="F69" s="48" t="n"/>
      <c r="G69" s="47" t="n"/>
      <c r="H69" s="47">
        <f>IFERROR(TEXT(VLOOKUP(2026000+ROW()-1,开奖记录!$A:$L,3,FALSE),"00")&amp;"+5="&amp;VLOOKUP(MOD(VLOOKUP(2026000+ROW()-1,开奖记录!$A:$L,3,FALSE)+4,49)+1,规律参数!$A:$C,3,FALSE),"")</f>
        <v/>
      </c>
      <c r="I69" s="47" t="n"/>
      <c r="J69" s="47">
        <f>IFERROR(VLOOKUP(VLOOKUP(2026000+ROW()-1,开奖记录!$A:$L,11,FALSE),八肖参数!$A:$B,2,FALSE),"")</f>
        <v/>
      </c>
    </row>
    <row r="70" ht="22" customHeight="1" s="21">
      <c r="A70" s="47" t="inlineStr">
        <is>
          <t>马24</t>
        </is>
      </c>
      <c r="B70" s="47" t="n"/>
      <c r="C70" s="47" t="n">
        <v>245</v>
      </c>
      <c r="D70" s="48" t="n"/>
      <c r="E70" s="47" t="n"/>
      <c r="F70" s="49" t="n"/>
      <c r="G70" s="47" t="n"/>
      <c r="H70" s="47">
        <f>IFERROR(TEXT(VLOOKUP(2026000+ROW()-1,开奖记录!$A:$L,3,FALSE),"00")&amp;"+5="&amp;VLOOKUP(MOD(VLOOKUP(2026000+ROW()-1,开奖记录!$A:$L,3,FALSE)+4,49)+1,规律参数!$A:$C,3,FALSE),"")</f>
        <v/>
      </c>
      <c r="I70" s="47" t="n"/>
      <c r="J70" s="47">
        <f>IFERROR(VLOOKUP(VLOOKUP(2026000+ROW()-1,开奖记录!$A:$L,11,FALSE),八肖参数!$A:$B,2,FALSE),"")</f>
        <v/>
      </c>
    </row>
    <row r="71" ht="22" customHeight="1" s="21">
      <c r="A71" s="47" t="inlineStr">
        <is>
          <t xml:space="preserve">羊 48 </t>
        </is>
      </c>
      <c r="B71" s="47" t="n"/>
      <c r="C71" s="47" t="n">
        <v>160</v>
      </c>
      <c r="D71" s="50" t="n"/>
      <c r="E71" s="47" t="n"/>
      <c r="F71" s="51" t="n"/>
      <c r="G71" s="47" t="n"/>
      <c r="H71" s="47">
        <f>IFERROR(TEXT(VLOOKUP(2026000+ROW()-1,开奖记录!$A:$L,3,FALSE),"00")&amp;"+5="&amp;VLOOKUP(MOD(VLOOKUP(2026000+ROW()-1,开奖记录!$A:$L,3,FALSE)+4,49)+1,规律参数!$A:$C,3,FALSE),"")</f>
        <v/>
      </c>
      <c r="I71" s="47" t="n"/>
      <c r="J71" s="47">
        <f>IFERROR(VLOOKUP(VLOOKUP(2026000+ROW()-1,开奖记录!$A:$L,11,FALSE),八肖参数!$A:$B,2,FALSE),"")</f>
        <v/>
      </c>
    </row>
    <row r="72" ht="22" customHeight="1" s="21">
      <c r="A72" s="47" t="inlineStr">
        <is>
          <t>鸡46</t>
        </is>
      </c>
      <c r="B72" s="47" t="n">
        <v>70</v>
      </c>
      <c r="C72" s="47" t="n"/>
      <c r="D72" s="51" t="n"/>
      <c r="E72" s="47" t="n"/>
      <c r="F72" s="48" t="n"/>
      <c r="G72" s="47" t="n"/>
      <c r="H72" s="47">
        <f>IFERROR(TEXT(VLOOKUP(2026000+ROW()-1,开奖记录!$A:$L,3,FALSE),"00")&amp;"+5="&amp;VLOOKUP(MOD(VLOOKUP(2026000+ROW()-1,开奖记录!$A:$L,3,FALSE)+4,49)+1,规律参数!$A:$C,3,FALSE),"")</f>
        <v/>
      </c>
      <c r="I72" s="47" t="n"/>
      <c r="J72" s="47">
        <f>IFERROR(VLOOKUP(VLOOKUP(2026000+ROW()-1,开奖记录!$A:$L,11,FALSE),八肖参数!$A:$B,2,FALSE),"")</f>
        <v/>
      </c>
    </row>
    <row r="73" ht="22" customHeight="1" s="21">
      <c r="A73" s="47" t="inlineStr">
        <is>
          <t>鸡36</t>
        </is>
      </c>
      <c r="B73" s="47" t="n"/>
      <c r="C73" s="47" t="n">
        <v>180</v>
      </c>
      <c r="D73" s="48" t="n"/>
      <c r="E73" s="47" t="n"/>
      <c r="F73" s="49" t="n"/>
      <c r="G73" s="47" t="n"/>
      <c r="H73" s="47">
        <f>IFERROR(TEXT(VLOOKUP(2026000+ROW()-1,开奖记录!$A:$L,3,FALSE),"00")&amp;"+5="&amp;VLOOKUP(MOD(VLOOKUP(2026000+ROW()-1,开奖记录!$A:$L,3,FALSE)+4,49)+1,规律参数!$A:$C,3,FALSE),"")</f>
        <v/>
      </c>
      <c r="I73" s="47" t="n"/>
      <c r="J73" s="47">
        <f>IFERROR(VLOOKUP(VLOOKUP(2026000+ROW()-1,开奖记录!$A:$L,11,FALSE),八肖参数!$A:$B,2,FALSE),"")</f>
        <v/>
      </c>
    </row>
    <row r="74" ht="22" customHeight="1" s="21">
      <c r="A74" s="47" t="inlineStr">
        <is>
          <t>鸡 10</t>
        </is>
      </c>
      <c r="B74" s="47" t="n"/>
      <c r="C74" s="47" t="n">
        <v>180</v>
      </c>
      <c r="D74" s="50" t="n"/>
      <c r="E74" s="47" t="n"/>
      <c r="F74" s="51" t="n"/>
      <c r="G74" s="47" t="n"/>
      <c r="H74" s="47">
        <f>IFERROR(TEXT(VLOOKUP(2026000+ROW()-1,开奖记录!$A:$L,3,FALSE),"00")&amp;"+5="&amp;VLOOKUP(MOD(VLOOKUP(2026000+ROW()-1,开奖记录!$A:$L,3,FALSE)+4,49)+1,规律参数!$A:$C,3,FALSE),"")</f>
        <v/>
      </c>
      <c r="I74" s="52" t="n"/>
      <c r="J74" s="47">
        <f>IFERROR(VLOOKUP(VLOOKUP(2026000+ROW()-1,开奖记录!$A:$L,11,FALSE),八肖参数!$A:$B,2,FALSE),"")</f>
        <v/>
      </c>
    </row>
    <row r="75" ht="22" customHeight="1" s="21">
      <c r="A75" s="47" t="inlineStr">
        <is>
          <t>狗33</t>
        </is>
      </c>
      <c r="B75" s="47" t="n"/>
      <c r="C75" s="47" t="n">
        <v>150</v>
      </c>
      <c r="D75" s="51" t="n"/>
      <c r="E75" s="47" t="n"/>
      <c r="F75" s="48" t="n"/>
      <c r="G75" s="47" t="n"/>
      <c r="H75" s="47">
        <f>IFERROR(TEXT(VLOOKUP(2026000+ROW()-1,开奖记录!$A:$L,3,FALSE),"00")&amp;"+5="&amp;VLOOKUP(MOD(VLOOKUP(2026000+ROW()-1,开奖记录!$A:$L,3,FALSE)+4,49)+1,规律参数!$A:$C,3,FALSE),"")</f>
        <v/>
      </c>
      <c r="I75" s="47" t="n"/>
      <c r="J75" s="47">
        <f>IFERROR(VLOOKUP(VLOOKUP(2026000+ROW()-1,开奖记录!$A:$L,11,FALSE),八肖参数!$A:$B,2,FALSE),"")</f>
        <v/>
      </c>
    </row>
    <row r="76" ht="22" customHeight="1" s="21">
      <c r="A76" s="47" t="inlineStr">
        <is>
          <t>蛇02</t>
        </is>
      </c>
      <c r="B76" s="47" t="n"/>
      <c r="C76" s="47" t="n"/>
      <c r="D76" s="48" t="n"/>
      <c r="E76" s="47" t="n"/>
      <c r="F76" s="49" t="n"/>
      <c r="G76" s="47" t="n"/>
      <c r="H76" s="47">
        <f>IFERROR(TEXT(VLOOKUP(2026000+ROW()-1,开奖记录!$A:$L,3,FALSE),"00")&amp;"+5="&amp;VLOOKUP(MOD(VLOOKUP(2026000+ROW()-1,开奖记录!$A:$L,3,FALSE)+4,49)+1,规律参数!$A:$C,3,FALSE),"")</f>
        <v/>
      </c>
      <c r="I76" s="52" t="n"/>
      <c r="J76" s="47">
        <f>IFERROR(VLOOKUP(VLOOKUP(2026000+ROW()-1,开奖记录!$A:$L,11,FALSE),八肖参数!$A:$B,2,FALSE),"")</f>
        <v/>
      </c>
    </row>
    <row r="77" ht="22" customHeight="1" s="21">
      <c r="A77" s="47" t="inlineStr">
        <is>
          <t>虎 29</t>
        </is>
      </c>
      <c r="B77" s="47" t="n"/>
      <c r="C77" s="47" t="n"/>
      <c r="D77" s="50" t="n"/>
      <c r="E77" s="47" t="n"/>
      <c r="F77" s="51" t="n"/>
      <c r="G77" s="47" t="n"/>
      <c r="H77" s="47">
        <f>IFERROR(TEXT(VLOOKUP(2026000+ROW()-1,开奖记录!$A:$L,3,FALSE),"00")&amp;"+5="&amp;VLOOKUP(MOD(VLOOKUP(2026000+ROW()-1,开奖记录!$A:$L,3,FALSE)+4,49)+1,规律参数!$A:$C,3,FALSE),"")</f>
        <v/>
      </c>
      <c r="I77" s="52" t="n"/>
      <c r="J77" s="47">
        <f>IFERROR(VLOOKUP(VLOOKUP(2026000+ROW()-1,开奖记录!$A:$L,11,FALSE),八肖参数!$A:$B,2,FALSE),"")</f>
        <v/>
      </c>
    </row>
    <row r="78" ht="22" customHeight="1" s="21">
      <c r="A78" s="47" t="inlineStr">
        <is>
          <t>鸡46</t>
        </is>
      </c>
      <c r="B78" s="47" t="n"/>
      <c r="C78" s="47" t="n">
        <v>60</v>
      </c>
      <c r="D78" s="51" t="n"/>
      <c r="E78" s="47" t="n"/>
      <c r="F78" s="48" t="n"/>
      <c r="G78" s="47" t="n"/>
      <c r="H78" s="47">
        <f>IFERROR(TEXT(VLOOKUP(2026000+ROW()-1,开奖记录!$A:$L,3,FALSE),"00")&amp;"+5="&amp;VLOOKUP(MOD(VLOOKUP(2026000+ROW()-1,开奖记录!$A:$L,3,FALSE)+4,49)+1,规律参数!$A:$C,3,FALSE),"")</f>
        <v/>
      </c>
      <c r="I78" s="52" t="n"/>
      <c r="J78" s="47">
        <f>IFERROR(VLOOKUP(VLOOKUP(2026000+ROW()-1,开奖记录!$A:$L,11,FALSE),八肖参数!$A:$B,2,FALSE),"")</f>
        <v/>
      </c>
    </row>
    <row r="79" ht="22" customHeight="1" s="21">
      <c r="A79" s="47" t="inlineStr">
        <is>
          <t>猴35</t>
        </is>
      </c>
      <c r="B79" s="47" t="n"/>
      <c r="C79" s="47" t="n"/>
      <c r="D79" s="48" t="n"/>
      <c r="E79" s="47" t="n"/>
      <c r="F79" s="49" t="n"/>
      <c r="G79" s="47" t="n"/>
      <c r="H79" s="47">
        <f>IFERROR(TEXT(VLOOKUP(2026000+ROW()-1,开奖记录!$A:$L,3,FALSE),"00")&amp;"+5="&amp;VLOOKUP(MOD(VLOOKUP(2026000+ROW()-1,开奖记录!$A:$L,3,FALSE)+4,49)+1,规律参数!$A:$C,3,FALSE),"")</f>
        <v/>
      </c>
      <c r="I79" s="47" t="n"/>
      <c r="J79" s="47">
        <f>IFERROR(VLOOKUP(VLOOKUP(2026000+ROW()-1,开奖记录!$A:$L,11,FALSE),八肖参数!$A:$B,2,FALSE),"")</f>
        <v/>
      </c>
    </row>
    <row r="80" ht="22" customHeight="1" s="21">
      <c r="A80" s="47" t="inlineStr">
        <is>
          <t>龙03</t>
        </is>
      </c>
      <c r="B80" s="47" t="n"/>
      <c r="C80" s="47" t="n"/>
      <c r="D80" s="50" t="n"/>
      <c r="E80" s="47" t="n"/>
      <c r="F80" s="51" t="n"/>
      <c r="G80" s="47" t="n"/>
      <c r="H80" s="47">
        <f>IFERROR(TEXT(VLOOKUP(2026000+ROW()-1,开奖记录!$A:$L,3,FALSE),"00")&amp;"+5="&amp;VLOOKUP(MOD(VLOOKUP(2026000+ROW()-1,开奖记录!$A:$L,3,FALSE)+4,49)+1,规律参数!$A:$C,3,FALSE),"")</f>
        <v/>
      </c>
      <c r="I80" s="52" t="n"/>
      <c r="J80" s="47">
        <f>IFERROR(VLOOKUP(VLOOKUP(2026000+ROW()-1,开奖记录!$A:$L,11,FALSE),八肖参数!$A:$B,2,FALSE),"")</f>
        <v/>
      </c>
    </row>
    <row r="81" ht="22" customHeight="1" s="21">
      <c r="A81" s="47" t="inlineStr">
        <is>
          <t>虎17</t>
        </is>
      </c>
      <c r="B81" s="47" t="n"/>
      <c r="C81" s="47" t="n"/>
      <c r="D81" s="51" t="n"/>
      <c r="E81" s="47" t="n"/>
      <c r="F81" s="48" t="n"/>
      <c r="G81" s="47" t="n"/>
      <c r="H81" s="47">
        <f>IFERROR(TEXT(VLOOKUP(2026000+ROW()-1,开奖记录!$A:$L,3,FALSE),"00")&amp;"+5="&amp;VLOOKUP(MOD(VLOOKUP(2026000+ROW()-1,开奖记录!$A:$L,3,FALSE)+4,49)+1,规律参数!$A:$C,3,FALSE),"")</f>
        <v/>
      </c>
      <c r="I81" s="52" t="inlineStr">
        <is>
          <t>尾+反</t>
        </is>
      </c>
      <c r="J81" s="47">
        <f>IFERROR(VLOOKUP(VLOOKUP(2026000+ROW()-1,开奖记录!$A:$L,11,FALSE),八肖参数!$A:$B,2,FALSE),"")</f>
        <v/>
      </c>
    </row>
    <row r="82" ht="22" customHeight="1" s="21">
      <c r="A82" s="47" t="inlineStr">
        <is>
          <t>龙27</t>
        </is>
      </c>
      <c r="B82" s="47" t="n"/>
      <c r="C82" s="47" t="n"/>
      <c r="D82" s="48" t="n"/>
      <c r="E82" s="47" t="n"/>
      <c r="F82" s="49" t="n"/>
      <c r="G82" s="47" t="n"/>
      <c r="H82" s="47">
        <f>IFERROR(TEXT(VLOOKUP(2026000+ROW()-1,开奖记录!$A:$L,3,FALSE),"00")&amp;"+5="&amp;VLOOKUP(MOD(VLOOKUP(2026000+ROW()-1,开奖记录!$A:$L,3,FALSE)+4,49)+1,规律参数!$A:$C,3,FALSE),"")</f>
        <v/>
      </c>
      <c r="I82" s="52" t="n"/>
      <c r="J82" s="47">
        <f>IFERROR(VLOOKUP(VLOOKUP(2026000+ROW()-1,开奖记录!$A:$L,11,FALSE),八肖参数!$A:$B,2,FALSE),"")</f>
        <v/>
      </c>
    </row>
    <row r="83" ht="22" customHeight="1" s="21">
      <c r="A83" s="47" t="inlineStr">
        <is>
          <t xml:space="preserve">虎 05 </t>
        </is>
      </c>
      <c r="B83" s="47" t="n"/>
      <c r="C83" s="47" t="n"/>
      <c r="D83" s="50" t="n"/>
      <c r="E83" s="47" t="n"/>
      <c r="F83" s="51" t="n"/>
      <c r="G83" s="47" t="n"/>
      <c r="H83" s="47">
        <f>IFERROR(TEXT(VLOOKUP(2026000+ROW()-1,开奖记录!$A:$L,3,FALSE),"00")&amp;"+5="&amp;VLOOKUP(MOD(VLOOKUP(2026000+ROW()-1,开奖记录!$A:$L,3,FALSE)+4,49)+1,规律参数!$A:$C,3,FALSE),"")</f>
        <v/>
      </c>
      <c r="I83" s="52" t="n"/>
      <c r="J83" s="47">
        <f>IFERROR(VLOOKUP(VLOOKUP(2026000+ROW()-1,开奖记录!$A:$L,11,FALSE),八肖参数!$A:$B,2,FALSE),"")</f>
        <v/>
      </c>
    </row>
    <row r="84" ht="22" customHeight="1" s="21">
      <c r="A84" s="47" t="inlineStr">
        <is>
          <t>兔16</t>
        </is>
      </c>
      <c r="B84" s="47" t="n"/>
      <c r="C84" s="47" t="n"/>
      <c r="D84" s="51" t="n"/>
      <c r="E84" s="47" t="n"/>
      <c r="F84" s="48" t="n"/>
      <c r="G84" s="47" t="n"/>
      <c r="H84" s="47">
        <f>IFERROR(TEXT(VLOOKUP(2026000+ROW()-1,开奖记录!$A:$L,3,FALSE),"00")&amp;"+5="&amp;VLOOKUP(MOD(VLOOKUP(2026000+ROW()-1,开奖记录!$A:$L,3,FALSE)+4,49)+1,规律参数!$A:$C,3,FALSE),"")</f>
        <v/>
      </c>
      <c r="I84" s="52" t="n"/>
      <c r="J84" s="47">
        <f>IFERROR(VLOOKUP(VLOOKUP(2026000+ROW()-1,开奖记录!$A:$L,11,FALSE),八肖参数!$A:$B,2,FALSE),"")</f>
        <v/>
      </c>
    </row>
    <row r="85" ht="22" customHeight="1" s="21">
      <c r="A85" s="47" t="inlineStr">
        <is>
          <t>鼠19</t>
        </is>
      </c>
      <c r="B85" s="47" t="n"/>
      <c r="C85" s="47" t="n"/>
      <c r="D85" s="48" t="n"/>
      <c r="E85" s="47" t="n"/>
      <c r="F85" s="49" t="n"/>
      <c r="G85" s="47" t="n"/>
      <c r="H85" s="47">
        <f>IFERROR(TEXT(VLOOKUP(2026000+ROW()-1,开奖记录!$A:$L,3,FALSE),"00")&amp;"+5="&amp;VLOOKUP(MOD(VLOOKUP(2026000+ROW()-1,开奖记录!$A:$L,3,FALSE)+4,49)+1,规律参数!$A:$C,3,FALSE),"")</f>
        <v/>
      </c>
      <c r="I85" s="47" t="n"/>
      <c r="J85" s="47">
        <f>IFERROR(VLOOKUP(VLOOKUP(2026000+ROW()-1,开奖记录!$A:$L,11,FALSE),八肖参数!$A:$B,2,FALSE),"")</f>
        <v/>
      </c>
    </row>
    <row r="86" ht="22" customHeight="1" s="21">
      <c r="A86" s="47" t="inlineStr">
        <is>
          <t>羊12</t>
        </is>
      </c>
      <c r="B86" s="47" t="n"/>
      <c r="C86" s="47" t="n"/>
      <c r="D86" s="50" t="n"/>
      <c r="E86" s="47" t="n"/>
      <c r="F86" s="51" t="n"/>
      <c r="G86" s="47" t="n"/>
      <c r="H86" s="47">
        <f>IFERROR(TEXT(VLOOKUP(2026000+ROW()-1,开奖记录!$A:$L,3,FALSE),"00")&amp;"+5="&amp;VLOOKUP(MOD(VLOOKUP(2026000+ROW()-1,开奖记录!$A:$L,3,FALSE)+4,49)+1,规律参数!$A:$C,3,FALSE),"")</f>
        <v/>
      </c>
      <c r="I86" s="52" t="n"/>
      <c r="J86" s="47">
        <f>IFERROR(VLOOKUP(VLOOKUP(2026000+ROW()-1,开奖记录!$A:$L,11,FALSE),八肖参数!$A:$B,2,FALSE),"")</f>
        <v/>
      </c>
    </row>
    <row r="87" ht="22" customHeight="1" s="21">
      <c r="A87" s="47" t="inlineStr">
        <is>
          <t>蛇26</t>
        </is>
      </c>
      <c r="B87" s="47" t="n"/>
      <c r="C87" s="47" t="n"/>
      <c r="D87" s="51" t="n"/>
      <c r="E87" s="47" t="n"/>
      <c r="F87" s="48" t="n"/>
      <c r="G87" s="47" t="n"/>
      <c r="H87" s="47">
        <f>IFERROR(TEXT(VLOOKUP(2026000+ROW()-1,开奖记录!$A:$L,3,FALSE),"00")&amp;"+5="&amp;VLOOKUP(MOD(VLOOKUP(2026000+ROW()-1,开奖记录!$A:$L,3,FALSE)+4,49)+1,规律参数!$A:$C,3,FALSE),"")</f>
        <v/>
      </c>
      <c r="I87" s="47" t="n"/>
      <c r="J87" s="47">
        <f>IFERROR(VLOOKUP(VLOOKUP(2026000+ROW()-1,开奖记录!$A:$L,11,FALSE),八肖参数!$A:$B,2,FALSE),"")</f>
        <v/>
      </c>
    </row>
    <row r="88" ht="22" customHeight="1" s="21">
      <c r="A88" s="47" t="inlineStr">
        <is>
          <t>龙27</t>
        </is>
      </c>
      <c r="B88" s="47" t="n"/>
      <c r="C88" s="47" t="n"/>
      <c r="D88" s="48" t="n"/>
      <c r="E88" s="47" t="n"/>
      <c r="F88" s="49" t="n"/>
      <c r="G88" s="47" t="n"/>
      <c r="H88" s="47">
        <f>IFERROR(TEXT(VLOOKUP(2026000+ROW()-1,开奖记录!$A:$L,3,FALSE),"00")&amp;"+5="&amp;VLOOKUP(MOD(VLOOKUP(2026000+ROW()-1,开奖记录!$A:$L,3,FALSE)+4,49)+1,规律参数!$A:$C,3,FALSE),"")</f>
        <v/>
      </c>
      <c r="I88" s="47" t="n"/>
      <c r="J88" s="47">
        <f>IFERROR(VLOOKUP(VLOOKUP(2026000+ROW()-1,开奖记录!$A:$L,11,FALSE),八肖参数!$A:$B,2,FALSE),"")</f>
        <v/>
      </c>
    </row>
    <row r="89" ht="22" customHeight="1" s="21">
      <c r="A89" s="47" t="inlineStr">
        <is>
          <t>马49</t>
        </is>
      </c>
      <c r="B89" s="47" t="n"/>
      <c r="C89" s="47" t="n"/>
      <c r="D89" s="50" t="n"/>
      <c r="E89" s="47" t="n"/>
      <c r="F89" s="51" t="n"/>
      <c r="G89" s="47" t="n"/>
      <c r="H89" s="47">
        <f>IFERROR(TEXT(VLOOKUP(2026000+ROW()-1,开奖记录!$A:$L,3,FALSE),"00")&amp;"+5="&amp;VLOOKUP(MOD(VLOOKUP(2026000+ROW()-1,开奖记录!$A:$L,3,FALSE)+4,49)+1,规律参数!$A:$C,3,FALSE),"")</f>
        <v/>
      </c>
      <c r="I89" s="47" t="n"/>
      <c r="J89" s="47">
        <f>IFERROR(VLOOKUP(VLOOKUP(2026000+ROW()-1,开奖记录!$A:$L,11,FALSE),八肖参数!$A:$B,2,FALSE),"")</f>
        <v/>
      </c>
    </row>
    <row r="90" ht="22" customHeight="1" s="21">
      <c r="A90" s="47" t="inlineStr">
        <is>
          <t>羊36</t>
        </is>
      </c>
      <c r="B90" s="47" t="n"/>
      <c r="C90" s="47" t="n"/>
      <c r="D90" s="51" t="n"/>
      <c r="E90" s="47" t="n"/>
      <c r="F90" s="48" t="n"/>
      <c r="G90" s="47" t="n"/>
      <c r="H90" s="47">
        <f>IFERROR(TEXT(VLOOKUP(2026000+ROW()-1,开奖记录!$A:$L,3,FALSE),"00")&amp;"+5="&amp;VLOOKUP(MOD(VLOOKUP(2026000+ROW()-1,开奖记录!$A:$L,3,FALSE)+4,49)+1,规律参数!$A:$C,3,FALSE),"")</f>
        <v/>
      </c>
      <c r="I90" s="52" t="n"/>
      <c r="J90" s="47">
        <f>IFERROR(VLOOKUP(VLOOKUP(2026000+ROW()-1,开奖记录!$A:$L,11,FALSE),八肖参数!$A:$B,2,FALSE),"")</f>
        <v/>
      </c>
    </row>
    <row r="91" ht="22" customHeight="1" s="21">
      <c r="A91" s="47" t="inlineStr">
        <is>
          <t xml:space="preserve">马 37 </t>
        </is>
      </c>
      <c r="B91" s="47" t="n"/>
      <c r="C91" s="47" t="n"/>
      <c r="D91" s="48" t="n"/>
      <c r="E91" s="47" t="n"/>
      <c r="F91" s="49" t="n"/>
      <c r="G91" s="47" t="n"/>
      <c r="H91" s="47">
        <f>IFERROR(TEXT(VLOOKUP(2026000+ROW()-1,开奖记录!$A:$L,3,FALSE),"00")&amp;"+5="&amp;VLOOKUP(MOD(VLOOKUP(2026000+ROW()-1,开奖记录!$A:$L,3,FALSE)+4,49)+1,规律参数!$A:$C,3,FALSE),"")</f>
        <v/>
      </c>
      <c r="I91" s="52" t="n"/>
      <c r="J91" s="47">
        <f>IFERROR(VLOOKUP(VLOOKUP(2026000+ROW()-1,开奖记录!$A:$L,11,FALSE),八肖参数!$A:$B,2,FALSE),"")</f>
        <v/>
      </c>
    </row>
    <row r="92" ht="22" customHeight="1" s="21">
      <c r="A92" s="47" t="inlineStr">
        <is>
          <t>牛06</t>
        </is>
      </c>
      <c r="B92" s="47" t="n"/>
      <c r="C92" s="47" t="n"/>
      <c r="D92" s="50" t="n"/>
      <c r="E92" s="47" t="n"/>
      <c r="F92" s="51" t="n"/>
      <c r="G92" s="47" t="n"/>
      <c r="H92" s="47">
        <f>IFERROR(TEXT(VLOOKUP(2026000+ROW()-1,开奖记录!$A:$L,3,FALSE),"00")&amp;"+5="&amp;VLOOKUP(MOD(VLOOKUP(2026000+ROW()-1,开奖记录!$A:$L,3,FALSE)+4,49)+1,规律参数!$A:$C,3,FALSE),"")</f>
        <v/>
      </c>
      <c r="I92" s="47" t="n"/>
      <c r="J92" s="47">
        <f>IFERROR(VLOOKUP(VLOOKUP(2026000+ROW()-1,开奖记录!$A:$L,11,FALSE),八肖参数!$A:$B,2,FALSE),"")</f>
        <v/>
      </c>
    </row>
    <row r="93" ht="22" customHeight="1" s="21">
      <c r="A93" s="47" t="inlineStr">
        <is>
          <t>兔40</t>
        </is>
      </c>
      <c r="B93" s="47" t="n"/>
      <c r="C93" s="47" t="n"/>
      <c r="D93" s="51" t="n"/>
      <c r="E93" s="47" t="n"/>
      <c r="F93" s="48" t="n"/>
      <c r="G93" s="47" t="n"/>
      <c r="H93" s="47">
        <f>IFERROR(TEXT(VLOOKUP(2026000+ROW()-1,开奖记录!$A:$L,3,FALSE),"00")&amp;"+5="&amp;VLOOKUP(MOD(VLOOKUP(2026000+ROW()-1,开奖记录!$A:$L,3,FALSE)+4,49)+1,规律参数!$A:$C,3,FALSE),"")</f>
        <v/>
      </c>
      <c r="I93" s="47" t="n"/>
      <c r="J93" s="47">
        <f>IFERROR(VLOOKUP(VLOOKUP(2026000+ROW()-1,开奖记录!$A:$L,11,FALSE),八肖参数!$A:$B,2,FALSE),"")</f>
        <v/>
      </c>
    </row>
    <row r="94" ht="22" customHeight="1" s="21">
      <c r="A94" s="47" t="inlineStr">
        <is>
          <t>虎17</t>
        </is>
      </c>
      <c r="B94" s="47" t="n"/>
      <c r="C94" s="47" t="n"/>
      <c r="D94" s="48" t="n"/>
      <c r="E94" s="47" t="n"/>
      <c r="F94" s="49" t="n"/>
      <c r="G94" s="47" t="n"/>
      <c r="H94" s="47">
        <f>IFERROR(TEXT(VLOOKUP(2026000+ROW()-1,开奖记录!$A:$L,3,FALSE),"00")&amp;"+5="&amp;VLOOKUP(MOD(VLOOKUP(2026000+ROW()-1,开奖记录!$A:$L,3,FALSE)+4,49)+1,规律参数!$A:$C,3,FALSE),"")</f>
        <v/>
      </c>
      <c r="I94" s="52" t="n"/>
      <c r="J94" s="47">
        <f>IFERROR(VLOOKUP(VLOOKUP(2026000+ROW()-1,开奖记录!$A:$L,11,FALSE),八肖参数!$A:$B,2,FALSE),"")</f>
        <v/>
      </c>
    </row>
    <row r="95" ht="22" customHeight="1" s="21">
      <c r="A95" s="47" t="inlineStr">
        <is>
          <t>猴35</t>
        </is>
      </c>
      <c r="B95" s="47" t="n"/>
      <c r="C95" s="47" t="n"/>
      <c r="D95" s="50" t="n"/>
      <c r="E95" s="47" t="n"/>
      <c r="F95" s="51" t="n"/>
      <c r="G95" s="47" t="n"/>
      <c r="H95" s="47">
        <f>IFERROR(TEXT(VLOOKUP(2026000+ROW()-1,开奖记录!$A:$L,3,FALSE),"00")&amp;"+5="&amp;VLOOKUP(MOD(VLOOKUP(2026000+ROW()-1,开奖记录!$A:$L,3,FALSE)+4,49)+1,规律参数!$A:$C,3,FALSE),"")</f>
        <v/>
      </c>
      <c r="I95" s="52" t="n"/>
      <c r="J95" s="47">
        <f>IFERROR(VLOOKUP(VLOOKUP(2026000+ROW()-1,开奖记录!$A:$L,11,FALSE),八肖参数!$A:$B,2,FALSE),"")</f>
        <v/>
      </c>
    </row>
    <row r="96" ht="22" customHeight="1" s="21">
      <c r="A96" s="47" t="inlineStr">
        <is>
          <t xml:space="preserve">鼠43</t>
        </is>
      </c>
      <c r="B96" s="47" t="n"/>
      <c r="C96" s="47" t="n"/>
      <c r="D96" s="51" t="n"/>
      <c r="E96" s="47" t="n"/>
      <c r="F96" s="48" t="n"/>
      <c r="G96" s="47" t="n"/>
      <c r="H96" s="47">
        <f>IFERROR(TEXT(VLOOKUP(2026000+ROW()-1,开奖记录!$A:$L,3,FALSE),"00")&amp;"+5="&amp;VLOOKUP(MOD(VLOOKUP(2026000+ROW()-1,开奖记录!$A:$L,3,FALSE)+4,49)+1,规律参数!$A:$C,3,FALSE),"")</f>
        <v/>
      </c>
      <c r="I96" s="47" t="n"/>
      <c r="J96" s="47">
        <f>IFERROR(VLOOKUP(VLOOKUP(2026000+ROW()-1,开奖记录!$A:$L,11,FALSE),八肖参数!$A:$B,2,FALSE),"")</f>
        <v/>
      </c>
    </row>
    <row r="97" ht="22" customHeight="1" s="21">
      <c r="A97" s="47" t="inlineStr">
        <is>
          <t>猴11</t>
        </is>
      </c>
      <c r="B97" s="47" t="n"/>
      <c r="C97" s="47" t="n"/>
      <c r="D97" s="48" t="n"/>
      <c r="E97" s="47" t="n"/>
      <c r="F97" s="49" t="n"/>
      <c r="G97" s="47" t="n"/>
      <c r="H97" s="47">
        <f>IFERROR(TEXT(VLOOKUP(2026000+ROW()-1,开奖记录!$A:$L,3,FALSE),"00")&amp;"+5="&amp;VLOOKUP(MOD(VLOOKUP(2026000+ROW()-1,开奖记录!$A:$L,3,FALSE)+4,49)+1,规律参数!$A:$C,3,FALSE),"")</f>
        <v/>
      </c>
      <c r="I97" s="47" t="n"/>
      <c r="J97" s="47">
        <f>IFERROR(VLOOKUP(VLOOKUP(2026000+ROW()-1,开奖记录!$A:$L,11,FALSE),八肖参数!$A:$B,2,FALSE),"")</f>
        <v/>
      </c>
    </row>
    <row r="98" ht="22" customHeight="1" s="21">
      <c r="A98" s="47" t="inlineStr">
        <is>
          <t>虎17</t>
        </is>
      </c>
      <c r="B98" s="47" t="n"/>
      <c r="C98" s="47" t="n"/>
      <c r="D98" s="50" t="n"/>
      <c r="E98" s="47" t="n"/>
      <c r="F98" s="51" t="n"/>
      <c r="G98" s="47" t="n"/>
      <c r="H98" s="47">
        <f>IFERROR(TEXT(VLOOKUP(2026000+ROW()-1,开奖记录!$A:$L,3,FALSE),"00")&amp;"+5="&amp;VLOOKUP(MOD(VLOOKUP(2026000+ROW()-1,开奖记录!$A:$L,3,FALSE)+4,49)+1,规律参数!$A:$C,3,FALSE),"")</f>
        <v/>
      </c>
      <c r="I98" s="52" t="n"/>
      <c r="J98" s="47">
        <f>IFERROR(VLOOKUP(VLOOKUP(2026000+ROW()-1,开奖记录!$A:$L,11,FALSE),八肖参数!$A:$B,2,FALSE),"")</f>
        <v/>
      </c>
    </row>
    <row r="99" ht="22" customHeight="1" s="21">
      <c r="A99" s="47" t="inlineStr">
        <is>
          <t>羊12</t>
        </is>
      </c>
      <c r="B99" s="47" t="n"/>
      <c r="C99" s="47" t="n"/>
      <c r="D99" s="51" t="n"/>
      <c r="E99" s="47" t="n"/>
      <c r="F99" s="48" t="n"/>
      <c r="G99" s="47" t="n"/>
      <c r="H99" s="47">
        <f>IFERROR(TEXT(VLOOKUP(2026000+ROW()-1,开奖记录!$A:$L,3,FALSE),"00")&amp;"+5="&amp;VLOOKUP(MOD(VLOOKUP(2026000+ROW()-1,开奖记录!$A:$L,3,FALSE)+4,49)+1,规律参数!$A:$C,3,FALSE),"")</f>
        <v/>
      </c>
      <c r="I99" s="47" t="n"/>
      <c r="J99" s="47">
        <f>IFERROR(VLOOKUP(VLOOKUP(2026000+ROW()-1,开奖记录!$A:$L,11,FALSE),八肖参数!$A:$B,2,FALSE),"")</f>
        <v/>
      </c>
    </row>
    <row r="100" ht="22" customHeight="1" s="21">
      <c r="A100" s="47" t="inlineStr">
        <is>
          <t>狗33</t>
        </is>
      </c>
      <c r="B100" s="47" t="n"/>
      <c r="C100" s="47" t="n"/>
      <c r="D100" s="48" t="n"/>
      <c r="E100" s="47" t="n"/>
      <c r="F100" s="49" t="n"/>
      <c r="G100" s="47" t="n"/>
      <c r="H100" s="47">
        <f>IFERROR(TEXT(VLOOKUP(2026000+ROW()-1,开奖记录!$A:$L,3,FALSE),"00")&amp;"+5="&amp;VLOOKUP(MOD(VLOOKUP(2026000+ROW()-1,开奖记录!$A:$L,3,FALSE)+4,49)+1,规律参数!$A:$C,3,FALSE),"")</f>
        <v/>
      </c>
      <c r="I100" s="52" t="n"/>
      <c r="J100" s="47">
        <f>IFERROR(VLOOKUP(VLOOKUP(2026000+ROW()-1,开奖记录!$A:$L,11,FALSE),八肖参数!$A:$B,2,FALSE),"")</f>
        <v/>
      </c>
    </row>
    <row r="101" ht="22" customHeight="1" s="21">
      <c r="A101" s="47" t="inlineStr">
        <is>
          <t>龙39</t>
        </is>
      </c>
      <c r="B101" s="47" t="n"/>
      <c r="C101" s="47" t="n"/>
      <c r="D101" s="50" t="n"/>
      <c r="E101" s="47" t="n"/>
      <c r="F101" s="51" t="n"/>
      <c r="G101" s="47" t="n"/>
      <c r="H101" s="47">
        <f>IFERROR(TEXT(VLOOKUP(2026000+ROW()-1,开奖记录!$A:$L,3,FALSE),"00")&amp;"+5="&amp;VLOOKUP(MOD(VLOOKUP(2026000+ROW()-1,开奖记录!$A:$L,3,FALSE)+4,49)+1,规律参数!$A:$C,3,FALSE),"")</f>
        <v/>
      </c>
      <c r="I101" s="52" t="n"/>
      <c r="J101" s="47">
        <f>IFERROR(VLOOKUP(VLOOKUP(2026000+ROW()-1,开奖记录!$A:$L,11,FALSE),八肖参数!$A:$B,2,FALSE),"")</f>
        <v/>
      </c>
    </row>
    <row r="102" ht="22" customHeight="1" s="21">
      <c r="A102" s="47" t="inlineStr">
        <is>
          <t>猪20</t>
        </is>
      </c>
      <c r="B102" s="47" t="n"/>
      <c r="C102" s="47" t="n"/>
      <c r="D102" s="51" t="n"/>
      <c r="E102" s="47" t="n"/>
      <c r="F102" s="48" t="n"/>
      <c r="G102" s="47" t="n"/>
      <c r="H102" s="47">
        <f>IFERROR(TEXT(VLOOKUP(2026000+ROW()-1,开奖记录!$A:$L,3,FALSE),"00")&amp;"+5="&amp;VLOOKUP(MOD(VLOOKUP(2026000+ROW()-1,开奖记录!$A:$L,3,FALSE)+4,49)+1,规律参数!$A:$C,3,FALSE),"")</f>
        <v/>
      </c>
      <c r="I102" s="52" t="n"/>
      <c r="J102" s="47">
        <f>IFERROR(VLOOKUP(VLOOKUP(2026000+ROW()-1,开奖记录!$A:$L,11,FALSE),八肖参数!$A:$B,2,FALSE),"")</f>
        <v/>
      </c>
    </row>
    <row r="103" ht="22" customHeight="1" s="21">
      <c r="A103" s="47" t="inlineStr">
        <is>
          <t>牛06</t>
        </is>
      </c>
      <c r="B103" s="47" t="n"/>
      <c r="C103" s="47" t="n"/>
      <c r="D103" s="48" t="n"/>
      <c r="E103" s="47" t="n"/>
      <c r="F103" s="49" t="n"/>
      <c r="G103" s="47" t="n"/>
      <c r="H103" s="47">
        <f>IFERROR(TEXT(VLOOKUP(2026000+ROW()-1,开奖记录!$A:$L,3,FALSE),"00")&amp;"+5="&amp;VLOOKUP(MOD(VLOOKUP(2026000+ROW()-1,开奖记录!$A:$L,3,FALSE)+4,49)+1,规律参数!$A:$C,3,FALSE),"")</f>
        <v/>
      </c>
      <c r="I103" s="47" t="n"/>
      <c r="J103" s="47">
        <f>IFERROR(VLOOKUP(VLOOKUP(2026000+ROW()-1,开奖记录!$A:$L,11,FALSE),八肖参数!$A:$B,2,FALSE),"")</f>
        <v/>
      </c>
    </row>
    <row r="104" ht="22" customHeight="1" s="21">
      <c r="A104" s="47" t="inlineStr">
        <is>
          <t>马 01</t>
        </is>
      </c>
      <c r="B104" s="47" t="n"/>
      <c r="C104" s="47" t="n"/>
      <c r="D104" s="50" t="n"/>
      <c r="E104" s="47" t="n"/>
      <c r="F104" s="51" t="n"/>
      <c r="G104" s="47" t="n"/>
      <c r="H104" s="47">
        <f>IFERROR(TEXT(VLOOKUP(2026000+ROW()-1,开奖记录!$A:$L,3,FALSE),"00")&amp;"+5="&amp;VLOOKUP(MOD(VLOOKUP(2026000+ROW()-1,开奖记录!$A:$L,3,FALSE)+4,49)+1,规律参数!$A:$C,3,FALSE),"")</f>
        <v/>
      </c>
      <c r="I104" s="47" t="n"/>
      <c r="J104" s="47">
        <f>IFERROR(VLOOKUP(VLOOKUP(2026000+ROW()-1,开奖记录!$A:$L,11,FALSE),八肖参数!$A:$B,2,FALSE),"")</f>
        <v/>
      </c>
    </row>
    <row r="105" ht="22" customHeight="1" s="21">
      <c r="A105" s="47" t="inlineStr">
        <is>
          <t>兔28</t>
        </is>
      </c>
      <c r="B105" s="47" t="n"/>
      <c r="C105" s="47" t="n"/>
      <c r="D105" s="51" t="n"/>
      <c r="E105" s="47" t="n"/>
      <c r="F105" s="48" t="n"/>
      <c r="G105" s="47" t="n"/>
      <c r="H105" s="47">
        <f>IFERROR(TEXT(VLOOKUP(2026000+ROW()-1,开奖记录!$A:$L,3,FALSE),"00")&amp;"+5="&amp;VLOOKUP(MOD(VLOOKUP(2026000+ROW()-1,开奖记录!$A:$L,3,FALSE)+4,49)+1,规律参数!$A:$C,3,FALSE),"")</f>
        <v/>
      </c>
      <c r="I105" s="52" t="n"/>
      <c r="J105" s="47">
        <f>IFERROR(VLOOKUP(VLOOKUP(2026000+ROW()-1,开奖记录!$A:$L,11,FALSE),八肖参数!$A:$B,2,FALSE),"")</f>
        <v/>
      </c>
    </row>
    <row r="106" ht="22" customHeight="1" s="21">
      <c r="A106" s="47" t="inlineStr">
        <is>
          <t>鸡22</t>
        </is>
      </c>
      <c r="B106" s="47" t="n"/>
      <c r="C106" s="47" t="n"/>
      <c r="D106" s="48" t="n"/>
      <c r="E106" s="47" t="n"/>
      <c r="F106" s="49" t="n"/>
      <c r="G106" s="47" t="n"/>
      <c r="H106" s="47">
        <f>IFERROR(TEXT(VLOOKUP(2026000+ROW()-1,开奖记录!$A:$L,3,FALSE),"00")&amp;"+5="&amp;VLOOKUP(MOD(VLOOKUP(2026000+ROW()-1,开奖记录!$A:$L,3,FALSE)+4,49)+1,规律参数!$A:$C,3,FALSE),"")</f>
        <v/>
      </c>
      <c r="I106" s="52" t="inlineStr">
        <is>
          <t>尾反</t>
        </is>
      </c>
      <c r="J106" s="47">
        <f>IFERROR(VLOOKUP(VLOOKUP(2026000+ROW()-1,开奖记录!$A:$L,11,FALSE),八肖参数!$A:$B,2,FALSE),"")</f>
        <v/>
      </c>
    </row>
    <row r="107" ht="22" customHeight="1" s="21">
      <c r="A107" s="47" t="inlineStr">
        <is>
          <t>马49</t>
        </is>
      </c>
      <c r="B107" s="47" t="n"/>
      <c r="C107" s="47" t="n"/>
      <c r="D107" s="50" t="n"/>
      <c r="E107" s="47" t="n"/>
      <c r="F107" s="51" t="n"/>
      <c r="G107" s="47" t="n"/>
      <c r="H107" s="47">
        <f>IFERROR(TEXT(VLOOKUP(2026000+ROW()-1,开奖记录!$A:$L,3,FALSE),"00")&amp;"+5="&amp;VLOOKUP(MOD(VLOOKUP(2026000+ROW()-1,开奖记录!$A:$L,3,FALSE)+4,49)+1,规律参数!$A:$C,3,FALSE),"")</f>
        <v/>
      </c>
      <c r="I107" s="52" t="n"/>
      <c r="J107" s="47">
        <f>IFERROR(VLOOKUP(VLOOKUP(2026000+ROW()-1,开奖记录!$A:$L,11,FALSE),八肖参数!$A:$B,2,FALSE),"")</f>
        <v/>
      </c>
    </row>
    <row r="108" ht="22" customHeight="1" s="21">
      <c r="A108" s="47" t="inlineStr">
        <is>
          <t>狗45</t>
        </is>
      </c>
      <c r="B108" s="47" t="n"/>
      <c r="C108" s="47" t="n"/>
      <c r="D108" s="51" t="n"/>
      <c r="E108" s="47" t="n"/>
      <c r="F108" s="48" t="n"/>
      <c r="G108" s="47" t="n"/>
      <c r="H108" s="47">
        <f>IFERROR(TEXT(VLOOKUP(2026000+ROW()-1,开奖记录!$A:$L,3,FALSE),"00")&amp;"+5="&amp;VLOOKUP(MOD(VLOOKUP(2026000+ROW()-1,开奖记录!$A:$L,3,FALSE)+4,49)+1,规律参数!$A:$C,3,FALSE),"")</f>
        <v/>
      </c>
      <c r="I108" s="52" t="n"/>
      <c r="J108" s="47">
        <f>IFERROR(VLOOKUP(VLOOKUP(2026000+ROW()-1,开奖记录!$A:$L,11,FALSE),八肖参数!$A:$B,2,FALSE),"")</f>
        <v/>
      </c>
    </row>
    <row r="109" ht="22" customHeight="1" s="21">
      <c r="A109" s="47" t="inlineStr">
        <is>
          <t>兔16</t>
        </is>
      </c>
      <c r="B109" s="47" t="n"/>
      <c r="C109" s="47" t="n"/>
      <c r="D109" s="48" t="n"/>
      <c r="E109" s="47" t="n"/>
      <c r="F109" s="49" t="n"/>
      <c r="G109" s="47" t="n"/>
      <c r="H109" s="47">
        <f>IFERROR(TEXT(VLOOKUP(2026000+ROW()-1,开奖记录!$A:$L,3,FALSE),"00")&amp;"+5="&amp;VLOOKUP(MOD(VLOOKUP(2026000+ROW()-1,开奖记录!$A:$L,3,FALSE)+4,49)+1,规律参数!$A:$C,3,FALSE),"")</f>
        <v/>
      </c>
      <c r="I109" s="52" t="n"/>
      <c r="J109" s="47">
        <f>IFERROR(VLOOKUP(VLOOKUP(2026000+ROW()-1,开奖记录!$A:$L,11,FALSE),八肖参数!$A:$B,2,FALSE),"")</f>
        <v/>
      </c>
    </row>
    <row r="110" ht="22" customHeight="1" s="21">
      <c r="A110" s="47" t="inlineStr">
        <is>
          <t>牛30</t>
        </is>
      </c>
      <c r="B110" s="47" t="n"/>
      <c r="C110" s="47" t="n"/>
      <c r="D110" s="50" t="n"/>
      <c r="E110" s="47" t="n"/>
      <c r="F110" s="51" t="n"/>
      <c r="G110" s="47" t="n"/>
      <c r="H110" s="47">
        <f>IFERROR(TEXT(VLOOKUP(2026000+ROW()-1,开奖记录!$A:$L,3,FALSE),"00")&amp;"+5="&amp;VLOOKUP(MOD(VLOOKUP(2026000+ROW()-1,开奖记录!$A:$L,3,FALSE)+4,49)+1,规律参数!$A:$C,3,FALSE),"")</f>
        <v/>
      </c>
      <c r="I110" s="52" t="n"/>
      <c r="J110" s="47">
        <f>IFERROR(VLOOKUP(VLOOKUP(2026000+ROW()-1,开奖记录!$A:$L,11,FALSE),八肖参数!$A:$B,2,FALSE),"")</f>
        <v/>
      </c>
    </row>
    <row r="111" ht="22" customHeight="1" s="21">
      <c r="A111" s="47" t="inlineStr">
        <is>
          <t>马 01</t>
        </is>
      </c>
      <c r="B111" s="47" t="n"/>
      <c r="C111" s="47" t="n"/>
      <c r="D111" s="51" t="n"/>
      <c r="E111" s="47" t="n"/>
      <c r="F111" s="48" t="n"/>
      <c r="G111" s="47" t="n"/>
      <c r="H111" s="47">
        <f>IFERROR(TEXT(VLOOKUP(2026000+ROW()-1,开奖记录!$A:$L,3,FALSE),"00")&amp;"+5="&amp;VLOOKUP(MOD(VLOOKUP(2026000+ROW()-1,开奖记录!$A:$L,3,FALSE)+4,49)+1,规律参数!$A:$C,3,FALSE),"")</f>
        <v/>
      </c>
      <c r="I111" s="52" t="n"/>
      <c r="J111" s="47">
        <f>IFERROR(VLOOKUP(VLOOKUP(2026000+ROW()-1,开奖记录!$A:$L,11,FALSE),八肖参数!$A:$B,2,FALSE),"")</f>
        <v/>
      </c>
    </row>
    <row r="112" ht="22" customHeight="1" s="21">
      <c r="A112" s="47" t="inlineStr">
        <is>
          <t xml:space="preserve">狗 09 </t>
        </is>
      </c>
      <c r="B112" s="47" t="n"/>
      <c r="C112" s="47" t="n"/>
      <c r="D112" s="48" t="n"/>
      <c r="E112" s="47" t="n"/>
      <c r="F112" s="49" t="n"/>
      <c r="G112" s="47" t="n"/>
      <c r="H112" s="47">
        <f>IFERROR(TEXT(VLOOKUP(2026000+ROW()-1,开奖记录!$A:$L,3,FALSE),"00")&amp;"+5="&amp;VLOOKUP(MOD(VLOOKUP(2026000+ROW()-1,开奖记录!$A:$L,3,FALSE)+4,49)+1,规律参数!$A:$C,3,FALSE),"")</f>
        <v/>
      </c>
      <c r="I112" s="52" t="n"/>
      <c r="J112" s="47">
        <f>IFERROR(VLOOKUP(VLOOKUP(2026000+ROW()-1,开奖记录!$A:$L,11,FALSE),八肖参数!$A:$B,2,FALSE),"")</f>
        <v/>
      </c>
    </row>
    <row r="113" ht="22" customHeight="1" s="21">
      <c r="A113" s="47" t="inlineStr">
        <is>
          <t>蛇02</t>
        </is>
      </c>
      <c r="B113" s="47" t="n"/>
      <c r="C113" s="47" t="n"/>
      <c r="D113" s="50" t="n"/>
      <c r="E113" s="47" t="n"/>
      <c r="F113" s="51" t="n"/>
      <c r="G113" s="47" t="n"/>
      <c r="H113" s="47">
        <f>IFERROR(TEXT(VLOOKUP(2026000+ROW()-1,开奖记录!$A:$L,3,FALSE),"00")&amp;"+5="&amp;VLOOKUP(MOD(VLOOKUP(2026000+ROW()-1,开奖记录!$A:$L,3,FALSE)+4,49)+1,规律参数!$A:$C,3,FALSE),"")</f>
        <v/>
      </c>
      <c r="I113" s="52" t="n"/>
      <c r="J113" s="47">
        <f>IFERROR(VLOOKUP(VLOOKUP(2026000+ROW()-1,开奖记录!$A:$L,11,FALSE),八肖参数!$A:$B,2,FALSE),"")</f>
        <v/>
      </c>
    </row>
    <row r="114" ht="22" customHeight="1" s="21">
      <c r="A114" s="47" t="inlineStr">
        <is>
          <t>牛30</t>
        </is>
      </c>
      <c r="B114" s="47" t="n"/>
      <c r="C114" s="47" t="n"/>
      <c r="D114" s="51" t="n"/>
      <c r="E114" s="47" t="n"/>
      <c r="F114" s="48" t="n"/>
      <c r="G114" s="47" t="n"/>
      <c r="H114" s="47">
        <f>IFERROR(TEXT(VLOOKUP(2026000+ROW()-1,开奖记录!$A:$L,3,FALSE),"00")&amp;"+5="&amp;VLOOKUP(MOD(VLOOKUP(2026000+ROW()-1,开奖记录!$A:$L,3,FALSE)+4,49)+1,规律参数!$A:$C,3,FALSE),"")</f>
        <v/>
      </c>
      <c r="I114" s="47" t="n"/>
      <c r="J114" s="47">
        <f>IFERROR(VLOOKUP(VLOOKUP(2026000+ROW()-1,开奖记录!$A:$L,11,FALSE),八肖参数!$A:$B,2,FALSE),"")</f>
        <v/>
      </c>
    </row>
    <row r="115" ht="22" customHeight="1" s="21">
      <c r="A115" s="47" t="inlineStr">
        <is>
          <t>兔04</t>
        </is>
      </c>
      <c r="B115" s="47" t="n"/>
      <c r="C115" s="47" t="n"/>
      <c r="D115" s="48" t="n"/>
      <c r="E115" s="47" t="n"/>
      <c r="F115" s="49" t="n"/>
      <c r="G115" s="47" t="n"/>
      <c r="H115" s="47">
        <f>IFERROR(TEXT(VLOOKUP(2026000+ROW()-1,开奖记录!$A:$L,3,FALSE),"00")&amp;"+5="&amp;VLOOKUP(MOD(VLOOKUP(2026000+ROW()-1,开奖记录!$A:$L,3,FALSE)+4,49)+1,规律参数!$A:$C,3,FALSE),"")</f>
        <v/>
      </c>
      <c r="I115" s="47" t="n"/>
      <c r="J115" s="47">
        <f>IFERROR(VLOOKUP(VLOOKUP(2026000+ROW()-1,开奖记录!$A:$L,11,FALSE),八肖参数!$A:$B,2,FALSE),"")</f>
        <v/>
      </c>
    </row>
    <row r="116" ht="22" customHeight="1" s="21">
      <c r="A116" s="47" t="inlineStr">
        <is>
          <t>鸡22</t>
        </is>
      </c>
      <c r="B116" s="47" t="n"/>
      <c r="C116" s="47" t="n"/>
      <c r="D116" s="50" t="n"/>
      <c r="E116" s="47" t="n"/>
      <c r="F116" s="51" t="n"/>
      <c r="G116" s="47" t="n"/>
      <c r="H116" s="47">
        <f>IFERROR(TEXT(VLOOKUP(2026000+ROW()-1,开奖记录!$A:$L,3,FALSE),"00")&amp;"+5="&amp;VLOOKUP(MOD(VLOOKUP(2026000+ROW()-1,开奖记录!$A:$L,3,FALSE)+4,49)+1,规律参数!$A:$C,3,FALSE),"")</f>
        <v/>
      </c>
      <c r="I116" s="52" t="n"/>
      <c r="J116" s="47">
        <f>IFERROR(VLOOKUP(VLOOKUP(2026000+ROW()-1,开奖记录!$A:$L,11,FALSE),八肖参数!$A:$B,2,FALSE),"")</f>
        <v/>
      </c>
    </row>
    <row r="117" ht="22" customHeight="1" s="21">
      <c r="A117" s="47" t="inlineStr">
        <is>
          <t>兔16</t>
        </is>
      </c>
      <c r="B117" s="47" t="n"/>
      <c r="C117" s="47" t="n"/>
      <c r="D117" s="51" t="n"/>
      <c r="E117" s="47" t="n"/>
      <c r="F117" s="48" t="n"/>
      <c r="G117" s="47" t="n"/>
      <c r="H117" s="47">
        <f>IFERROR(TEXT(VLOOKUP(2026000+ROW()-1,开奖记录!$A:$L,3,FALSE),"00")&amp;"+5="&amp;VLOOKUP(MOD(VLOOKUP(2026000+ROW()-1,开奖记录!$A:$L,3,FALSE)+4,49)+1,规律参数!$A:$C,3,FALSE),"")</f>
        <v/>
      </c>
      <c r="I117" s="52" t="n"/>
      <c r="J117" s="47">
        <f>IFERROR(VLOOKUP(VLOOKUP(2026000+ROW()-1,开奖记录!$A:$L,11,FALSE),八肖参数!$A:$B,2,FALSE),"")</f>
        <v/>
      </c>
    </row>
    <row r="118" ht="22" customHeight="1" s="21">
      <c r="A118" s="47" t="inlineStr">
        <is>
          <t>猪08</t>
        </is>
      </c>
      <c r="B118" s="47" t="n"/>
      <c r="C118" s="47" t="n"/>
      <c r="D118" s="48" t="n"/>
      <c r="E118" s="47" t="n"/>
      <c r="F118" s="49" t="n"/>
      <c r="G118" s="47" t="n"/>
      <c r="H118" s="47">
        <f>IFERROR(TEXT(VLOOKUP(2026000+ROW()-1,开奖记录!$A:$L,3,FALSE),"00")&amp;"+5="&amp;VLOOKUP(MOD(VLOOKUP(2026000+ROW()-1,开奖记录!$A:$L,3,FALSE)+4,49)+1,规律参数!$A:$C,3,FALSE),"")</f>
        <v/>
      </c>
      <c r="I118" s="52" t="n"/>
      <c r="J118" s="47">
        <f>IFERROR(VLOOKUP(VLOOKUP(2026000+ROW()-1,开奖记录!$A:$L,11,FALSE),八肖参数!$A:$B,2,FALSE),"")</f>
        <v/>
      </c>
    </row>
    <row r="119" ht="22" customHeight="1" s="21">
      <c r="A119" s="47" t="inlineStr">
        <is>
          <t>猴11</t>
        </is>
      </c>
      <c r="B119" s="47" t="n"/>
      <c r="C119" s="47" t="n"/>
      <c r="D119" s="50" t="n"/>
      <c r="E119" s="47" t="n"/>
      <c r="F119" s="51" t="n"/>
      <c r="G119" s="47" t="n"/>
      <c r="H119" s="47">
        <f>IFERROR(TEXT(VLOOKUP(2026000+ROW()-1,开奖记录!$A:$L,3,FALSE),"00")&amp;"+5="&amp;VLOOKUP(MOD(VLOOKUP(2026000+ROW()-1,开奖记录!$A:$L,3,FALSE)+4,49)+1,规律参数!$A:$C,3,FALSE),"")</f>
        <v/>
      </c>
      <c r="I119" s="52" t="n"/>
      <c r="J119" s="47">
        <f>IFERROR(VLOOKUP(VLOOKUP(2026000+ROW()-1,开奖记录!$A:$L,11,FALSE),八肖参数!$A:$B,2,FALSE),"")</f>
        <v/>
      </c>
    </row>
    <row r="120" ht="22" customHeight="1" s="21">
      <c r="A120" s="47" t="inlineStr">
        <is>
          <t>牛06</t>
        </is>
      </c>
      <c r="B120" s="47" t="n"/>
      <c r="C120" s="47" t="n"/>
      <c r="D120" s="51" t="n"/>
      <c r="E120" s="47" t="n"/>
      <c r="F120" s="48" t="n"/>
      <c r="G120" s="47" t="n"/>
      <c r="H120" s="47">
        <f>IFERROR(TEXT(VLOOKUP(2026000+ROW()-1,开奖记录!$A:$L,3,FALSE),"00")&amp;"+5="&amp;VLOOKUP(MOD(VLOOKUP(2026000+ROW()-1,开奖记录!$A:$L,3,FALSE)+4,49)+1,规律参数!$A:$C,3,FALSE),"")</f>
        <v/>
      </c>
      <c r="I120" s="52" t="n"/>
      <c r="J120" s="47">
        <f>IFERROR(VLOOKUP(VLOOKUP(2026000+ROW()-1,开奖记录!$A:$L,11,FALSE),八肖参数!$A:$B,2,FALSE),"")</f>
        <v/>
      </c>
    </row>
    <row r="121" ht="22" customHeight="1" s="21">
      <c r="A121" s="47" t="inlineStr">
        <is>
          <t>猪44</t>
        </is>
      </c>
      <c r="B121" s="47" t="n"/>
      <c r="C121" s="47" t="n"/>
      <c r="D121" s="48" t="n"/>
      <c r="E121" s="47" t="n"/>
      <c r="F121" s="49" t="n"/>
      <c r="G121" s="47" t="n"/>
      <c r="H121" s="47">
        <f>IFERROR(TEXT(VLOOKUP(2026000+ROW()-1,开奖记录!$A:$L,3,FALSE),"00")&amp;"+5="&amp;VLOOKUP(MOD(VLOOKUP(2026000+ROW()-1,开奖记录!$A:$L,3,FALSE)+4,49)+1,规律参数!$A:$C,3,FALSE),"")</f>
        <v/>
      </c>
      <c r="I121" s="47" t="n"/>
      <c r="J121" s="47">
        <f>IFERROR(VLOOKUP(VLOOKUP(2026000+ROW()-1,开奖记录!$A:$L,11,FALSE),八肖参数!$A:$B,2,FALSE),"")</f>
        <v/>
      </c>
    </row>
    <row r="122" ht="22" customHeight="1" s="21">
      <c r="A122" s="47" t="inlineStr">
        <is>
          <t>马 01</t>
        </is>
      </c>
      <c r="B122" s="47" t="n"/>
      <c r="C122" s="47" t="n">
        <v>200</v>
      </c>
      <c r="D122" s="50" t="n"/>
      <c r="E122" s="47" t="n"/>
      <c r="F122" s="51" t="n"/>
      <c r="G122" s="47" t="n"/>
      <c r="H122" s="47">
        <f>IFERROR(TEXT(VLOOKUP(2026000+ROW()-1,开奖记录!$A:$L,3,FALSE),"00")&amp;"+5="&amp;VLOOKUP(MOD(VLOOKUP(2026000+ROW()-1,开奖记录!$A:$L,3,FALSE)+4,49)+1,规律参数!$A:$C,3,FALSE),"")</f>
        <v/>
      </c>
      <c r="I122" s="52" t="n"/>
      <c r="J122" s="47">
        <f>IFERROR(VLOOKUP(VLOOKUP(2026000+ROW()-1,开奖记录!$A:$L,11,FALSE),八肖参数!$A:$B,2,FALSE),"")</f>
        <v/>
      </c>
    </row>
    <row r="123" ht="22" customHeight="1" s="21">
      <c r="A123" s="47" t="inlineStr">
        <is>
          <t>鸡46</t>
        </is>
      </c>
      <c r="B123" s="47" t="n"/>
      <c r="C123" s="47" t="n"/>
      <c r="D123" s="51" t="n"/>
      <c r="E123" s="47" t="n"/>
      <c r="F123" s="48" t="n"/>
      <c r="G123" s="47" t="n"/>
      <c r="H123" s="47">
        <f>IFERROR(TEXT(VLOOKUP(2026000+ROW()-1,开奖记录!$A:$L,3,FALSE),"00")&amp;"+5="&amp;VLOOKUP(MOD(VLOOKUP(2026000+ROW()-1,开奖记录!$A:$L,3,FALSE)+4,49)+1,规律参数!$A:$C,3,FALSE),"")</f>
        <v/>
      </c>
      <c r="I123" s="52" t="n"/>
      <c r="J123" s="47">
        <f>IFERROR(VLOOKUP(VLOOKUP(2026000+ROW()-1,开奖记录!$A:$L,11,FALSE),八肖参数!$A:$B,2,FALSE),"")</f>
        <v/>
      </c>
    </row>
    <row r="124" ht="22" customHeight="1" s="21">
      <c r="A124" s="47" t="inlineStr">
        <is>
          <t>龙39</t>
        </is>
      </c>
      <c r="B124" s="47" t="n"/>
      <c r="C124" s="47" t="n"/>
      <c r="D124" s="48" t="n"/>
      <c r="E124" s="47" t="n"/>
      <c r="F124" s="49" t="n"/>
      <c r="G124" s="47" t="n"/>
      <c r="H124" s="47">
        <f>IFERROR(TEXT(VLOOKUP(2026000+ROW()-1,开奖记录!$A:$L,3,FALSE),"00")&amp;"+5="&amp;VLOOKUP(MOD(VLOOKUP(2026000+ROW()-1,开奖记录!$A:$L,3,FALSE)+4,49)+1,规律参数!$A:$C,3,FALSE),"")</f>
        <v/>
      </c>
      <c r="I124" s="52" t="n"/>
      <c r="J124" s="47">
        <f>IFERROR(VLOOKUP(VLOOKUP(2026000+ROW()-1,开奖记录!$A:$L,11,FALSE),八肖参数!$A:$B,2,FALSE),"")</f>
        <v/>
      </c>
    </row>
    <row r="125" ht="22" customHeight="1" s="21">
      <c r="A125" s="47" t="inlineStr">
        <is>
          <t xml:space="preserve">鼠 31 </t>
        </is>
      </c>
      <c r="B125" s="47" t="n"/>
      <c r="C125" s="47" t="n"/>
      <c r="D125" s="50" t="n"/>
      <c r="E125" s="47" t="n"/>
      <c r="F125" s="51" t="n"/>
      <c r="G125" s="47" t="n"/>
      <c r="H125" s="47">
        <f>IFERROR(TEXT(VLOOKUP(2026000+ROW()-1,开奖记录!$A:$L,3,FALSE),"00")&amp;"+5="&amp;VLOOKUP(MOD(VLOOKUP(2026000+ROW()-1,开奖记录!$A:$L,3,FALSE)+4,49)+1,规律参数!$A:$C,3,FALSE),"")</f>
        <v/>
      </c>
      <c r="I125" s="47" t="n"/>
      <c r="J125" s="47">
        <f>IFERROR(VLOOKUP(VLOOKUP(2026000+ROW()-1,开奖记录!$A:$L,11,FALSE),八肖参数!$A:$B,2,FALSE),"")</f>
        <v/>
      </c>
    </row>
    <row r="126" ht="22" customHeight="1" s="21">
      <c r="A126" s="47" t="inlineStr">
        <is>
          <t>马49</t>
        </is>
      </c>
      <c r="B126" s="47" t="n"/>
      <c r="C126" s="47" t="n"/>
      <c r="D126" s="51" t="n"/>
      <c r="E126" s="47" t="n"/>
      <c r="F126" s="48" t="n"/>
      <c r="G126" s="47" t="n"/>
      <c r="H126" s="47">
        <f>IFERROR(TEXT(VLOOKUP(2026000+ROW()-1,开奖记录!$A:$L,3,FALSE),"00")&amp;"+5="&amp;VLOOKUP(MOD(VLOOKUP(2026000+ROW()-1,开奖记录!$A:$L,3,FALSE)+4,49)+1,规律参数!$A:$C,3,FALSE),"")</f>
        <v/>
      </c>
      <c r="I126" s="52" t="n"/>
      <c r="J126" s="47">
        <f>IFERROR(VLOOKUP(VLOOKUP(2026000+ROW()-1,开奖记录!$A:$L,11,FALSE),八肖参数!$A:$B,2,FALSE),"")</f>
        <v/>
      </c>
    </row>
    <row r="127" ht="22" customHeight="1" s="21">
      <c r="A127" s="47" t="inlineStr">
        <is>
          <t>狗45</t>
        </is>
      </c>
      <c r="B127" s="47" t="n"/>
      <c r="C127" s="47" t="n"/>
      <c r="D127" s="48" t="n"/>
      <c r="E127" s="47" t="n"/>
      <c r="F127" s="49" t="n"/>
      <c r="G127" s="47" t="n"/>
      <c r="H127" s="47">
        <f>IFERROR(TEXT(VLOOKUP(2026000+ROW()-1,开奖记录!$A:$L,3,FALSE),"00")&amp;"+5="&amp;VLOOKUP(MOD(VLOOKUP(2026000+ROW()-1,开奖记录!$A:$L,3,FALSE)+4,49)+1,规律参数!$A:$C,3,FALSE),"")</f>
        <v/>
      </c>
      <c r="I127" s="52" t="n"/>
      <c r="J127" s="47">
        <f>IFERROR(VLOOKUP(VLOOKUP(2026000+ROW()-1,开奖记录!$A:$L,11,FALSE),八肖参数!$A:$B,2,FALSE),"")</f>
        <v/>
      </c>
    </row>
    <row r="128" ht="22" customHeight="1" s="21">
      <c r="A128" s="47" t="inlineStr">
        <is>
          <t xml:space="preserve">马 37 </t>
        </is>
      </c>
      <c r="B128" s="47" t="n"/>
      <c r="C128" s="47" t="n">
        <v>120</v>
      </c>
      <c r="D128" s="50" t="n"/>
      <c r="E128" s="47" t="n"/>
      <c r="F128" s="51" t="n"/>
      <c r="G128" s="47" t="n"/>
      <c r="H128" s="47">
        <f>IFERROR(TEXT(VLOOKUP(2026000+ROW()-1,开奖记录!$A:$L,3,FALSE),"00")&amp;"+5="&amp;VLOOKUP(MOD(VLOOKUP(2026000+ROW()-1,开奖记录!$A:$L,3,FALSE)+4,49)+1,规律参数!$A:$C,3,FALSE),"")</f>
        <v/>
      </c>
      <c r="I128" s="47" t="n"/>
      <c r="J128" s="47">
        <f>IFERROR(VLOOKUP(VLOOKUP(2026000+ROW()-1,开奖记录!$A:$L,11,FALSE),八肖参数!$A:$B,2,FALSE),"")</f>
        <v/>
      </c>
    </row>
    <row r="129" ht="22" customHeight="1" s="21">
      <c r="A129" s="47" t="inlineStr">
        <is>
          <t>虎41</t>
        </is>
      </c>
      <c r="B129" s="47" t="n"/>
      <c r="C129" s="47" t="n">
        <v>140</v>
      </c>
      <c r="D129" s="51" t="n"/>
      <c r="E129" s="47" t="n"/>
      <c r="F129" s="48" t="n"/>
      <c r="G129" s="47" t="n"/>
      <c r="H129" s="47">
        <f>IFERROR(TEXT(VLOOKUP(2026000+ROW()-1,开奖记录!$A:$L,3,FALSE),"00")&amp;"+5="&amp;VLOOKUP(MOD(VLOOKUP(2026000+ROW()-1,开奖记录!$A:$L,3,FALSE)+4,49)+1,规律参数!$A:$C,3,FALSE),"")</f>
        <v/>
      </c>
      <c r="I129" s="52" t="n"/>
      <c r="J129" s="47">
        <f>IFERROR(VLOOKUP(VLOOKUP(2026000+ROW()-1,开奖记录!$A:$L,11,FALSE),八肖参数!$A:$B,2,FALSE),"")</f>
        <v/>
      </c>
    </row>
    <row r="130" ht="22" customHeight="1" s="21">
      <c r="A130" s="47" t="inlineStr">
        <is>
          <t>虎 29</t>
        </is>
      </c>
      <c r="B130" s="47" t="n">
        <v>100</v>
      </c>
      <c r="C130" s="47" t="n"/>
      <c r="D130" s="48" t="n"/>
      <c r="E130" s="47" t="n"/>
      <c r="F130" s="49" t="n"/>
      <c r="G130" s="47" t="n"/>
      <c r="H130" s="47">
        <f>IFERROR(TEXT(VLOOKUP(2026000+ROW()-1,开奖记录!$A:$L,3,FALSE),"00")&amp;"+5="&amp;VLOOKUP(MOD(VLOOKUP(2026000+ROW()-1,开奖记录!$A:$L,3,FALSE)+4,49)+1,规律参数!$A:$C,3,FALSE),"")</f>
        <v/>
      </c>
      <c r="I130" s="52" t="n"/>
      <c r="J130" s="47">
        <f>IFERROR(VLOOKUP(VLOOKUP(2026000+ROW()-1,开奖记录!$A:$L,11,FALSE),八肖参数!$A:$B,2,FALSE),"")</f>
        <v/>
      </c>
    </row>
    <row r="131" ht="22" customHeight="1" s="21">
      <c r="A131" s="47" t="inlineStr">
        <is>
          <t>鼠07</t>
        </is>
      </c>
      <c r="B131" s="47" t="n"/>
      <c r="C131" s="47" t="n">
        <v>75</v>
      </c>
      <c r="D131" s="50" t="n"/>
      <c r="E131" s="47" t="n"/>
      <c r="F131" s="51" t="n"/>
      <c r="G131" s="47" t="n"/>
      <c r="H131" s="47">
        <f>IFERROR(TEXT(VLOOKUP(2026000+ROW()-1,开奖记录!$A:$L,3,FALSE),"00")&amp;"+5="&amp;VLOOKUP(MOD(VLOOKUP(2026000+ROW()-1,开奖记录!$A:$L,3,FALSE)+4,49)+1,规律参数!$A:$C,3,FALSE),"")</f>
        <v/>
      </c>
      <c r="I131" s="47" t="n"/>
      <c r="J131" s="47">
        <f>IFERROR(VLOOKUP(VLOOKUP(2026000+ROW()-1,开奖记录!$A:$L,11,FALSE),八肖参数!$A:$B,2,FALSE),"")</f>
        <v/>
      </c>
    </row>
    <row r="132" ht="22" customHeight="1" s="21">
      <c r="A132" s="47" t="inlineStr">
        <is>
          <t>牛30</t>
        </is>
      </c>
      <c r="B132" s="47" t="n">
        <v>155</v>
      </c>
      <c r="C132" s="47" t="n"/>
      <c r="D132" s="51" t="n"/>
      <c r="E132" s="47" t="n"/>
      <c r="F132" s="48" t="n"/>
      <c r="G132" s="47" t="n"/>
      <c r="H132" s="47">
        <f>IFERROR(TEXT(VLOOKUP(2026000+ROW()-1,开奖记录!$A:$L,3,FALSE),"00")&amp;"+5="&amp;VLOOKUP(MOD(VLOOKUP(2026000+ROW()-1,开奖记录!$A:$L,3,FALSE)+4,49)+1,规律参数!$A:$C,3,FALSE),"")</f>
        <v/>
      </c>
      <c r="I132" s="47" t="n"/>
      <c r="J132" s="47">
        <f>IFERROR(VLOOKUP(VLOOKUP(2026000+ROW()-1,开奖记录!$A:$L,11,FALSE),八肖参数!$A:$B,2,FALSE),"")</f>
        <v/>
      </c>
    </row>
    <row r="133" ht="22" customHeight="1" s="21">
      <c r="A133" s="47" t="inlineStr">
        <is>
          <t>鼠07</t>
        </is>
      </c>
      <c r="B133" s="47" t="n"/>
      <c r="C133" s="47" t="n">
        <v>80</v>
      </c>
      <c r="D133" s="48" t="n"/>
      <c r="E133" s="47" t="n"/>
      <c r="F133" s="49" t="n"/>
      <c r="G133" s="47" t="n"/>
      <c r="H133" s="47">
        <f>IFERROR(TEXT(VLOOKUP(2026000+ROW()-1,开奖记录!$A:$L,3,FALSE),"00")&amp;"+5="&amp;VLOOKUP(MOD(VLOOKUP(2026000+ROW()-1,开奖记录!$A:$L,3,FALSE)+4,49)+1,规律参数!$A:$C,3,FALSE),"")</f>
        <v/>
      </c>
      <c r="I133" s="47" t="n"/>
      <c r="J133" s="47">
        <f>IFERROR(VLOOKUP(VLOOKUP(2026000+ROW()-1,开奖记录!$A:$L,11,FALSE),八肖参数!$A:$B,2,FALSE),"")</f>
        <v/>
      </c>
    </row>
    <row r="134" ht="22" customHeight="1" s="21">
      <c r="A134" s="47" t="inlineStr">
        <is>
          <t>马37</t>
        </is>
      </c>
      <c r="B134" s="47" t="n"/>
      <c r="C134" s="47" t="n"/>
      <c r="D134" s="50" t="n"/>
      <c r="E134" s="47" t="n"/>
      <c r="F134" s="51" t="n"/>
      <c r="G134" s="47" t="n"/>
      <c r="H134" s="47">
        <f>IFERROR(TEXT(VLOOKUP(2026000+ROW()-1,开奖记录!$A:$L,3,FALSE),"00")&amp;"+5="&amp;VLOOKUP(MOD(VLOOKUP(2026000+ROW()-1,开奖记录!$A:$L,3,FALSE)+4,49)+1,规律参数!$A:$C,3,FALSE),"")</f>
        <v/>
      </c>
      <c r="I134" s="47" t="n"/>
      <c r="J134" s="47">
        <f>IFERROR(VLOOKUP(VLOOKUP(2026000+ROW()-1,开奖记录!$A:$L,11,FALSE),八肖参数!$A:$B,2,FALSE),"")</f>
        <v/>
      </c>
    </row>
    <row r="135" ht="22" customHeight="1" s="21">
      <c r="A135" s="47" t="inlineStr">
        <is>
          <t>牛30</t>
        </is>
      </c>
      <c r="B135" s="47" t="n"/>
      <c r="C135" s="47" t="n">
        <v>60</v>
      </c>
      <c r="D135" s="51" t="n"/>
      <c r="E135" s="47" t="n"/>
      <c r="F135" s="48" t="n"/>
      <c r="G135" s="47" t="n"/>
      <c r="H135" s="47">
        <f>IFERROR(TEXT(VLOOKUP(2026000+ROW()-1,开奖记录!$A:$L,3,FALSE),"00")&amp;"+5="&amp;VLOOKUP(MOD(VLOOKUP(2026000+ROW()-1,开奖记录!$A:$L,3,FALSE)+4,49)+1,规律参数!$A:$C,3,FALSE),"")</f>
        <v/>
      </c>
      <c r="I135" s="47" t="n"/>
      <c r="J135" s="47">
        <f>IFERROR(VLOOKUP(VLOOKUP(2026000+ROW()-1,开奖记录!$A:$L,11,FALSE),八肖参数!$A:$B,2,FALSE),"")</f>
        <v/>
      </c>
    </row>
    <row r="136" ht="22" customHeight="1" s="21">
      <c r="A136" s="47" t="inlineStr">
        <is>
          <t xml:space="preserve">羊 48 </t>
        </is>
      </c>
      <c r="B136" s="47" t="n"/>
      <c r="C136" s="47" t="n">
        <v>80</v>
      </c>
      <c r="D136" s="48" t="n"/>
      <c r="E136" s="47" t="n"/>
      <c r="F136" s="49" t="n"/>
      <c r="G136" s="47" t="n"/>
      <c r="H136" s="47">
        <f>IFERROR(TEXT(VLOOKUP(2026000+ROW()-1,开奖记录!$A:$L,3,FALSE),"00")&amp;"+5="&amp;VLOOKUP(MOD(VLOOKUP(2026000+ROW()-1,开奖记录!$A:$L,3,FALSE)+4,49)+1,规律参数!$A:$C,3,FALSE),"")</f>
        <v/>
      </c>
      <c r="I136" s="52" t="n"/>
      <c r="J136" s="47">
        <f>IFERROR(VLOOKUP(VLOOKUP(2026000+ROW()-1,开奖记录!$A:$L,11,FALSE),八肖参数!$A:$B,2,FALSE),"")</f>
        <v/>
      </c>
    </row>
    <row r="137" ht="22" customHeight="1" s="21">
      <c r="A137" s="47" t="inlineStr">
        <is>
          <t>蛇26</t>
        </is>
      </c>
      <c r="B137" s="47" t="n"/>
      <c r="C137" s="47" t="n"/>
      <c r="D137" s="50" t="n"/>
      <c r="E137" s="47" t="n"/>
      <c r="F137" s="51" t="n"/>
      <c r="G137" s="47" t="n"/>
      <c r="H137" s="47">
        <f>IFERROR(TEXT(VLOOKUP(2026000+ROW()-1,开奖记录!$A:$L,3,FALSE),"00")&amp;"+5="&amp;VLOOKUP(MOD(VLOOKUP(2026000+ROW()-1,开奖记录!$A:$L,3,FALSE)+4,49)+1,规律参数!$A:$C,3,FALSE),"")</f>
        <v/>
      </c>
      <c r="I137" s="47" t="n"/>
      <c r="J137" s="47">
        <f>IFERROR(VLOOKUP(VLOOKUP(2026000+ROW()-1,开奖记录!$A:$L,11,FALSE),八肖参数!$A:$B,2,FALSE),"")</f>
        <v/>
      </c>
    </row>
    <row r="138" ht="22" customHeight="1" s="21">
      <c r="A138" s="47" t="inlineStr">
        <is>
          <t>马49</t>
        </is>
      </c>
      <c r="B138" s="47" t="n"/>
      <c r="C138" s="47" t="n"/>
      <c r="D138" s="51" t="n"/>
      <c r="E138" s="47" t="n"/>
      <c r="F138" s="48" t="n"/>
      <c r="G138" s="47" t="n"/>
      <c r="H138" s="47">
        <f>IFERROR(TEXT(VLOOKUP(2026000+ROW()-1,开奖记录!$A:$L,3,FALSE),"00")&amp;"+5="&amp;VLOOKUP(MOD(VLOOKUP(2026000+ROW()-1,开奖记录!$A:$L,3,FALSE)+4,49)+1,规律参数!$A:$C,3,FALSE),"")</f>
        <v/>
      </c>
      <c r="I138" s="52" t="n"/>
      <c r="J138" s="47">
        <f>IFERROR(VLOOKUP(VLOOKUP(2026000+ROW()-1,开奖记录!$A:$L,11,FALSE),八肖参数!$A:$B,2,FALSE),"")</f>
        <v/>
      </c>
    </row>
    <row r="139" ht="22" customHeight="1" s="21">
      <c r="A139" s="47" t="inlineStr">
        <is>
          <t xml:space="preserve">羊 24 </t>
        </is>
      </c>
      <c r="B139" s="47" t="n">
        <v>350</v>
      </c>
      <c r="C139" s="47" t="n"/>
      <c r="D139" s="48" t="n"/>
      <c r="E139" s="47" t="n"/>
      <c r="F139" s="49" t="n"/>
      <c r="G139" s="47" t="n"/>
      <c r="H139" s="47">
        <f>IFERROR(TEXT(VLOOKUP(2026000+ROW()-1,开奖记录!$A:$L,3,FALSE),"00")&amp;"+5="&amp;VLOOKUP(MOD(VLOOKUP(2026000+ROW()-1,开奖记录!$A:$L,3,FALSE)+4,49)+1,规律参数!$A:$C,3,FALSE),"")</f>
        <v/>
      </c>
      <c r="I139" s="52" t="n"/>
      <c r="J139" s="47">
        <f>IFERROR(VLOOKUP(VLOOKUP(2026000+ROW()-1,开奖记录!$A:$L,11,FALSE),八肖参数!$A:$B,2,FALSE),"")</f>
        <v/>
      </c>
    </row>
    <row r="140" ht="22" customHeight="1" s="21">
      <c r="A140" s="47" t="inlineStr">
        <is>
          <t>兔16</t>
        </is>
      </c>
      <c r="B140" s="47" t="n"/>
      <c r="C140" s="47" t="n">
        <v>60</v>
      </c>
      <c r="D140" s="50" t="n"/>
      <c r="E140" s="47" t="n"/>
      <c r="F140" s="51" t="n"/>
      <c r="G140" s="47" t="n"/>
      <c r="H140" s="47">
        <f>IFERROR(TEXT(VLOOKUP(2026000+ROW()-1,开奖记录!$A:$L,3,FALSE),"00")&amp;"+5="&amp;VLOOKUP(MOD(VLOOKUP(2026000+ROW()-1,开奖记录!$A:$L,3,FALSE)+4,49)+1,规律参数!$A:$C,3,FALSE),"")</f>
        <v/>
      </c>
      <c r="I140" s="52" t="n"/>
      <c r="J140" s="47">
        <f>IFERROR(VLOOKUP(VLOOKUP(2026000+ROW()-1,开奖记录!$A:$L,11,FALSE),八肖参数!$A:$B,2,FALSE),"")</f>
        <v/>
      </c>
    </row>
    <row r="141" ht="22" customHeight="1" s="21">
      <c r="A141" s="47" t="inlineStr">
        <is>
          <t>狗33</t>
        </is>
      </c>
      <c r="B141" s="47" t="n">
        <v>155</v>
      </c>
      <c r="C141" s="47" t="n"/>
      <c r="D141" s="51" t="n"/>
      <c r="E141" s="47" t="n"/>
      <c r="F141" s="48" t="n"/>
      <c r="G141" s="47" t="n"/>
      <c r="H141" s="47">
        <f>IFERROR(TEXT(VLOOKUP(2026000+ROW()-1,开奖记录!$A:$L,3,FALSE),"00")&amp;"+5="&amp;VLOOKUP(MOD(VLOOKUP(2026000+ROW()-1,开奖记录!$A:$L,3,FALSE)+4,49)+1,规律参数!$A:$C,3,FALSE),"")</f>
        <v/>
      </c>
      <c r="I141" s="52" t="n"/>
      <c r="J141" s="47">
        <f>IFERROR(VLOOKUP(VLOOKUP(2026000+ROW()-1,开奖记录!$A:$L,11,FALSE),八肖参数!$A:$B,2,FALSE),"")</f>
        <v/>
      </c>
    </row>
    <row r="142" ht="22" customHeight="1" s="21">
      <c r="A142" s="47" t="inlineStr">
        <is>
          <t>猴 23</t>
        </is>
      </c>
      <c r="B142" s="47" t="n"/>
      <c r="C142" s="47" t="n">
        <v>70</v>
      </c>
      <c r="D142" s="48" t="n"/>
      <c r="E142" s="47" t="n"/>
      <c r="F142" s="49" t="n"/>
      <c r="G142" s="47" t="n"/>
      <c r="H142" s="47">
        <f>IFERROR(TEXT(VLOOKUP(2026000+ROW()-1,开奖记录!$A:$L,3,FALSE),"00")&amp;"+5="&amp;VLOOKUP(MOD(VLOOKUP(2026000+ROW()-1,开奖记录!$A:$L,3,FALSE)+4,49)+1,规律参数!$A:$C,3,FALSE),"")</f>
        <v/>
      </c>
      <c r="I142" s="47" t="n"/>
      <c r="J142" s="47">
        <f>IFERROR(VLOOKUP(VLOOKUP(2026000+ROW()-1,开奖记录!$A:$L,11,FALSE),八肖参数!$A:$B,2,FALSE),"")</f>
        <v/>
      </c>
    </row>
    <row r="143" ht="22" customHeight="1" s="21">
      <c r="A143" s="47" t="inlineStr">
        <is>
          <t>猪44</t>
        </is>
      </c>
      <c r="B143" s="47" t="n"/>
      <c r="C143" s="47" t="n">
        <v>90</v>
      </c>
      <c r="D143" s="50" t="n"/>
      <c r="E143" s="47" t="n"/>
      <c r="F143" s="51" t="n"/>
      <c r="G143" s="47" t="n"/>
      <c r="H143" s="47">
        <f>IFERROR(TEXT(VLOOKUP(2026000+ROW()-1,开奖记录!$A:$L,3,FALSE),"00")&amp;"+5="&amp;VLOOKUP(MOD(VLOOKUP(2026000+ROW()-1,开奖记录!$A:$L,3,FALSE)+4,49)+1,规律参数!$A:$C,3,FALSE),"")</f>
        <v/>
      </c>
      <c r="I143" s="52" t="n"/>
      <c r="J143" s="47">
        <f>IFERROR(VLOOKUP(VLOOKUP(2026000+ROW()-1,开奖记录!$A:$L,11,FALSE),八肖参数!$A:$B,2,FALSE),"")</f>
        <v/>
      </c>
    </row>
    <row r="144" ht="22" customHeight="1" s="21">
      <c r="A144" s="47" t="inlineStr">
        <is>
          <t>鼠43</t>
        </is>
      </c>
      <c r="B144" s="47" t="n"/>
      <c r="C144" s="47" t="n">
        <v>60</v>
      </c>
      <c r="D144" s="51" t="n"/>
      <c r="E144" s="47" t="n"/>
      <c r="F144" s="48" t="n"/>
      <c r="G144" s="47" t="n"/>
      <c r="H144" s="47">
        <f>IFERROR(TEXT(VLOOKUP(2026000+ROW()-1,开奖记录!$A:$L,3,FALSE),"00")&amp;"+5="&amp;VLOOKUP(MOD(VLOOKUP(2026000+ROW()-1,开奖记录!$A:$L,3,FALSE)+4,49)+1,规律参数!$A:$C,3,FALSE),"")</f>
        <v/>
      </c>
      <c r="I144" s="47" t="n"/>
      <c r="J144" s="47">
        <f>IFERROR(VLOOKUP(VLOOKUP(2026000+ROW()-1,开奖记录!$A:$L,11,FALSE),八肖参数!$A:$B,2,FALSE),"")</f>
        <v/>
      </c>
    </row>
    <row r="145" ht="22" customHeight="1" s="21">
      <c r="A145" s="47" t="inlineStr">
        <is>
          <t xml:space="preserve">虎 05 </t>
        </is>
      </c>
      <c r="B145" s="47" t="n">
        <v>165</v>
      </c>
      <c r="C145" s="47" t="n"/>
      <c r="D145" s="48" t="n"/>
      <c r="E145" s="47" t="n"/>
      <c r="F145" s="49" t="n"/>
      <c r="G145" s="47" t="n"/>
      <c r="H145" s="47">
        <f>IFERROR(TEXT(VLOOKUP(2026000+ROW()-1,开奖记录!$A:$L,3,FALSE),"00")&amp;"+5="&amp;VLOOKUP(MOD(VLOOKUP(2026000+ROW()-1,开奖记录!$A:$L,3,FALSE)+4,49)+1,规律参数!$A:$C,3,FALSE),"")</f>
        <v/>
      </c>
      <c r="I145" s="52" t="n"/>
      <c r="J145" s="47">
        <f>IFERROR(VLOOKUP(VLOOKUP(2026000+ROW()-1,开奖记录!$A:$L,11,FALSE),八肖参数!$A:$B,2,FALSE),"")</f>
        <v/>
      </c>
    </row>
    <row r="146" ht="22" customHeight="1" s="21">
      <c r="A146" s="47" t="inlineStr">
        <is>
          <t>牛42</t>
        </is>
      </c>
      <c r="B146" s="47" t="n"/>
      <c r="C146" s="47" t="n"/>
      <c r="D146" s="50" t="n"/>
      <c r="E146" s="47" t="n"/>
      <c r="F146" s="51" t="n"/>
      <c r="G146" s="47" t="n"/>
      <c r="H146" s="47">
        <f>IFERROR(TEXT(VLOOKUP(2026000+ROW()-1,开奖记录!$A:$L,3,FALSE),"00")&amp;"+5="&amp;VLOOKUP(MOD(VLOOKUP(2026000+ROW()-1,开奖记录!$A:$L,3,FALSE)+4,49)+1,规律参数!$A:$C,3,FALSE),"")</f>
        <v/>
      </c>
      <c r="I146" s="52" t="n"/>
      <c r="J146" s="47">
        <f>IFERROR(VLOOKUP(VLOOKUP(2026000+ROW()-1,开奖记录!$A:$L,11,FALSE),八肖参数!$A:$B,2,FALSE),"")</f>
        <v/>
      </c>
    </row>
    <row r="147" ht="22" customHeight="1" s="21">
      <c r="A147" s="47" t="inlineStr">
        <is>
          <t xml:space="preserve">马 13 </t>
        </is>
      </c>
      <c r="B147" s="47" t="n"/>
      <c r="C147" s="47" t="n">
        <v>100</v>
      </c>
      <c r="D147" s="51" t="n"/>
      <c r="E147" s="47" t="n"/>
      <c r="F147" s="48" t="n"/>
      <c r="G147" s="47" t="n"/>
      <c r="H147" s="47">
        <f>IFERROR(TEXT(VLOOKUP(2026000+ROW()-1,开奖记录!$A:$L,3,FALSE),"00")&amp;"+5="&amp;VLOOKUP(MOD(VLOOKUP(2026000+ROW()-1,开奖记录!$A:$L,3,FALSE)+4,49)+1,规律参数!$A:$C,3,FALSE),"")</f>
        <v/>
      </c>
      <c r="I147" s="47" t="n"/>
      <c r="J147" s="47">
        <f>IFERROR(VLOOKUP(VLOOKUP(2026000+ROW()-1,开奖记录!$A:$L,11,FALSE),八肖参数!$A:$B,2,FALSE),"")</f>
        <v/>
      </c>
    </row>
    <row r="148" ht="22" customHeight="1" s="21">
      <c r="A148" s="47" t="inlineStr">
        <is>
          <t xml:space="preserve">羊 48 </t>
        </is>
      </c>
      <c r="B148" s="47" t="n">
        <v>175</v>
      </c>
      <c r="C148" s="47" t="n"/>
      <c r="D148" s="48" t="n"/>
      <c r="E148" s="47" t="n"/>
      <c r="F148" s="49" t="n"/>
      <c r="G148" s="47" t="n"/>
      <c r="H148" s="47">
        <f>IFERROR(TEXT(VLOOKUP(2026000+ROW()-1,开奖记录!$A:$L,3,FALSE),"00")&amp;"+5="&amp;VLOOKUP(MOD(VLOOKUP(2026000+ROW()-1,开奖记录!$A:$L,3,FALSE)+4,49)+1,规律参数!$A:$C,3,FALSE),"")</f>
        <v/>
      </c>
      <c r="I148" s="52" t="n"/>
      <c r="J148" s="47">
        <f>IFERROR(VLOOKUP(VLOOKUP(2026000+ROW()-1,开奖记录!$A:$L,11,FALSE),八肖参数!$A:$B,2,FALSE),"")</f>
        <v/>
      </c>
    </row>
    <row r="149" ht="22" customHeight="1" s="21">
      <c r="A149" s="47" t="inlineStr">
        <is>
          <t>龙27</t>
        </is>
      </c>
      <c r="B149" s="47" t="n"/>
      <c r="C149" s="47" t="n">
        <v>100</v>
      </c>
      <c r="D149" s="50" t="n"/>
      <c r="E149" s="47" t="n"/>
      <c r="F149" s="51" t="n"/>
      <c r="G149" s="47" t="n"/>
      <c r="H149" s="47">
        <f>IFERROR(TEXT(VLOOKUP(2026000+ROW()-1,开奖记录!$A:$L,3,FALSE),"00")&amp;"+5="&amp;VLOOKUP(MOD(VLOOKUP(2026000+ROW()-1,开奖记录!$A:$L,3,FALSE)+4,49)+1,规律参数!$A:$C,3,FALSE),"")</f>
        <v/>
      </c>
      <c r="I149" s="47" t="n"/>
      <c r="J149" s="47">
        <f>IFERROR(VLOOKUP(VLOOKUP(2026000+ROW()-1,开奖记录!$A:$L,11,FALSE),八肖参数!$A:$B,2,FALSE),"")</f>
        <v/>
      </c>
    </row>
    <row r="150" ht="22" customHeight="1" s="21">
      <c r="A150" s="47" t="inlineStr">
        <is>
          <t xml:space="preserve">狗 09 </t>
        </is>
      </c>
      <c r="B150" s="47" t="n"/>
      <c r="C150" s="47" t="n">
        <v>100</v>
      </c>
      <c r="D150" s="51" t="n"/>
      <c r="E150" s="47" t="n"/>
      <c r="F150" s="48" t="n"/>
      <c r="G150" s="47" t="n"/>
      <c r="H150" s="47">
        <f>IFERROR(TEXT(VLOOKUP(2026000+ROW()-1,开奖记录!$A:$L,3,FALSE),"00")&amp;"+5="&amp;VLOOKUP(MOD(VLOOKUP(2026000+ROW()-1,开奖记录!$A:$L,3,FALSE)+4,49)+1,规律参数!$A:$C,3,FALSE),"")</f>
        <v/>
      </c>
      <c r="I150" s="47" t="n"/>
      <c r="J150" s="47">
        <f>IFERROR(VLOOKUP(VLOOKUP(2026000+ROW()-1,开奖记录!$A:$L,11,FALSE),八肖参数!$A:$B,2,FALSE),"")</f>
        <v/>
      </c>
    </row>
    <row r="151" ht="22" customHeight="1" s="21">
      <c r="A151" s="47" t="inlineStr">
        <is>
          <t xml:space="preserve">鼠 31 </t>
        </is>
      </c>
      <c r="B151" s="47" t="n">
        <v>345</v>
      </c>
      <c r="C151" s="47" t="n"/>
      <c r="D151" s="48" t="n"/>
      <c r="E151" s="47" t="n"/>
      <c r="F151" s="49" t="n"/>
      <c r="G151" s="47" t="n"/>
      <c r="H151" s="47">
        <f>IFERROR(TEXT(VLOOKUP(2026000+ROW()-1,开奖记录!$A:$L,3,FALSE),"00")&amp;"+5="&amp;VLOOKUP(MOD(VLOOKUP(2026000+ROW()-1,开奖记录!$A:$L,3,FALSE)+4,49)+1,规律参数!$A:$C,3,FALSE),"")</f>
        <v/>
      </c>
      <c r="I151" s="52" t="n"/>
      <c r="J151" s="47">
        <f>IFERROR(VLOOKUP(VLOOKUP(2026000+ROW()-1,开奖记录!$A:$L,11,FALSE),八肖参数!$A:$B,2,FALSE),"")</f>
        <v/>
      </c>
    </row>
    <row r="152" ht="22" customHeight="1" s="21">
      <c r="A152" s="47" t="inlineStr">
        <is>
          <t>狗45</t>
        </is>
      </c>
      <c r="B152" s="47" t="n"/>
      <c r="C152" s="47" t="n">
        <v>140</v>
      </c>
      <c r="D152" s="50" t="n"/>
      <c r="E152" s="47" t="n"/>
      <c r="F152" s="51" t="n"/>
      <c r="G152" s="47" t="n"/>
      <c r="H152" s="47">
        <f>IFERROR(TEXT(VLOOKUP(2026000+ROW()-1,开奖记录!$A:$L,3,FALSE),"00")&amp;"+5="&amp;VLOOKUP(MOD(VLOOKUP(2026000+ROW()-1,开奖记录!$A:$L,3,FALSE)+4,49)+1,规律参数!$A:$C,3,FALSE),"")</f>
        <v/>
      </c>
      <c r="I152" s="47" t="n"/>
      <c r="J152" s="47">
        <f>IFERROR(VLOOKUP(VLOOKUP(2026000+ROW()-1,开奖记录!$A:$L,11,FALSE),八肖参数!$A:$B,2,FALSE),"")</f>
        <v/>
      </c>
    </row>
    <row r="153" ht="22" customHeight="1" s="21">
      <c r="A153" s="47" t="inlineStr">
        <is>
          <t>虎41</t>
        </is>
      </c>
      <c r="B153" s="47" t="n">
        <v>115</v>
      </c>
      <c r="C153" s="47" t="n"/>
      <c r="D153" s="51" t="n"/>
      <c r="E153" s="47" t="n"/>
      <c r="F153" s="48" t="n"/>
      <c r="G153" s="47" t="n"/>
      <c r="H153" s="47">
        <f>IFERROR(TEXT(VLOOKUP(2026000+ROW()-1,开奖记录!$A:$L,3,FALSE),"00")&amp;"+5="&amp;VLOOKUP(MOD(VLOOKUP(2026000+ROW()-1,开奖记录!$A:$L,3,FALSE)+4,49)+1,规律参数!$A:$C,3,FALSE),"")</f>
        <v/>
      </c>
      <c r="I153" s="47" t="n"/>
      <c r="J153" s="47">
        <f>IFERROR(VLOOKUP(VLOOKUP(2026000+ROW()-1,开奖记录!$A:$L,11,FALSE),八肖参数!$A:$B,2,FALSE),"")</f>
        <v/>
      </c>
    </row>
    <row r="154" ht="22" customHeight="1" s="21">
      <c r="A154" s="47" t="inlineStr">
        <is>
          <t>虎41</t>
        </is>
      </c>
      <c r="B154" s="47" t="n"/>
      <c r="C154" s="47" t="n">
        <v>80</v>
      </c>
      <c r="D154" s="48" t="n"/>
      <c r="E154" s="47" t="n"/>
      <c r="F154" s="49" t="n"/>
      <c r="G154" s="47" t="n"/>
      <c r="H154" s="47">
        <f>IFERROR(TEXT(VLOOKUP(2026000+ROW()-1,开奖记录!$A:$L,3,FALSE),"00")&amp;"+5="&amp;VLOOKUP(MOD(VLOOKUP(2026000+ROW()-1,开奖记录!$A:$L,3,FALSE)+4,49)+1,规律参数!$A:$C,3,FALSE),"")</f>
        <v/>
      </c>
      <c r="I154" s="52" t="n"/>
      <c r="J154" s="47">
        <f>IFERROR(VLOOKUP(VLOOKUP(2026000+ROW()-1,开奖记录!$A:$L,11,FALSE),八肖参数!$A:$B,2,FALSE),"")</f>
        <v/>
      </c>
    </row>
    <row r="155" ht="22" customHeight="1" s="21">
      <c r="A155" s="47" t="inlineStr">
        <is>
          <t>鼠07</t>
        </is>
      </c>
      <c r="B155" s="47" t="n">
        <v>140</v>
      </c>
      <c r="C155" s="47" t="n"/>
      <c r="D155" s="50" t="n"/>
      <c r="E155" s="47" t="n"/>
      <c r="F155" s="51" t="n"/>
      <c r="G155" s="47" t="n"/>
      <c r="H155" s="47">
        <f>IFERROR(TEXT(VLOOKUP(2026000+ROW()-1,开奖记录!$A:$L,3,FALSE),"00")&amp;"+5="&amp;VLOOKUP(MOD(VLOOKUP(2026000+ROW()-1,开奖记录!$A:$L,3,FALSE)+4,49)+1,规律参数!$A:$C,3,FALSE),"")</f>
        <v/>
      </c>
      <c r="I155" s="52" t="n"/>
      <c r="J155" s="47">
        <f>IFERROR(VLOOKUP(VLOOKUP(2026000+ROW()-1,开奖记录!$A:$L,11,FALSE),八肖参数!$A:$B,2,FALSE),"")</f>
        <v/>
      </c>
    </row>
    <row r="156" ht="22" customHeight="1" s="21">
      <c r="A156" s="47" t="inlineStr">
        <is>
          <t>马 01</t>
        </is>
      </c>
      <c r="B156" s="47" t="n"/>
      <c r="C156" s="47" t="n">
        <v>120</v>
      </c>
      <c r="D156" s="51" t="n"/>
      <c r="E156" s="47" t="n"/>
      <c r="F156" s="48" t="n"/>
      <c r="G156" s="47" t="n"/>
      <c r="H156" s="47">
        <f>IFERROR(TEXT(VLOOKUP(2026000+ROW()-1,开奖记录!$A:$L,3,FALSE),"00")&amp;"+5="&amp;VLOOKUP(MOD(VLOOKUP(2026000+ROW()-1,开奖记录!$A:$L,3,FALSE)+4,49)+1,规律参数!$A:$C,3,FALSE),"")</f>
        <v/>
      </c>
      <c r="I156" s="47" t="n"/>
      <c r="J156" s="47">
        <f>IFERROR(VLOOKUP(VLOOKUP(2026000+ROW()-1,开奖记录!$A:$L,11,FALSE),八肖参数!$A:$B,2,FALSE),"")</f>
        <v/>
      </c>
    </row>
    <row r="157" ht="22" customHeight="1" s="21">
      <c r="A157" s="47" t="inlineStr">
        <is>
          <t>兔40</t>
        </is>
      </c>
      <c r="B157" s="47" t="n">
        <v>365</v>
      </c>
      <c r="C157" s="47" t="n"/>
      <c r="D157" s="48" t="n"/>
      <c r="E157" s="47" t="n"/>
      <c r="F157" s="49" t="n"/>
      <c r="G157" s="47" t="n"/>
      <c r="H157" s="47">
        <f>IFERROR(TEXT(VLOOKUP(2026000+ROW()-1,开奖记录!$A:$L,3,FALSE),"00")&amp;"+5="&amp;VLOOKUP(MOD(VLOOKUP(2026000+ROW()-1,开奖记录!$A:$L,3,FALSE)+4,49)+1,规律参数!$A:$C,3,FALSE),"")</f>
        <v/>
      </c>
      <c r="I157" s="52" t="n"/>
      <c r="J157" s="47">
        <f>IFERROR(VLOOKUP(VLOOKUP(2026000+ROW()-1,开奖记录!$A:$L,11,FALSE),八肖参数!$A:$B,2,FALSE),"")</f>
        <v/>
      </c>
    </row>
    <row r="158" ht="22" customHeight="1" s="21">
      <c r="A158" s="47" t="inlineStr">
        <is>
          <t>兔16</t>
        </is>
      </c>
      <c r="B158" s="47" t="n"/>
      <c r="C158" s="47" t="n">
        <v>110</v>
      </c>
      <c r="D158" s="50" t="n"/>
      <c r="E158" s="47" t="n"/>
      <c r="F158" s="51" t="n"/>
      <c r="G158" s="47" t="n"/>
      <c r="H158" s="47">
        <f>IFERROR(TEXT(VLOOKUP(2026000+ROW()-1,开奖记录!$A:$L,3,FALSE),"00")&amp;"+5="&amp;VLOOKUP(MOD(VLOOKUP(2026000+ROW()-1,开奖记录!$A:$L,3,FALSE)+4,49)+1,规律参数!$A:$C,3,FALSE),"")</f>
        <v/>
      </c>
      <c r="I158" s="47" t="n"/>
      <c r="J158" s="47">
        <f>IFERROR(VLOOKUP(VLOOKUP(2026000+ROW()-1,开奖记录!$A:$L,11,FALSE),八肖参数!$A:$B,2,FALSE),"")</f>
        <v/>
      </c>
    </row>
    <row r="159" ht="22" customHeight="1" s="21">
      <c r="A159" s="47" t="inlineStr">
        <is>
          <t>龙39</t>
        </is>
      </c>
      <c r="B159" s="47" t="n">
        <v>115</v>
      </c>
      <c r="C159" s="47" t="n"/>
      <c r="D159" s="51" t="n"/>
      <c r="E159" s="47" t="n"/>
      <c r="F159" s="48" t="n"/>
      <c r="G159" s="47" t="n"/>
      <c r="H159" s="47">
        <f>IFERROR(TEXT(VLOOKUP(2026000+ROW()-1,开奖记录!$A:$L,3,FALSE),"00")&amp;"+5="&amp;VLOOKUP(MOD(VLOOKUP(2026000+ROW()-1,开奖记录!$A:$L,3,FALSE)+4,49)+1,规律参数!$A:$C,3,FALSE),"")</f>
        <v/>
      </c>
      <c r="I159" s="52" t="n"/>
      <c r="J159" s="47">
        <f>IFERROR(VLOOKUP(VLOOKUP(2026000+ROW()-1,开奖记录!$A:$L,11,FALSE),八肖参数!$A:$B,2,FALSE),"")</f>
        <v/>
      </c>
    </row>
    <row r="160" ht="22" customHeight="1" s="21">
      <c r="A160" s="47" t="inlineStr">
        <is>
          <t>蛇02</t>
        </is>
      </c>
      <c r="B160" s="47" t="n"/>
      <c r="C160" s="47" t="n">
        <v>80</v>
      </c>
      <c r="D160" s="48" t="n"/>
      <c r="E160" s="47" t="n"/>
      <c r="F160" s="49" t="n"/>
      <c r="G160" s="47" t="n"/>
      <c r="H160" s="47">
        <f>IFERROR(TEXT(VLOOKUP(2026000+ROW()-1,开奖记录!$A:$L,3,FALSE),"00")&amp;"+5="&amp;VLOOKUP(MOD(VLOOKUP(2026000+ROW()-1,开奖记录!$A:$L,3,FALSE)+4,49)+1,规律参数!$A:$C,3,FALSE),"")</f>
        <v/>
      </c>
      <c r="I160" s="47" t="n"/>
      <c r="J160" s="47">
        <f>IFERROR(VLOOKUP(VLOOKUP(2026000+ROW()-1,开奖记录!$A:$L,11,FALSE),八肖参数!$A:$B,2,FALSE),"")</f>
        <v/>
      </c>
    </row>
    <row r="161" ht="22" customHeight="1" s="21">
      <c r="A161" s="47" t="inlineStr">
        <is>
          <t>猪08</t>
        </is>
      </c>
      <c r="B161" s="47" t="n"/>
      <c r="C161" s="47" t="n"/>
      <c r="D161" s="50" t="n"/>
      <c r="E161" s="47" t="n"/>
      <c r="F161" s="51" t="n"/>
      <c r="G161" s="47" t="n"/>
      <c r="H161" s="47">
        <f>IFERROR(TEXT(VLOOKUP(2026000+ROW()-1,开奖记录!$A:$L,3,FALSE),"00")&amp;"+5="&amp;VLOOKUP(MOD(VLOOKUP(2026000+ROW()-1,开奖记录!$A:$L,3,FALSE)+4,49)+1,规律参数!$A:$C,3,FALSE),"")</f>
        <v/>
      </c>
      <c r="I161" s="47" t="n"/>
      <c r="J161" s="47">
        <f>IFERROR(VLOOKUP(VLOOKUP(2026000+ROW()-1,开奖记录!$A:$L,11,FALSE),八肖参数!$A:$B,2,FALSE),"")</f>
        <v/>
      </c>
    </row>
    <row r="162" ht="22" customHeight="1" s="21">
      <c r="A162" s="47" t="inlineStr">
        <is>
          <t>猪 32</t>
        </is>
      </c>
      <c r="B162" s="47" t="n"/>
      <c r="C162" s="47" t="n">
        <v>140</v>
      </c>
      <c r="D162" s="51" t="n"/>
      <c r="E162" s="47" t="n"/>
      <c r="F162" s="48" t="n"/>
      <c r="G162" s="47" t="n"/>
      <c r="H162" s="47">
        <f>IFERROR(TEXT(VLOOKUP(2026000+ROW()-1,开奖记录!$A:$L,3,FALSE),"00")&amp;"+5="&amp;VLOOKUP(MOD(VLOOKUP(2026000+ROW()-1,开奖记录!$A:$L,3,FALSE)+4,49)+1,规律参数!$A:$C,3,FALSE),"")</f>
        <v/>
      </c>
      <c r="I162" s="52" t="n"/>
      <c r="J162" s="47">
        <f>IFERROR(VLOOKUP(VLOOKUP(2026000+ROW()-1,开奖记录!$A:$L,11,FALSE),八肖参数!$A:$B,2,FALSE),"")</f>
        <v/>
      </c>
    </row>
    <row r="163" ht="22" customHeight="1" s="21">
      <c r="A163" s="47" t="inlineStr">
        <is>
          <t xml:space="preserve">马 37 </t>
        </is>
      </c>
      <c r="B163" s="47" t="n">
        <v>340</v>
      </c>
      <c r="C163" s="47" t="n"/>
      <c r="D163" s="48" t="n"/>
      <c r="E163" s="47" t="n"/>
      <c r="F163" s="49" t="n"/>
      <c r="G163" s="47" t="n"/>
      <c r="H163" s="47">
        <f>IFERROR(TEXT(VLOOKUP(2026000+ROW()-1,开奖记录!$A:$L,3,FALSE),"00")&amp;"+5="&amp;VLOOKUP(MOD(VLOOKUP(2026000+ROW()-1,开奖记录!$A:$L,3,FALSE)+4,49)+1,规律参数!$A:$C,3,FALSE),"")</f>
        <v/>
      </c>
      <c r="I163" s="52" t="n"/>
      <c r="J163" s="47">
        <f>IFERROR(VLOOKUP(VLOOKUP(2026000+ROW()-1,开奖记录!$A:$L,11,FALSE),八肖参数!$A:$B,2,FALSE),"")</f>
        <v/>
      </c>
    </row>
    <row r="164" ht="22" customHeight="1" s="21">
      <c r="A164" s="47" t="inlineStr">
        <is>
          <t>狗21</t>
        </is>
      </c>
      <c r="B164" s="47" t="n">
        <v>370</v>
      </c>
      <c r="C164" s="47" t="n"/>
      <c r="D164" s="50" t="n"/>
      <c r="E164" s="47" t="n"/>
      <c r="F164" s="51" t="n"/>
      <c r="G164" s="47" t="n"/>
      <c r="H164" s="47">
        <f>IFERROR(TEXT(VLOOKUP(2026000+ROW()-1,开奖记录!$A:$L,3,FALSE),"00")&amp;"+5="&amp;VLOOKUP(MOD(VLOOKUP(2026000+ROW()-1,开奖记录!$A:$L,3,FALSE)+4,49)+1,规律参数!$A:$C,3,FALSE),"")</f>
        <v/>
      </c>
      <c r="I164" s="47" t="n"/>
      <c r="J164" s="47">
        <f>IFERROR(VLOOKUP(VLOOKUP(2026000+ROW()-1,开奖记录!$A:$L,11,FALSE),八肖参数!$A:$B,2,FALSE),"")</f>
        <v/>
      </c>
    </row>
    <row r="165" ht="22" customHeight="1" s="21">
      <c r="A165" s="47" t="inlineStr">
        <is>
          <t>龙03</t>
        </is>
      </c>
      <c r="B165" s="47" t="n"/>
      <c r="C165" s="47" t="n">
        <v>120</v>
      </c>
      <c r="D165" s="51" t="n"/>
      <c r="E165" s="47" t="n"/>
      <c r="F165" s="48" t="n"/>
      <c r="G165" s="47" t="n"/>
      <c r="H165" s="47">
        <f>IFERROR(TEXT(VLOOKUP(2026000+ROW()-1,开奖记录!$A:$L,3,FALSE),"00")&amp;"+5="&amp;VLOOKUP(MOD(VLOOKUP(2026000+ROW()-1,开奖记录!$A:$L,3,FALSE)+4,49)+1,规律参数!$A:$C,3,FALSE),"")</f>
        <v/>
      </c>
      <c r="I165" s="52" t="n"/>
      <c r="J165" s="47">
        <f>IFERROR(VLOOKUP(VLOOKUP(2026000+ROW()-1,开奖记录!$A:$L,11,FALSE),八肖参数!$A:$B,2,FALSE),"")</f>
        <v/>
      </c>
    </row>
    <row r="166" ht="22" customHeight="1" s="21">
      <c r="A166" s="47" t="inlineStr">
        <is>
          <t>牛06</t>
        </is>
      </c>
      <c r="B166" s="47" t="n">
        <v>365</v>
      </c>
      <c r="C166" s="47" t="n"/>
      <c r="D166" s="48" t="n"/>
      <c r="E166" s="47" t="n"/>
      <c r="F166" s="49" t="n"/>
      <c r="G166" s="47" t="n"/>
      <c r="H166" s="47">
        <f>IFERROR(TEXT(VLOOKUP(2026000+ROW()-1,开奖记录!$A:$L,3,FALSE),"00")&amp;"+5="&amp;VLOOKUP(MOD(VLOOKUP(2026000+ROW()-1,开奖记录!$A:$L,3,FALSE)+4,49)+1,规律参数!$A:$C,3,FALSE),"")</f>
        <v/>
      </c>
      <c r="I166" s="52" t="n"/>
      <c r="J166" s="47">
        <f>IFERROR(VLOOKUP(VLOOKUP(2026000+ROW()-1,开奖记录!$A:$L,11,FALSE),八肖参数!$A:$B,2,FALSE),"")</f>
        <v/>
      </c>
    </row>
    <row r="167" ht="22" customHeight="1" s="21">
      <c r="A167" s="47" t="inlineStr">
        <is>
          <t>鼠19</t>
        </is>
      </c>
      <c r="B167" s="47" t="n"/>
      <c r="C167" s="47" t="n">
        <v>155</v>
      </c>
      <c r="D167" s="50" t="n"/>
      <c r="E167" s="47" t="n"/>
      <c r="F167" s="51" t="n"/>
      <c r="G167" s="47" t="n"/>
      <c r="H167" s="47">
        <f>IFERROR(TEXT(VLOOKUP(2026000+ROW()-1,开奖记录!$A:$L,3,FALSE),"00")&amp;"+5="&amp;VLOOKUP(MOD(VLOOKUP(2026000+ROW()-1,开奖记录!$A:$L,3,FALSE)+4,49)+1,规律参数!$A:$C,3,FALSE),"")</f>
        <v/>
      </c>
      <c r="I167" s="47" t="n"/>
      <c r="J167" s="47">
        <f>IFERROR(VLOOKUP(VLOOKUP(2026000+ROW()-1,开奖记录!$A:$L,11,FALSE),八肖参数!$A:$B,2,FALSE),"")</f>
        <v/>
      </c>
    </row>
    <row r="168" ht="22" customHeight="1" s="21">
      <c r="A168" s="47" t="inlineStr">
        <is>
          <t>龙 15</t>
        </is>
      </c>
      <c r="B168" s="47" t="n"/>
      <c r="C168" s="47" t="n">
        <v>145</v>
      </c>
      <c r="D168" s="51" t="n"/>
      <c r="E168" s="47" t="n"/>
      <c r="F168" s="48" t="n"/>
      <c r="G168" s="47" t="n"/>
      <c r="H168" s="47">
        <f>IFERROR(TEXT(VLOOKUP(2026000+ROW()-1,开奖记录!$A:$L,3,FALSE),"00")&amp;"+5="&amp;VLOOKUP(MOD(VLOOKUP(2026000+ROW()-1,开奖记录!$A:$L,3,FALSE)+4,49)+1,规律参数!$A:$C,3,FALSE),"")</f>
        <v/>
      </c>
      <c r="I168" s="47" t="n"/>
      <c r="J168" s="47">
        <f>IFERROR(VLOOKUP(VLOOKUP(2026000+ROW()-1,开奖记录!$A:$L,11,FALSE),八肖参数!$A:$B,2,FALSE),"")</f>
        <v/>
      </c>
    </row>
    <row r="169" ht="22" customHeight="1" s="21">
      <c r="A169" s="47" t="inlineStr">
        <is>
          <t xml:space="preserve">羊 11 </t>
        </is>
      </c>
      <c r="B169" s="47" t="n"/>
      <c r="C169" s="47" t="n">
        <v>90</v>
      </c>
      <c r="D169" s="48" t="n"/>
      <c r="E169" s="47" t="n"/>
      <c r="F169" s="49" t="n"/>
      <c r="G169" s="47" t="n"/>
      <c r="H169" s="47">
        <f>IFERROR(TEXT(VLOOKUP(2026000+ROW()-1,开奖记录!$A:$L,3,FALSE),"00")&amp;"+5="&amp;VLOOKUP(MOD(VLOOKUP(2026000+ROW()-1,开奖记录!$A:$L,3,FALSE)+4,49)+1,规律参数!$A:$C,3,FALSE),"")</f>
        <v/>
      </c>
      <c r="I169" s="52" t="n"/>
      <c r="J169" s="47">
        <f>IFERROR(VLOOKUP(VLOOKUP(2026000+ROW()-1,开奖记录!$A:$L,11,FALSE),八肖参数!$A:$B,2,FALSE),"")</f>
        <v/>
      </c>
    </row>
    <row r="170" ht="22" customHeight="1" s="21">
      <c r="A170" s="47" t="inlineStr">
        <is>
          <t>龙03</t>
        </is>
      </c>
      <c r="B170" s="47" t="n">
        <v>350</v>
      </c>
      <c r="C170" s="47" t="n"/>
      <c r="D170" s="50" t="n"/>
      <c r="E170" s="47" t="n"/>
      <c r="F170" s="51" t="n"/>
      <c r="G170" s="47" t="n"/>
      <c r="H170" s="47">
        <f>IFERROR(TEXT(VLOOKUP(2026000+ROW()-1,开奖记录!$A:$L,3,FALSE),"00")&amp;"+5="&amp;VLOOKUP(MOD(VLOOKUP(2026000+ROW()-1,开奖记录!$A:$L,3,FALSE)+4,49)+1,规律参数!$A:$C,3,FALSE),"")</f>
        <v/>
      </c>
      <c r="I170" s="52" t="n"/>
      <c r="J170" s="47">
        <f>IFERROR(VLOOKUP(VLOOKUP(2026000+ROW()-1,开奖记录!$A:$L,11,FALSE),八肖参数!$A:$B,2,FALSE),"")</f>
        <v/>
      </c>
    </row>
    <row r="171" ht="22" customHeight="1" s="21">
      <c r="A171" s="47" t="inlineStr">
        <is>
          <t>兔 27</t>
        </is>
      </c>
      <c r="B171" s="47" t="n">
        <v>295</v>
      </c>
      <c r="C171" s="47" t="n"/>
      <c r="D171" s="51" t="n"/>
      <c r="E171" s="47" t="n"/>
      <c r="F171" s="48" t="n"/>
      <c r="G171" s="47" t="n"/>
      <c r="H171" s="47">
        <f>IFERROR(TEXT(VLOOKUP(2026000+ROW()-1,开奖记录!$A:$L,3,FALSE),"00")&amp;"+5="&amp;VLOOKUP(MOD(VLOOKUP(2026000+ROW()-1,开奖记录!$A:$L,3,FALSE)+4,49)+1,规律参数!$A:$C,3,FALSE),"")</f>
        <v/>
      </c>
      <c r="I171" s="47" t="n"/>
      <c r="J171" s="47">
        <f>IFERROR(VLOOKUP(VLOOKUP(2026000+ROW()-1,开奖记录!$A:$L,11,FALSE),八肖参数!$A:$B,2,FALSE),"")</f>
        <v/>
      </c>
    </row>
    <row r="172" ht="22" customHeight="1" s="21">
      <c r="A172" s="47" t="inlineStr">
        <is>
          <t>猪44</t>
        </is>
      </c>
      <c r="B172" s="47" t="n"/>
      <c r="C172" s="47" t="n"/>
      <c r="D172" s="48" t="n"/>
      <c r="E172" s="47" t="n"/>
      <c r="F172" s="49" t="n"/>
      <c r="G172" s="47" t="n"/>
      <c r="H172" s="47">
        <f>IFERROR(TEXT(VLOOKUP(2026000+ROW()-1,开奖记录!$A:$L,3,FALSE),"00")&amp;"+5="&amp;VLOOKUP(MOD(VLOOKUP(2026000+ROW()-1,开奖记录!$A:$L,3,FALSE)+4,49)+1,规律参数!$A:$C,3,FALSE),"")</f>
        <v/>
      </c>
      <c r="I172" s="52" t="n"/>
      <c r="J172" s="47">
        <f>IFERROR(VLOOKUP(VLOOKUP(2026000+ROW()-1,开奖记录!$A:$L,11,FALSE),八肖参数!$A:$B,2,FALSE),"")</f>
        <v/>
      </c>
    </row>
    <row r="173" ht="22" customHeight="1" s="21">
      <c r="A173" s="47" t="inlineStr">
        <is>
          <t>蛇26</t>
        </is>
      </c>
      <c r="B173" s="47" t="n">
        <v>340</v>
      </c>
      <c r="C173" s="47" t="n"/>
      <c r="D173" s="50" t="n"/>
      <c r="E173" s="47" t="n"/>
      <c r="F173" s="51" t="n"/>
      <c r="G173" s="47" t="n"/>
      <c r="H173" s="47">
        <f>IFERROR(TEXT(VLOOKUP(2026000+ROW()-1,开奖记录!$A:$L,3,FALSE),"00")&amp;"+5="&amp;VLOOKUP(MOD(VLOOKUP(2026000+ROW()-1,开奖记录!$A:$L,3,FALSE)+4,49)+1,规律参数!$A:$C,3,FALSE),"")</f>
        <v/>
      </c>
      <c r="I173" s="52" t="n"/>
      <c r="J173" s="47">
        <f>IFERROR(VLOOKUP(VLOOKUP(2026000+ROW()-1,开奖记录!$A:$L,11,FALSE),八肖参数!$A:$B,2,FALSE),"")</f>
        <v/>
      </c>
    </row>
    <row r="174" ht="22" customHeight="1" s="21">
      <c r="A174" s="47" t="inlineStr">
        <is>
          <t>虎41</t>
        </is>
      </c>
      <c r="B174" s="47" t="n"/>
      <c r="C174" s="47" t="n">
        <v>125</v>
      </c>
      <c r="D174" s="51" t="n"/>
      <c r="E174" s="47" t="n"/>
      <c r="F174" s="48" t="n"/>
      <c r="G174" s="47" t="n"/>
      <c r="H174" s="47">
        <f>IFERROR(TEXT(VLOOKUP(2026000+ROW()-1,开奖记录!$A:$L,3,FALSE),"00")&amp;"+5="&amp;VLOOKUP(MOD(VLOOKUP(2026000+ROW()-1,开奖记录!$A:$L,3,FALSE)+4,49)+1,规律参数!$A:$C,3,FALSE),"")</f>
        <v/>
      </c>
      <c r="I174" s="47" t="n"/>
      <c r="J174" s="47">
        <f>IFERROR(VLOOKUP(VLOOKUP(2026000+ROW()-1,开奖记录!$A:$L,11,FALSE),八肖参数!$A:$B,2,FALSE),"")</f>
        <v/>
      </c>
    </row>
    <row r="175" ht="22" customHeight="1" s="21">
      <c r="A175" s="47" t="inlineStr">
        <is>
          <t>蛇26</t>
        </is>
      </c>
      <c r="B175" s="47" t="n">
        <v>115</v>
      </c>
      <c r="C175" s="47" t="n"/>
      <c r="D175" s="48" t="n"/>
      <c r="E175" s="47" t="n"/>
      <c r="F175" s="49" t="n"/>
      <c r="G175" s="47" t="n"/>
      <c r="H175" s="47">
        <f>IFERROR(TEXT(VLOOKUP(2026000+ROW()-1,开奖记录!$A:$L,3,FALSE),"00")&amp;"+5="&amp;VLOOKUP(MOD(VLOOKUP(2026000+ROW()-1,开奖记录!$A:$L,3,FALSE)+4,49)+1,规律参数!$A:$C,3,FALSE),"")</f>
        <v/>
      </c>
      <c r="I175" s="52" t="n"/>
      <c r="J175" s="47">
        <f>IFERROR(VLOOKUP(VLOOKUP(2026000+ROW()-1,开奖记录!$A:$L,11,FALSE),八肖参数!$A:$B,2,FALSE),"")</f>
        <v/>
      </c>
    </row>
    <row r="176" ht="22" customHeight="1" s="21">
      <c r="A176" s="47" t="inlineStr">
        <is>
          <t>鸡 10</t>
        </is>
      </c>
      <c r="B176" s="47" t="n"/>
      <c r="C176" s="47" t="n">
        <v>140</v>
      </c>
      <c r="D176" s="50" t="n"/>
      <c r="E176" s="47" t="n"/>
      <c r="F176" s="51" t="n"/>
      <c r="G176" s="47" t="n"/>
      <c r="H176" s="47">
        <f>IFERROR(TEXT(VLOOKUP(2026000+ROW()-1,开奖记录!$A:$L,3,FALSE),"00")&amp;"+5="&amp;VLOOKUP(MOD(VLOOKUP(2026000+ROW()-1,开奖记录!$A:$L,3,FALSE)+4,49)+1,规律参数!$A:$C,3,FALSE),"")</f>
        <v/>
      </c>
      <c r="I176" s="52" t="n"/>
      <c r="J176" s="47">
        <f>IFERROR(VLOOKUP(VLOOKUP(2026000+ROW()-1,开奖记录!$A:$L,11,FALSE),八肖参数!$A:$B,2,FALSE),"")</f>
        <v/>
      </c>
    </row>
    <row r="177" ht="22" customHeight="1" s="21">
      <c r="A177" s="47" t="inlineStr">
        <is>
          <t>蛇14</t>
        </is>
      </c>
      <c r="B177" s="47" t="n"/>
      <c r="C177" s="47" t="n">
        <v>120</v>
      </c>
      <c r="D177" s="51" t="n"/>
      <c r="E177" s="47" t="n"/>
      <c r="F177" s="48" t="n"/>
      <c r="G177" s="47" t="n"/>
      <c r="H177" s="47">
        <f>IFERROR(TEXT(VLOOKUP(2026000+ROW()-1,开奖记录!$A:$L,3,FALSE),"00")&amp;"+5="&amp;VLOOKUP(MOD(VLOOKUP(2026000+ROW()-1,开奖记录!$A:$L,3,FALSE)+4,49)+1,规律参数!$A:$C,3,FALSE),"")</f>
        <v/>
      </c>
      <c r="I177" s="52" t="n"/>
      <c r="J177" s="47">
        <f>IFERROR(VLOOKUP(VLOOKUP(2026000+ROW()-1,开奖记录!$A:$L,11,FALSE),八肖参数!$A:$B,2,FALSE),"")</f>
        <v/>
      </c>
    </row>
    <row r="178" ht="22" customHeight="1" s="21">
      <c r="A178" s="47" t="inlineStr">
        <is>
          <t>牛18</t>
        </is>
      </c>
      <c r="B178" s="47" t="n"/>
      <c r="C178" s="47" t="n">
        <v>140</v>
      </c>
      <c r="D178" s="48" t="n"/>
      <c r="E178" s="47" t="n"/>
      <c r="F178" s="49" t="n"/>
      <c r="G178" s="47" t="n"/>
      <c r="H178" s="47">
        <f>IFERROR(TEXT(VLOOKUP(2026000+ROW()-1,开奖记录!$A:$L,3,FALSE),"00")&amp;"+5="&amp;VLOOKUP(MOD(VLOOKUP(2026000+ROW()-1,开奖记录!$A:$L,3,FALSE)+4,49)+1,规律参数!$A:$C,3,FALSE),"")</f>
        <v/>
      </c>
      <c r="I178" s="47" t="n"/>
      <c r="J178" s="47">
        <f>IFERROR(VLOOKUP(VLOOKUP(2026000+ROW()-1,开奖记录!$A:$L,11,FALSE),八肖参数!$A:$B,2,FALSE),"")</f>
        <v/>
      </c>
    </row>
    <row r="179" ht="22" customHeight="1" s="21">
      <c r="A179" s="47" t="inlineStr">
        <is>
          <t>龙 15</t>
        </is>
      </c>
      <c r="B179" s="47" t="n"/>
      <c r="C179" s="47" t="n">
        <v>120</v>
      </c>
      <c r="D179" s="50" t="n"/>
      <c r="E179" s="47" t="n"/>
      <c r="F179" s="51" t="n"/>
      <c r="G179" s="47" t="n"/>
      <c r="H179" s="47">
        <f>IFERROR(TEXT(VLOOKUP(2026000+ROW()-1,开奖记录!$A:$L,3,FALSE),"00")&amp;"+5="&amp;VLOOKUP(MOD(VLOOKUP(2026000+ROW()-1,开奖记录!$A:$L,3,FALSE)+4,49)+1,规律参数!$A:$C,3,FALSE),"")</f>
        <v/>
      </c>
      <c r="I179" s="52" t="n"/>
      <c r="J179" s="47">
        <f>IFERROR(VLOOKUP(VLOOKUP(2026000+ROW()-1,开奖记录!$A:$L,11,FALSE),八肖参数!$A:$B,2,FALSE),"")</f>
        <v/>
      </c>
    </row>
    <row r="180" ht="22" customHeight="1" s="21">
      <c r="A180" s="47" t="inlineStr">
        <is>
          <t>狗21</t>
        </is>
      </c>
      <c r="B180" s="47" t="n"/>
      <c r="C180" s="47" t="n">
        <v>170</v>
      </c>
      <c r="D180" s="51" t="n"/>
      <c r="E180" s="47" t="n"/>
      <c r="F180" s="48" t="n"/>
      <c r="G180" s="47" t="n"/>
      <c r="H180" s="47">
        <f>IFERROR(TEXT(VLOOKUP(2026000+ROW()-1,开奖记录!$A:$L,3,FALSE),"00")&amp;"+5="&amp;VLOOKUP(MOD(VLOOKUP(2026000+ROW()-1,开奖记录!$A:$L,3,FALSE)+4,49)+1,规律参数!$A:$C,3,FALSE),"")</f>
        <v/>
      </c>
      <c r="I180" s="47" t="n"/>
      <c r="J180" s="47">
        <f>IFERROR(VLOOKUP(VLOOKUP(2026000+ROW()-1,开奖记录!$A:$L,11,FALSE),八肖参数!$A:$B,2,FALSE),"")</f>
        <v/>
      </c>
    </row>
    <row r="181" ht="22" customHeight="1" s="21">
      <c r="A181" s="47" t="inlineStr">
        <is>
          <t>鼠19</t>
        </is>
      </c>
      <c r="B181" s="47" t="n"/>
      <c r="C181" s="47" t="n"/>
      <c r="D181" s="48" t="n"/>
      <c r="E181" s="47" t="n"/>
      <c r="F181" s="49" t="n"/>
      <c r="G181" s="47" t="n"/>
      <c r="H181" s="47">
        <f>IFERROR(TEXT(VLOOKUP(2026000+ROW()-1,开奖记录!$A:$L,3,FALSE),"00")&amp;"+5="&amp;VLOOKUP(MOD(VLOOKUP(2026000+ROW()-1,开奖记录!$A:$L,3,FALSE)+4,49)+1,规律参数!$A:$C,3,FALSE),"")</f>
        <v/>
      </c>
      <c r="I181" s="47" t="n"/>
      <c r="J181" s="47">
        <f>IFERROR(VLOOKUP(VLOOKUP(2026000+ROW()-1,开奖记录!$A:$L,11,FALSE),八肖参数!$A:$B,2,FALSE),"")</f>
        <v/>
      </c>
    </row>
    <row r="182" ht="22" customHeight="1" s="21">
      <c r="A182" s="47" t="inlineStr">
        <is>
          <t>虎41</t>
        </is>
      </c>
      <c r="B182" s="47" t="n"/>
      <c r="C182" s="47" t="n"/>
      <c r="D182" s="50" t="n"/>
      <c r="E182" s="47" t="n"/>
      <c r="F182" s="51" t="n"/>
      <c r="G182" s="47" t="n"/>
      <c r="H182" s="47">
        <f>IFERROR(TEXT(VLOOKUP(2026000+ROW()-1,开奖记录!$A:$L,3,FALSE),"00")&amp;"+5="&amp;VLOOKUP(MOD(VLOOKUP(2026000+ROW()-1,开奖记录!$A:$L,3,FALSE)+4,49)+1,规律参数!$A:$C,3,FALSE),"")</f>
        <v/>
      </c>
      <c r="I182" s="47" t="n"/>
      <c r="J182" s="47">
        <f>IFERROR(VLOOKUP(VLOOKUP(2026000+ROW()-1,开奖记录!$A:$L,11,FALSE),八肖参数!$A:$B,2,FALSE),"")</f>
        <v/>
      </c>
    </row>
    <row r="183" ht="22" customHeight="1" s="21">
      <c r="A183" s="47" t="inlineStr">
        <is>
          <t xml:space="preserve">羊 24 </t>
        </is>
      </c>
      <c r="B183" s="47" t="n"/>
      <c r="C183" s="47" t="n">
        <v>130</v>
      </c>
      <c r="D183" s="51" t="n"/>
      <c r="E183" s="47" t="n"/>
      <c r="F183" s="48" t="n"/>
      <c r="G183" s="47" t="n"/>
      <c r="H183" s="47">
        <f>IFERROR(TEXT(VLOOKUP(2026000+ROW()-1,开奖记录!$A:$L,3,FALSE),"00")&amp;"+5="&amp;VLOOKUP(MOD(VLOOKUP(2026000+ROW()-1,开奖记录!$A:$L,3,FALSE)+4,49)+1,规律参数!$A:$C,3,FALSE),"")</f>
        <v/>
      </c>
      <c r="I183" s="52" t="n"/>
      <c r="J183" s="47">
        <f>IFERROR(VLOOKUP(VLOOKUP(2026000+ROW()-1,开奖记录!$A:$L,11,FALSE),八肖参数!$A:$B,2,FALSE),"")</f>
        <v/>
      </c>
    </row>
    <row r="184" ht="22" customHeight="1" s="21">
      <c r="A184" s="47" t="inlineStr">
        <is>
          <t>马 01</t>
        </is>
      </c>
      <c r="B184" s="47" t="n"/>
      <c r="C184" s="47" t="n">
        <v>120</v>
      </c>
      <c r="D184" s="48" t="n"/>
      <c r="E184" s="47" t="n"/>
      <c r="F184" s="49" t="n"/>
      <c r="G184" s="47" t="n"/>
      <c r="H184" s="47">
        <f>IFERROR(TEXT(VLOOKUP(2026000+ROW()-1,开奖记录!$A:$L,3,FALSE),"00")&amp;"+5="&amp;VLOOKUP(MOD(VLOOKUP(2026000+ROW()-1,开奖记录!$A:$L,3,FALSE)+4,49)+1,规律参数!$A:$C,3,FALSE),"")</f>
        <v/>
      </c>
      <c r="I184" s="47" t="n"/>
      <c r="J184" s="47">
        <f>IFERROR(VLOOKUP(VLOOKUP(2026000+ROW()-1,开奖记录!$A:$L,11,FALSE),八肖参数!$A:$B,2,FALSE),"")</f>
        <v/>
      </c>
    </row>
    <row r="185" ht="22" customHeight="1" s="21">
      <c r="A185" s="47" t="inlineStr">
        <is>
          <t>羊36</t>
        </is>
      </c>
      <c r="B185" s="47" t="n">
        <v>350</v>
      </c>
      <c r="C185" s="47" t="n"/>
      <c r="D185" s="50" t="n"/>
      <c r="E185" s="47" t="n"/>
      <c r="F185" s="51" t="n"/>
      <c r="G185" s="47" t="n"/>
      <c r="H185" s="47">
        <f>IFERROR(TEXT(VLOOKUP(2026000+ROW()-1,开奖记录!$A:$L,3,FALSE),"00")&amp;"+5="&amp;VLOOKUP(MOD(VLOOKUP(2026000+ROW()-1,开奖记录!$A:$L,3,FALSE)+4,49)+1,规律参数!$A:$C,3,FALSE),"")</f>
        <v/>
      </c>
      <c r="I185" s="52" t="n"/>
      <c r="J185" s="47">
        <f>IFERROR(VLOOKUP(VLOOKUP(2026000+ROW()-1,开奖记录!$A:$L,11,FALSE),八肖参数!$A:$B,2,FALSE),"")</f>
        <v/>
      </c>
    </row>
    <row r="186" ht="22" customHeight="1" s="21">
      <c r="A186" s="47" t="inlineStr">
        <is>
          <t>猴 23</t>
        </is>
      </c>
      <c r="B186" s="47" t="n"/>
      <c r="C186" s="47" t="n">
        <v>60</v>
      </c>
      <c r="D186" s="51" t="n"/>
      <c r="E186" s="47" t="n"/>
      <c r="F186" s="48" t="n"/>
      <c r="G186" s="47" t="n"/>
      <c r="H186" s="47">
        <f>IFERROR(TEXT(VLOOKUP(2026000+ROW()-1,开奖记录!$A:$L,3,FALSE),"00")&amp;"+5="&amp;VLOOKUP(MOD(VLOOKUP(2026000+ROW()-1,开奖记录!$A:$L,3,FALSE)+4,49)+1,规律参数!$A:$C,3,FALSE),"")</f>
        <v/>
      </c>
      <c r="I186" s="52" t="n"/>
      <c r="J186" s="47">
        <f>IFERROR(VLOOKUP(VLOOKUP(2026000+ROW()-1,开奖记录!$A:$L,11,FALSE),八肖参数!$A:$B,2,FALSE),"")</f>
        <v/>
      </c>
    </row>
    <row r="187" ht="22" customHeight="1" s="21">
      <c r="A187" s="47" t="inlineStr">
        <is>
          <t>马 01</t>
        </is>
      </c>
      <c r="B187" s="47" t="n">
        <v>300</v>
      </c>
      <c r="C187" s="47" t="n"/>
      <c r="D187" s="48" t="n"/>
      <c r="E187" s="47" t="n"/>
      <c r="F187" s="49" t="n"/>
      <c r="G187" s="47" t="n"/>
      <c r="H187" s="47">
        <f>IFERROR(TEXT(VLOOKUP(2026000+ROW()-1,开奖记录!$A:$L,3,FALSE),"00")&amp;"+5="&amp;VLOOKUP(MOD(VLOOKUP(2026000+ROW()-1,开奖记录!$A:$L,3,FALSE)+4,49)+1,规律参数!$A:$C,3,FALSE),"")</f>
        <v/>
      </c>
      <c r="I187" s="52" t="n"/>
      <c r="J187" s="47">
        <f>IFERROR(VLOOKUP(VLOOKUP(2026000+ROW()-1,开奖记录!$A:$L,11,FALSE),八肖参数!$A:$B,2,FALSE),"")</f>
        <v/>
      </c>
    </row>
    <row r="188" ht="22" customHeight="1" s="21">
      <c r="A188" s="47" t="inlineStr">
        <is>
          <t>兔16</t>
        </is>
      </c>
      <c r="B188" s="47" t="n">
        <v>350</v>
      </c>
      <c r="C188" s="47" t="n"/>
      <c r="D188" s="50" t="n"/>
      <c r="E188" s="47" t="n"/>
      <c r="F188" s="51" t="n"/>
      <c r="G188" s="47" t="n"/>
      <c r="H188" s="47">
        <f>IFERROR(TEXT(VLOOKUP(2026000+ROW()-1,开奖记录!$A:$L,3,FALSE),"00")&amp;"+5="&amp;VLOOKUP(MOD(VLOOKUP(2026000+ROW()-1,开奖记录!$A:$L,3,FALSE)+4,49)+1,规律参数!$A:$C,3,FALSE),"")</f>
        <v/>
      </c>
      <c r="I188" s="47" t="n"/>
      <c r="J188" s="47">
        <f>IFERROR(VLOOKUP(VLOOKUP(2026000+ROW()-1,开奖记录!$A:$L,11,FALSE),八肖参数!$A:$B,2,FALSE),"")</f>
        <v/>
      </c>
    </row>
    <row r="189" ht="22" customHeight="1" s="21">
      <c r="A189" s="47" t="inlineStr">
        <is>
          <t>龙 15</t>
        </is>
      </c>
      <c r="B189" s="47" t="n"/>
      <c r="C189" s="47" t="n">
        <v>120</v>
      </c>
      <c r="D189" s="51" t="n"/>
      <c r="E189" s="47" t="n"/>
      <c r="F189" s="48" t="n"/>
      <c r="G189" s="47" t="n"/>
      <c r="H189" s="47">
        <f>IFERROR(TEXT(VLOOKUP(2026000+ROW()-1,开奖记录!$A:$L,3,FALSE),"00")&amp;"+5="&amp;VLOOKUP(MOD(VLOOKUP(2026000+ROW()-1,开奖记录!$A:$L,3,FALSE)+4,49)+1,规律参数!$A:$C,3,FALSE),"")</f>
        <v/>
      </c>
      <c r="I189" s="47" t="n"/>
      <c r="J189" s="47">
        <f>IFERROR(VLOOKUP(VLOOKUP(2026000+ROW()-1,开奖记录!$A:$L,11,FALSE),八肖参数!$A:$B,2,FALSE),"")</f>
        <v/>
      </c>
    </row>
    <row r="190" ht="22" customHeight="1" s="21">
      <c r="A190" s="47" t="inlineStr">
        <is>
          <t>兔16</t>
        </is>
      </c>
      <c r="B190" s="47" t="n"/>
      <c r="C190" s="47" t="n">
        <v>120</v>
      </c>
      <c r="D190" s="48" t="n"/>
      <c r="E190" s="47" t="n"/>
      <c r="F190" s="49" t="n"/>
      <c r="G190" s="47" t="n"/>
      <c r="H190" s="47">
        <f>IFERROR(TEXT(VLOOKUP(2026000+ROW()-1,开奖记录!$A:$L,3,FALSE),"00")&amp;"+5="&amp;VLOOKUP(MOD(VLOOKUP(2026000+ROW()-1,开奖记录!$A:$L,3,FALSE)+4,49)+1,规律参数!$A:$C,3,FALSE),"")</f>
        <v/>
      </c>
      <c r="I190" s="52" t="n"/>
      <c r="J190" s="47">
        <f>IFERROR(VLOOKUP(VLOOKUP(2026000+ROW()-1,开奖记录!$A:$L,11,FALSE),八肖参数!$A:$B,2,FALSE),"")</f>
        <v/>
      </c>
    </row>
    <row r="191" ht="22" customHeight="1" s="21">
      <c r="A191" s="47" t="inlineStr">
        <is>
          <t>虎 29</t>
        </is>
      </c>
      <c r="B191" s="47" t="n"/>
      <c r="C191" s="47" t="n"/>
      <c r="D191" s="50" t="n"/>
      <c r="E191" s="47" t="n"/>
      <c r="F191" s="51" t="n"/>
      <c r="G191" s="47" t="n"/>
      <c r="H191" s="47">
        <f>IFERROR(TEXT(VLOOKUP(2026000+ROW()-1,开奖记录!$A:$L,3,FALSE),"00")&amp;"+5="&amp;VLOOKUP(MOD(VLOOKUP(2026000+ROW()-1,开奖记录!$A:$L,3,FALSE)+4,49)+1,规律参数!$A:$C,3,FALSE),"")</f>
        <v/>
      </c>
      <c r="I191" s="52" t="n"/>
      <c r="J191" s="47">
        <f>IFERROR(VLOOKUP(VLOOKUP(2026000+ROW()-1,开奖记录!$A:$L,11,FALSE),八肖参数!$A:$B,2,FALSE),"")</f>
        <v/>
      </c>
    </row>
    <row r="192" ht="22" customHeight="1" s="21">
      <c r="A192" s="47" t="inlineStr">
        <is>
          <t>马25</t>
        </is>
      </c>
      <c r="B192" s="47" t="n">
        <v>170</v>
      </c>
      <c r="C192" s="47" t="n"/>
      <c r="D192" s="51" t="n"/>
      <c r="E192" s="47" t="n"/>
      <c r="F192" s="48" t="n"/>
      <c r="G192" s="47" t="n"/>
      <c r="H192" s="47">
        <f>IFERROR(TEXT(VLOOKUP(2026000+ROW()-1,开奖记录!$A:$L,3,FALSE),"00")&amp;"+5="&amp;VLOOKUP(MOD(VLOOKUP(2026000+ROW()-1,开奖记录!$A:$L,3,FALSE)+4,49)+1,规律参数!$A:$C,3,FALSE),"")</f>
        <v/>
      </c>
      <c r="I192" s="52" t="n"/>
      <c r="J192" s="47">
        <f>IFERROR(VLOOKUP(VLOOKUP(2026000+ROW()-1,开奖记录!$A:$L,11,FALSE),八肖参数!$A:$B,2,FALSE),"")</f>
        <v/>
      </c>
    </row>
    <row r="193" ht="22" customHeight="1" s="21">
      <c r="A193" s="47" t="inlineStr">
        <is>
          <t xml:space="preserve">狗 09 </t>
        </is>
      </c>
      <c r="B193" s="47" t="n"/>
      <c r="C193" s="47" t="n">
        <v>120</v>
      </c>
      <c r="D193" s="48" t="n"/>
      <c r="E193" s="47" t="n"/>
      <c r="F193" s="49" t="n"/>
      <c r="G193" s="47" t="n"/>
      <c r="H193" s="47">
        <f>IFERROR(TEXT(VLOOKUP(2026000+ROW()-1,开奖记录!$A:$L,3,FALSE),"00")&amp;"+5="&amp;VLOOKUP(MOD(VLOOKUP(2026000+ROW()-1,开奖记录!$A:$L,3,FALSE)+4,49)+1,规律参数!$A:$C,3,FALSE),"")</f>
        <v/>
      </c>
      <c r="I193" s="47" t="n"/>
      <c r="J193" s="47">
        <f>IFERROR(VLOOKUP(VLOOKUP(2026000+ROW()-1,开奖记录!$A:$L,11,FALSE),八肖参数!$A:$B,2,FALSE),"")</f>
        <v/>
      </c>
    </row>
    <row r="194" ht="22" customHeight="1" s="21">
      <c r="A194" s="47" t="inlineStr">
        <is>
          <t>蛇26</t>
        </is>
      </c>
      <c r="B194" s="47" t="n"/>
      <c r="C194" s="47" t="n">
        <v>120</v>
      </c>
      <c r="D194" s="50" t="n"/>
      <c r="E194" s="47" t="n"/>
      <c r="F194" s="51" t="n"/>
      <c r="G194" s="47" t="n"/>
      <c r="H194" s="47">
        <f>IFERROR(TEXT(VLOOKUP(2026000+ROW()-1,开奖记录!$A:$L,3,FALSE),"00")&amp;"+5="&amp;VLOOKUP(MOD(VLOOKUP(2026000+ROW()-1,开奖记录!$A:$L,3,FALSE)+4,49)+1,规律参数!$A:$C,3,FALSE),"")</f>
        <v/>
      </c>
      <c r="I194" s="52" t="n"/>
      <c r="J194" s="47">
        <f>IFERROR(VLOOKUP(VLOOKUP(2026000+ROW()-1,开奖记录!$A:$L,11,FALSE),八肖参数!$A:$B,2,FALSE),"")</f>
        <v/>
      </c>
    </row>
    <row r="195" ht="22" customHeight="1" s="21">
      <c r="A195" s="47" t="inlineStr">
        <is>
          <t>马 25</t>
        </is>
      </c>
      <c r="B195" s="47" t="n"/>
      <c r="C195" s="47" t="n"/>
      <c r="D195" s="51" t="n"/>
      <c r="E195" s="47" t="n"/>
      <c r="F195" s="48" t="n"/>
      <c r="G195" s="47" t="n"/>
      <c r="H195" s="47">
        <f>IFERROR(TEXT(VLOOKUP(2026000+ROW()-1,开奖记录!$A:$L,3,FALSE),"00")&amp;"+5="&amp;VLOOKUP(MOD(VLOOKUP(2026000+ROW()-1,开奖记录!$A:$L,3,FALSE)+4,49)+1,规律参数!$A:$C,3,FALSE),"")</f>
        <v/>
      </c>
      <c r="I195" s="52" t="n"/>
      <c r="J195" s="47">
        <f>IFERROR(VLOOKUP(VLOOKUP(2026000+ROW()-1,开奖记录!$A:$L,11,FALSE),八肖参数!$A:$B,2,FALSE),"")</f>
        <v/>
      </c>
    </row>
    <row r="196" ht="22" customHeight="1" s="21">
      <c r="A196" s="47" t="inlineStr">
        <is>
          <t>龙39</t>
        </is>
      </c>
      <c r="B196" s="47" t="n"/>
      <c r="C196" s="47" t="n">
        <v>80</v>
      </c>
      <c r="D196" s="48" t="n"/>
      <c r="E196" s="47" t="n"/>
      <c r="F196" s="49" t="n"/>
      <c r="G196" s="47" t="n"/>
      <c r="H196" s="47">
        <f>IFERROR(TEXT(VLOOKUP(2026000+ROW()-1,开奖记录!$A:$L,3,FALSE),"00")&amp;"+5="&amp;VLOOKUP(MOD(VLOOKUP(2026000+ROW()-1,开奖记录!$A:$L,3,FALSE)+4,49)+1,规律参数!$A:$C,3,FALSE),"")</f>
        <v/>
      </c>
      <c r="I196" s="47" t="n"/>
      <c r="J196" s="47">
        <f>IFERROR(VLOOKUP(VLOOKUP(2026000+ROW()-1,开奖记录!$A:$L,11,FALSE),八肖参数!$A:$B,2,FALSE),"")</f>
        <v/>
      </c>
    </row>
    <row r="197" ht="22" customHeight="1" s="21">
      <c r="A197" s="47" t="inlineStr">
        <is>
          <t>猪08</t>
        </is>
      </c>
      <c r="B197" s="47" t="n">
        <v>155</v>
      </c>
      <c r="C197" s="47" t="n"/>
      <c r="D197" s="50" t="n"/>
      <c r="E197" s="47" t="n"/>
      <c r="F197" s="51" t="n"/>
      <c r="G197" s="47" t="n"/>
      <c r="H197" s="47">
        <f>IFERROR(TEXT(VLOOKUP(2026000+ROW()-1,开奖记录!$A:$L,3,FALSE),"00")&amp;"+5="&amp;VLOOKUP(MOD(VLOOKUP(2026000+ROW()-1,开奖记录!$A:$L,3,FALSE)+4,49)+1,规律参数!$A:$C,3,FALSE),"")</f>
        <v/>
      </c>
      <c r="I197" s="52" t="n"/>
      <c r="J197" s="47">
        <f>IFERROR(VLOOKUP(VLOOKUP(2026000+ROW()-1,开奖记录!$A:$L,11,FALSE),八肖参数!$A:$B,2,FALSE),"")</f>
        <v/>
      </c>
    </row>
    <row r="198" ht="22" customHeight="1" s="21">
      <c r="A198" s="47" t="inlineStr">
        <is>
          <t>鼠07</t>
        </is>
      </c>
      <c r="B198" s="47" t="n"/>
      <c r="C198" s="47" t="n">
        <v>120</v>
      </c>
      <c r="D198" s="51" t="n"/>
      <c r="E198" s="47" t="n"/>
      <c r="F198" s="48" t="n"/>
      <c r="G198" s="47" t="n"/>
      <c r="H198" s="47">
        <f>IFERROR(TEXT(VLOOKUP(2026000+ROW()-1,开奖记录!$A:$L,3,FALSE),"00")&amp;"+5="&amp;VLOOKUP(MOD(VLOOKUP(2026000+ROW()-1,开奖记录!$A:$L,3,FALSE)+4,49)+1,规律参数!$A:$C,3,FALSE),"")</f>
        <v/>
      </c>
      <c r="I198" s="47" t="n"/>
      <c r="J198" s="47">
        <f>IFERROR(VLOOKUP(VLOOKUP(2026000+ROW()-1,开奖记录!$A:$L,11,FALSE),八肖参数!$A:$B,2,FALSE),"")</f>
        <v/>
      </c>
    </row>
    <row r="199" ht="22" customHeight="1" s="21">
      <c r="A199" s="47" t="n"/>
      <c r="B199" s="47" t="n"/>
      <c r="C199" s="47" t="n"/>
      <c r="D199" s="48" t="n"/>
      <c r="E199" s="47" t="n"/>
      <c r="F199" s="49" t="n"/>
      <c r="G199" s="47" t="n"/>
      <c r="H199" s="47">
        <f>IFERROR(TEXT(VLOOKUP(2026000+ROW()-1,开奖记录!$A:$L,3,FALSE),"00")&amp;"+5="&amp;VLOOKUP(MOD(VLOOKUP(2026000+ROW()-1,开奖记录!$A:$L,3,FALSE)+4,49)+1,规律参数!$A:$C,3,FALSE),"")</f>
        <v/>
      </c>
      <c r="I199" s="47" t="n"/>
      <c r="J199" s="47">
        <f>IFERROR(VLOOKUP(VLOOKUP(2026000+ROW()-1,开奖记录!$A:$L,11,FALSE),八肖参数!$A:$B,2,FALSE),"")</f>
        <v/>
      </c>
    </row>
    <row r="200" ht="22" customHeight="1" s="21">
      <c r="A200" s="47" t="n"/>
      <c r="B200" s="47" t="n"/>
      <c r="C200" s="47" t="n"/>
      <c r="D200" s="50" t="n"/>
      <c r="E200" s="47" t="n"/>
      <c r="F200" s="51" t="n"/>
      <c r="G200" s="47" t="n"/>
      <c r="H200" s="47">
        <f>IFERROR(TEXT(VLOOKUP(2026000+ROW()-1,开奖记录!$A:$L,3,FALSE),"00")&amp;"+5="&amp;VLOOKUP(MOD(VLOOKUP(2026000+ROW()-1,开奖记录!$A:$L,3,FALSE)+4,49)+1,规律参数!$A:$C,3,FALSE),"")</f>
        <v/>
      </c>
      <c r="I200" s="47" t="n"/>
      <c r="J200" s="47">
        <f>IFERROR(VLOOKUP(VLOOKUP(2026000+ROW()-1,开奖记录!$A:$L,11,FALSE),八肖参数!$A:$B,2,FALSE),"")</f>
        <v/>
      </c>
    </row>
    <row r="201" ht="22" customHeight="1" s="21">
      <c r="A201" s="47" t="n"/>
      <c r="B201" s="47" t="n"/>
      <c r="C201" s="47" t="n"/>
      <c r="D201" s="51" t="n"/>
      <c r="E201" s="47" t="n"/>
      <c r="F201" s="48" t="n"/>
      <c r="G201" s="47" t="n"/>
      <c r="H201" s="47">
        <f>IFERROR(TEXT(VLOOKUP(2026000+ROW()-1,开奖记录!$A:$L,3,FALSE),"00")&amp;"+5="&amp;VLOOKUP(MOD(VLOOKUP(2026000+ROW()-1,开奖记录!$A:$L,3,FALSE)+4,49)+1,规律参数!$A:$C,3,FALSE),"")</f>
        <v/>
      </c>
      <c r="I201" s="47" t="n"/>
      <c r="J201" s="47">
        <f>IFERROR(VLOOKUP(VLOOKUP(2026000+ROW()-1,开奖记录!$A:$L,11,FALSE),八肖参数!$A:$B,2,FALSE),"")</f>
        <v/>
      </c>
    </row>
    <row r="202" ht="22" customHeight="1" s="21">
      <c r="A202" s="47" t="n"/>
      <c r="B202" s="47" t="n"/>
      <c r="C202" s="47" t="n"/>
      <c r="D202" s="48" t="n"/>
      <c r="E202" s="47" t="n"/>
      <c r="F202" s="49" t="n"/>
      <c r="G202" s="47" t="n"/>
      <c r="H202" s="47">
        <f>IFERROR(TEXT(VLOOKUP(2026000+ROW()-1,开奖记录!$A:$L,3,FALSE),"00")&amp;"+5="&amp;VLOOKUP(MOD(VLOOKUP(2026000+ROW()-1,开奖记录!$A:$L,3,FALSE)+4,49)+1,规律参数!$A:$C,3,FALSE),"")</f>
        <v/>
      </c>
      <c r="I202" s="47" t="n"/>
      <c r="J202" s="47">
        <f>IFERROR(VLOOKUP(VLOOKUP(2026000+ROW()-1,开奖记录!$A:$L,11,FALSE),八肖参数!$A:$B,2,FALSE),"")</f>
        <v/>
      </c>
    </row>
    <row r="203" ht="22" customHeight="1" s="21">
      <c r="A203" s="47" t="n"/>
      <c r="B203" s="47" t="n"/>
      <c r="C203" s="47" t="n"/>
      <c r="D203" s="50" t="n"/>
      <c r="E203" s="47" t="n"/>
      <c r="F203" s="51" t="n"/>
      <c r="G203" s="47" t="n"/>
      <c r="H203" s="47">
        <f>IFERROR(TEXT(VLOOKUP(2026000+ROW()-1,开奖记录!$A:$L,3,FALSE),"00")&amp;"+5="&amp;VLOOKUP(MOD(VLOOKUP(2026000+ROW()-1,开奖记录!$A:$L,3,FALSE)+4,49)+1,规律参数!$A:$C,3,FALSE),"")</f>
        <v/>
      </c>
      <c r="I203" s="47" t="n"/>
      <c r="J203" s="47">
        <f>IFERROR(VLOOKUP(VLOOKUP(2026000+ROW()-1,开奖记录!$A:$L,11,FALSE),八肖参数!$A:$B,2,FALSE),"")</f>
        <v/>
      </c>
    </row>
    <row r="204" ht="22" customHeight="1" s="21">
      <c r="A204" s="47" t="n"/>
      <c r="B204" s="47" t="n"/>
      <c r="C204" s="47" t="n"/>
      <c r="D204" s="51" t="n"/>
      <c r="E204" s="47" t="n"/>
      <c r="F204" s="48" t="n"/>
      <c r="G204" s="47" t="n"/>
      <c r="H204" s="47">
        <f>IFERROR(TEXT(VLOOKUP(2026000+ROW()-1,开奖记录!$A:$L,3,FALSE),"00")&amp;"+5="&amp;VLOOKUP(MOD(VLOOKUP(2026000+ROW()-1,开奖记录!$A:$L,3,FALSE)+4,49)+1,规律参数!$A:$C,3,FALSE),"")</f>
        <v/>
      </c>
      <c r="I204" s="47" t="n"/>
      <c r="J204" s="47">
        <f>IFERROR(VLOOKUP(VLOOKUP(2026000+ROW()-1,开奖记录!$A:$L,11,FALSE),八肖参数!$A:$B,2,FALSE),"")</f>
        <v/>
      </c>
    </row>
    <row r="205" ht="22" customHeight="1" s="21">
      <c r="A205" s="47" t="n"/>
      <c r="B205" s="47" t="n"/>
      <c r="C205" s="47" t="n"/>
      <c r="D205" s="48" t="n"/>
      <c r="E205" s="47" t="n"/>
      <c r="F205" s="49" t="n"/>
      <c r="G205" s="47" t="n"/>
      <c r="H205" s="47">
        <f>IFERROR(TEXT(VLOOKUP(2026000+ROW()-1,开奖记录!$A:$L,3,FALSE),"00")&amp;"+5="&amp;VLOOKUP(MOD(VLOOKUP(2026000+ROW()-1,开奖记录!$A:$L,3,FALSE)+4,49)+1,规律参数!$A:$C,3,FALSE),"")</f>
        <v/>
      </c>
      <c r="I205" s="47" t="n"/>
      <c r="J205" s="47">
        <f>IFERROR(VLOOKUP(VLOOKUP(2026000+ROW()-1,开奖记录!$A:$L,11,FALSE),八肖参数!$A:$B,2,FALSE),"")</f>
        <v/>
      </c>
    </row>
    <row r="206" ht="22" customHeight="1" s="21">
      <c r="A206" s="47" t="n"/>
      <c r="B206" s="47" t="n"/>
      <c r="C206" s="47" t="n"/>
      <c r="D206" s="50" t="n"/>
      <c r="E206" s="47" t="n"/>
      <c r="F206" s="51" t="n"/>
      <c r="G206" s="47" t="n"/>
      <c r="H206" s="47">
        <f>IFERROR(TEXT(VLOOKUP(2026000+ROW()-1,开奖记录!$A:$L,3,FALSE),"00")&amp;"+5="&amp;VLOOKUP(MOD(VLOOKUP(2026000+ROW()-1,开奖记录!$A:$L,3,FALSE)+4,49)+1,规律参数!$A:$C,3,FALSE),"")</f>
        <v/>
      </c>
      <c r="I206" s="47" t="n"/>
      <c r="J206" s="47">
        <f>IFERROR(VLOOKUP(VLOOKUP(2026000+ROW()-1,开奖记录!$A:$L,11,FALSE),八肖参数!$A:$B,2,FALSE),"")</f>
        <v/>
      </c>
    </row>
    <row r="207" ht="22" customHeight="1" s="21">
      <c r="A207" s="47" t="n"/>
      <c r="B207" s="47" t="n"/>
      <c r="C207" s="47" t="n"/>
      <c r="D207" s="51" t="n"/>
      <c r="E207" s="47" t="n"/>
      <c r="F207" s="48" t="n"/>
      <c r="G207" s="47" t="n"/>
      <c r="H207" s="47">
        <f>IFERROR(TEXT(VLOOKUP(2026000+ROW()-1,开奖记录!$A:$L,3,FALSE),"00")&amp;"+5="&amp;VLOOKUP(MOD(VLOOKUP(2026000+ROW()-1,开奖记录!$A:$L,3,FALSE)+4,49)+1,规律参数!$A:$C,3,FALSE),"")</f>
        <v/>
      </c>
      <c r="I207" s="47" t="n"/>
      <c r="J207" s="47">
        <f>IFERROR(VLOOKUP(VLOOKUP(2026000+ROW()-1,开奖记录!$A:$L,11,FALSE),八肖参数!$A:$B,2,FALSE),"")</f>
        <v/>
      </c>
    </row>
    <row r="208" ht="22" customHeight="1" s="21">
      <c r="A208" s="47" t="n"/>
      <c r="B208" s="47" t="n"/>
      <c r="C208" s="47" t="n"/>
      <c r="D208" s="48" t="n"/>
      <c r="E208" s="47" t="n"/>
      <c r="F208" s="49" t="n"/>
      <c r="G208" s="47" t="n"/>
      <c r="H208" s="47">
        <f>IFERROR(TEXT(VLOOKUP(2026000+ROW()-1,开奖记录!$A:$L,3,FALSE),"00")&amp;"+5="&amp;VLOOKUP(MOD(VLOOKUP(2026000+ROW()-1,开奖记录!$A:$L,3,FALSE)+4,49)+1,规律参数!$A:$C,3,FALSE),"")</f>
        <v/>
      </c>
      <c r="I208" s="47" t="n"/>
      <c r="J208" s="47">
        <f>IFERROR(VLOOKUP(VLOOKUP(2026000+ROW()-1,开奖记录!$A:$L,11,FALSE),八肖参数!$A:$B,2,FALSE),"")</f>
        <v/>
      </c>
    </row>
    <row r="209" ht="22" customHeight="1" s="21">
      <c r="A209" s="47" t="n"/>
      <c r="B209" s="47" t="n"/>
      <c r="C209" s="47" t="n"/>
      <c r="D209" s="50" t="n"/>
      <c r="E209" s="47" t="n"/>
      <c r="F209" s="51" t="n"/>
      <c r="G209" s="47" t="n"/>
      <c r="H209" s="47">
        <f>IFERROR(TEXT(VLOOKUP(2026000+ROW()-1,开奖记录!$A:$L,3,FALSE),"00")&amp;"+5="&amp;VLOOKUP(MOD(VLOOKUP(2026000+ROW()-1,开奖记录!$A:$L,3,FALSE)+4,49)+1,规律参数!$A:$C,3,FALSE),"")</f>
        <v/>
      </c>
      <c r="I209" s="47" t="n"/>
      <c r="J209" s="47">
        <f>IFERROR(VLOOKUP(VLOOKUP(2026000+ROW()-1,开奖记录!$A:$L,11,FALSE),八肖参数!$A:$B,2,FALSE),"")</f>
        <v/>
      </c>
    </row>
    <row r="210" ht="22" customHeight="1" s="21">
      <c r="A210" s="47" t="n"/>
      <c r="B210" s="47" t="n"/>
      <c r="C210" s="47" t="n"/>
      <c r="D210" s="51" t="n"/>
      <c r="E210" s="47" t="n"/>
      <c r="F210" s="48" t="n"/>
      <c r="G210" s="47" t="n"/>
      <c r="H210" s="47">
        <f>IFERROR(TEXT(VLOOKUP(2026000+ROW()-1,开奖记录!$A:$L,3,FALSE),"00")&amp;"+5="&amp;VLOOKUP(MOD(VLOOKUP(2026000+ROW()-1,开奖记录!$A:$L,3,FALSE)+4,49)+1,规律参数!$A:$C,3,FALSE),"")</f>
        <v/>
      </c>
      <c r="I210" s="47" t="n"/>
      <c r="J210" s="47">
        <f>IFERROR(VLOOKUP(VLOOKUP(2026000+ROW()-1,开奖记录!$A:$L,11,FALSE),八肖参数!$A:$B,2,FALSE),"")</f>
        <v/>
      </c>
    </row>
    <row r="211" ht="22" customHeight="1" s="21">
      <c r="A211" s="47" t="n"/>
      <c r="B211" s="47" t="n"/>
      <c r="C211" s="47" t="n"/>
      <c r="D211" s="48" t="n"/>
      <c r="E211" s="47" t="n"/>
      <c r="F211" s="49" t="n"/>
      <c r="G211" s="47" t="n"/>
      <c r="H211" s="47">
        <f>IFERROR(TEXT(VLOOKUP(2026000+ROW()-1,开奖记录!$A:$L,3,FALSE),"00")&amp;"+5="&amp;VLOOKUP(MOD(VLOOKUP(2026000+ROW()-1,开奖记录!$A:$L,3,FALSE)+4,49)+1,规律参数!$A:$C,3,FALSE),"")</f>
        <v/>
      </c>
      <c r="I211" s="47" t="n"/>
      <c r="J211" s="47">
        <f>IFERROR(VLOOKUP(VLOOKUP(2026000+ROW()-1,开奖记录!$A:$L,11,FALSE),八肖参数!$A:$B,2,FALSE),"")</f>
        <v/>
      </c>
    </row>
    <row r="212" ht="22" customHeight="1" s="21">
      <c r="A212" s="47" t="n"/>
      <c r="B212" s="47" t="n"/>
      <c r="C212" s="47" t="n"/>
      <c r="D212" s="50" t="n"/>
      <c r="E212" s="47" t="n"/>
      <c r="F212" s="51" t="n"/>
      <c r="G212" s="47" t="n"/>
      <c r="H212" s="47">
        <f>IFERROR(TEXT(VLOOKUP(2026000+ROW()-1,开奖记录!$A:$L,3,FALSE),"00")&amp;"+5="&amp;VLOOKUP(MOD(VLOOKUP(2026000+ROW()-1,开奖记录!$A:$L,3,FALSE)+4,49)+1,规律参数!$A:$C,3,FALSE),"")</f>
        <v/>
      </c>
      <c r="I212" s="47" t="n"/>
      <c r="J212" s="47">
        <f>IFERROR(VLOOKUP(VLOOKUP(2026000+ROW()-1,开奖记录!$A:$L,11,FALSE),八肖参数!$A:$B,2,FALSE),"")</f>
        <v/>
      </c>
    </row>
    <row r="213" ht="22" customHeight="1" s="21">
      <c r="A213" s="47" t="n"/>
      <c r="B213" s="47" t="n"/>
      <c r="C213" s="47" t="n"/>
      <c r="D213" s="51" t="n"/>
      <c r="E213" s="47" t="n"/>
      <c r="F213" s="48" t="n"/>
      <c r="G213" s="47" t="n"/>
      <c r="H213" s="47">
        <f>IFERROR(TEXT(VLOOKUP(2026000+ROW()-1,开奖记录!$A:$L,3,FALSE),"00")&amp;"+5="&amp;VLOOKUP(MOD(VLOOKUP(2026000+ROW()-1,开奖记录!$A:$L,3,FALSE)+4,49)+1,规律参数!$A:$C,3,FALSE),"")</f>
        <v/>
      </c>
      <c r="I213" s="47" t="n"/>
      <c r="J213" s="47">
        <f>IFERROR(VLOOKUP(VLOOKUP(2026000+ROW()-1,开奖记录!$A:$L,11,FALSE),八肖参数!$A:$B,2,FALSE),"")</f>
        <v/>
      </c>
    </row>
    <row r="214" ht="22" customHeight="1" s="21">
      <c r="A214" s="47" t="n"/>
      <c r="B214" s="47" t="n"/>
      <c r="C214" s="47" t="n"/>
      <c r="D214" s="48" t="n"/>
      <c r="E214" s="47" t="n"/>
      <c r="F214" s="49" t="n"/>
      <c r="G214" s="47" t="n"/>
      <c r="H214" s="47">
        <f>IFERROR(TEXT(VLOOKUP(2026000+ROW()-1,开奖记录!$A:$L,3,FALSE),"00")&amp;"+5="&amp;VLOOKUP(MOD(VLOOKUP(2026000+ROW()-1,开奖记录!$A:$L,3,FALSE)+4,49)+1,规律参数!$A:$C,3,FALSE),"")</f>
        <v/>
      </c>
      <c r="I214" s="47" t="n"/>
      <c r="J214" s="47">
        <f>IFERROR(VLOOKUP(VLOOKUP(2026000+ROW()-1,开奖记录!$A:$L,11,FALSE),八肖参数!$A:$B,2,FALSE),"")</f>
        <v/>
      </c>
    </row>
    <row r="215" ht="22" customHeight="1" s="21">
      <c r="A215" s="47" t="n"/>
      <c r="B215" s="47" t="n"/>
      <c r="C215" s="47" t="n"/>
      <c r="D215" s="50" t="n"/>
      <c r="E215" s="47" t="n"/>
      <c r="F215" s="51" t="n"/>
      <c r="G215" s="47" t="n"/>
      <c r="H215" s="47">
        <f>IFERROR(TEXT(VLOOKUP(2026000+ROW()-1,开奖记录!$A:$L,3,FALSE),"00")&amp;"+5="&amp;VLOOKUP(MOD(VLOOKUP(2026000+ROW()-1,开奖记录!$A:$L,3,FALSE)+4,49)+1,规律参数!$A:$C,3,FALSE),"")</f>
        <v/>
      </c>
      <c r="I215" s="47" t="n"/>
      <c r="J215" s="47">
        <f>IFERROR(VLOOKUP(VLOOKUP(2026000+ROW()-1,开奖记录!$A:$L,11,FALSE),八肖参数!$A:$B,2,FALSE),"")</f>
        <v/>
      </c>
    </row>
    <row r="216" ht="22" customHeight="1" s="21">
      <c r="A216" s="47" t="n"/>
      <c r="B216" s="47" t="n"/>
      <c r="C216" s="47" t="n"/>
      <c r="D216" s="51" t="n"/>
      <c r="E216" s="47" t="n"/>
      <c r="F216" s="48" t="n"/>
      <c r="G216" s="47" t="n"/>
      <c r="H216" s="47">
        <f>IFERROR(TEXT(VLOOKUP(2026000+ROW()-1,开奖记录!$A:$L,3,FALSE),"00")&amp;"+5="&amp;VLOOKUP(MOD(VLOOKUP(2026000+ROW()-1,开奖记录!$A:$L,3,FALSE)+4,49)+1,规律参数!$A:$C,3,FALSE),"")</f>
        <v/>
      </c>
      <c r="I216" s="47" t="n"/>
      <c r="J216" s="47">
        <f>IFERROR(VLOOKUP(VLOOKUP(2026000+ROW()-1,开奖记录!$A:$L,11,FALSE),八肖参数!$A:$B,2,FALSE),"")</f>
        <v/>
      </c>
    </row>
    <row r="217" ht="22" customHeight="1" s="21">
      <c r="A217" s="47" t="n"/>
      <c r="B217" s="47" t="n"/>
      <c r="C217" s="47" t="n"/>
      <c r="D217" s="48" t="n"/>
      <c r="E217" s="47" t="n"/>
      <c r="F217" s="49" t="n"/>
      <c r="G217" s="47" t="n"/>
      <c r="H217" s="47">
        <f>IFERROR(TEXT(VLOOKUP(2026000+ROW()-1,开奖记录!$A:$L,3,FALSE),"00")&amp;"+5="&amp;VLOOKUP(MOD(VLOOKUP(2026000+ROW()-1,开奖记录!$A:$L,3,FALSE)+4,49)+1,规律参数!$A:$C,3,FALSE),"")</f>
        <v/>
      </c>
      <c r="I217" s="47" t="n"/>
      <c r="J217" s="47">
        <f>IFERROR(VLOOKUP(VLOOKUP(2026000+ROW()-1,开奖记录!$A:$L,11,FALSE),八肖参数!$A:$B,2,FALSE),"")</f>
        <v/>
      </c>
    </row>
    <row r="218" ht="22" customHeight="1" s="21">
      <c r="A218" s="47" t="n"/>
      <c r="B218" s="47" t="n"/>
      <c r="C218" s="47" t="n"/>
      <c r="D218" s="50" t="n"/>
      <c r="E218" s="47" t="n"/>
      <c r="F218" s="51" t="n"/>
      <c r="G218" s="47" t="n"/>
      <c r="H218" s="47">
        <f>IFERROR(TEXT(VLOOKUP(2026000+ROW()-1,开奖记录!$A:$L,3,FALSE),"00")&amp;"+5="&amp;VLOOKUP(MOD(VLOOKUP(2026000+ROW()-1,开奖记录!$A:$L,3,FALSE)+4,49)+1,规律参数!$A:$C,3,FALSE),"")</f>
        <v/>
      </c>
      <c r="I218" s="47" t="n"/>
      <c r="J218" s="47">
        <f>IFERROR(VLOOKUP(VLOOKUP(2026000+ROW()-1,开奖记录!$A:$L,11,FALSE),八肖参数!$A:$B,2,FALSE),"")</f>
        <v/>
      </c>
    </row>
    <row r="219" ht="22" customHeight="1" s="21">
      <c r="A219" s="47" t="n"/>
      <c r="B219" s="47" t="n"/>
      <c r="C219" s="47" t="n"/>
      <c r="D219" s="51" t="n"/>
      <c r="E219" s="47" t="n"/>
      <c r="F219" s="48" t="n"/>
      <c r="G219" s="47" t="n"/>
      <c r="H219" s="47">
        <f>IFERROR(TEXT(VLOOKUP(2026000+ROW()-1,开奖记录!$A:$L,3,FALSE),"00")&amp;"+5="&amp;VLOOKUP(MOD(VLOOKUP(2026000+ROW()-1,开奖记录!$A:$L,3,FALSE)+4,49)+1,规律参数!$A:$C,3,FALSE),"")</f>
        <v/>
      </c>
      <c r="I219" s="47" t="n"/>
      <c r="J219" s="47">
        <f>IFERROR(VLOOKUP(VLOOKUP(2026000+ROW()-1,开奖记录!$A:$L,11,FALSE),八肖参数!$A:$B,2,FALSE),"")</f>
        <v/>
      </c>
    </row>
    <row r="220" ht="22" customHeight="1" s="21">
      <c r="A220" s="47" t="n"/>
      <c r="B220" s="47" t="n"/>
      <c r="C220" s="47" t="n"/>
      <c r="D220" s="48" t="n"/>
      <c r="E220" s="47" t="n"/>
      <c r="F220" s="49" t="n"/>
      <c r="G220" s="47" t="n"/>
      <c r="H220" s="47">
        <f>IFERROR(TEXT(VLOOKUP(2026000+ROW()-1,开奖记录!$A:$L,3,FALSE),"00")&amp;"+5="&amp;VLOOKUP(MOD(VLOOKUP(2026000+ROW()-1,开奖记录!$A:$L,3,FALSE)+4,49)+1,规律参数!$A:$C,3,FALSE),"")</f>
        <v/>
      </c>
      <c r="I220" s="47" t="n"/>
      <c r="J220" s="47">
        <f>IFERROR(VLOOKUP(VLOOKUP(2026000+ROW()-1,开奖记录!$A:$L,11,FALSE),八肖参数!$A:$B,2,FALSE),"")</f>
        <v/>
      </c>
    </row>
    <row r="221" ht="22" customHeight="1" s="21">
      <c r="A221" s="47" t="n"/>
      <c r="B221" s="47" t="n"/>
      <c r="C221" s="47" t="n"/>
      <c r="D221" s="50" t="n"/>
      <c r="E221" s="47" t="n"/>
      <c r="F221" s="51" t="n"/>
      <c r="G221" s="47" t="n"/>
      <c r="H221" s="47">
        <f>IFERROR(TEXT(VLOOKUP(2026000+ROW()-1,开奖记录!$A:$L,3,FALSE),"00")&amp;"+5="&amp;VLOOKUP(MOD(VLOOKUP(2026000+ROW()-1,开奖记录!$A:$L,3,FALSE)+4,49)+1,规律参数!$A:$C,3,FALSE),"")</f>
        <v/>
      </c>
      <c r="I221" s="47" t="n"/>
      <c r="J221" s="47">
        <f>IFERROR(VLOOKUP(VLOOKUP(2026000+ROW()-1,开奖记录!$A:$L,11,FALSE),八肖参数!$A:$B,2,FALSE),"")</f>
        <v/>
      </c>
    </row>
    <row r="222" ht="22" customHeight="1" s="21">
      <c r="A222" s="47" t="n"/>
      <c r="B222" s="47" t="n"/>
      <c r="C222" s="47" t="n"/>
      <c r="D222" s="51" t="n"/>
      <c r="E222" s="47" t="n"/>
      <c r="F222" s="48" t="n"/>
      <c r="G222" s="47" t="n"/>
      <c r="H222" s="47">
        <f>IFERROR(TEXT(VLOOKUP(2026000+ROW()-1,开奖记录!$A:$L,3,FALSE),"00")&amp;"+5="&amp;VLOOKUP(MOD(VLOOKUP(2026000+ROW()-1,开奖记录!$A:$L,3,FALSE)+4,49)+1,规律参数!$A:$C,3,FALSE),"")</f>
        <v/>
      </c>
      <c r="I222" s="47" t="n"/>
      <c r="J222" s="47">
        <f>IFERROR(VLOOKUP(VLOOKUP(2026000+ROW()-1,开奖记录!$A:$L,11,FALSE),八肖参数!$A:$B,2,FALSE),"")</f>
        <v/>
      </c>
    </row>
    <row r="223" ht="22" customHeight="1" s="21">
      <c r="A223" s="47" t="n"/>
      <c r="B223" s="47" t="n"/>
      <c r="C223" s="47" t="n"/>
      <c r="D223" s="48" t="n"/>
      <c r="E223" s="47" t="n"/>
      <c r="F223" s="49" t="n"/>
      <c r="G223" s="47" t="n"/>
      <c r="H223" s="47">
        <f>IFERROR(TEXT(VLOOKUP(2026000+ROW()-1,开奖记录!$A:$L,3,FALSE),"00")&amp;"+5="&amp;VLOOKUP(MOD(VLOOKUP(2026000+ROW()-1,开奖记录!$A:$L,3,FALSE)+4,49)+1,规律参数!$A:$C,3,FALSE),"")</f>
        <v/>
      </c>
      <c r="I223" s="47" t="n"/>
      <c r="J223" s="47">
        <f>IFERROR(VLOOKUP(VLOOKUP(2026000+ROW()-1,开奖记录!$A:$L,11,FALSE),八肖参数!$A:$B,2,FALSE),"")</f>
        <v/>
      </c>
    </row>
    <row r="224" ht="22" customHeight="1" s="21">
      <c r="A224" s="47" t="n"/>
      <c r="B224" s="47" t="n"/>
      <c r="C224" s="47" t="n"/>
      <c r="D224" s="50" t="n"/>
      <c r="E224" s="47" t="n"/>
      <c r="F224" s="51" t="n"/>
      <c r="G224" s="47" t="n"/>
      <c r="H224" s="47">
        <f>IFERROR(TEXT(VLOOKUP(2026000+ROW()-1,开奖记录!$A:$L,3,FALSE),"00")&amp;"+5="&amp;VLOOKUP(MOD(VLOOKUP(2026000+ROW()-1,开奖记录!$A:$L,3,FALSE)+4,49)+1,规律参数!$A:$C,3,FALSE),"")</f>
        <v/>
      </c>
      <c r="I224" s="47" t="n"/>
      <c r="J224" s="47">
        <f>IFERROR(VLOOKUP(VLOOKUP(2026000+ROW()-1,开奖记录!$A:$L,11,FALSE),八肖参数!$A:$B,2,FALSE),"")</f>
        <v/>
      </c>
    </row>
    <row r="225" ht="22" customHeight="1" s="21">
      <c r="A225" s="47" t="n"/>
      <c r="B225" s="47" t="n"/>
      <c r="C225" s="47" t="n"/>
      <c r="D225" s="51" t="n"/>
      <c r="E225" s="47" t="n"/>
      <c r="F225" s="48" t="n"/>
      <c r="G225" s="47" t="n"/>
      <c r="H225" s="47">
        <f>IFERROR(TEXT(VLOOKUP(2026000+ROW()-1,开奖记录!$A:$L,3,FALSE),"00")&amp;"+5="&amp;VLOOKUP(MOD(VLOOKUP(2026000+ROW()-1,开奖记录!$A:$L,3,FALSE)+4,49)+1,规律参数!$A:$C,3,FALSE),"")</f>
        <v/>
      </c>
      <c r="I225" s="47" t="n"/>
      <c r="J225" s="47">
        <f>IFERROR(VLOOKUP(VLOOKUP(2026000+ROW()-1,开奖记录!$A:$L,11,FALSE),八肖参数!$A:$B,2,FALSE),"")</f>
        <v/>
      </c>
    </row>
    <row r="226" ht="22" customHeight="1" s="21">
      <c r="A226" s="47" t="n"/>
      <c r="B226" s="47" t="n"/>
      <c r="C226" s="47" t="n"/>
      <c r="D226" s="48" t="n"/>
      <c r="E226" s="47" t="n"/>
      <c r="F226" s="49" t="n"/>
      <c r="G226" s="47" t="n"/>
      <c r="H226" s="47">
        <f>IFERROR(TEXT(VLOOKUP(2026000+ROW()-1,开奖记录!$A:$L,3,FALSE),"00")&amp;"+5="&amp;VLOOKUP(MOD(VLOOKUP(2026000+ROW()-1,开奖记录!$A:$L,3,FALSE)+4,49)+1,规律参数!$A:$C,3,FALSE),"")</f>
        <v/>
      </c>
      <c r="I226" s="47" t="n"/>
      <c r="J226" s="47">
        <f>IFERROR(VLOOKUP(VLOOKUP(2026000+ROW()-1,开奖记录!$A:$L,11,FALSE),八肖参数!$A:$B,2,FALSE),"")</f>
        <v/>
      </c>
    </row>
    <row r="227" ht="22" customHeight="1" s="21">
      <c r="A227" s="47" t="n"/>
      <c r="B227" s="47" t="n"/>
      <c r="C227" s="47" t="n"/>
      <c r="D227" s="50" t="n"/>
      <c r="E227" s="47" t="n"/>
      <c r="F227" s="51" t="n"/>
      <c r="G227" s="47" t="n"/>
      <c r="H227" s="47">
        <f>IFERROR(TEXT(VLOOKUP(2026000+ROW()-1,开奖记录!$A:$L,3,FALSE),"00")&amp;"+5="&amp;VLOOKUP(MOD(VLOOKUP(2026000+ROW()-1,开奖记录!$A:$L,3,FALSE)+4,49)+1,规律参数!$A:$C,3,FALSE),"")</f>
        <v/>
      </c>
      <c r="I227" s="47" t="n"/>
      <c r="J227" s="47">
        <f>IFERROR(VLOOKUP(VLOOKUP(2026000+ROW()-1,开奖记录!$A:$L,11,FALSE),八肖参数!$A:$B,2,FALSE),"")</f>
        <v/>
      </c>
    </row>
    <row r="228" ht="22" customHeight="1" s="21">
      <c r="A228" s="47" t="n"/>
      <c r="B228" s="47" t="n"/>
      <c r="C228" s="47" t="n"/>
      <c r="D228" s="51" t="n"/>
      <c r="E228" s="47" t="n"/>
      <c r="F228" s="48" t="n"/>
      <c r="G228" s="47" t="n"/>
      <c r="H228" s="47">
        <f>IFERROR(TEXT(VLOOKUP(2026000+ROW()-1,开奖记录!$A:$L,3,FALSE),"00")&amp;"+5="&amp;VLOOKUP(MOD(VLOOKUP(2026000+ROW()-1,开奖记录!$A:$L,3,FALSE)+4,49)+1,规律参数!$A:$C,3,FALSE),"")</f>
        <v/>
      </c>
      <c r="I228" s="47" t="n"/>
      <c r="J228" s="47">
        <f>IFERROR(VLOOKUP(VLOOKUP(2026000+ROW()-1,开奖记录!$A:$L,11,FALSE),八肖参数!$A:$B,2,FALSE),"")</f>
        <v/>
      </c>
    </row>
    <row r="229" ht="22" customHeight="1" s="21">
      <c r="A229" s="47" t="n"/>
      <c r="B229" s="47" t="n"/>
      <c r="C229" s="47" t="n"/>
      <c r="D229" s="48" t="n"/>
      <c r="E229" s="47" t="n"/>
      <c r="F229" s="49" t="n"/>
      <c r="G229" s="47" t="n"/>
      <c r="H229" s="47">
        <f>IFERROR(TEXT(VLOOKUP(2026000+ROW()-1,开奖记录!$A:$L,3,FALSE),"00")&amp;"+5="&amp;VLOOKUP(MOD(VLOOKUP(2026000+ROW()-1,开奖记录!$A:$L,3,FALSE)+4,49)+1,规律参数!$A:$C,3,FALSE),"")</f>
        <v/>
      </c>
      <c r="I229" s="47" t="n"/>
      <c r="J229" s="47">
        <f>IFERROR(VLOOKUP(VLOOKUP(2026000+ROW()-1,开奖记录!$A:$L,11,FALSE),八肖参数!$A:$B,2,FALSE),"")</f>
        <v/>
      </c>
    </row>
    <row r="230" ht="22" customHeight="1" s="21">
      <c r="A230" s="47" t="n"/>
      <c r="B230" s="47" t="n"/>
      <c r="C230" s="47" t="n"/>
      <c r="D230" s="50" t="n"/>
      <c r="E230" s="47" t="n"/>
      <c r="F230" s="51" t="n"/>
      <c r="G230" s="47" t="n"/>
      <c r="H230" s="47">
        <f>IFERROR(TEXT(VLOOKUP(2026000+ROW()-1,开奖记录!$A:$L,3,FALSE),"00")&amp;"+5="&amp;VLOOKUP(MOD(VLOOKUP(2026000+ROW()-1,开奖记录!$A:$L,3,FALSE)+4,49)+1,规律参数!$A:$C,3,FALSE),"")</f>
        <v/>
      </c>
      <c r="I230" s="47" t="n"/>
      <c r="J230" s="47">
        <f>IFERROR(VLOOKUP(VLOOKUP(2026000+ROW()-1,开奖记录!$A:$L,11,FALSE),八肖参数!$A:$B,2,FALSE),"")</f>
        <v/>
      </c>
    </row>
    <row r="231" ht="22" customHeight="1" s="21">
      <c r="A231" s="47" t="n"/>
      <c r="B231" s="47" t="n"/>
      <c r="C231" s="47" t="n"/>
      <c r="D231" s="51" t="n"/>
      <c r="E231" s="47" t="n"/>
      <c r="F231" s="48" t="n"/>
      <c r="G231" s="47" t="n"/>
      <c r="H231" s="47">
        <f>IFERROR(TEXT(VLOOKUP(2026000+ROW()-1,开奖记录!$A:$L,3,FALSE),"00")&amp;"+5="&amp;VLOOKUP(MOD(VLOOKUP(2026000+ROW()-1,开奖记录!$A:$L,3,FALSE)+4,49)+1,规律参数!$A:$C,3,FALSE),"")</f>
        <v/>
      </c>
      <c r="I231" s="47" t="n"/>
      <c r="J231" s="47">
        <f>IFERROR(VLOOKUP(VLOOKUP(2026000+ROW()-1,开奖记录!$A:$L,11,FALSE),八肖参数!$A:$B,2,FALSE),"")</f>
        <v/>
      </c>
    </row>
    <row r="232" ht="22" customHeight="1" s="21">
      <c r="A232" s="47" t="n"/>
      <c r="B232" s="47" t="n"/>
      <c r="C232" s="47" t="n"/>
      <c r="D232" s="48" t="n"/>
      <c r="E232" s="47" t="n"/>
      <c r="F232" s="49" t="n"/>
      <c r="G232" s="47" t="n"/>
      <c r="H232" s="47">
        <f>IFERROR(TEXT(VLOOKUP(2026000+ROW()-1,开奖记录!$A:$L,3,FALSE),"00")&amp;"+5="&amp;VLOOKUP(MOD(VLOOKUP(2026000+ROW()-1,开奖记录!$A:$L,3,FALSE)+4,49)+1,规律参数!$A:$C,3,FALSE),"")</f>
        <v/>
      </c>
      <c r="I232" s="47" t="n"/>
      <c r="J232" s="47">
        <f>IFERROR(VLOOKUP(VLOOKUP(2026000+ROW()-1,开奖记录!$A:$L,11,FALSE),八肖参数!$A:$B,2,FALSE),"")</f>
        <v/>
      </c>
    </row>
    <row r="233" ht="22" customHeight="1" s="21">
      <c r="A233" s="47" t="n"/>
      <c r="B233" s="47" t="n"/>
      <c r="C233" s="47" t="n"/>
      <c r="D233" s="50" t="n"/>
      <c r="E233" s="47" t="n"/>
      <c r="F233" s="51" t="n"/>
      <c r="G233" s="47" t="n"/>
      <c r="H233" s="47">
        <f>IFERROR(TEXT(VLOOKUP(2026000+ROW()-1,开奖记录!$A:$L,3,FALSE),"00")&amp;"+5="&amp;VLOOKUP(MOD(VLOOKUP(2026000+ROW()-1,开奖记录!$A:$L,3,FALSE)+4,49)+1,规律参数!$A:$C,3,FALSE),"")</f>
        <v/>
      </c>
      <c r="I233" s="47" t="n"/>
      <c r="J233" s="47">
        <f>IFERROR(VLOOKUP(VLOOKUP(2026000+ROW()-1,开奖记录!$A:$L,11,FALSE),八肖参数!$A:$B,2,FALSE),"")</f>
        <v/>
      </c>
    </row>
    <row r="234" ht="22" customHeight="1" s="21">
      <c r="A234" s="47" t="n"/>
      <c r="B234" s="47" t="n"/>
      <c r="C234" s="47" t="n"/>
      <c r="D234" s="51" t="n"/>
      <c r="E234" s="47" t="n"/>
      <c r="F234" s="48" t="n"/>
      <c r="G234" s="47" t="n"/>
      <c r="H234" s="47">
        <f>IFERROR(TEXT(VLOOKUP(2026000+ROW()-1,开奖记录!$A:$L,3,FALSE),"00")&amp;"+5="&amp;VLOOKUP(MOD(VLOOKUP(2026000+ROW()-1,开奖记录!$A:$L,3,FALSE)+4,49)+1,规律参数!$A:$C,3,FALSE),"")</f>
        <v/>
      </c>
      <c r="I234" s="47" t="n"/>
      <c r="J234" s="47">
        <f>IFERROR(VLOOKUP(VLOOKUP(2026000+ROW()-1,开奖记录!$A:$L,11,FALSE),八肖参数!$A:$B,2,FALSE),"")</f>
        <v/>
      </c>
    </row>
    <row r="235" ht="22" customHeight="1" s="21">
      <c r="A235" s="47" t="n"/>
      <c r="B235" s="47" t="n"/>
      <c r="C235" s="47" t="n"/>
      <c r="D235" s="48" t="n"/>
      <c r="E235" s="47" t="n"/>
      <c r="F235" s="49" t="n"/>
      <c r="G235" s="47" t="n"/>
      <c r="H235" s="47">
        <f>IFERROR(TEXT(VLOOKUP(2026000+ROW()-1,开奖记录!$A:$L,3,FALSE),"00")&amp;"+5="&amp;VLOOKUP(MOD(VLOOKUP(2026000+ROW()-1,开奖记录!$A:$L,3,FALSE)+4,49)+1,规律参数!$A:$C,3,FALSE),"")</f>
        <v/>
      </c>
      <c r="I235" s="47" t="n"/>
      <c r="J235" s="47">
        <f>IFERROR(VLOOKUP(VLOOKUP(2026000+ROW()-1,开奖记录!$A:$L,11,FALSE),八肖参数!$A:$B,2,FALSE),"")</f>
        <v/>
      </c>
    </row>
    <row r="236" ht="22" customHeight="1" s="21">
      <c r="A236" s="47" t="n"/>
      <c r="B236" s="47" t="n"/>
      <c r="C236" s="47" t="n"/>
      <c r="D236" s="50" t="n"/>
      <c r="E236" s="47" t="n"/>
      <c r="F236" s="51" t="n"/>
      <c r="G236" s="47" t="n"/>
      <c r="H236" s="47">
        <f>IFERROR(TEXT(VLOOKUP(2026000+ROW()-1,开奖记录!$A:$L,3,FALSE),"00")&amp;"+5="&amp;VLOOKUP(MOD(VLOOKUP(2026000+ROW()-1,开奖记录!$A:$L,3,FALSE)+4,49)+1,规律参数!$A:$C,3,FALSE),"")</f>
        <v/>
      </c>
      <c r="I236" s="47" t="n"/>
      <c r="J236" s="47">
        <f>IFERROR(VLOOKUP(VLOOKUP(2026000+ROW()-1,开奖记录!$A:$L,11,FALSE),八肖参数!$A:$B,2,FALSE),"")</f>
        <v/>
      </c>
    </row>
    <row r="237" ht="22" customHeight="1" s="21">
      <c r="A237" s="47" t="n"/>
      <c r="B237" s="47" t="n"/>
      <c r="C237" s="47" t="n"/>
      <c r="D237" s="51" t="n"/>
      <c r="E237" s="47" t="n"/>
      <c r="F237" s="48" t="n"/>
      <c r="G237" s="47" t="n"/>
      <c r="H237" s="47">
        <f>IFERROR(TEXT(VLOOKUP(2026000+ROW()-1,开奖记录!$A:$L,3,FALSE),"00")&amp;"+5="&amp;VLOOKUP(MOD(VLOOKUP(2026000+ROW()-1,开奖记录!$A:$L,3,FALSE)+4,49)+1,规律参数!$A:$C,3,FALSE),"")</f>
        <v/>
      </c>
      <c r="I237" s="47" t="n"/>
      <c r="J237" s="47">
        <f>IFERROR(VLOOKUP(VLOOKUP(2026000+ROW()-1,开奖记录!$A:$L,11,FALSE),八肖参数!$A:$B,2,FALSE),"")</f>
        <v/>
      </c>
    </row>
    <row r="238" ht="22" customHeight="1" s="21">
      <c r="A238" s="47" t="n"/>
      <c r="B238" s="47" t="n"/>
      <c r="C238" s="47" t="n"/>
      <c r="D238" s="48" t="n"/>
      <c r="E238" s="47" t="n"/>
      <c r="F238" s="49" t="n"/>
      <c r="G238" s="47" t="n"/>
      <c r="H238" s="47">
        <f>IFERROR(TEXT(VLOOKUP(2026000+ROW()-1,开奖记录!$A:$L,3,FALSE),"00")&amp;"+5="&amp;VLOOKUP(MOD(VLOOKUP(2026000+ROW()-1,开奖记录!$A:$L,3,FALSE)+4,49)+1,规律参数!$A:$C,3,FALSE),"")</f>
        <v/>
      </c>
      <c r="I238" s="47" t="n"/>
      <c r="J238" s="47">
        <f>IFERROR(VLOOKUP(VLOOKUP(2026000+ROW()-1,开奖记录!$A:$L,11,FALSE),八肖参数!$A:$B,2,FALSE),"")</f>
        <v/>
      </c>
    </row>
    <row r="239" ht="22" customHeight="1" s="21">
      <c r="A239" s="47" t="n"/>
      <c r="B239" s="47" t="n"/>
      <c r="C239" s="47" t="n"/>
      <c r="D239" s="50" t="n"/>
      <c r="E239" s="47" t="n"/>
      <c r="F239" s="51" t="n"/>
      <c r="G239" s="47" t="n"/>
      <c r="H239" s="47">
        <f>IFERROR(TEXT(VLOOKUP(2026000+ROW()-1,开奖记录!$A:$L,3,FALSE),"00")&amp;"+5="&amp;VLOOKUP(MOD(VLOOKUP(2026000+ROW()-1,开奖记录!$A:$L,3,FALSE)+4,49)+1,规律参数!$A:$C,3,FALSE),"")</f>
        <v/>
      </c>
      <c r="I239" s="47" t="n"/>
      <c r="J239" s="47">
        <f>IFERROR(VLOOKUP(VLOOKUP(2026000+ROW()-1,开奖记录!$A:$L,11,FALSE),八肖参数!$A:$B,2,FALSE),"")</f>
        <v/>
      </c>
    </row>
    <row r="240" ht="22" customHeight="1" s="21">
      <c r="A240" s="47" t="n"/>
      <c r="B240" s="47" t="n"/>
      <c r="C240" s="47" t="n"/>
      <c r="D240" s="51" t="n"/>
      <c r="E240" s="47" t="n"/>
      <c r="F240" s="48" t="n"/>
      <c r="G240" s="47" t="n"/>
      <c r="H240" s="47">
        <f>IFERROR(TEXT(VLOOKUP(2026000+ROW()-1,开奖记录!$A:$L,3,FALSE),"00")&amp;"+5="&amp;VLOOKUP(MOD(VLOOKUP(2026000+ROW()-1,开奖记录!$A:$L,3,FALSE)+4,49)+1,规律参数!$A:$C,3,FALSE),"")</f>
        <v/>
      </c>
      <c r="I240" s="47" t="n"/>
      <c r="J240" s="47">
        <f>IFERROR(VLOOKUP(VLOOKUP(2026000+ROW()-1,开奖记录!$A:$L,11,FALSE),八肖参数!$A:$B,2,FALSE),"")</f>
        <v/>
      </c>
    </row>
    <row r="241" ht="22" customHeight="1" s="21">
      <c r="A241" s="47" t="n"/>
      <c r="B241" s="47" t="n"/>
      <c r="C241" s="47" t="n"/>
      <c r="D241" s="48" t="n"/>
      <c r="E241" s="47" t="n"/>
      <c r="F241" s="49" t="n"/>
      <c r="G241" s="47" t="n"/>
      <c r="H241" s="47">
        <f>IFERROR(TEXT(VLOOKUP(2026000+ROW()-1,开奖记录!$A:$L,3,FALSE),"00")&amp;"+5="&amp;VLOOKUP(MOD(VLOOKUP(2026000+ROW()-1,开奖记录!$A:$L,3,FALSE)+4,49)+1,规律参数!$A:$C,3,FALSE),"")</f>
        <v/>
      </c>
      <c r="I241" s="47" t="n"/>
      <c r="J241" s="47">
        <f>IFERROR(VLOOKUP(VLOOKUP(2026000+ROW()-1,开奖记录!$A:$L,11,FALSE),八肖参数!$A:$B,2,FALSE),"")</f>
        <v/>
      </c>
    </row>
    <row r="242" ht="22" customHeight="1" s="21">
      <c r="A242" s="47" t="n"/>
      <c r="B242" s="47" t="n"/>
      <c r="C242" s="47" t="n"/>
      <c r="D242" s="50" t="n"/>
      <c r="E242" s="47" t="n"/>
      <c r="F242" s="51" t="n"/>
      <c r="G242" s="47" t="n"/>
      <c r="H242" s="47">
        <f>IFERROR(TEXT(VLOOKUP(2026000+ROW()-1,开奖记录!$A:$L,3,FALSE),"00")&amp;"+5="&amp;VLOOKUP(MOD(VLOOKUP(2026000+ROW()-1,开奖记录!$A:$L,3,FALSE)+4,49)+1,规律参数!$A:$C,3,FALSE),"")</f>
        <v/>
      </c>
      <c r="I242" s="47" t="n"/>
      <c r="J242" s="47">
        <f>IFERROR(VLOOKUP(VLOOKUP(2026000+ROW()-1,开奖记录!$A:$L,11,FALSE),八肖参数!$A:$B,2,FALSE),"")</f>
        <v/>
      </c>
    </row>
    <row r="243" ht="22" customHeight="1" s="21">
      <c r="A243" s="47" t="n"/>
      <c r="B243" s="47" t="n"/>
      <c r="C243" s="47" t="n"/>
      <c r="D243" s="51" t="n"/>
      <c r="E243" s="47" t="n"/>
      <c r="F243" s="48" t="n"/>
      <c r="G243" s="47" t="n"/>
      <c r="H243" s="47">
        <f>IFERROR(TEXT(VLOOKUP(2026000+ROW()-1,开奖记录!$A:$L,3,FALSE),"00")&amp;"+5="&amp;VLOOKUP(MOD(VLOOKUP(2026000+ROW()-1,开奖记录!$A:$L,3,FALSE)+4,49)+1,规律参数!$A:$C,3,FALSE),"")</f>
        <v/>
      </c>
      <c r="I243" s="47" t="n"/>
      <c r="J243" s="47">
        <f>IFERROR(VLOOKUP(VLOOKUP(2026000+ROW()-1,开奖记录!$A:$L,11,FALSE),八肖参数!$A:$B,2,FALSE),"")</f>
        <v/>
      </c>
    </row>
    <row r="244" ht="22" customHeight="1" s="21">
      <c r="A244" s="47" t="n"/>
      <c r="B244" s="47" t="n"/>
      <c r="C244" s="47" t="n"/>
      <c r="D244" s="48" t="n"/>
      <c r="E244" s="47" t="n"/>
      <c r="F244" s="49" t="n"/>
      <c r="G244" s="47" t="n"/>
      <c r="H244" s="47">
        <f>IFERROR(TEXT(VLOOKUP(2026000+ROW()-1,开奖记录!$A:$L,3,FALSE),"00")&amp;"+5="&amp;VLOOKUP(MOD(VLOOKUP(2026000+ROW()-1,开奖记录!$A:$L,3,FALSE)+4,49)+1,规律参数!$A:$C,3,FALSE),"")</f>
        <v/>
      </c>
      <c r="I244" s="47" t="n"/>
      <c r="J244" s="47">
        <f>IFERROR(VLOOKUP(VLOOKUP(2026000+ROW()-1,开奖记录!$A:$L,11,FALSE),八肖参数!$A:$B,2,FALSE),"")</f>
        <v/>
      </c>
    </row>
    <row r="245" ht="22" customHeight="1" s="21">
      <c r="A245" s="47" t="n"/>
      <c r="B245" s="47" t="n"/>
      <c r="C245" s="47" t="n"/>
      <c r="D245" s="50" t="n"/>
      <c r="E245" s="47" t="n"/>
      <c r="F245" s="51" t="n"/>
      <c r="G245" s="47" t="n"/>
      <c r="H245" s="47">
        <f>IFERROR(TEXT(VLOOKUP(2026000+ROW()-1,开奖记录!$A:$L,3,FALSE),"00")&amp;"+5="&amp;VLOOKUP(MOD(VLOOKUP(2026000+ROW()-1,开奖记录!$A:$L,3,FALSE)+4,49)+1,规律参数!$A:$C,3,FALSE),"")</f>
        <v/>
      </c>
      <c r="I245" s="47" t="n"/>
      <c r="J245" s="47">
        <f>IFERROR(VLOOKUP(VLOOKUP(2026000+ROW()-1,开奖记录!$A:$L,11,FALSE),八肖参数!$A:$B,2,FALSE),"")</f>
        <v/>
      </c>
    </row>
    <row r="246" ht="22" customHeight="1" s="21">
      <c r="A246" s="47" t="n"/>
      <c r="B246" s="47" t="n"/>
      <c r="C246" s="47" t="n"/>
      <c r="D246" s="51" t="n"/>
      <c r="E246" s="47" t="n"/>
      <c r="F246" s="48" t="n"/>
      <c r="G246" s="47" t="n"/>
      <c r="H246" s="47">
        <f>IFERROR(TEXT(VLOOKUP(2026000+ROW()-1,开奖记录!$A:$L,3,FALSE),"00")&amp;"+5="&amp;VLOOKUP(MOD(VLOOKUP(2026000+ROW()-1,开奖记录!$A:$L,3,FALSE)+4,49)+1,规律参数!$A:$C,3,FALSE),"")</f>
        <v/>
      </c>
      <c r="I246" s="47" t="n"/>
      <c r="J246" s="47">
        <f>IFERROR(VLOOKUP(VLOOKUP(2026000+ROW()-1,开奖记录!$A:$L,11,FALSE),八肖参数!$A:$B,2,FALSE),"")</f>
        <v/>
      </c>
    </row>
    <row r="247" ht="22" customHeight="1" s="21">
      <c r="A247" s="47" t="n"/>
      <c r="B247" s="47" t="n"/>
      <c r="C247" s="47" t="n"/>
      <c r="D247" s="48" t="n"/>
      <c r="E247" s="47" t="n"/>
      <c r="F247" s="49" t="n"/>
      <c r="G247" s="47" t="n"/>
      <c r="H247" s="47">
        <f>IFERROR(TEXT(VLOOKUP(2026000+ROW()-1,开奖记录!$A:$L,3,FALSE),"00")&amp;"+5="&amp;VLOOKUP(MOD(VLOOKUP(2026000+ROW()-1,开奖记录!$A:$L,3,FALSE)+4,49)+1,规律参数!$A:$C,3,FALSE),"")</f>
        <v/>
      </c>
      <c r="I247" s="47" t="n"/>
      <c r="J247" s="47">
        <f>IFERROR(VLOOKUP(VLOOKUP(2026000+ROW()-1,开奖记录!$A:$L,11,FALSE),八肖参数!$A:$B,2,FALSE),"")</f>
        <v/>
      </c>
    </row>
    <row r="248" ht="22" customHeight="1" s="21">
      <c r="A248" s="47" t="n"/>
      <c r="B248" s="47" t="n"/>
      <c r="C248" s="47" t="n"/>
      <c r="D248" s="50" t="n"/>
      <c r="E248" s="47" t="n"/>
      <c r="F248" s="51" t="n"/>
      <c r="G248" s="47" t="n"/>
      <c r="H248" s="47">
        <f>IFERROR(TEXT(VLOOKUP(2026000+ROW()-1,开奖记录!$A:$L,3,FALSE),"00")&amp;"+5="&amp;VLOOKUP(MOD(VLOOKUP(2026000+ROW()-1,开奖记录!$A:$L,3,FALSE)+4,49)+1,规律参数!$A:$C,3,FALSE),"")</f>
        <v/>
      </c>
      <c r="I248" s="47" t="n"/>
      <c r="J248" s="47">
        <f>IFERROR(VLOOKUP(VLOOKUP(2026000+ROW()-1,开奖记录!$A:$L,11,FALSE),八肖参数!$A:$B,2,FALSE),"")</f>
        <v/>
      </c>
    </row>
    <row r="249" ht="22" customHeight="1" s="21">
      <c r="A249" s="47" t="n"/>
      <c r="B249" s="47" t="n"/>
      <c r="C249" s="47" t="n"/>
      <c r="D249" s="51" t="n"/>
      <c r="E249" s="47" t="n"/>
      <c r="F249" s="48" t="n"/>
      <c r="G249" s="47" t="n"/>
      <c r="H249" s="47">
        <f>IFERROR(TEXT(VLOOKUP(2026000+ROW()-1,开奖记录!$A:$L,3,FALSE),"00")&amp;"+5="&amp;VLOOKUP(MOD(VLOOKUP(2026000+ROW()-1,开奖记录!$A:$L,3,FALSE)+4,49)+1,规律参数!$A:$C,3,FALSE),"")</f>
        <v/>
      </c>
      <c r="I249" s="47" t="n"/>
      <c r="J249" s="47">
        <f>IFERROR(VLOOKUP(VLOOKUP(2026000+ROW()-1,开奖记录!$A:$L,11,FALSE),八肖参数!$A:$B,2,FALSE),"")</f>
        <v/>
      </c>
    </row>
    <row r="250" ht="22" customHeight="1" s="21">
      <c r="A250" s="47" t="n"/>
      <c r="B250" s="47" t="n"/>
      <c r="C250" s="47" t="n"/>
      <c r="D250" s="48" t="n"/>
      <c r="E250" s="47" t="n"/>
      <c r="F250" s="49" t="n"/>
      <c r="G250" s="47" t="n"/>
      <c r="H250" s="47">
        <f>IFERROR(TEXT(VLOOKUP(2026000+ROW()-1,开奖记录!$A:$L,3,FALSE),"00")&amp;"+5="&amp;VLOOKUP(MOD(VLOOKUP(2026000+ROW()-1,开奖记录!$A:$L,3,FALSE)+4,49)+1,规律参数!$A:$C,3,FALSE),"")</f>
        <v/>
      </c>
      <c r="I250" s="47" t="n"/>
      <c r="J250" s="47">
        <f>IFERROR(VLOOKUP(VLOOKUP(2026000+ROW()-1,开奖记录!$A:$L,11,FALSE),八肖参数!$A:$B,2,FALSE),"")</f>
        <v/>
      </c>
    </row>
    <row r="251" ht="22" customHeight="1" s="21">
      <c r="A251" s="47" t="n"/>
      <c r="B251" s="47" t="n"/>
      <c r="C251" s="47" t="n"/>
      <c r="D251" s="50" t="n"/>
      <c r="E251" s="47" t="n"/>
      <c r="F251" s="51" t="n"/>
      <c r="G251" s="47" t="n"/>
      <c r="H251" s="47">
        <f>IFERROR(TEXT(VLOOKUP(2026000+ROW()-1,开奖记录!$A:$L,3,FALSE),"00")&amp;"+5="&amp;VLOOKUP(MOD(VLOOKUP(2026000+ROW()-1,开奖记录!$A:$L,3,FALSE)+4,49)+1,规律参数!$A:$C,3,FALSE),"")</f>
        <v/>
      </c>
      <c r="I251" s="47" t="n"/>
      <c r="J251" s="47">
        <f>IFERROR(VLOOKUP(VLOOKUP(2026000+ROW()-1,开奖记录!$A:$L,11,FALSE),八肖参数!$A:$B,2,FALSE),"")</f>
        <v/>
      </c>
    </row>
    <row r="252" ht="22" customHeight="1" s="21">
      <c r="A252" s="47" t="n"/>
      <c r="B252" s="47" t="n"/>
      <c r="C252" s="47" t="n"/>
      <c r="D252" s="51" t="n"/>
      <c r="E252" s="47" t="n"/>
      <c r="F252" s="48" t="n"/>
      <c r="G252" s="47" t="n"/>
      <c r="H252" s="47">
        <f>IFERROR(TEXT(VLOOKUP(2026000+ROW()-1,开奖记录!$A:$L,3,FALSE),"00")&amp;"+5="&amp;VLOOKUP(MOD(VLOOKUP(2026000+ROW()-1,开奖记录!$A:$L,3,FALSE)+4,49)+1,规律参数!$A:$C,3,FALSE),"")</f>
        <v/>
      </c>
      <c r="I252" s="47" t="n"/>
      <c r="J252" s="47">
        <f>IFERROR(VLOOKUP(VLOOKUP(2026000+ROW()-1,开奖记录!$A:$L,11,FALSE),八肖参数!$A:$B,2,FALSE),"")</f>
        <v/>
      </c>
    </row>
    <row r="253" ht="22" customHeight="1" s="21">
      <c r="A253" s="47" t="n"/>
      <c r="B253" s="47" t="n"/>
      <c r="C253" s="47" t="n"/>
      <c r="D253" s="48" t="n"/>
      <c r="E253" s="47" t="n"/>
      <c r="F253" s="49" t="n"/>
      <c r="G253" s="47" t="n"/>
      <c r="H253" s="47">
        <f>IFERROR(TEXT(VLOOKUP(2026000+ROW()-1,开奖记录!$A:$L,3,FALSE),"00")&amp;"+5="&amp;VLOOKUP(MOD(VLOOKUP(2026000+ROW()-1,开奖记录!$A:$L,3,FALSE)+4,49)+1,规律参数!$A:$C,3,FALSE),"")</f>
        <v/>
      </c>
      <c r="I253" s="47" t="n"/>
      <c r="J253" s="47">
        <f>IFERROR(VLOOKUP(VLOOKUP(2026000+ROW()-1,开奖记录!$A:$L,11,FALSE),八肖参数!$A:$B,2,FALSE),"")</f>
        <v/>
      </c>
    </row>
    <row r="254" ht="22" customHeight="1" s="21">
      <c r="A254" s="47" t="n"/>
      <c r="B254" s="47" t="n"/>
      <c r="C254" s="47" t="n"/>
      <c r="D254" s="50" t="n"/>
      <c r="E254" s="47" t="n"/>
      <c r="F254" s="51" t="n"/>
      <c r="G254" s="47" t="n"/>
      <c r="H254" s="47">
        <f>IFERROR(TEXT(VLOOKUP(2026000+ROW()-1,开奖记录!$A:$L,3,FALSE),"00")&amp;"+5="&amp;VLOOKUP(MOD(VLOOKUP(2026000+ROW()-1,开奖记录!$A:$L,3,FALSE)+4,49)+1,规律参数!$A:$C,3,FALSE),"")</f>
        <v/>
      </c>
      <c r="I254" s="47" t="n"/>
      <c r="J254" s="47">
        <f>IFERROR(VLOOKUP(VLOOKUP(2026000+ROW()-1,开奖记录!$A:$L,11,FALSE),八肖参数!$A:$B,2,FALSE),"")</f>
        <v/>
      </c>
    </row>
    <row r="255" ht="22" customHeight="1" s="21">
      <c r="A255" s="47" t="n"/>
      <c r="B255" s="47" t="n"/>
      <c r="C255" s="47" t="n"/>
      <c r="D255" s="51" t="n"/>
      <c r="E255" s="47" t="n"/>
      <c r="F255" s="48" t="n"/>
      <c r="G255" s="47" t="n"/>
      <c r="H255" s="47">
        <f>IFERROR(TEXT(VLOOKUP(2026000+ROW()-1,开奖记录!$A:$L,3,FALSE),"00")&amp;"+5="&amp;VLOOKUP(MOD(VLOOKUP(2026000+ROW()-1,开奖记录!$A:$L,3,FALSE)+4,49)+1,规律参数!$A:$C,3,FALSE),"")</f>
        <v/>
      </c>
      <c r="I255" s="47" t="n"/>
      <c r="J255" s="47">
        <f>IFERROR(VLOOKUP(VLOOKUP(2026000+ROW()-1,开奖记录!$A:$L,11,FALSE),八肖参数!$A:$B,2,FALSE),"")</f>
        <v/>
      </c>
    </row>
    <row r="256" ht="22" customHeight="1" s="21">
      <c r="A256" s="47" t="n"/>
      <c r="B256" s="47" t="n"/>
      <c r="C256" s="47" t="n"/>
      <c r="D256" s="48" t="n"/>
      <c r="E256" s="47" t="n"/>
      <c r="F256" s="49" t="n"/>
      <c r="G256" s="47" t="n"/>
      <c r="H256" s="47">
        <f>IFERROR(TEXT(VLOOKUP(2026000+ROW()-1,开奖记录!$A:$L,3,FALSE),"00")&amp;"+5="&amp;VLOOKUP(MOD(VLOOKUP(2026000+ROW()-1,开奖记录!$A:$L,3,FALSE)+4,49)+1,规律参数!$A:$C,3,FALSE),"")</f>
        <v/>
      </c>
      <c r="I256" s="47" t="n"/>
      <c r="J256" s="47">
        <f>IFERROR(VLOOKUP(VLOOKUP(2026000+ROW()-1,开奖记录!$A:$L,11,FALSE),八肖参数!$A:$B,2,FALSE),"")</f>
        <v/>
      </c>
    </row>
    <row r="257" ht="22" customHeight="1" s="21">
      <c r="A257" s="47" t="n"/>
      <c r="B257" s="47" t="n"/>
      <c r="C257" s="47" t="n"/>
      <c r="D257" s="50" t="n"/>
      <c r="E257" s="47" t="n"/>
      <c r="F257" s="51" t="n"/>
      <c r="G257" s="47" t="n"/>
      <c r="H257" s="47">
        <f>IFERROR(TEXT(VLOOKUP(2026000+ROW()-1,开奖记录!$A:$L,3,FALSE),"00")&amp;"+5="&amp;VLOOKUP(MOD(VLOOKUP(2026000+ROW()-1,开奖记录!$A:$L,3,FALSE)+4,49)+1,规律参数!$A:$C,3,FALSE),"")</f>
        <v/>
      </c>
      <c r="I257" s="47" t="n"/>
      <c r="J257" s="47">
        <f>IFERROR(VLOOKUP(VLOOKUP(2026000+ROW()-1,开奖记录!$A:$L,11,FALSE),八肖参数!$A:$B,2,FALSE),"")</f>
        <v/>
      </c>
    </row>
    <row r="258" ht="22" customHeight="1" s="21">
      <c r="A258" s="47" t="n"/>
      <c r="B258" s="47" t="n"/>
      <c r="C258" s="47" t="n"/>
      <c r="D258" s="51" t="n"/>
      <c r="E258" s="47" t="n"/>
      <c r="F258" s="48" t="n"/>
      <c r="G258" s="47" t="n"/>
      <c r="H258" s="47">
        <f>IFERROR(TEXT(VLOOKUP(2026000+ROW()-1,开奖记录!$A:$L,3,FALSE),"00")&amp;"+5="&amp;VLOOKUP(MOD(VLOOKUP(2026000+ROW()-1,开奖记录!$A:$L,3,FALSE)+4,49)+1,规律参数!$A:$C,3,FALSE),"")</f>
        <v/>
      </c>
      <c r="I258" s="47" t="n"/>
      <c r="J258" s="47">
        <f>IFERROR(VLOOKUP(VLOOKUP(2026000+ROW()-1,开奖记录!$A:$L,11,FALSE),八肖参数!$A:$B,2,FALSE),"")</f>
        <v/>
      </c>
    </row>
    <row r="259" ht="22" customHeight="1" s="21">
      <c r="A259" s="47" t="n"/>
      <c r="B259" s="47" t="n"/>
      <c r="C259" s="47" t="n"/>
      <c r="D259" s="48" t="n"/>
      <c r="E259" s="47" t="n"/>
      <c r="F259" s="49" t="n"/>
      <c r="G259" s="47" t="n"/>
      <c r="H259" s="47">
        <f>IFERROR(TEXT(VLOOKUP(2026000+ROW()-1,开奖记录!$A:$L,3,FALSE),"00")&amp;"+5="&amp;VLOOKUP(MOD(VLOOKUP(2026000+ROW()-1,开奖记录!$A:$L,3,FALSE)+4,49)+1,规律参数!$A:$C,3,FALSE),"")</f>
        <v/>
      </c>
      <c r="I259" s="47" t="n"/>
      <c r="J259" s="47">
        <f>IFERROR(VLOOKUP(VLOOKUP(2026000+ROW()-1,开奖记录!$A:$L,11,FALSE),八肖参数!$A:$B,2,FALSE),"")</f>
        <v/>
      </c>
    </row>
    <row r="260" ht="22" customHeight="1" s="21">
      <c r="A260" s="47" t="n"/>
      <c r="B260" s="47" t="n"/>
      <c r="C260" s="47" t="n"/>
      <c r="D260" s="50" t="n"/>
      <c r="E260" s="47" t="n"/>
      <c r="F260" s="51" t="n"/>
      <c r="G260" s="47" t="n"/>
      <c r="H260" s="47">
        <f>IFERROR(TEXT(VLOOKUP(2026000+ROW()-1,开奖记录!$A:$L,3,FALSE),"00")&amp;"+5="&amp;VLOOKUP(MOD(VLOOKUP(2026000+ROW()-1,开奖记录!$A:$L,3,FALSE)+4,49)+1,规律参数!$A:$C,3,FALSE),"")</f>
        <v/>
      </c>
      <c r="I260" s="47" t="n"/>
      <c r="J260" s="47">
        <f>IFERROR(VLOOKUP(VLOOKUP(2026000+ROW()-1,开奖记录!$A:$L,11,FALSE),八肖参数!$A:$B,2,FALSE),"")</f>
        <v/>
      </c>
    </row>
    <row r="261" ht="22" customHeight="1" s="21">
      <c r="A261" s="47" t="n"/>
      <c r="B261" s="47" t="n"/>
      <c r="C261" s="47" t="n"/>
      <c r="D261" s="51" t="n"/>
      <c r="E261" s="47" t="n"/>
      <c r="F261" s="48" t="n"/>
      <c r="G261" s="47" t="n"/>
      <c r="H261" s="47">
        <f>IFERROR(TEXT(VLOOKUP(2026000+ROW()-1,开奖记录!$A:$L,3,FALSE),"00")&amp;"+5="&amp;VLOOKUP(MOD(VLOOKUP(2026000+ROW()-1,开奖记录!$A:$L,3,FALSE)+4,49)+1,规律参数!$A:$C,3,FALSE),"")</f>
        <v/>
      </c>
      <c r="I261" s="47" t="n"/>
      <c r="J261" s="47">
        <f>IFERROR(VLOOKUP(VLOOKUP(2026000+ROW()-1,开奖记录!$A:$L,11,FALSE),八肖参数!$A:$B,2,FALSE),"")</f>
        <v/>
      </c>
    </row>
    <row r="262" ht="22" customHeight="1" s="21">
      <c r="A262" s="47" t="n"/>
      <c r="B262" s="47" t="n"/>
      <c r="C262" s="47" t="n"/>
      <c r="D262" s="48" t="n"/>
      <c r="E262" s="47" t="n"/>
      <c r="F262" s="49" t="n"/>
      <c r="G262" s="47" t="n"/>
      <c r="H262" s="47">
        <f>IFERROR(TEXT(VLOOKUP(2026000+ROW()-1,开奖记录!$A:$L,3,FALSE),"00")&amp;"+5="&amp;VLOOKUP(MOD(VLOOKUP(2026000+ROW()-1,开奖记录!$A:$L,3,FALSE)+4,49)+1,规律参数!$A:$C,3,FALSE),"")</f>
        <v/>
      </c>
      <c r="I262" s="47" t="n"/>
      <c r="J262" s="47">
        <f>IFERROR(VLOOKUP(VLOOKUP(2026000+ROW()-1,开奖记录!$A:$L,11,FALSE),八肖参数!$A:$B,2,FALSE),"")</f>
        <v/>
      </c>
    </row>
    <row r="263" ht="22" customHeight="1" s="21">
      <c r="A263" s="47" t="n"/>
      <c r="B263" s="47" t="n"/>
      <c r="C263" s="47" t="n"/>
      <c r="D263" s="50" t="n"/>
      <c r="E263" s="47" t="n"/>
      <c r="F263" s="51" t="n"/>
      <c r="G263" s="47" t="n"/>
      <c r="H263" s="47">
        <f>IFERROR(TEXT(VLOOKUP(2026000+ROW()-1,开奖记录!$A:$L,3,FALSE),"00")&amp;"+5="&amp;VLOOKUP(MOD(VLOOKUP(2026000+ROW()-1,开奖记录!$A:$L,3,FALSE)+4,49)+1,规律参数!$A:$C,3,FALSE),"")</f>
        <v/>
      </c>
      <c r="I263" s="47" t="n"/>
      <c r="J263" s="47">
        <f>IFERROR(VLOOKUP(VLOOKUP(2026000+ROW()-1,开奖记录!$A:$L,11,FALSE),八肖参数!$A:$B,2,FALSE),"")</f>
        <v/>
      </c>
    </row>
    <row r="264" ht="22" customHeight="1" s="21">
      <c r="A264" s="47" t="n"/>
      <c r="B264" s="47" t="n"/>
      <c r="C264" s="47" t="n"/>
      <c r="D264" s="51" t="n"/>
      <c r="E264" s="47" t="n"/>
      <c r="F264" s="48" t="n"/>
      <c r="G264" s="47" t="n"/>
      <c r="H264" s="47">
        <f>IFERROR(TEXT(VLOOKUP(2026000+ROW()-1,开奖记录!$A:$L,3,FALSE),"00")&amp;"+5="&amp;VLOOKUP(MOD(VLOOKUP(2026000+ROW()-1,开奖记录!$A:$L,3,FALSE)+4,49)+1,规律参数!$A:$C,3,FALSE),"")</f>
        <v/>
      </c>
      <c r="I264" s="47" t="n"/>
      <c r="J264" s="47">
        <f>IFERROR(VLOOKUP(VLOOKUP(2026000+ROW()-1,开奖记录!$A:$L,11,FALSE),八肖参数!$A:$B,2,FALSE),"")</f>
        <v/>
      </c>
    </row>
    <row r="265" ht="22" customHeight="1" s="21">
      <c r="A265" s="47" t="n"/>
      <c r="B265" s="47" t="n"/>
      <c r="C265" s="47" t="n"/>
      <c r="D265" s="48" t="n"/>
      <c r="E265" s="47" t="n"/>
      <c r="F265" s="49" t="n"/>
      <c r="G265" s="47" t="n"/>
      <c r="H265" s="47">
        <f>IFERROR(TEXT(VLOOKUP(2026000+ROW()-1,开奖记录!$A:$L,3,FALSE),"00")&amp;"+5="&amp;VLOOKUP(MOD(VLOOKUP(2026000+ROW()-1,开奖记录!$A:$L,3,FALSE)+4,49)+1,规律参数!$A:$C,3,FALSE),"")</f>
        <v/>
      </c>
      <c r="I265" s="47" t="n"/>
      <c r="J265" s="47">
        <f>IFERROR(VLOOKUP(VLOOKUP(2026000+ROW()-1,开奖记录!$A:$L,11,FALSE),八肖参数!$A:$B,2,FALSE),"")</f>
        <v/>
      </c>
    </row>
    <row r="266" ht="22" customHeight="1" s="21">
      <c r="A266" s="47" t="n"/>
      <c r="B266" s="47" t="n"/>
      <c r="C266" s="47" t="n"/>
      <c r="D266" s="50" t="n"/>
      <c r="E266" s="47" t="n"/>
      <c r="F266" s="51" t="n"/>
      <c r="G266" s="47" t="n"/>
      <c r="H266" s="47">
        <f>IFERROR(TEXT(VLOOKUP(2026000+ROW()-1,开奖记录!$A:$L,3,FALSE),"00")&amp;"+5="&amp;VLOOKUP(MOD(VLOOKUP(2026000+ROW()-1,开奖记录!$A:$L,3,FALSE)+4,49)+1,规律参数!$A:$C,3,FALSE),"")</f>
        <v/>
      </c>
      <c r="I266" s="47" t="n"/>
      <c r="J266" s="47">
        <f>IFERROR(VLOOKUP(VLOOKUP(2026000+ROW()-1,开奖记录!$A:$L,11,FALSE),八肖参数!$A:$B,2,FALSE),"")</f>
        <v/>
      </c>
    </row>
    <row r="267" ht="22" customHeight="1" s="21">
      <c r="A267" s="47" t="n"/>
      <c r="B267" s="47" t="n"/>
      <c r="C267" s="47" t="n"/>
      <c r="D267" s="51" t="n"/>
      <c r="E267" s="47" t="n"/>
      <c r="F267" s="48" t="n"/>
      <c r="G267" s="47" t="n"/>
      <c r="H267" s="47">
        <f>IFERROR(TEXT(VLOOKUP(2026000+ROW()-1,开奖记录!$A:$L,3,FALSE),"00")&amp;"+5="&amp;VLOOKUP(MOD(VLOOKUP(2026000+ROW()-1,开奖记录!$A:$L,3,FALSE)+4,49)+1,规律参数!$A:$C,3,FALSE),"")</f>
        <v/>
      </c>
      <c r="I267" s="47" t="n"/>
      <c r="J267" s="47">
        <f>IFERROR(VLOOKUP(VLOOKUP(2026000+ROW()-1,开奖记录!$A:$L,11,FALSE),八肖参数!$A:$B,2,FALSE),"")</f>
        <v/>
      </c>
    </row>
    <row r="268" ht="22" customHeight="1" s="21">
      <c r="A268" s="47" t="n"/>
      <c r="B268" s="47" t="n"/>
      <c r="C268" s="47" t="n"/>
      <c r="D268" s="48" t="n"/>
      <c r="E268" s="47" t="n"/>
      <c r="F268" s="49" t="n"/>
      <c r="G268" s="47" t="n"/>
      <c r="H268" s="47">
        <f>IFERROR(TEXT(VLOOKUP(2026000+ROW()-1,开奖记录!$A:$L,3,FALSE),"00")&amp;"+5="&amp;VLOOKUP(MOD(VLOOKUP(2026000+ROW()-1,开奖记录!$A:$L,3,FALSE)+4,49)+1,规律参数!$A:$C,3,FALSE),"")</f>
        <v/>
      </c>
      <c r="I268" s="47" t="n"/>
      <c r="J268" s="47">
        <f>IFERROR(VLOOKUP(VLOOKUP(2026000+ROW()-1,开奖记录!$A:$L,11,FALSE),八肖参数!$A:$B,2,FALSE),"")</f>
        <v/>
      </c>
    </row>
    <row r="269" ht="22" customHeight="1" s="21">
      <c r="A269" s="47" t="n"/>
      <c r="B269" s="47" t="n"/>
      <c r="C269" s="47" t="n"/>
      <c r="D269" s="50" t="n"/>
      <c r="E269" s="47" t="n"/>
      <c r="F269" s="51" t="n"/>
      <c r="G269" s="47" t="n"/>
      <c r="H269" s="47">
        <f>IFERROR(TEXT(VLOOKUP(2026000+ROW()-1,开奖记录!$A:$L,3,FALSE),"00")&amp;"+5="&amp;VLOOKUP(MOD(VLOOKUP(2026000+ROW()-1,开奖记录!$A:$L,3,FALSE)+4,49)+1,规律参数!$A:$C,3,FALSE),"")</f>
        <v/>
      </c>
      <c r="I269" s="47" t="n"/>
      <c r="J269" s="47">
        <f>IFERROR(VLOOKUP(VLOOKUP(2026000+ROW()-1,开奖记录!$A:$L,11,FALSE),八肖参数!$A:$B,2,FALSE),"")</f>
        <v/>
      </c>
    </row>
    <row r="270" ht="22" customHeight="1" s="21">
      <c r="A270" s="47" t="n"/>
      <c r="B270" s="47" t="n"/>
      <c r="C270" s="47" t="n"/>
      <c r="D270" s="51" t="n"/>
      <c r="E270" s="47" t="n"/>
      <c r="F270" s="48" t="n"/>
      <c r="G270" s="47" t="n"/>
      <c r="H270" s="47">
        <f>IFERROR(TEXT(VLOOKUP(2026000+ROW()-1,开奖记录!$A:$L,3,FALSE),"00")&amp;"+5="&amp;VLOOKUP(MOD(VLOOKUP(2026000+ROW()-1,开奖记录!$A:$L,3,FALSE)+4,49)+1,规律参数!$A:$C,3,FALSE),"")</f>
        <v/>
      </c>
      <c r="I270" s="47" t="n"/>
      <c r="J270" s="47">
        <f>IFERROR(VLOOKUP(VLOOKUP(2026000+ROW()-1,开奖记录!$A:$L,11,FALSE),八肖参数!$A:$B,2,FALSE),"")</f>
        <v/>
      </c>
    </row>
    <row r="271" ht="22" customHeight="1" s="21">
      <c r="A271" s="47" t="n"/>
      <c r="B271" s="47" t="n"/>
      <c r="C271" s="47" t="n"/>
      <c r="D271" s="48" t="n"/>
      <c r="E271" s="47" t="n"/>
      <c r="F271" s="49" t="n"/>
      <c r="G271" s="47" t="n"/>
      <c r="H271" s="47">
        <f>IFERROR(TEXT(VLOOKUP(2026000+ROW()-1,开奖记录!$A:$L,3,FALSE),"00")&amp;"+5="&amp;VLOOKUP(MOD(VLOOKUP(2026000+ROW()-1,开奖记录!$A:$L,3,FALSE)+4,49)+1,规律参数!$A:$C,3,FALSE),"")</f>
        <v/>
      </c>
      <c r="I271" s="47" t="n"/>
      <c r="J271" s="47">
        <f>IFERROR(VLOOKUP(VLOOKUP(2026000+ROW()-1,开奖记录!$A:$L,11,FALSE),八肖参数!$A:$B,2,FALSE),"")</f>
        <v/>
      </c>
    </row>
    <row r="272" ht="22" customHeight="1" s="21">
      <c r="A272" s="47" t="n"/>
      <c r="B272" s="47" t="n"/>
      <c r="C272" s="47" t="n"/>
      <c r="D272" s="50" t="n"/>
      <c r="E272" s="47" t="n"/>
      <c r="F272" s="51" t="n"/>
      <c r="G272" s="47" t="n"/>
      <c r="H272" s="47">
        <f>IFERROR(TEXT(VLOOKUP(2026000+ROW()-1,开奖记录!$A:$L,3,FALSE),"00")&amp;"+5="&amp;VLOOKUP(MOD(VLOOKUP(2026000+ROW()-1,开奖记录!$A:$L,3,FALSE)+4,49)+1,规律参数!$A:$C,3,FALSE),"")</f>
        <v/>
      </c>
      <c r="I272" s="47" t="n"/>
      <c r="J272" s="47">
        <f>IFERROR(VLOOKUP(VLOOKUP(2026000+ROW()-1,开奖记录!$A:$L,11,FALSE),八肖参数!$A:$B,2,FALSE),"")</f>
        <v/>
      </c>
    </row>
    <row r="273" ht="22" customHeight="1" s="21">
      <c r="A273" s="47" t="n"/>
      <c r="B273" s="47" t="n"/>
      <c r="C273" s="47" t="n"/>
      <c r="D273" s="51" t="n"/>
      <c r="E273" s="47" t="n"/>
      <c r="F273" s="48" t="n"/>
      <c r="G273" s="47" t="n"/>
      <c r="H273" s="47">
        <f>IFERROR(TEXT(VLOOKUP(2026000+ROW()-1,开奖记录!$A:$L,3,FALSE),"00")&amp;"+5="&amp;VLOOKUP(MOD(VLOOKUP(2026000+ROW()-1,开奖记录!$A:$L,3,FALSE)+4,49)+1,规律参数!$A:$C,3,FALSE),"")</f>
        <v/>
      </c>
      <c r="I273" s="47" t="n"/>
      <c r="J273" s="47">
        <f>IFERROR(VLOOKUP(VLOOKUP(2026000+ROW()-1,开奖记录!$A:$L,11,FALSE),八肖参数!$A:$B,2,FALSE),"")</f>
        <v/>
      </c>
    </row>
    <row r="274" ht="22" customHeight="1" s="21">
      <c r="A274" s="47" t="n"/>
      <c r="B274" s="47" t="n"/>
      <c r="C274" s="47" t="n"/>
      <c r="D274" s="48" t="n"/>
      <c r="E274" s="47" t="n"/>
      <c r="F274" s="49" t="n"/>
      <c r="G274" s="47" t="n"/>
      <c r="H274" s="47">
        <f>IFERROR(TEXT(VLOOKUP(2026000+ROW()-1,开奖记录!$A:$L,3,FALSE),"00")&amp;"+5="&amp;VLOOKUP(MOD(VLOOKUP(2026000+ROW()-1,开奖记录!$A:$L,3,FALSE)+4,49)+1,规律参数!$A:$C,3,FALSE),"")</f>
        <v/>
      </c>
      <c r="I274" s="47" t="n"/>
      <c r="J274" s="47">
        <f>IFERROR(VLOOKUP(VLOOKUP(2026000+ROW()-1,开奖记录!$A:$L,11,FALSE),八肖参数!$A:$B,2,FALSE),"")</f>
        <v/>
      </c>
    </row>
    <row r="275" ht="22" customHeight="1" s="21">
      <c r="A275" s="47" t="n"/>
      <c r="B275" s="47" t="n"/>
      <c r="C275" s="47" t="n"/>
      <c r="D275" s="50" t="n"/>
      <c r="E275" s="47" t="n"/>
      <c r="F275" s="51" t="n"/>
      <c r="G275" s="47" t="n"/>
      <c r="H275" s="47">
        <f>IFERROR(TEXT(VLOOKUP(2026000+ROW()-1,开奖记录!$A:$L,3,FALSE),"00")&amp;"+5="&amp;VLOOKUP(MOD(VLOOKUP(2026000+ROW()-1,开奖记录!$A:$L,3,FALSE)+4,49)+1,规律参数!$A:$C,3,FALSE),"")</f>
        <v/>
      </c>
      <c r="I275" s="47" t="n"/>
      <c r="J275" s="47">
        <f>IFERROR(VLOOKUP(VLOOKUP(2026000+ROW()-1,开奖记录!$A:$L,11,FALSE),八肖参数!$A:$B,2,FALSE),"")</f>
        <v/>
      </c>
    </row>
    <row r="276" ht="22" customHeight="1" s="21">
      <c r="A276" s="47" t="n"/>
      <c r="B276" s="47" t="n"/>
      <c r="C276" s="47" t="n"/>
      <c r="D276" s="51" t="n"/>
      <c r="E276" s="47" t="n"/>
      <c r="F276" s="48" t="n"/>
      <c r="G276" s="47" t="n"/>
      <c r="H276" s="47">
        <f>IFERROR(TEXT(VLOOKUP(2026000+ROW()-1,开奖记录!$A:$L,3,FALSE),"00")&amp;"+5="&amp;VLOOKUP(MOD(VLOOKUP(2026000+ROW()-1,开奖记录!$A:$L,3,FALSE)+4,49)+1,规律参数!$A:$C,3,FALSE),"")</f>
        <v/>
      </c>
      <c r="I276" s="47" t="n"/>
      <c r="J276" s="47">
        <f>IFERROR(VLOOKUP(VLOOKUP(2026000+ROW()-1,开奖记录!$A:$L,11,FALSE),八肖参数!$A:$B,2,FALSE),"")</f>
        <v/>
      </c>
    </row>
    <row r="277" ht="22" customHeight="1" s="21">
      <c r="A277" s="47" t="n"/>
      <c r="B277" s="47" t="n"/>
      <c r="C277" s="47" t="n"/>
      <c r="D277" s="48" t="n"/>
      <c r="E277" s="47" t="n"/>
      <c r="F277" s="49" t="n"/>
      <c r="G277" s="47" t="n"/>
      <c r="H277" s="47">
        <f>IFERROR(TEXT(VLOOKUP(2026000+ROW()-1,开奖记录!$A:$L,3,FALSE),"00")&amp;"+5="&amp;VLOOKUP(MOD(VLOOKUP(2026000+ROW()-1,开奖记录!$A:$L,3,FALSE)+4,49)+1,规律参数!$A:$C,3,FALSE),"")</f>
        <v/>
      </c>
      <c r="I277" s="47" t="n"/>
      <c r="J277" s="47">
        <f>IFERROR(VLOOKUP(VLOOKUP(2026000+ROW()-1,开奖记录!$A:$L,11,FALSE),八肖参数!$A:$B,2,FALSE),"")</f>
        <v/>
      </c>
    </row>
    <row r="278" ht="22" customHeight="1" s="21">
      <c r="A278" s="47" t="n"/>
      <c r="B278" s="47" t="n"/>
      <c r="C278" s="47" t="n"/>
      <c r="D278" s="50" t="n"/>
      <c r="E278" s="47" t="n"/>
      <c r="F278" s="51" t="n"/>
      <c r="G278" s="47" t="n"/>
      <c r="H278" s="47">
        <f>IFERROR(TEXT(VLOOKUP(2026000+ROW()-1,开奖记录!$A:$L,3,FALSE),"00")&amp;"+5="&amp;VLOOKUP(MOD(VLOOKUP(2026000+ROW()-1,开奖记录!$A:$L,3,FALSE)+4,49)+1,规律参数!$A:$C,3,FALSE),"")</f>
        <v/>
      </c>
      <c r="I278" s="47" t="n"/>
      <c r="J278" s="47">
        <f>IFERROR(VLOOKUP(VLOOKUP(2026000+ROW()-1,开奖记录!$A:$L,11,FALSE),八肖参数!$A:$B,2,FALSE),"")</f>
        <v/>
      </c>
    </row>
    <row r="279" ht="22" customHeight="1" s="21">
      <c r="A279" s="47" t="n"/>
      <c r="B279" s="47" t="n"/>
      <c r="C279" s="47" t="n"/>
      <c r="D279" s="51" t="n"/>
      <c r="E279" s="47" t="n"/>
      <c r="F279" s="48" t="n"/>
      <c r="G279" s="47" t="n"/>
      <c r="H279" s="47">
        <f>IFERROR(TEXT(VLOOKUP(2026000+ROW()-1,开奖记录!$A:$L,3,FALSE),"00")&amp;"+5="&amp;VLOOKUP(MOD(VLOOKUP(2026000+ROW()-1,开奖记录!$A:$L,3,FALSE)+4,49)+1,规律参数!$A:$C,3,FALSE),"")</f>
        <v/>
      </c>
      <c r="I279" s="47" t="n"/>
      <c r="J279" s="47">
        <f>IFERROR(VLOOKUP(VLOOKUP(2026000+ROW()-1,开奖记录!$A:$L,11,FALSE),八肖参数!$A:$B,2,FALSE),"")</f>
        <v/>
      </c>
    </row>
    <row r="280" ht="22" customHeight="1" s="21">
      <c r="A280" s="47" t="n"/>
      <c r="B280" s="47" t="n"/>
      <c r="C280" s="47" t="n"/>
      <c r="D280" s="48" t="n"/>
      <c r="E280" s="47" t="n"/>
      <c r="F280" s="49" t="n"/>
      <c r="G280" s="47" t="n"/>
      <c r="H280" s="47">
        <f>IFERROR(TEXT(VLOOKUP(2026000+ROW()-1,开奖记录!$A:$L,3,FALSE),"00")&amp;"+5="&amp;VLOOKUP(MOD(VLOOKUP(2026000+ROW()-1,开奖记录!$A:$L,3,FALSE)+4,49)+1,规律参数!$A:$C,3,FALSE),"")</f>
        <v/>
      </c>
      <c r="I280" s="47" t="n"/>
      <c r="J280" s="47">
        <f>IFERROR(VLOOKUP(VLOOKUP(2026000+ROW()-1,开奖记录!$A:$L,11,FALSE),八肖参数!$A:$B,2,FALSE),"")</f>
        <v/>
      </c>
    </row>
    <row r="281" ht="22" customHeight="1" s="21">
      <c r="A281" s="47" t="n"/>
      <c r="B281" s="47" t="n"/>
      <c r="C281" s="47" t="n"/>
      <c r="D281" s="50" t="n"/>
      <c r="E281" s="47" t="n"/>
      <c r="F281" s="51" t="n"/>
      <c r="G281" s="47" t="n"/>
      <c r="H281" s="47">
        <f>IFERROR(TEXT(VLOOKUP(2026000+ROW()-1,开奖记录!$A:$L,3,FALSE),"00")&amp;"+5="&amp;VLOOKUP(MOD(VLOOKUP(2026000+ROW()-1,开奖记录!$A:$L,3,FALSE)+4,49)+1,规律参数!$A:$C,3,FALSE),"")</f>
        <v/>
      </c>
      <c r="I281" s="47" t="n"/>
      <c r="J281" s="47">
        <f>IFERROR(VLOOKUP(VLOOKUP(2026000+ROW()-1,开奖记录!$A:$L,11,FALSE),八肖参数!$A:$B,2,FALSE),"")</f>
        <v/>
      </c>
    </row>
    <row r="282" ht="22" customHeight="1" s="21">
      <c r="A282" s="47" t="n"/>
      <c r="B282" s="47" t="n"/>
      <c r="C282" s="47" t="n"/>
      <c r="D282" s="51" t="n"/>
      <c r="E282" s="47" t="n"/>
      <c r="F282" s="48" t="n"/>
      <c r="G282" s="47" t="n"/>
      <c r="H282" s="47">
        <f>IFERROR(TEXT(VLOOKUP(2026000+ROW()-1,开奖记录!$A:$L,3,FALSE),"00")&amp;"+5="&amp;VLOOKUP(MOD(VLOOKUP(2026000+ROW()-1,开奖记录!$A:$L,3,FALSE)+4,49)+1,规律参数!$A:$C,3,FALSE),"")</f>
        <v/>
      </c>
      <c r="I282" s="47" t="n"/>
      <c r="J282" s="47">
        <f>IFERROR(VLOOKUP(VLOOKUP(2026000+ROW()-1,开奖记录!$A:$L,11,FALSE),八肖参数!$A:$B,2,FALSE),"")</f>
        <v/>
      </c>
    </row>
    <row r="283" ht="22" customHeight="1" s="21">
      <c r="A283" s="47" t="n"/>
      <c r="B283" s="47" t="n"/>
      <c r="C283" s="47" t="n"/>
      <c r="D283" s="48" t="n"/>
      <c r="E283" s="47" t="n"/>
      <c r="F283" s="49" t="n"/>
      <c r="G283" s="47" t="n"/>
      <c r="H283" s="47">
        <f>IFERROR(TEXT(VLOOKUP(2026000+ROW()-1,开奖记录!$A:$L,3,FALSE),"00")&amp;"+5="&amp;VLOOKUP(MOD(VLOOKUP(2026000+ROW()-1,开奖记录!$A:$L,3,FALSE)+4,49)+1,规律参数!$A:$C,3,FALSE),"")</f>
        <v/>
      </c>
      <c r="I283" s="47" t="n"/>
      <c r="J283" s="47">
        <f>IFERROR(VLOOKUP(VLOOKUP(2026000+ROW()-1,开奖记录!$A:$L,11,FALSE),八肖参数!$A:$B,2,FALSE),"")</f>
        <v/>
      </c>
    </row>
    <row r="284" ht="22" customHeight="1" s="21">
      <c r="A284" s="47" t="n"/>
      <c r="B284" s="47" t="n"/>
      <c r="C284" s="47" t="n"/>
      <c r="D284" s="50" t="n"/>
      <c r="E284" s="47" t="n"/>
      <c r="F284" s="51" t="n"/>
      <c r="G284" s="47" t="n"/>
      <c r="H284" s="47">
        <f>IFERROR(TEXT(VLOOKUP(2026000+ROW()-1,开奖记录!$A:$L,3,FALSE),"00")&amp;"+5="&amp;VLOOKUP(MOD(VLOOKUP(2026000+ROW()-1,开奖记录!$A:$L,3,FALSE)+4,49)+1,规律参数!$A:$C,3,FALSE),"")</f>
        <v/>
      </c>
      <c r="I284" s="47" t="n"/>
      <c r="J284" s="47">
        <f>IFERROR(VLOOKUP(VLOOKUP(2026000+ROW()-1,开奖记录!$A:$L,11,FALSE),八肖参数!$A:$B,2,FALSE),"")</f>
        <v/>
      </c>
    </row>
    <row r="285" ht="22" customHeight="1" s="21">
      <c r="A285" s="47" t="n"/>
      <c r="B285" s="47" t="n"/>
      <c r="C285" s="47" t="n"/>
      <c r="D285" s="51" t="n"/>
      <c r="E285" s="47" t="n"/>
      <c r="F285" s="48" t="n"/>
      <c r="G285" s="47" t="n"/>
      <c r="H285" s="47">
        <f>IFERROR(TEXT(VLOOKUP(2026000+ROW()-1,开奖记录!$A:$L,3,FALSE),"00")&amp;"+5="&amp;VLOOKUP(MOD(VLOOKUP(2026000+ROW()-1,开奖记录!$A:$L,3,FALSE)+4,49)+1,规律参数!$A:$C,3,FALSE),"")</f>
        <v/>
      </c>
      <c r="I285" s="47" t="n"/>
      <c r="J285" s="47">
        <f>IFERROR(VLOOKUP(VLOOKUP(2026000+ROW()-1,开奖记录!$A:$L,11,FALSE),八肖参数!$A:$B,2,FALSE),"")</f>
        <v/>
      </c>
    </row>
    <row r="286" ht="22" customHeight="1" s="21">
      <c r="A286" s="47" t="n"/>
      <c r="B286" s="47" t="n"/>
      <c r="C286" s="47" t="n"/>
      <c r="D286" s="48" t="n"/>
      <c r="E286" s="47" t="n"/>
      <c r="F286" s="49" t="n"/>
      <c r="G286" s="47" t="n"/>
      <c r="H286" s="47">
        <f>IFERROR(TEXT(VLOOKUP(2026000+ROW()-1,开奖记录!$A:$L,3,FALSE),"00")&amp;"+5="&amp;VLOOKUP(MOD(VLOOKUP(2026000+ROW()-1,开奖记录!$A:$L,3,FALSE)+4,49)+1,规律参数!$A:$C,3,FALSE),"")</f>
        <v/>
      </c>
      <c r="I286" s="47" t="n"/>
      <c r="J286" s="47">
        <f>IFERROR(VLOOKUP(VLOOKUP(2026000+ROW()-1,开奖记录!$A:$L,11,FALSE),八肖参数!$A:$B,2,FALSE),"")</f>
        <v/>
      </c>
    </row>
    <row r="287" ht="22" customHeight="1" s="21">
      <c r="A287" s="47" t="n"/>
      <c r="B287" s="47" t="n"/>
      <c r="C287" s="47" t="n"/>
      <c r="D287" s="50" t="n"/>
      <c r="E287" s="47" t="n"/>
      <c r="F287" s="51" t="n"/>
      <c r="G287" s="47" t="n"/>
      <c r="H287" s="47">
        <f>IFERROR(TEXT(VLOOKUP(2026000+ROW()-1,开奖记录!$A:$L,3,FALSE),"00")&amp;"+5="&amp;VLOOKUP(MOD(VLOOKUP(2026000+ROW()-1,开奖记录!$A:$L,3,FALSE)+4,49)+1,规律参数!$A:$C,3,FALSE),"")</f>
        <v/>
      </c>
      <c r="I287" s="47" t="n"/>
      <c r="J287" s="47">
        <f>IFERROR(VLOOKUP(VLOOKUP(2026000+ROW()-1,开奖记录!$A:$L,11,FALSE),八肖参数!$A:$B,2,FALSE),"")</f>
        <v/>
      </c>
    </row>
    <row r="288" ht="22" customHeight="1" s="21">
      <c r="A288" s="47" t="n"/>
      <c r="B288" s="47" t="n"/>
      <c r="C288" s="47" t="n"/>
      <c r="D288" s="51" t="n"/>
      <c r="E288" s="47" t="n"/>
      <c r="F288" s="48" t="n"/>
      <c r="G288" s="47" t="n"/>
      <c r="H288" s="47">
        <f>IFERROR(TEXT(VLOOKUP(2026000+ROW()-1,开奖记录!$A:$L,3,FALSE),"00")&amp;"+5="&amp;VLOOKUP(MOD(VLOOKUP(2026000+ROW()-1,开奖记录!$A:$L,3,FALSE)+4,49)+1,规律参数!$A:$C,3,FALSE),"")</f>
        <v/>
      </c>
      <c r="I288" s="47" t="n"/>
      <c r="J288" s="47">
        <f>IFERROR(VLOOKUP(VLOOKUP(2026000+ROW()-1,开奖记录!$A:$L,11,FALSE),八肖参数!$A:$B,2,FALSE),"")</f>
        <v/>
      </c>
    </row>
    <row r="289" ht="22" customHeight="1" s="21">
      <c r="A289" s="47" t="n"/>
      <c r="B289" s="47" t="n"/>
      <c r="C289" s="47" t="n"/>
      <c r="D289" s="48" t="n"/>
      <c r="E289" s="47" t="n"/>
      <c r="F289" s="49" t="n"/>
      <c r="G289" s="47" t="n"/>
      <c r="H289" s="47">
        <f>IFERROR(TEXT(VLOOKUP(2026000+ROW()-1,开奖记录!$A:$L,3,FALSE),"00")&amp;"+5="&amp;VLOOKUP(MOD(VLOOKUP(2026000+ROW()-1,开奖记录!$A:$L,3,FALSE)+4,49)+1,规律参数!$A:$C,3,FALSE),"")</f>
        <v/>
      </c>
      <c r="I289" s="47" t="n"/>
      <c r="J289" s="47">
        <f>IFERROR(VLOOKUP(VLOOKUP(2026000+ROW()-1,开奖记录!$A:$L,11,FALSE),八肖参数!$A:$B,2,FALSE),"")</f>
        <v/>
      </c>
    </row>
    <row r="290" ht="22" customHeight="1" s="21">
      <c r="A290" s="47" t="n"/>
      <c r="B290" s="47" t="n"/>
      <c r="C290" s="47" t="n"/>
      <c r="D290" s="50" t="n"/>
      <c r="E290" s="47" t="n"/>
      <c r="F290" s="51" t="n"/>
      <c r="G290" s="47" t="n"/>
      <c r="H290" s="47">
        <f>IFERROR(TEXT(VLOOKUP(2026000+ROW()-1,开奖记录!$A:$L,3,FALSE),"00")&amp;"+5="&amp;VLOOKUP(MOD(VLOOKUP(2026000+ROW()-1,开奖记录!$A:$L,3,FALSE)+4,49)+1,规律参数!$A:$C,3,FALSE),"")</f>
        <v/>
      </c>
      <c r="I290" s="47" t="n"/>
      <c r="J290" s="47">
        <f>IFERROR(VLOOKUP(VLOOKUP(2026000+ROW()-1,开奖记录!$A:$L,11,FALSE),八肖参数!$A:$B,2,FALSE),"")</f>
        <v/>
      </c>
    </row>
    <row r="291" ht="22" customHeight="1" s="21">
      <c r="A291" s="47" t="n"/>
      <c r="B291" s="47" t="n"/>
      <c r="C291" s="47" t="n"/>
      <c r="D291" s="51" t="n"/>
      <c r="E291" s="47" t="n"/>
      <c r="F291" s="48" t="n"/>
      <c r="G291" s="47" t="n"/>
      <c r="H291" s="47">
        <f>IFERROR(TEXT(VLOOKUP(2026000+ROW()-1,开奖记录!$A:$L,3,FALSE),"00")&amp;"+5="&amp;VLOOKUP(MOD(VLOOKUP(2026000+ROW()-1,开奖记录!$A:$L,3,FALSE)+4,49)+1,规律参数!$A:$C,3,FALSE),"")</f>
        <v/>
      </c>
      <c r="I291" s="47" t="n"/>
      <c r="J291" s="47">
        <f>IFERROR(VLOOKUP(VLOOKUP(2026000+ROW()-1,开奖记录!$A:$L,11,FALSE),八肖参数!$A:$B,2,FALSE),"")</f>
        <v/>
      </c>
    </row>
    <row r="292" ht="22" customHeight="1" s="21">
      <c r="A292" s="47" t="n"/>
      <c r="B292" s="47" t="n"/>
      <c r="C292" s="47" t="n"/>
      <c r="D292" s="48" t="n"/>
      <c r="E292" s="47" t="n"/>
      <c r="F292" s="49" t="n"/>
      <c r="G292" s="47" t="n"/>
      <c r="H292" s="47">
        <f>IFERROR(TEXT(VLOOKUP(2026000+ROW()-1,开奖记录!$A:$L,3,FALSE),"00")&amp;"+5="&amp;VLOOKUP(MOD(VLOOKUP(2026000+ROW()-1,开奖记录!$A:$L,3,FALSE)+4,49)+1,规律参数!$A:$C,3,FALSE),"")</f>
        <v/>
      </c>
      <c r="I292" s="47" t="n"/>
      <c r="J292" s="47">
        <f>IFERROR(VLOOKUP(VLOOKUP(2026000+ROW()-1,开奖记录!$A:$L,11,FALSE),八肖参数!$A:$B,2,FALSE),"")</f>
        <v/>
      </c>
    </row>
    <row r="293" ht="22" customHeight="1" s="21">
      <c r="A293" s="47" t="n"/>
      <c r="B293" s="47" t="n"/>
      <c r="C293" s="47" t="n"/>
      <c r="D293" s="50" t="n"/>
      <c r="E293" s="47" t="n"/>
      <c r="F293" s="51" t="n"/>
      <c r="G293" s="47" t="n"/>
      <c r="H293" s="47">
        <f>IFERROR(TEXT(VLOOKUP(2026000+ROW()-1,开奖记录!$A:$L,3,FALSE),"00")&amp;"+5="&amp;VLOOKUP(MOD(VLOOKUP(2026000+ROW()-1,开奖记录!$A:$L,3,FALSE)+4,49)+1,规律参数!$A:$C,3,FALSE),"")</f>
        <v/>
      </c>
      <c r="I293" s="47" t="n"/>
      <c r="J293" s="47">
        <f>IFERROR(VLOOKUP(VLOOKUP(2026000+ROW()-1,开奖记录!$A:$L,11,FALSE),八肖参数!$A:$B,2,FALSE),"")</f>
        <v/>
      </c>
    </row>
    <row r="294" ht="22" customHeight="1" s="21">
      <c r="A294" s="47" t="n"/>
      <c r="B294" s="47" t="n"/>
      <c r="C294" s="47" t="n"/>
      <c r="D294" s="51" t="n"/>
      <c r="E294" s="47" t="n"/>
      <c r="F294" s="48" t="n"/>
      <c r="G294" s="47" t="n"/>
      <c r="H294" s="47">
        <f>IFERROR(TEXT(VLOOKUP(2026000+ROW()-1,开奖记录!$A:$L,3,FALSE),"00")&amp;"+5="&amp;VLOOKUP(MOD(VLOOKUP(2026000+ROW()-1,开奖记录!$A:$L,3,FALSE)+4,49)+1,规律参数!$A:$C,3,FALSE),"")</f>
        <v/>
      </c>
      <c r="I294" s="47" t="n"/>
      <c r="J294" s="47">
        <f>IFERROR(VLOOKUP(VLOOKUP(2026000+ROW()-1,开奖记录!$A:$L,11,FALSE),八肖参数!$A:$B,2,FALSE),"")</f>
        <v/>
      </c>
    </row>
    <row r="295" ht="22" customHeight="1" s="21">
      <c r="A295" s="47" t="n"/>
      <c r="B295" s="47" t="n"/>
      <c r="C295" s="47" t="n"/>
      <c r="D295" s="48" t="n"/>
      <c r="E295" s="47" t="n"/>
      <c r="F295" s="49" t="n"/>
      <c r="G295" s="47" t="n"/>
      <c r="H295" s="47">
        <f>IFERROR(TEXT(VLOOKUP(2026000+ROW()-1,开奖记录!$A:$L,3,FALSE),"00")&amp;"+5="&amp;VLOOKUP(MOD(VLOOKUP(2026000+ROW()-1,开奖记录!$A:$L,3,FALSE)+4,49)+1,规律参数!$A:$C,3,FALSE),"")</f>
        <v/>
      </c>
      <c r="I295" s="47" t="n"/>
      <c r="J295" s="47">
        <f>IFERROR(VLOOKUP(VLOOKUP(2026000+ROW()-1,开奖记录!$A:$L,11,FALSE),八肖参数!$A:$B,2,FALSE),"")</f>
        <v/>
      </c>
    </row>
    <row r="296" ht="22" customHeight="1" s="21">
      <c r="A296" s="47" t="n"/>
      <c r="B296" s="47" t="n"/>
      <c r="C296" s="47" t="n"/>
      <c r="D296" s="50" t="n"/>
      <c r="E296" s="47" t="n"/>
      <c r="F296" s="51" t="n"/>
      <c r="G296" s="47" t="n"/>
      <c r="H296" s="47">
        <f>IFERROR(TEXT(VLOOKUP(2026000+ROW()-1,开奖记录!$A:$L,3,FALSE),"00")&amp;"+5="&amp;VLOOKUP(MOD(VLOOKUP(2026000+ROW()-1,开奖记录!$A:$L,3,FALSE)+4,49)+1,规律参数!$A:$C,3,FALSE),"")</f>
        <v/>
      </c>
      <c r="I296" s="47" t="n"/>
      <c r="J296" s="47">
        <f>IFERROR(VLOOKUP(VLOOKUP(2026000+ROW()-1,开奖记录!$A:$L,11,FALSE),八肖参数!$A:$B,2,FALSE),"")</f>
        <v/>
      </c>
    </row>
    <row r="297" ht="22" customHeight="1" s="21">
      <c r="A297" s="47" t="n"/>
      <c r="B297" s="47" t="n"/>
      <c r="C297" s="47" t="n"/>
      <c r="D297" s="51" t="n"/>
      <c r="E297" s="47" t="n"/>
      <c r="F297" s="48" t="n"/>
      <c r="G297" s="47" t="n"/>
      <c r="H297" s="47">
        <f>IFERROR(TEXT(VLOOKUP(2026000+ROW()-1,开奖记录!$A:$L,3,FALSE),"00")&amp;"+5="&amp;VLOOKUP(MOD(VLOOKUP(2026000+ROW()-1,开奖记录!$A:$L,3,FALSE)+4,49)+1,规律参数!$A:$C,3,FALSE),"")</f>
        <v/>
      </c>
      <c r="I297" s="47" t="n"/>
      <c r="J297" s="47">
        <f>IFERROR(VLOOKUP(VLOOKUP(2026000+ROW()-1,开奖记录!$A:$L,11,FALSE),八肖参数!$A:$B,2,FALSE),"")</f>
        <v/>
      </c>
    </row>
    <row r="298" ht="22" customHeight="1" s="21">
      <c r="A298" s="47" t="n"/>
      <c r="B298" s="47" t="n"/>
      <c r="C298" s="47" t="n"/>
      <c r="D298" s="48" t="n"/>
      <c r="E298" s="47" t="n"/>
      <c r="F298" s="49" t="n"/>
      <c r="G298" s="47" t="n"/>
      <c r="H298" s="47">
        <f>IFERROR(TEXT(VLOOKUP(2026000+ROW()-1,开奖记录!$A:$L,3,FALSE),"00")&amp;"+5="&amp;VLOOKUP(MOD(VLOOKUP(2026000+ROW()-1,开奖记录!$A:$L,3,FALSE)+4,49)+1,规律参数!$A:$C,3,FALSE),"")</f>
        <v/>
      </c>
      <c r="I298" s="47" t="n"/>
      <c r="J298" s="47">
        <f>IFERROR(VLOOKUP(VLOOKUP(2026000+ROW()-1,开奖记录!$A:$L,11,FALSE),八肖参数!$A:$B,2,FALSE),"")</f>
        <v/>
      </c>
    </row>
    <row r="299" ht="22" customHeight="1" s="21">
      <c r="A299" s="47" t="n"/>
      <c r="B299" s="47" t="n"/>
      <c r="C299" s="47" t="n"/>
      <c r="D299" s="50" t="n"/>
      <c r="E299" s="47" t="n"/>
      <c r="F299" s="51" t="n"/>
      <c r="G299" s="47" t="n"/>
      <c r="H299" s="47">
        <f>IFERROR(TEXT(VLOOKUP(2026000+ROW()-1,开奖记录!$A:$L,3,FALSE),"00")&amp;"+5="&amp;VLOOKUP(MOD(VLOOKUP(2026000+ROW()-1,开奖记录!$A:$L,3,FALSE)+4,49)+1,规律参数!$A:$C,3,FALSE),"")</f>
        <v/>
      </c>
      <c r="I299" s="47" t="n"/>
      <c r="J299" s="47">
        <f>IFERROR(VLOOKUP(VLOOKUP(2026000+ROW()-1,开奖记录!$A:$L,11,FALSE),八肖参数!$A:$B,2,FALSE),"")</f>
        <v/>
      </c>
    </row>
    <row r="300" ht="22" customHeight="1" s="21">
      <c r="A300" s="47" t="n"/>
      <c r="B300" s="47" t="n"/>
      <c r="C300" s="47" t="n"/>
      <c r="D300" s="51" t="n"/>
      <c r="E300" s="47" t="n"/>
      <c r="F300" s="48" t="n"/>
      <c r="G300" s="47" t="n"/>
      <c r="H300" s="47">
        <f>IFERROR(TEXT(VLOOKUP(2026000+ROW()-1,开奖记录!$A:$L,3,FALSE),"00")&amp;"+5="&amp;VLOOKUP(MOD(VLOOKUP(2026000+ROW()-1,开奖记录!$A:$L,3,FALSE)+4,49)+1,规律参数!$A:$C,3,FALSE),"")</f>
        <v/>
      </c>
      <c r="I300" s="47" t="n"/>
      <c r="J300" s="47">
        <f>IFERROR(VLOOKUP(VLOOKUP(2026000+ROW()-1,开奖记录!$A:$L,11,FALSE),八肖参数!$A:$B,2,FALSE),"")</f>
        <v/>
      </c>
    </row>
    <row r="301" ht="22" customHeight="1" s="21">
      <c r="A301" s="47" t="n"/>
      <c r="B301" s="47" t="n"/>
      <c r="C301" s="47" t="n"/>
      <c r="D301" s="48" t="n"/>
      <c r="E301" s="47" t="n"/>
      <c r="F301" s="49" t="n"/>
      <c r="G301" s="47" t="n"/>
      <c r="H301" s="47">
        <f>IFERROR(TEXT(VLOOKUP(2026000+ROW()-1,开奖记录!$A:$L,3,FALSE),"00")&amp;"+5="&amp;VLOOKUP(MOD(VLOOKUP(2026000+ROW()-1,开奖记录!$A:$L,3,FALSE)+4,49)+1,规律参数!$A:$C,3,FALSE),"")</f>
        <v/>
      </c>
      <c r="I301" s="47" t="n"/>
      <c r="J301" s="47">
        <f>IFERROR(VLOOKUP(VLOOKUP(2026000+ROW()-1,开奖记录!$A:$L,11,FALSE),八肖参数!$A:$B,2,FALSE),"")</f>
        <v/>
      </c>
    </row>
    <row r="302" ht="22" customHeight="1" s="21">
      <c r="A302" s="47" t="n"/>
      <c r="B302" s="47" t="n"/>
      <c r="C302" s="47" t="n"/>
      <c r="D302" s="50" t="n"/>
      <c r="E302" s="47" t="n"/>
      <c r="F302" s="51" t="n"/>
      <c r="G302" s="47" t="n"/>
      <c r="H302" s="47">
        <f>IFERROR(TEXT(VLOOKUP(2026000+ROW()-1,开奖记录!$A:$L,3,FALSE),"00")&amp;"+5="&amp;VLOOKUP(MOD(VLOOKUP(2026000+ROW()-1,开奖记录!$A:$L,3,FALSE)+4,49)+1,规律参数!$A:$C,3,FALSE),"")</f>
        <v/>
      </c>
      <c r="I302" s="47" t="n"/>
      <c r="J302" s="47">
        <f>IFERROR(VLOOKUP(VLOOKUP(2026000+ROW()-1,开奖记录!$A:$L,11,FALSE),八肖参数!$A:$B,2,FALSE),"")</f>
        <v/>
      </c>
    </row>
    <row r="303" ht="22" customHeight="1" s="21">
      <c r="A303" s="47" t="n"/>
      <c r="B303" s="47" t="n"/>
      <c r="C303" s="47" t="n"/>
      <c r="D303" s="51" t="n"/>
      <c r="E303" s="47" t="n"/>
      <c r="F303" s="48" t="n"/>
      <c r="G303" s="47" t="n"/>
      <c r="H303" s="47">
        <f>IFERROR(TEXT(VLOOKUP(2026000+ROW()-1,开奖记录!$A:$L,3,FALSE),"00")&amp;"+5="&amp;VLOOKUP(MOD(VLOOKUP(2026000+ROW()-1,开奖记录!$A:$L,3,FALSE)+4,49)+1,规律参数!$A:$C,3,FALSE),"")</f>
        <v/>
      </c>
      <c r="I303" s="47" t="n"/>
      <c r="J303" s="47">
        <f>IFERROR(VLOOKUP(VLOOKUP(2026000+ROW()-1,开奖记录!$A:$L,11,FALSE),八肖参数!$A:$B,2,FALSE),"")</f>
        <v/>
      </c>
    </row>
    <row r="304" ht="22" customHeight="1" s="21">
      <c r="A304" s="47" t="n"/>
      <c r="B304" s="47" t="n"/>
      <c r="C304" s="47" t="n"/>
      <c r="D304" s="48" t="n"/>
      <c r="E304" s="47" t="n"/>
      <c r="F304" s="49" t="n"/>
      <c r="G304" s="47" t="n"/>
      <c r="H304" s="47">
        <f>IFERROR(TEXT(VLOOKUP(2026000+ROW()-1,开奖记录!$A:$L,3,FALSE),"00")&amp;"+5="&amp;VLOOKUP(MOD(VLOOKUP(2026000+ROW()-1,开奖记录!$A:$L,3,FALSE)+4,49)+1,规律参数!$A:$C,3,FALSE),"")</f>
        <v/>
      </c>
      <c r="I304" s="47" t="n"/>
      <c r="J304" s="47">
        <f>IFERROR(VLOOKUP(VLOOKUP(2026000+ROW()-1,开奖记录!$A:$L,11,FALSE),八肖参数!$A:$B,2,FALSE),"")</f>
        <v/>
      </c>
    </row>
    <row r="305" ht="22" customHeight="1" s="21">
      <c r="A305" s="47" t="n"/>
      <c r="B305" s="47" t="n"/>
      <c r="C305" s="47" t="n"/>
      <c r="D305" s="50" t="n"/>
      <c r="E305" s="47" t="n"/>
      <c r="F305" s="51" t="n"/>
      <c r="G305" s="47" t="n"/>
      <c r="H305" s="47">
        <f>IFERROR(TEXT(VLOOKUP(2026000+ROW()-1,开奖记录!$A:$L,3,FALSE),"00")&amp;"+5="&amp;VLOOKUP(MOD(VLOOKUP(2026000+ROW()-1,开奖记录!$A:$L,3,FALSE)+4,49)+1,规律参数!$A:$C,3,FALSE),"")</f>
        <v/>
      </c>
      <c r="I305" s="47" t="n"/>
      <c r="J305" s="47">
        <f>IFERROR(VLOOKUP(VLOOKUP(2026000+ROW()-1,开奖记录!$A:$L,11,FALSE),八肖参数!$A:$B,2,FALSE),"")</f>
        <v/>
      </c>
    </row>
    <row r="306" ht="22" customHeight="1" s="21">
      <c r="A306" s="47" t="n"/>
      <c r="B306" s="47" t="n"/>
      <c r="C306" s="47" t="n"/>
      <c r="D306" s="51" t="n"/>
      <c r="E306" s="47" t="n"/>
      <c r="F306" s="48" t="n"/>
      <c r="G306" s="47" t="n"/>
      <c r="H306" s="47">
        <f>IFERROR(TEXT(VLOOKUP(2026000+ROW()-1,开奖记录!$A:$L,3,FALSE),"00")&amp;"+5="&amp;VLOOKUP(MOD(VLOOKUP(2026000+ROW()-1,开奖记录!$A:$L,3,FALSE)+4,49)+1,规律参数!$A:$C,3,FALSE),"")</f>
        <v/>
      </c>
      <c r="I306" s="47" t="n"/>
      <c r="J306" s="47">
        <f>IFERROR(VLOOKUP(VLOOKUP(2026000+ROW()-1,开奖记录!$A:$L,11,FALSE),八肖参数!$A:$B,2,FALSE),"")</f>
        <v/>
      </c>
    </row>
    <row r="307" ht="22" customHeight="1" s="21">
      <c r="A307" s="47" t="n"/>
      <c r="B307" s="47" t="n"/>
      <c r="C307" s="47" t="n"/>
      <c r="D307" s="48" t="n"/>
      <c r="E307" s="47" t="n"/>
      <c r="F307" s="49" t="n"/>
      <c r="G307" s="47" t="n"/>
      <c r="H307" s="47">
        <f>IFERROR(TEXT(VLOOKUP(2026000+ROW()-1,开奖记录!$A:$L,3,FALSE),"00")&amp;"+5="&amp;VLOOKUP(MOD(VLOOKUP(2026000+ROW()-1,开奖记录!$A:$L,3,FALSE)+4,49)+1,规律参数!$A:$C,3,FALSE),"")</f>
        <v/>
      </c>
      <c r="I307" s="47" t="n"/>
      <c r="J307" s="47">
        <f>IFERROR(VLOOKUP(VLOOKUP(2026000+ROW()-1,开奖记录!$A:$L,11,FALSE),八肖参数!$A:$B,2,FALSE),"")</f>
        <v/>
      </c>
    </row>
    <row r="308" ht="22" customHeight="1" s="21">
      <c r="A308" s="47" t="n"/>
      <c r="B308" s="47" t="n"/>
      <c r="C308" s="47" t="n"/>
      <c r="D308" s="50" t="n"/>
      <c r="E308" s="47" t="n"/>
      <c r="F308" s="51" t="n"/>
      <c r="G308" s="47" t="n"/>
      <c r="H308" s="47">
        <f>IFERROR(TEXT(VLOOKUP(2026000+ROW()-1,开奖记录!$A:$L,3,FALSE),"00")&amp;"+5="&amp;VLOOKUP(MOD(VLOOKUP(2026000+ROW()-1,开奖记录!$A:$L,3,FALSE)+4,49)+1,规律参数!$A:$C,3,FALSE),"")</f>
        <v/>
      </c>
      <c r="I308" s="47" t="n"/>
      <c r="J308" s="47">
        <f>IFERROR(VLOOKUP(VLOOKUP(2026000+ROW()-1,开奖记录!$A:$L,11,FALSE),八肖参数!$A:$B,2,FALSE),"")</f>
        <v/>
      </c>
    </row>
    <row r="309" ht="22" customHeight="1" s="21">
      <c r="A309" s="47" t="n"/>
      <c r="B309" s="47" t="n"/>
      <c r="C309" s="47" t="n"/>
      <c r="D309" s="51" t="n"/>
      <c r="E309" s="47" t="n"/>
      <c r="F309" s="48" t="n"/>
      <c r="G309" s="47" t="n"/>
      <c r="H309" s="47">
        <f>IFERROR(TEXT(VLOOKUP(2026000+ROW()-1,开奖记录!$A:$L,3,FALSE),"00")&amp;"+5="&amp;VLOOKUP(MOD(VLOOKUP(2026000+ROW()-1,开奖记录!$A:$L,3,FALSE)+4,49)+1,规律参数!$A:$C,3,FALSE),"")</f>
        <v/>
      </c>
      <c r="I309" s="47" t="n"/>
      <c r="J309" s="47">
        <f>IFERROR(VLOOKUP(VLOOKUP(2026000+ROW()-1,开奖记录!$A:$L,11,FALSE),八肖参数!$A:$B,2,FALSE),"")</f>
        <v/>
      </c>
    </row>
    <row r="310" ht="22" customHeight="1" s="21">
      <c r="A310" s="47" t="n"/>
      <c r="B310" s="47" t="n"/>
      <c r="C310" s="47" t="n"/>
      <c r="D310" s="48" t="n"/>
      <c r="E310" s="47" t="n"/>
      <c r="F310" s="49" t="n"/>
      <c r="G310" s="47" t="n"/>
      <c r="H310" s="47">
        <f>IFERROR(TEXT(VLOOKUP(2026000+ROW()-1,开奖记录!$A:$L,3,FALSE),"00")&amp;"+5="&amp;VLOOKUP(MOD(VLOOKUP(2026000+ROW()-1,开奖记录!$A:$L,3,FALSE)+4,49)+1,规律参数!$A:$C,3,FALSE),"")</f>
        <v/>
      </c>
      <c r="I310" s="47" t="n"/>
      <c r="J310" s="47">
        <f>IFERROR(VLOOKUP(VLOOKUP(2026000+ROW()-1,开奖记录!$A:$L,11,FALSE),八肖参数!$A:$B,2,FALSE),"")</f>
        <v/>
      </c>
    </row>
    <row r="311" ht="22" customHeight="1" s="21">
      <c r="A311" s="47" t="n"/>
      <c r="B311" s="47" t="n"/>
      <c r="C311" s="47" t="n"/>
      <c r="D311" s="50" t="n"/>
      <c r="E311" s="47" t="n"/>
      <c r="F311" s="51" t="n"/>
      <c r="G311" s="47" t="n"/>
      <c r="H311" s="47">
        <f>IFERROR(TEXT(VLOOKUP(2026000+ROW()-1,开奖记录!$A:$L,3,FALSE),"00")&amp;"+5="&amp;VLOOKUP(MOD(VLOOKUP(2026000+ROW()-1,开奖记录!$A:$L,3,FALSE)+4,49)+1,规律参数!$A:$C,3,FALSE),"")</f>
        <v/>
      </c>
      <c r="I311" s="47" t="n"/>
      <c r="J311" s="47">
        <f>IFERROR(VLOOKUP(VLOOKUP(2026000+ROW()-1,开奖记录!$A:$L,11,FALSE),八肖参数!$A:$B,2,FALSE),"")</f>
        <v/>
      </c>
    </row>
    <row r="312" ht="22" customHeight="1" s="21">
      <c r="A312" s="47" t="n"/>
      <c r="B312" s="47" t="n"/>
      <c r="C312" s="47" t="n"/>
      <c r="D312" s="51" t="n"/>
      <c r="E312" s="47" t="n"/>
      <c r="F312" s="48" t="n"/>
      <c r="G312" s="47" t="n"/>
      <c r="H312" s="47">
        <f>IFERROR(TEXT(VLOOKUP(2026000+ROW()-1,开奖记录!$A:$L,3,FALSE),"00")&amp;"+5="&amp;VLOOKUP(MOD(VLOOKUP(2026000+ROW()-1,开奖记录!$A:$L,3,FALSE)+4,49)+1,规律参数!$A:$C,3,FALSE),"")</f>
        <v/>
      </c>
      <c r="I312" s="47" t="n"/>
      <c r="J312" s="47">
        <f>IFERROR(VLOOKUP(VLOOKUP(2026000+ROW()-1,开奖记录!$A:$L,11,FALSE),八肖参数!$A:$B,2,FALSE),"")</f>
        <v/>
      </c>
    </row>
    <row r="313" ht="22" customHeight="1" s="21">
      <c r="A313" s="47" t="n"/>
      <c r="B313" s="47" t="n"/>
      <c r="C313" s="47" t="n"/>
      <c r="D313" s="48" t="n"/>
      <c r="E313" s="47" t="n"/>
      <c r="F313" s="49" t="n"/>
      <c r="G313" s="47" t="n"/>
      <c r="H313" s="47">
        <f>IFERROR(TEXT(VLOOKUP(2026000+ROW()-1,开奖记录!$A:$L,3,FALSE),"00")&amp;"+5="&amp;VLOOKUP(MOD(VLOOKUP(2026000+ROW()-1,开奖记录!$A:$L,3,FALSE)+4,49)+1,规律参数!$A:$C,3,FALSE),"")</f>
        <v/>
      </c>
      <c r="I313" s="47" t="n"/>
      <c r="J313" s="47">
        <f>IFERROR(VLOOKUP(VLOOKUP(2026000+ROW()-1,开奖记录!$A:$L,11,FALSE),八肖参数!$A:$B,2,FALSE),"")</f>
        <v/>
      </c>
    </row>
    <row r="314" ht="22" customHeight="1" s="21">
      <c r="A314" s="47" t="n"/>
      <c r="B314" s="47" t="n"/>
      <c r="C314" s="47" t="n"/>
      <c r="D314" s="50" t="n"/>
      <c r="E314" s="47" t="n"/>
      <c r="F314" s="51" t="n"/>
      <c r="G314" s="47" t="n"/>
      <c r="H314" s="47">
        <f>IFERROR(TEXT(VLOOKUP(2026000+ROW()-1,开奖记录!$A:$L,3,FALSE),"00")&amp;"+5="&amp;VLOOKUP(MOD(VLOOKUP(2026000+ROW()-1,开奖记录!$A:$L,3,FALSE)+4,49)+1,规律参数!$A:$C,3,FALSE),"")</f>
        <v/>
      </c>
      <c r="I314" s="47" t="n"/>
      <c r="J314" s="47">
        <f>IFERROR(VLOOKUP(VLOOKUP(2026000+ROW()-1,开奖记录!$A:$L,11,FALSE),八肖参数!$A:$B,2,FALSE),"")</f>
        <v/>
      </c>
    </row>
    <row r="315" ht="22" customHeight="1" s="21">
      <c r="A315" s="47" t="n"/>
      <c r="B315" s="47" t="n"/>
      <c r="C315" s="47" t="n"/>
      <c r="D315" s="51" t="n"/>
      <c r="E315" s="47" t="n"/>
      <c r="F315" s="48" t="n"/>
      <c r="G315" s="47" t="n"/>
      <c r="H315" s="47">
        <f>IFERROR(TEXT(VLOOKUP(2026000+ROW()-1,开奖记录!$A:$L,3,FALSE),"00")&amp;"+5="&amp;VLOOKUP(MOD(VLOOKUP(2026000+ROW()-1,开奖记录!$A:$L,3,FALSE)+4,49)+1,规律参数!$A:$C,3,FALSE),"")</f>
        <v/>
      </c>
      <c r="I315" s="47" t="n"/>
      <c r="J315" s="47">
        <f>IFERROR(VLOOKUP(VLOOKUP(2026000+ROW()-1,开奖记录!$A:$L,11,FALSE),八肖参数!$A:$B,2,FALSE),"")</f>
        <v/>
      </c>
    </row>
    <row r="316" ht="22" customHeight="1" s="21">
      <c r="A316" s="47" t="n"/>
      <c r="B316" s="47" t="n"/>
      <c r="C316" s="47" t="n"/>
      <c r="D316" s="48" t="n"/>
      <c r="E316" s="47" t="n"/>
      <c r="F316" s="49" t="n"/>
      <c r="G316" s="47" t="n"/>
      <c r="H316" s="47">
        <f>IFERROR(TEXT(VLOOKUP(2026000+ROW()-1,开奖记录!$A:$L,3,FALSE),"00")&amp;"+5="&amp;VLOOKUP(MOD(VLOOKUP(2026000+ROW()-1,开奖记录!$A:$L,3,FALSE)+4,49)+1,规律参数!$A:$C,3,FALSE),"")</f>
        <v/>
      </c>
      <c r="I316" s="47" t="n"/>
      <c r="J316" s="47">
        <f>IFERROR(VLOOKUP(VLOOKUP(2026000+ROW()-1,开奖记录!$A:$L,11,FALSE),八肖参数!$A:$B,2,FALSE),"")</f>
        <v/>
      </c>
    </row>
    <row r="317" ht="22" customHeight="1" s="21">
      <c r="A317" s="47" t="n"/>
      <c r="B317" s="47" t="n"/>
      <c r="C317" s="47" t="n"/>
      <c r="D317" s="50" t="n"/>
      <c r="E317" s="47" t="n"/>
      <c r="F317" s="51" t="n"/>
      <c r="G317" s="47" t="n"/>
      <c r="H317" s="47">
        <f>IFERROR(TEXT(VLOOKUP(2026000+ROW()-1,开奖记录!$A:$L,3,FALSE),"00")&amp;"+5="&amp;VLOOKUP(MOD(VLOOKUP(2026000+ROW()-1,开奖记录!$A:$L,3,FALSE)+4,49)+1,规律参数!$A:$C,3,FALSE),"")</f>
        <v/>
      </c>
      <c r="I317" s="47" t="n"/>
      <c r="J317" s="47">
        <f>IFERROR(VLOOKUP(VLOOKUP(2026000+ROW()-1,开奖记录!$A:$L,11,FALSE),八肖参数!$A:$B,2,FALSE),"")</f>
        <v/>
      </c>
    </row>
    <row r="318" ht="22" customHeight="1" s="21">
      <c r="A318" s="47" t="n"/>
      <c r="B318" s="47" t="n"/>
      <c r="C318" s="47" t="n"/>
      <c r="D318" s="51" t="n"/>
      <c r="E318" s="47" t="n"/>
      <c r="F318" s="48" t="n"/>
      <c r="G318" s="47" t="n"/>
      <c r="H318" s="47">
        <f>IFERROR(TEXT(VLOOKUP(2026000+ROW()-1,开奖记录!$A:$L,3,FALSE),"00")&amp;"+5="&amp;VLOOKUP(MOD(VLOOKUP(2026000+ROW()-1,开奖记录!$A:$L,3,FALSE)+4,49)+1,规律参数!$A:$C,3,FALSE),"")</f>
        <v/>
      </c>
      <c r="I318" s="47" t="n"/>
      <c r="J318" s="47">
        <f>IFERROR(VLOOKUP(VLOOKUP(2026000+ROW()-1,开奖记录!$A:$L,11,FALSE),八肖参数!$A:$B,2,FALSE),"")</f>
        <v/>
      </c>
    </row>
    <row r="319" ht="22" customHeight="1" s="21">
      <c r="A319" s="47" t="n"/>
      <c r="B319" s="47" t="n"/>
      <c r="C319" s="47" t="n"/>
      <c r="D319" s="48" t="n"/>
      <c r="E319" s="47" t="n"/>
      <c r="F319" s="49" t="n"/>
      <c r="G319" s="47" t="n"/>
      <c r="H319" s="47">
        <f>IFERROR(TEXT(VLOOKUP(2026000+ROW()-1,开奖记录!$A:$L,3,FALSE),"00")&amp;"+5="&amp;VLOOKUP(MOD(VLOOKUP(2026000+ROW()-1,开奖记录!$A:$L,3,FALSE)+4,49)+1,规律参数!$A:$C,3,FALSE),"")</f>
        <v/>
      </c>
      <c r="I319" s="47" t="n"/>
      <c r="J319" s="47">
        <f>IFERROR(VLOOKUP(VLOOKUP(2026000+ROW()-1,开奖记录!$A:$L,11,FALSE),八肖参数!$A:$B,2,FALSE),"")</f>
        <v/>
      </c>
    </row>
    <row r="320" ht="22" customHeight="1" s="21">
      <c r="A320" s="47" t="n"/>
      <c r="B320" s="47" t="n"/>
      <c r="C320" s="47" t="n"/>
      <c r="D320" s="50" t="n"/>
      <c r="E320" s="47" t="n"/>
      <c r="F320" s="51" t="n"/>
      <c r="G320" s="47" t="n"/>
      <c r="H320" s="47">
        <f>IFERROR(TEXT(VLOOKUP(2026000+ROW()-1,开奖记录!$A:$L,3,FALSE),"00")&amp;"+5="&amp;VLOOKUP(MOD(VLOOKUP(2026000+ROW()-1,开奖记录!$A:$L,3,FALSE)+4,49)+1,规律参数!$A:$C,3,FALSE),"")</f>
        <v/>
      </c>
      <c r="I320" s="47" t="n"/>
      <c r="J320" s="47">
        <f>IFERROR(VLOOKUP(VLOOKUP(2026000+ROW()-1,开奖记录!$A:$L,11,FALSE),八肖参数!$A:$B,2,FALSE),"")</f>
        <v/>
      </c>
    </row>
    <row r="321" ht="22" customHeight="1" s="21">
      <c r="A321" s="47" t="n"/>
      <c r="B321" s="47" t="n"/>
      <c r="C321" s="47" t="n"/>
      <c r="D321" s="51" t="n"/>
      <c r="E321" s="47" t="n"/>
      <c r="F321" s="48" t="n"/>
      <c r="G321" s="47" t="n"/>
      <c r="H321" s="47">
        <f>IFERROR(TEXT(VLOOKUP(2026000+ROW()-1,开奖记录!$A:$L,3,FALSE),"00")&amp;"+5="&amp;VLOOKUP(MOD(VLOOKUP(2026000+ROW()-1,开奖记录!$A:$L,3,FALSE)+4,49)+1,规律参数!$A:$C,3,FALSE),"")</f>
        <v/>
      </c>
      <c r="I321" s="47" t="n"/>
      <c r="J321" s="47">
        <f>IFERROR(VLOOKUP(VLOOKUP(2026000+ROW()-1,开奖记录!$A:$L,11,FALSE),八肖参数!$A:$B,2,FALSE),"")</f>
        <v/>
      </c>
    </row>
    <row r="322" ht="22" customHeight="1" s="21">
      <c r="A322" s="47" t="n"/>
      <c r="B322" s="47" t="n"/>
      <c r="C322" s="47" t="n"/>
      <c r="D322" s="48" t="n"/>
      <c r="E322" s="47" t="n"/>
      <c r="F322" s="49" t="n"/>
      <c r="G322" s="47" t="n"/>
      <c r="H322" s="47">
        <f>IFERROR(TEXT(VLOOKUP(2026000+ROW()-1,开奖记录!$A:$L,3,FALSE),"00")&amp;"+5="&amp;VLOOKUP(MOD(VLOOKUP(2026000+ROW()-1,开奖记录!$A:$L,3,FALSE)+4,49)+1,规律参数!$A:$C,3,FALSE),"")</f>
        <v/>
      </c>
      <c r="I322" s="47" t="n"/>
      <c r="J322" s="47">
        <f>IFERROR(VLOOKUP(VLOOKUP(2026000+ROW()-1,开奖记录!$A:$L,11,FALSE),八肖参数!$A:$B,2,FALSE),"")</f>
        <v/>
      </c>
    </row>
    <row r="323" ht="22" customHeight="1" s="21">
      <c r="A323" s="47" t="n"/>
      <c r="B323" s="47" t="n"/>
      <c r="C323" s="47" t="n"/>
      <c r="D323" s="50" t="n"/>
      <c r="E323" s="47" t="n"/>
      <c r="F323" s="51" t="n"/>
      <c r="G323" s="47" t="n"/>
      <c r="H323" s="47">
        <f>IFERROR(TEXT(VLOOKUP(2026000+ROW()-1,开奖记录!$A:$L,3,FALSE),"00")&amp;"+5="&amp;VLOOKUP(MOD(VLOOKUP(2026000+ROW()-1,开奖记录!$A:$L,3,FALSE)+4,49)+1,规律参数!$A:$C,3,FALSE),"")</f>
        <v/>
      </c>
      <c r="I323" s="47" t="n"/>
      <c r="J323" s="47">
        <f>IFERROR(VLOOKUP(VLOOKUP(2026000+ROW()-1,开奖记录!$A:$L,11,FALSE),八肖参数!$A:$B,2,FALSE),"")</f>
        <v/>
      </c>
    </row>
    <row r="324" ht="22" customHeight="1" s="21">
      <c r="A324" s="47" t="n"/>
      <c r="B324" s="47" t="n"/>
      <c r="C324" s="47" t="n"/>
      <c r="D324" s="51" t="n"/>
      <c r="E324" s="47" t="n"/>
      <c r="F324" s="48" t="n"/>
      <c r="G324" s="47" t="n"/>
      <c r="H324" s="47">
        <f>IFERROR(TEXT(VLOOKUP(2026000+ROW()-1,开奖记录!$A:$L,3,FALSE),"00")&amp;"+5="&amp;VLOOKUP(MOD(VLOOKUP(2026000+ROW()-1,开奖记录!$A:$L,3,FALSE)+4,49)+1,规律参数!$A:$C,3,FALSE),"")</f>
        <v/>
      </c>
      <c r="I324" s="47" t="n"/>
      <c r="J324" s="47">
        <f>IFERROR(VLOOKUP(VLOOKUP(2026000+ROW()-1,开奖记录!$A:$L,11,FALSE),八肖参数!$A:$B,2,FALSE),"")</f>
        <v/>
      </c>
    </row>
    <row r="325" ht="22" customHeight="1" s="21">
      <c r="A325" s="47" t="n"/>
      <c r="B325" s="47" t="n"/>
      <c r="C325" s="47" t="n"/>
      <c r="D325" s="48" t="n"/>
      <c r="E325" s="47" t="n"/>
      <c r="F325" s="49" t="n"/>
      <c r="G325" s="47" t="n"/>
      <c r="H325" s="47">
        <f>IFERROR(TEXT(VLOOKUP(2026000+ROW()-1,开奖记录!$A:$L,3,FALSE),"00")&amp;"+5="&amp;VLOOKUP(MOD(VLOOKUP(2026000+ROW()-1,开奖记录!$A:$L,3,FALSE)+4,49)+1,规律参数!$A:$C,3,FALSE),"")</f>
        <v/>
      </c>
      <c r="I325" s="47" t="n"/>
      <c r="J325" s="47">
        <f>IFERROR(VLOOKUP(VLOOKUP(2026000+ROW()-1,开奖记录!$A:$L,11,FALSE),八肖参数!$A:$B,2,FALSE),"")</f>
        <v/>
      </c>
    </row>
    <row r="326" ht="22" customHeight="1" s="21">
      <c r="A326" s="47" t="n"/>
      <c r="B326" s="47" t="n"/>
      <c r="C326" s="47" t="n"/>
      <c r="D326" s="50" t="n"/>
      <c r="E326" s="47" t="n"/>
      <c r="F326" s="51" t="n"/>
      <c r="G326" s="47" t="n"/>
      <c r="H326" s="47">
        <f>IFERROR(TEXT(VLOOKUP(2026000+ROW()-1,开奖记录!$A:$L,3,FALSE),"00")&amp;"+5="&amp;VLOOKUP(MOD(VLOOKUP(2026000+ROW()-1,开奖记录!$A:$L,3,FALSE)+4,49)+1,规律参数!$A:$C,3,FALSE),"")</f>
        <v/>
      </c>
      <c r="I326" s="47" t="n"/>
      <c r="J326" s="47">
        <f>IFERROR(VLOOKUP(VLOOKUP(2026000+ROW()-1,开奖记录!$A:$L,11,FALSE),八肖参数!$A:$B,2,FALSE),"")</f>
        <v/>
      </c>
    </row>
    <row r="327" ht="22" customHeight="1" s="21">
      <c r="A327" s="47" t="n"/>
      <c r="B327" s="47" t="n"/>
      <c r="C327" s="47" t="n"/>
      <c r="D327" s="51" t="n"/>
      <c r="E327" s="47" t="n"/>
      <c r="F327" s="48" t="n"/>
      <c r="G327" s="47" t="n"/>
      <c r="H327" s="47">
        <f>IFERROR(TEXT(VLOOKUP(2026000+ROW()-1,开奖记录!$A:$L,3,FALSE),"00")&amp;"+5="&amp;VLOOKUP(MOD(VLOOKUP(2026000+ROW()-1,开奖记录!$A:$L,3,FALSE)+4,49)+1,规律参数!$A:$C,3,FALSE),"")</f>
        <v/>
      </c>
      <c r="I327" s="47" t="n"/>
      <c r="J327" s="47">
        <f>IFERROR(VLOOKUP(VLOOKUP(2026000+ROW()-1,开奖记录!$A:$L,11,FALSE),八肖参数!$A:$B,2,FALSE),"")</f>
        <v/>
      </c>
    </row>
    <row r="328" ht="22" customHeight="1" s="21">
      <c r="A328" s="47" t="n"/>
      <c r="B328" s="47" t="n"/>
      <c r="C328" s="47" t="n"/>
      <c r="D328" s="48" t="n"/>
      <c r="E328" s="47" t="n"/>
      <c r="F328" s="49" t="n"/>
      <c r="G328" s="47" t="n"/>
      <c r="H328" s="47">
        <f>IFERROR(TEXT(VLOOKUP(2026000+ROW()-1,开奖记录!$A:$L,3,FALSE),"00")&amp;"+5="&amp;VLOOKUP(MOD(VLOOKUP(2026000+ROW()-1,开奖记录!$A:$L,3,FALSE)+4,49)+1,规律参数!$A:$C,3,FALSE),"")</f>
        <v/>
      </c>
      <c r="I328" s="47" t="n"/>
      <c r="J328" s="47">
        <f>IFERROR(VLOOKUP(VLOOKUP(2026000+ROW()-1,开奖记录!$A:$L,11,FALSE),八肖参数!$A:$B,2,FALSE),"")</f>
        <v/>
      </c>
    </row>
    <row r="329" ht="22" customHeight="1" s="21">
      <c r="A329" s="47" t="n"/>
      <c r="B329" s="47" t="n"/>
      <c r="C329" s="47" t="n"/>
      <c r="D329" s="50" t="n"/>
      <c r="E329" s="47" t="n"/>
      <c r="F329" s="51" t="n"/>
      <c r="G329" s="47" t="n"/>
      <c r="H329" s="47">
        <f>IFERROR(TEXT(VLOOKUP(2026000+ROW()-1,开奖记录!$A:$L,3,FALSE),"00")&amp;"+5="&amp;VLOOKUP(MOD(VLOOKUP(2026000+ROW()-1,开奖记录!$A:$L,3,FALSE)+4,49)+1,规律参数!$A:$C,3,FALSE),"")</f>
        <v/>
      </c>
      <c r="I329" s="47" t="n"/>
      <c r="J329" s="47">
        <f>IFERROR(VLOOKUP(VLOOKUP(2026000+ROW()-1,开奖记录!$A:$L,11,FALSE),八肖参数!$A:$B,2,FALSE),"")</f>
        <v/>
      </c>
    </row>
    <row r="330" ht="22" customHeight="1" s="21">
      <c r="A330" s="47" t="n"/>
      <c r="B330" s="47" t="n"/>
      <c r="C330" s="47" t="n"/>
      <c r="D330" s="51" t="n"/>
      <c r="E330" s="47" t="n"/>
      <c r="F330" s="48" t="n"/>
      <c r="G330" s="47" t="n"/>
      <c r="H330" s="47">
        <f>IFERROR(TEXT(VLOOKUP(2026000+ROW()-1,开奖记录!$A:$L,3,FALSE),"00")&amp;"+5="&amp;VLOOKUP(MOD(VLOOKUP(2026000+ROW()-1,开奖记录!$A:$L,3,FALSE)+4,49)+1,规律参数!$A:$C,3,FALSE),"")</f>
        <v/>
      </c>
      <c r="I330" s="47" t="n"/>
      <c r="J330" s="47">
        <f>IFERROR(VLOOKUP(VLOOKUP(2026000+ROW()-1,开奖记录!$A:$L,11,FALSE),八肖参数!$A:$B,2,FALSE),"")</f>
        <v/>
      </c>
    </row>
    <row r="331" ht="22" customHeight="1" s="21">
      <c r="A331" s="47" t="n"/>
      <c r="B331" s="47" t="n"/>
      <c r="C331" s="47" t="n"/>
      <c r="D331" s="48" t="n"/>
      <c r="E331" s="47" t="n"/>
      <c r="F331" s="49" t="n"/>
      <c r="G331" s="47" t="n"/>
      <c r="H331" s="47">
        <f>IFERROR(TEXT(VLOOKUP(2026000+ROW()-1,开奖记录!$A:$L,3,FALSE),"00")&amp;"+5="&amp;VLOOKUP(MOD(VLOOKUP(2026000+ROW()-1,开奖记录!$A:$L,3,FALSE)+4,49)+1,规律参数!$A:$C,3,FALSE),"")</f>
        <v/>
      </c>
      <c r="I331" s="47" t="n"/>
      <c r="J331" s="47">
        <f>IFERROR(VLOOKUP(VLOOKUP(2026000+ROW()-1,开奖记录!$A:$L,11,FALSE),八肖参数!$A:$B,2,FALSE),"")</f>
        <v/>
      </c>
    </row>
    <row r="332" ht="22" customHeight="1" s="21">
      <c r="A332" s="47" t="n"/>
      <c r="B332" s="47" t="n"/>
      <c r="C332" s="47" t="n"/>
      <c r="D332" s="50" t="n"/>
      <c r="E332" s="47" t="n"/>
      <c r="F332" s="51" t="n"/>
      <c r="G332" s="47" t="n"/>
      <c r="H332" s="47">
        <f>IFERROR(TEXT(VLOOKUP(2026000+ROW()-1,开奖记录!$A:$L,3,FALSE),"00")&amp;"+5="&amp;VLOOKUP(MOD(VLOOKUP(2026000+ROW()-1,开奖记录!$A:$L,3,FALSE)+4,49)+1,规律参数!$A:$C,3,FALSE),"")</f>
        <v/>
      </c>
      <c r="I332" s="47" t="n"/>
      <c r="J332" s="47">
        <f>IFERROR(VLOOKUP(VLOOKUP(2026000+ROW()-1,开奖记录!$A:$L,11,FALSE),八肖参数!$A:$B,2,FALSE),"")</f>
        <v/>
      </c>
    </row>
    <row r="333" ht="22" customHeight="1" s="21">
      <c r="A333" s="47" t="n"/>
      <c r="B333" s="47" t="n"/>
      <c r="C333" s="47" t="n"/>
      <c r="D333" s="51" t="n"/>
      <c r="E333" s="47" t="n"/>
      <c r="F333" s="48" t="n"/>
      <c r="G333" s="47" t="n"/>
      <c r="H333" s="47">
        <f>IFERROR(TEXT(VLOOKUP(2026000+ROW()-1,开奖记录!$A:$L,3,FALSE),"00")&amp;"+5="&amp;VLOOKUP(MOD(VLOOKUP(2026000+ROW()-1,开奖记录!$A:$L,3,FALSE)+4,49)+1,规律参数!$A:$C,3,FALSE),"")</f>
        <v/>
      </c>
      <c r="I333" s="47" t="n"/>
      <c r="J333" s="47">
        <f>IFERROR(VLOOKUP(VLOOKUP(2026000+ROW()-1,开奖记录!$A:$L,11,FALSE),八肖参数!$A:$B,2,FALSE),"")</f>
        <v/>
      </c>
    </row>
    <row r="334" ht="22" customHeight="1" s="21">
      <c r="A334" s="47" t="n"/>
      <c r="B334" s="47" t="n"/>
      <c r="C334" s="47" t="n"/>
      <c r="D334" s="48" t="n"/>
      <c r="E334" s="47" t="n"/>
      <c r="F334" s="49" t="n"/>
      <c r="G334" s="47" t="n"/>
      <c r="H334" s="47">
        <f>IFERROR(TEXT(VLOOKUP(2026000+ROW()-1,开奖记录!$A:$L,3,FALSE),"00")&amp;"+5="&amp;VLOOKUP(MOD(VLOOKUP(2026000+ROW()-1,开奖记录!$A:$L,3,FALSE)+4,49)+1,规律参数!$A:$C,3,FALSE),"")</f>
        <v/>
      </c>
      <c r="I334" s="47" t="n"/>
      <c r="J334" s="47">
        <f>IFERROR(VLOOKUP(VLOOKUP(2026000+ROW()-1,开奖记录!$A:$L,11,FALSE),八肖参数!$A:$B,2,FALSE),"")</f>
        <v/>
      </c>
    </row>
    <row r="335" ht="22" customHeight="1" s="21">
      <c r="A335" s="47" t="n"/>
      <c r="B335" s="47" t="n"/>
      <c r="C335" s="47" t="n"/>
      <c r="D335" s="50" t="n"/>
      <c r="E335" s="47" t="n"/>
      <c r="F335" s="51" t="n"/>
      <c r="G335" s="47" t="n"/>
      <c r="H335" s="47">
        <f>IFERROR(TEXT(VLOOKUP(2026000+ROW()-1,开奖记录!$A:$L,3,FALSE),"00")&amp;"+5="&amp;VLOOKUP(MOD(VLOOKUP(2026000+ROW()-1,开奖记录!$A:$L,3,FALSE)+4,49)+1,规律参数!$A:$C,3,FALSE),"")</f>
        <v/>
      </c>
      <c r="I335" s="47" t="n"/>
      <c r="J335" s="47">
        <f>IFERROR(VLOOKUP(VLOOKUP(2026000+ROW()-1,开奖记录!$A:$L,11,FALSE),八肖参数!$A:$B,2,FALSE),"")</f>
        <v/>
      </c>
    </row>
    <row r="336" ht="22" customHeight="1" s="21">
      <c r="A336" s="47" t="n"/>
      <c r="B336" s="47" t="n"/>
      <c r="C336" s="47" t="n"/>
      <c r="D336" s="51" t="n"/>
      <c r="E336" s="47" t="n"/>
      <c r="F336" s="48" t="n"/>
      <c r="G336" s="47" t="n"/>
      <c r="H336" s="47">
        <f>IFERROR(TEXT(VLOOKUP(2026000+ROW()-1,开奖记录!$A:$L,3,FALSE),"00")&amp;"+5="&amp;VLOOKUP(MOD(VLOOKUP(2026000+ROW()-1,开奖记录!$A:$L,3,FALSE)+4,49)+1,规律参数!$A:$C,3,FALSE),"")</f>
        <v/>
      </c>
      <c r="I336" s="47" t="n"/>
      <c r="J336" s="47">
        <f>IFERROR(VLOOKUP(VLOOKUP(2026000+ROW()-1,开奖记录!$A:$L,11,FALSE),八肖参数!$A:$B,2,FALSE),"")</f>
        <v/>
      </c>
    </row>
    <row r="337" ht="22" customHeight="1" s="21">
      <c r="A337" s="47" t="n"/>
      <c r="B337" s="47" t="n"/>
      <c r="C337" s="47" t="n"/>
      <c r="D337" s="48" t="n"/>
      <c r="E337" s="47" t="n"/>
      <c r="F337" s="49" t="n"/>
      <c r="G337" s="47" t="n"/>
      <c r="H337" s="47">
        <f>IFERROR(TEXT(VLOOKUP(2026000+ROW()-1,开奖记录!$A:$L,3,FALSE),"00")&amp;"+5="&amp;VLOOKUP(MOD(VLOOKUP(2026000+ROW()-1,开奖记录!$A:$L,3,FALSE)+4,49)+1,规律参数!$A:$C,3,FALSE),"")</f>
        <v/>
      </c>
      <c r="I337" s="47" t="n"/>
      <c r="J337" s="47">
        <f>IFERROR(VLOOKUP(VLOOKUP(2026000+ROW()-1,开奖记录!$A:$L,11,FALSE),八肖参数!$A:$B,2,FALSE),"")</f>
        <v/>
      </c>
    </row>
    <row r="338" ht="22" customHeight="1" s="21">
      <c r="A338" s="47" t="n"/>
      <c r="B338" s="47" t="n"/>
      <c r="C338" s="47" t="n"/>
      <c r="D338" s="50" t="n"/>
      <c r="E338" s="47" t="n"/>
      <c r="F338" s="51" t="n"/>
      <c r="G338" s="47" t="n"/>
      <c r="H338" s="47">
        <f>IFERROR(TEXT(VLOOKUP(2026000+ROW()-1,开奖记录!$A:$L,3,FALSE),"00")&amp;"+5="&amp;VLOOKUP(MOD(VLOOKUP(2026000+ROW()-1,开奖记录!$A:$L,3,FALSE)+4,49)+1,规律参数!$A:$C,3,FALSE),"")</f>
        <v/>
      </c>
      <c r="I338" s="47" t="n"/>
      <c r="J338" s="47">
        <f>IFERROR(VLOOKUP(VLOOKUP(2026000+ROW()-1,开奖记录!$A:$L,11,FALSE),八肖参数!$A:$B,2,FALSE),"")</f>
        <v/>
      </c>
    </row>
    <row r="339" ht="22" customHeight="1" s="21">
      <c r="A339" s="47" t="n"/>
      <c r="B339" s="47" t="n"/>
      <c r="C339" s="47" t="n"/>
      <c r="D339" s="51" t="n"/>
      <c r="E339" s="47" t="n"/>
      <c r="F339" s="48" t="n"/>
      <c r="G339" s="47" t="n"/>
      <c r="H339" s="47">
        <f>IFERROR(TEXT(VLOOKUP(2026000+ROW()-1,开奖记录!$A:$L,3,FALSE),"00")&amp;"+5="&amp;VLOOKUP(MOD(VLOOKUP(2026000+ROW()-1,开奖记录!$A:$L,3,FALSE)+4,49)+1,规律参数!$A:$C,3,FALSE),"")</f>
        <v/>
      </c>
      <c r="I339" s="47" t="n"/>
      <c r="J339" s="47">
        <f>IFERROR(VLOOKUP(VLOOKUP(2026000+ROW()-1,开奖记录!$A:$L,11,FALSE),八肖参数!$A:$B,2,FALSE),"")</f>
        <v/>
      </c>
    </row>
    <row r="340" ht="22" customHeight="1" s="21">
      <c r="A340" s="47" t="n"/>
      <c r="B340" s="47" t="n"/>
      <c r="C340" s="47" t="n"/>
      <c r="D340" s="48" t="n"/>
      <c r="E340" s="47" t="n"/>
      <c r="F340" s="49" t="n"/>
      <c r="G340" s="47" t="n"/>
      <c r="H340" s="47">
        <f>IFERROR(TEXT(VLOOKUP(2026000+ROW()-1,开奖记录!$A:$L,3,FALSE),"00")&amp;"+5="&amp;VLOOKUP(MOD(VLOOKUP(2026000+ROW()-1,开奖记录!$A:$L,3,FALSE)+4,49)+1,规律参数!$A:$C,3,FALSE),"")</f>
        <v/>
      </c>
      <c r="I340" s="47" t="n"/>
      <c r="J340" s="47">
        <f>IFERROR(VLOOKUP(VLOOKUP(2026000+ROW()-1,开奖记录!$A:$L,11,FALSE),八肖参数!$A:$B,2,FALSE),"")</f>
        <v/>
      </c>
    </row>
    <row r="341" ht="22" customHeight="1" s="21">
      <c r="A341" s="47" t="n"/>
      <c r="B341" s="47" t="n"/>
      <c r="C341" s="47" t="n"/>
      <c r="D341" s="50" t="n"/>
      <c r="E341" s="47" t="n"/>
      <c r="F341" s="51" t="n"/>
      <c r="G341" s="47" t="n"/>
      <c r="H341" s="47">
        <f>IFERROR(TEXT(VLOOKUP(2026000+ROW()-1,开奖记录!$A:$L,3,FALSE),"00")&amp;"+5="&amp;VLOOKUP(MOD(VLOOKUP(2026000+ROW()-1,开奖记录!$A:$L,3,FALSE)+4,49)+1,规律参数!$A:$C,3,FALSE),"")</f>
        <v/>
      </c>
      <c r="I341" s="47" t="n"/>
      <c r="J341" s="47">
        <f>IFERROR(VLOOKUP(VLOOKUP(2026000+ROW()-1,开奖记录!$A:$L,11,FALSE),八肖参数!$A:$B,2,FALSE),"")</f>
        <v/>
      </c>
    </row>
    <row r="342" ht="22" customHeight="1" s="21">
      <c r="A342" s="47" t="n"/>
      <c r="B342" s="47" t="n"/>
      <c r="C342" s="47" t="n"/>
      <c r="D342" s="51" t="n"/>
      <c r="E342" s="47" t="n"/>
      <c r="F342" s="48" t="n"/>
      <c r="G342" s="47" t="n"/>
      <c r="H342" s="47">
        <f>IFERROR(TEXT(VLOOKUP(2026000+ROW()-1,开奖记录!$A:$L,3,FALSE),"00")&amp;"+5="&amp;VLOOKUP(MOD(VLOOKUP(2026000+ROW()-1,开奖记录!$A:$L,3,FALSE)+4,49)+1,规律参数!$A:$C,3,FALSE),"")</f>
        <v/>
      </c>
      <c r="I342" s="47" t="n"/>
      <c r="J342" s="47">
        <f>IFERROR(VLOOKUP(VLOOKUP(2026000+ROW()-1,开奖记录!$A:$L,11,FALSE),八肖参数!$A:$B,2,FALSE),"")</f>
        <v/>
      </c>
    </row>
    <row r="343" ht="22" customHeight="1" s="21">
      <c r="A343" s="47" t="n"/>
      <c r="B343" s="47" t="n"/>
      <c r="C343" s="47" t="n"/>
      <c r="D343" s="48" t="n"/>
      <c r="E343" s="47" t="n"/>
      <c r="F343" s="49" t="n"/>
      <c r="G343" s="47" t="n"/>
      <c r="H343" s="47">
        <f>IFERROR(TEXT(VLOOKUP(2026000+ROW()-1,开奖记录!$A:$L,3,FALSE),"00")&amp;"+5="&amp;VLOOKUP(MOD(VLOOKUP(2026000+ROW()-1,开奖记录!$A:$L,3,FALSE)+4,49)+1,规律参数!$A:$C,3,FALSE),"")</f>
        <v/>
      </c>
      <c r="I343" s="47" t="n"/>
      <c r="J343" s="47">
        <f>IFERROR(VLOOKUP(VLOOKUP(2026000+ROW()-1,开奖记录!$A:$L,11,FALSE),八肖参数!$A:$B,2,FALSE),"")</f>
        <v/>
      </c>
    </row>
    <row r="344" ht="22" customHeight="1" s="21">
      <c r="A344" s="47" t="n"/>
      <c r="B344" s="47" t="n"/>
      <c r="C344" s="47" t="n"/>
      <c r="D344" s="50" t="n"/>
      <c r="E344" s="47" t="n"/>
      <c r="F344" s="51" t="n"/>
      <c r="G344" s="47" t="n"/>
      <c r="H344" s="47">
        <f>IFERROR(TEXT(VLOOKUP(2026000+ROW()-1,开奖记录!$A:$L,3,FALSE),"00")&amp;"+5="&amp;VLOOKUP(MOD(VLOOKUP(2026000+ROW()-1,开奖记录!$A:$L,3,FALSE)+4,49)+1,规律参数!$A:$C,3,FALSE),"")</f>
        <v/>
      </c>
      <c r="I344" s="47" t="n"/>
      <c r="J344" s="47">
        <f>IFERROR(VLOOKUP(VLOOKUP(2026000+ROW()-1,开奖记录!$A:$L,11,FALSE),八肖参数!$A:$B,2,FALSE),"")</f>
        <v/>
      </c>
    </row>
    <row r="345" ht="22" customHeight="1" s="21">
      <c r="A345" s="47" t="n"/>
      <c r="B345" s="47" t="n"/>
      <c r="C345" s="47" t="n"/>
      <c r="D345" s="51" t="n"/>
      <c r="E345" s="47" t="n"/>
      <c r="F345" s="48" t="n"/>
      <c r="G345" s="47" t="n"/>
      <c r="H345" s="47">
        <f>IFERROR(TEXT(VLOOKUP(2026000+ROW()-1,开奖记录!$A:$L,3,FALSE),"00")&amp;"+5="&amp;VLOOKUP(MOD(VLOOKUP(2026000+ROW()-1,开奖记录!$A:$L,3,FALSE)+4,49)+1,规律参数!$A:$C,3,FALSE),"")</f>
        <v/>
      </c>
      <c r="I345" s="47" t="n"/>
      <c r="J345" s="47">
        <f>IFERROR(VLOOKUP(VLOOKUP(2026000+ROW()-1,开奖记录!$A:$L,11,FALSE),八肖参数!$A:$B,2,FALSE),"")</f>
        <v/>
      </c>
    </row>
    <row r="346" ht="22" customHeight="1" s="21">
      <c r="A346" s="47" t="n"/>
      <c r="B346" s="47" t="n"/>
      <c r="C346" s="47" t="n"/>
      <c r="D346" s="48" t="n"/>
      <c r="E346" s="47" t="n"/>
      <c r="F346" s="49" t="n"/>
      <c r="G346" s="47" t="n"/>
      <c r="H346" s="47">
        <f>IFERROR(TEXT(VLOOKUP(2026000+ROW()-1,开奖记录!$A:$L,3,FALSE),"00")&amp;"+5="&amp;VLOOKUP(MOD(VLOOKUP(2026000+ROW()-1,开奖记录!$A:$L,3,FALSE)+4,49)+1,规律参数!$A:$C,3,FALSE),"")</f>
        <v/>
      </c>
      <c r="I346" s="47" t="n"/>
      <c r="J346" s="47">
        <f>IFERROR(VLOOKUP(VLOOKUP(2026000+ROW()-1,开奖记录!$A:$L,11,FALSE),八肖参数!$A:$B,2,FALSE),"")</f>
        <v/>
      </c>
    </row>
    <row r="347" ht="22" customHeight="1" s="21">
      <c r="A347" s="47" t="n"/>
      <c r="B347" s="47" t="n"/>
      <c r="C347" s="47" t="n"/>
      <c r="D347" s="50" t="n"/>
      <c r="E347" s="47" t="n"/>
      <c r="F347" s="51" t="n"/>
      <c r="G347" s="47" t="n"/>
      <c r="H347" s="47">
        <f>IFERROR(TEXT(VLOOKUP(2026000+ROW()-1,开奖记录!$A:$L,3,FALSE),"00")&amp;"+5="&amp;VLOOKUP(MOD(VLOOKUP(2026000+ROW()-1,开奖记录!$A:$L,3,FALSE)+4,49)+1,规律参数!$A:$C,3,FALSE),"")</f>
        <v/>
      </c>
      <c r="I347" s="47" t="n"/>
      <c r="J347" s="47">
        <f>IFERROR(VLOOKUP(VLOOKUP(2026000+ROW()-1,开奖记录!$A:$L,11,FALSE),八肖参数!$A:$B,2,FALSE),"")</f>
        <v/>
      </c>
    </row>
    <row r="348" ht="22" customHeight="1" s="21">
      <c r="A348" s="47" t="n"/>
      <c r="B348" s="47" t="n"/>
      <c r="C348" s="47" t="n"/>
      <c r="D348" s="51" t="n"/>
      <c r="E348" s="47" t="n"/>
      <c r="F348" s="48" t="n"/>
      <c r="G348" s="47" t="n"/>
      <c r="H348" s="47">
        <f>IFERROR(TEXT(VLOOKUP(2026000+ROW()-1,开奖记录!$A:$L,3,FALSE),"00")&amp;"+5="&amp;VLOOKUP(MOD(VLOOKUP(2026000+ROW()-1,开奖记录!$A:$L,3,FALSE)+4,49)+1,规律参数!$A:$C,3,FALSE),"")</f>
        <v/>
      </c>
      <c r="I348" s="47" t="n"/>
      <c r="J348" s="47">
        <f>IFERROR(VLOOKUP(VLOOKUP(2026000+ROW()-1,开奖记录!$A:$L,11,FALSE),八肖参数!$A:$B,2,FALSE),"")</f>
        <v/>
      </c>
    </row>
    <row r="349" ht="22" customHeight="1" s="21">
      <c r="A349" s="47" t="n"/>
      <c r="B349" s="47" t="n"/>
      <c r="C349" s="47" t="n"/>
      <c r="D349" s="48" t="n"/>
      <c r="E349" s="47" t="n"/>
      <c r="F349" s="49" t="n"/>
      <c r="G349" s="47" t="n"/>
      <c r="H349" s="47">
        <f>IFERROR(TEXT(VLOOKUP(2026000+ROW()-1,开奖记录!$A:$L,3,FALSE),"00")&amp;"+5="&amp;VLOOKUP(MOD(VLOOKUP(2026000+ROW()-1,开奖记录!$A:$L,3,FALSE)+4,49)+1,规律参数!$A:$C,3,FALSE),"")</f>
        <v/>
      </c>
      <c r="I349" s="47" t="n"/>
      <c r="J349" s="47">
        <f>IFERROR(VLOOKUP(VLOOKUP(2026000+ROW()-1,开奖记录!$A:$L,11,FALSE),八肖参数!$A:$B,2,FALSE),"")</f>
        <v/>
      </c>
    </row>
    <row r="350" ht="22" customHeight="1" s="21">
      <c r="A350" s="47" t="n"/>
      <c r="B350" s="47" t="n"/>
      <c r="C350" s="47" t="n"/>
      <c r="D350" s="50" t="n"/>
      <c r="E350" s="47" t="n"/>
      <c r="F350" s="51" t="n"/>
      <c r="G350" s="47" t="n"/>
      <c r="H350" s="47">
        <f>IFERROR(TEXT(VLOOKUP(2026000+ROW()-1,开奖记录!$A:$L,3,FALSE),"00")&amp;"+5="&amp;VLOOKUP(MOD(VLOOKUP(2026000+ROW()-1,开奖记录!$A:$L,3,FALSE)+4,49)+1,规律参数!$A:$C,3,FALSE),"")</f>
        <v/>
      </c>
      <c r="I350" s="47" t="n"/>
      <c r="J350" s="47">
        <f>IFERROR(VLOOKUP(VLOOKUP(2026000+ROW()-1,开奖记录!$A:$L,11,FALSE),八肖参数!$A:$B,2,FALSE),"")</f>
        <v/>
      </c>
    </row>
    <row r="351" ht="22" customHeight="1" s="21">
      <c r="A351" s="47" t="n"/>
      <c r="B351" s="47" t="n"/>
      <c r="C351" s="47" t="n"/>
      <c r="D351" s="51" t="n"/>
      <c r="E351" s="47" t="n"/>
      <c r="F351" s="48" t="n"/>
      <c r="G351" s="47" t="n"/>
      <c r="H351" s="47">
        <f>IFERROR(TEXT(VLOOKUP(2026000+ROW()-1,开奖记录!$A:$L,3,FALSE),"00")&amp;"+5="&amp;VLOOKUP(MOD(VLOOKUP(2026000+ROW()-1,开奖记录!$A:$L,3,FALSE)+4,49)+1,规律参数!$A:$C,3,FALSE),"")</f>
        <v/>
      </c>
      <c r="I351" s="47" t="n"/>
      <c r="J351" s="47">
        <f>IFERROR(VLOOKUP(VLOOKUP(2026000+ROW()-1,开奖记录!$A:$L,11,FALSE),八肖参数!$A:$B,2,FALSE),"")</f>
        <v/>
      </c>
    </row>
    <row r="352" ht="22" customHeight="1" s="21">
      <c r="A352" s="47" t="n"/>
      <c r="B352" s="47" t="n"/>
      <c r="C352" s="47" t="n"/>
      <c r="D352" s="48" t="n"/>
      <c r="E352" s="47" t="n"/>
      <c r="F352" s="49" t="n"/>
      <c r="G352" s="47" t="n"/>
      <c r="H352" s="47">
        <f>IFERROR(TEXT(VLOOKUP(2026000+ROW()-1,开奖记录!$A:$L,3,FALSE),"00")&amp;"+5="&amp;VLOOKUP(MOD(VLOOKUP(2026000+ROW()-1,开奖记录!$A:$L,3,FALSE)+4,49)+1,规律参数!$A:$C,3,FALSE),"")</f>
        <v/>
      </c>
      <c r="I352" s="47" t="n"/>
      <c r="J352" s="47">
        <f>IFERROR(VLOOKUP(VLOOKUP(2026000+ROW()-1,开奖记录!$A:$L,11,FALSE),八肖参数!$A:$B,2,FALSE),"")</f>
        <v/>
      </c>
    </row>
    <row r="353" ht="22" customHeight="1" s="21">
      <c r="A353" s="47" t="n"/>
      <c r="B353" s="47" t="n"/>
      <c r="C353" s="47" t="n"/>
      <c r="D353" s="50" t="n"/>
      <c r="E353" s="47" t="n"/>
      <c r="F353" s="51" t="n"/>
      <c r="G353" s="47" t="n"/>
      <c r="H353" s="47">
        <f>IFERROR(TEXT(VLOOKUP(2026000+ROW()-1,开奖记录!$A:$L,3,FALSE),"00")&amp;"+5="&amp;VLOOKUP(MOD(VLOOKUP(2026000+ROW()-1,开奖记录!$A:$L,3,FALSE)+4,49)+1,规律参数!$A:$C,3,FALSE),"")</f>
        <v/>
      </c>
      <c r="I353" s="47" t="n"/>
      <c r="J353" s="47">
        <f>IFERROR(VLOOKUP(VLOOKUP(2026000+ROW()-1,开奖记录!$A:$L,11,FALSE),八肖参数!$A:$B,2,FALSE),"")</f>
        <v/>
      </c>
    </row>
    <row r="354" ht="22" customHeight="1" s="21">
      <c r="A354" s="47" t="n"/>
      <c r="B354" s="47" t="n"/>
      <c r="C354" s="47" t="n"/>
      <c r="D354" s="51" t="n"/>
      <c r="E354" s="47" t="n"/>
      <c r="F354" s="48" t="n"/>
      <c r="G354" s="47" t="n"/>
      <c r="H354" s="47">
        <f>IFERROR(TEXT(VLOOKUP(2026000+ROW()-1,开奖记录!$A:$L,3,FALSE),"00")&amp;"+5="&amp;VLOOKUP(MOD(VLOOKUP(2026000+ROW()-1,开奖记录!$A:$L,3,FALSE)+4,49)+1,规律参数!$A:$C,3,FALSE),"")</f>
        <v/>
      </c>
      <c r="I354" s="47" t="n"/>
      <c r="J354" s="47">
        <f>IFERROR(VLOOKUP(VLOOKUP(2026000+ROW()-1,开奖记录!$A:$L,11,FALSE),八肖参数!$A:$B,2,FALSE),"")</f>
        <v/>
      </c>
    </row>
    <row r="355" ht="22" customHeight="1" s="21">
      <c r="A355" s="47" t="n"/>
      <c r="B355" s="47" t="n"/>
      <c r="C355" s="47" t="n"/>
      <c r="D355" s="48" t="n"/>
      <c r="E355" s="47" t="n"/>
      <c r="F355" s="49" t="n"/>
      <c r="G355" s="47" t="n"/>
      <c r="H355" s="47">
        <f>IFERROR(TEXT(VLOOKUP(2026000+ROW()-1,开奖记录!$A:$L,3,FALSE),"00")&amp;"+5="&amp;VLOOKUP(MOD(VLOOKUP(2026000+ROW()-1,开奖记录!$A:$L,3,FALSE)+4,49)+1,规律参数!$A:$C,3,FALSE),"")</f>
        <v/>
      </c>
      <c r="I355" s="47" t="n"/>
      <c r="J355" s="47">
        <f>IFERROR(VLOOKUP(VLOOKUP(2026000+ROW()-1,开奖记录!$A:$L,11,FALSE),八肖参数!$A:$B,2,FALSE),"")</f>
        <v/>
      </c>
    </row>
    <row r="356" ht="22" customHeight="1" s="21">
      <c r="A356" s="47" t="n"/>
      <c r="B356" s="47" t="n"/>
      <c r="C356" s="47" t="n"/>
      <c r="D356" s="50" t="n"/>
      <c r="E356" s="47" t="n"/>
      <c r="F356" s="51" t="n"/>
      <c r="G356" s="47" t="n"/>
      <c r="H356" s="47">
        <f>IFERROR(TEXT(VLOOKUP(2026000+ROW()-1,开奖记录!$A:$L,3,FALSE),"00")&amp;"+5="&amp;VLOOKUP(MOD(VLOOKUP(2026000+ROW()-1,开奖记录!$A:$L,3,FALSE)+4,49)+1,规律参数!$A:$C,3,FALSE),"")</f>
        <v/>
      </c>
      <c r="I356" s="47" t="n"/>
      <c r="J356" s="47">
        <f>IFERROR(VLOOKUP(VLOOKUP(2026000+ROW()-1,开奖记录!$A:$L,11,FALSE),八肖参数!$A:$B,2,FALSE),"")</f>
        <v/>
      </c>
    </row>
    <row r="357" ht="22" customHeight="1" s="21">
      <c r="A357" s="47" t="n"/>
      <c r="B357" s="47" t="n"/>
      <c r="C357" s="47" t="n"/>
      <c r="D357" s="51" t="n"/>
      <c r="E357" s="47" t="n"/>
      <c r="F357" s="48" t="n"/>
      <c r="G357" s="47" t="n"/>
      <c r="H357" s="47">
        <f>IFERROR(TEXT(VLOOKUP(2026000+ROW()-1,开奖记录!$A:$L,3,FALSE),"00")&amp;"+5="&amp;VLOOKUP(MOD(VLOOKUP(2026000+ROW()-1,开奖记录!$A:$L,3,FALSE)+4,49)+1,规律参数!$A:$C,3,FALSE),"")</f>
        <v/>
      </c>
      <c r="I357" s="47" t="n"/>
      <c r="J357" s="47">
        <f>IFERROR(VLOOKUP(VLOOKUP(2026000+ROW()-1,开奖记录!$A:$L,11,FALSE),八肖参数!$A:$B,2,FALSE),"")</f>
        <v/>
      </c>
    </row>
    <row r="358" ht="22" customHeight="1" s="21">
      <c r="A358" s="47" t="n"/>
      <c r="B358" s="47" t="n"/>
      <c r="C358" s="47" t="n"/>
      <c r="D358" s="48" t="n"/>
      <c r="E358" s="47" t="n"/>
      <c r="F358" s="49" t="n"/>
      <c r="G358" s="47" t="n"/>
      <c r="H358" s="47">
        <f>IFERROR(TEXT(VLOOKUP(2026000+ROW()-1,开奖记录!$A:$L,3,FALSE),"00")&amp;"+5="&amp;VLOOKUP(MOD(VLOOKUP(2026000+ROW()-1,开奖记录!$A:$L,3,FALSE)+4,49)+1,规律参数!$A:$C,3,FALSE),"")</f>
        <v/>
      </c>
      <c r="I358" s="47" t="n"/>
      <c r="J358" s="47">
        <f>IFERROR(VLOOKUP(VLOOKUP(2026000+ROW()-1,开奖记录!$A:$L,11,FALSE),八肖参数!$A:$B,2,FALSE),"")</f>
        <v/>
      </c>
    </row>
    <row r="359" ht="22" customHeight="1" s="21">
      <c r="A359" s="47" t="n"/>
      <c r="B359" s="47" t="n"/>
      <c r="C359" s="47" t="n"/>
      <c r="D359" s="50" t="n"/>
      <c r="E359" s="47" t="n"/>
      <c r="F359" s="51" t="n"/>
      <c r="G359" s="47" t="n"/>
      <c r="H359" s="47">
        <f>IFERROR(TEXT(VLOOKUP(2026000+ROW()-1,开奖记录!$A:$L,3,FALSE),"00")&amp;"+5="&amp;VLOOKUP(MOD(VLOOKUP(2026000+ROW()-1,开奖记录!$A:$L,3,FALSE)+4,49)+1,规律参数!$A:$C,3,FALSE),"")</f>
        <v/>
      </c>
      <c r="I359" s="47" t="n"/>
      <c r="J359" s="47">
        <f>IFERROR(VLOOKUP(VLOOKUP(2026000+ROW()-1,开奖记录!$A:$L,11,FALSE),八肖参数!$A:$B,2,FALSE),"")</f>
        <v/>
      </c>
    </row>
    <row r="360" ht="22" customHeight="1" s="21">
      <c r="A360" s="47" t="n"/>
      <c r="B360" s="47" t="n"/>
      <c r="C360" s="47" t="n"/>
      <c r="D360" s="51" t="n"/>
      <c r="E360" s="47" t="n"/>
      <c r="F360" s="48" t="n"/>
      <c r="G360" s="47" t="n"/>
      <c r="H360" s="47">
        <f>IFERROR(TEXT(VLOOKUP(2026000+ROW()-1,开奖记录!$A:$L,3,FALSE),"00")&amp;"+5="&amp;VLOOKUP(MOD(VLOOKUP(2026000+ROW()-1,开奖记录!$A:$L,3,FALSE)+4,49)+1,规律参数!$A:$C,3,FALSE),"")</f>
        <v/>
      </c>
      <c r="I360" s="47" t="n"/>
      <c r="J360" s="47">
        <f>IFERROR(VLOOKUP(VLOOKUP(2026000+ROW()-1,开奖记录!$A:$L,11,FALSE),八肖参数!$A:$B,2,FALSE),"")</f>
        <v/>
      </c>
    </row>
    <row r="361" ht="22" customHeight="1" s="21">
      <c r="A361" s="47" t="n"/>
      <c r="B361" s="47" t="n"/>
      <c r="C361" s="47" t="n"/>
      <c r="D361" s="48" t="n"/>
      <c r="E361" s="47" t="n"/>
      <c r="F361" s="49" t="n"/>
      <c r="G361" s="47" t="n"/>
      <c r="H361" s="47">
        <f>IFERROR(TEXT(VLOOKUP(2026000+ROW()-1,开奖记录!$A:$L,3,FALSE),"00")&amp;"+5="&amp;VLOOKUP(MOD(VLOOKUP(2026000+ROW()-1,开奖记录!$A:$L,3,FALSE)+4,49)+1,规律参数!$A:$C,3,FALSE),"")</f>
        <v/>
      </c>
      <c r="I361" s="47" t="n"/>
      <c r="J361" s="47">
        <f>IFERROR(VLOOKUP(VLOOKUP(2026000+ROW()-1,开奖记录!$A:$L,11,FALSE),八肖参数!$A:$B,2,FALSE),"")</f>
        <v/>
      </c>
    </row>
    <row r="362" ht="22" customHeight="1" s="21">
      <c r="A362" s="47" t="n"/>
      <c r="B362" s="47" t="n"/>
      <c r="C362" s="47" t="n"/>
      <c r="D362" s="50" t="n"/>
      <c r="E362" s="47" t="n"/>
      <c r="F362" s="51" t="n"/>
      <c r="G362" s="47" t="n"/>
      <c r="H362" s="47">
        <f>IFERROR(TEXT(VLOOKUP(2026000+ROW()-1,开奖记录!$A:$L,3,FALSE),"00")&amp;"+5="&amp;VLOOKUP(MOD(VLOOKUP(2026000+ROW()-1,开奖记录!$A:$L,3,FALSE)+4,49)+1,规律参数!$A:$C,3,FALSE),"")</f>
        <v/>
      </c>
      <c r="I362" s="47" t="n"/>
      <c r="J362" s="47">
        <f>IFERROR(VLOOKUP(VLOOKUP(2026000+ROW()-1,开奖记录!$A:$L,11,FALSE),八肖参数!$A:$B,2,FALSE),"")</f>
        <v/>
      </c>
    </row>
    <row r="363" ht="22" customHeight="1" s="21">
      <c r="A363" s="47" t="n"/>
      <c r="B363" s="47" t="n"/>
      <c r="C363" s="47" t="n"/>
      <c r="D363" s="51" t="n"/>
      <c r="E363" s="47" t="n"/>
      <c r="F363" s="48" t="n"/>
      <c r="G363" s="47" t="n"/>
      <c r="H363" s="47">
        <f>IFERROR(TEXT(VLOOKUP(2026000+ROW()-1,开奖记录!$A:$L,3,FALSE),"00")&amp;"+5="&amp;VLOOKUP(MOD(VLOOKUP(2026000+ROW()-1,开奖记录!$A:$L,3,FALSE)+4,49)+1,规律参数!$A:$C,3,FALSE),"")</f>
        <v/>
      </c>
      <c r="I363" s="47" t="n"/>
      <c r="J363" s="47">
        <f>IFERROR(VLOOKUP(VLOOKUP(2026000+ROW()-1,开奖记录!$A:$L,11,FALSE),八肖参数!$A:$B,2,FALSE),"")</f>
        <v/>
      </c>
    </row>
    <row r="364" ht="22" customHeight="1" s="21">
      <c r="A364" s="47" t="n"/>
      <c r="B364" s="47" t="n"/>
      <c r="C364" s="47" t="n"/>
      <c r="D364" s="48" t="n"/>
      <c r="E364" s="47" t="n"/>
      <c r="F364" s="49" t="n"/>
      <c r="G364" s="47" t="n"/>
      <c r="H364" s="47">
        <f>IFERROR(TEXT(VLOOKUP(2026000+ROW()-1,开奖记录!$A:$L,3,FALSE),"00")&amp;"+5="&amp;VLOOKUP(MOD(VLOOKUP(2026000+ROW()-1,开奖记录!$A:$L,3,FALSE)+4,49)+1,规律参数!$A:$C,3,FALSE),"")</f>
        <v/>
      </c>
      <c r="I364" s="47" t="n"/>
      <c r="J364" s="47">
        <f>IFERROR(VLOOKUP(VLOOKUP(2026000+ROW()-1,开奖记录!$A:$L,11,FALSE),八肖参数!$A:$B,2,FALSE),"")</f>
        <v/>
      </c>
    </row>
    <row r="365" ht="22" customHeight="1" s="21">
      <c r="A365" s="47" t="n"/>
      <c r="B365" s="47" t="n"/>
      <c r="C365" s="47" t="n"/>
      <c r="D365" s="50" t="n"/>
      <c r="E365" s="47" t="n"/>
      <c r="F365" s="51" t="n"/>
      <c r="G365" s="47" t="n"/>
      <c r="H365" s="47">
        <f>IFERROR(TEXT(VLOOKUP(2026000+ROW()-1,开奖记录!$A:$L,3,FALSE),"00")&amp;"+5="&amp;VLOOKUP(MOD(VLOOKUP(2026000+ROW()-1,开奖记录!$A:$L,3,FALSE)+4,49)+1,规律参数!$A:$C,3,FALSE),"")</f>
        <v/>
      </c>
      <c r="I365" s="47" t="n"/>
      <c r="J365" s="47">
        <f>IFERROR(VLOOKUP(VLOOKUP(2026000+ROW()-1,开奖记录!$A:$L,11,FALSE),八肖参数!$A:$B,2,FALSE),"")</f>
        <v/>
      </c>
    </row>
    <row r="366" ht="22" customHeight="1" s="21">
      <c r="A366" s="47" t="n"/>
      <c r="B366" s="47" t="n"/>
      <c r="C366" s="47" t="n"/>
      <c r="D366" s="47" t="n"/>
      <c r="E366" s="47" t="n"/>
      <c r="F366" s="47" t="n"/>
      <c r="G366" s="47" t="n"/>
      <c r="H366" s="47">
        <f>IFERROR(TEXT(VLOOKUP(2026000+ROW()-1,开奖记录!$A:$L,3,FALSE),"00")&amp;"+5="&amp;VLOOKUP(MOD(VLOOKUP(2026000+ROW()-1,开奖记录!$A:$L,3,FALSE)+4,49)+1,规律参数!$A:$C,3,FALSE),"")</f>
        <v/>
      </c>
      <c r="I366" s="47" t="n"/>
      <c r="J366" s="47">
        <f>IFERROR(VLOOKUP(VLOOKUP(2026000+ROW()-1,开奖记录!$A:$L,11,FALSE),八肖参数!$A:$B,2,FALSE),"")</f>
        <v/>
      </c>
    </row>
  </sheetData>
  <conditionalFormatting sqref="E1:E366">
    <cfRule type="expression" priority="1" dxfId="21">
      <formula>AND(MOD(ROW()-1,3)=0,IFERROR(VLOOKUP(2026000+ROW(),'开奖记录'!$A:$L,12,FALSE),"")="红波")</formula>
    </cfRule>
    <cfRule type="expression" priority="2" dxfId="22">
      <formula>AND(MOD(ROW()-1,3)=1,IFERROR(VLOOKUP(2026000+ROW(),'开奖记录'!$A:$L,12,FALSE),"")="蓝波")</formula>
    </cfRule>
    <cfRule type="expression" priority="3" dxfId="23">
      <formula>AND(MOD(ROW()-1,3)=2,IFERROR(VLOOKUP(2026000+ROW(),'开奖记录'!$A:$L,12,FALSE),"")="绿波")</formula>
    </cfRule>
  </conditionalFormatting>
  <conditionalFormatting sqref="G1:G366">
    <cfRule type="expression" priority="4" dxfId="22">
      <formula>AND(MOD(ROW()-1,3)=0,IFERROR(VLOOKUP(2026000+ROW(),'开奖记录'!$A:$L,12,FALSE),"")="蓝波")</formula>
    </cfRule>
    <cfRule type="expression" priority="5" dxfId="23">
      <formula>AND(MOD(ROW()-1,3)=1,IFERROR(VLOOKUP(2026000+ROW(),'开奖记录'!$A:$L,12,FALSE),"")="绿波")</formula>
    </cfRule>
    <cfRule type="expression" priority="6" dxfId="21">
      <formula>AND(MOD(ROW()-1,3)=2,IFERROR(VLOOKUP(2026000+ROW(),'开奖记录'!$A:$L,12,FALSE),"")="红波")</formula>
    </cfRule>
  </conditionalFormatting>
  <conditionalFormatting sqref="H1:H366">
    <cfRule type="expression" priority="7" dxfId="19">
      <formula>AND(H1&lt;&gt;"",IFERROR(ISNUMBER(SEARCH(VLOOKUP(2026000+ROW(),开奖记录!$A:$L,11,FALSE),H1)),FALSE))</formula>
    </cfRule>
  </conditionalFormatting>
  <conditionalFormatting sqref="J1:J366">
    <cfRule type="expression" priority="8" dxfId="19">
      <formula>AND(J1&lt;&gt;"",IFERROR(ISNUMBER(SEARCH(VLOOKUP(2026000+ROW(),开奖记录!$A:$L,11,FALSE),J1)),FALSE))</formula>
    </cfRule>
  </conditionalFormatting>
  <pageMargins left="0.75" right="0.75" top="1" bottom="1" header="0.511805555555556" footer="0.511805555555556"/>
  <pageSetup orientation="portrait" paperSize="9"/>
</worksheet>
</file>

<file path=xl/worksheets/sheet9.xml><?xml version="1.0" encoding="utf-8"?>
<worksheet xmlns="http://schemas.openxmlformats.org/spreadsheetml/2006/main">
  <sheetPr>
    <tabColor rgb="009E480E"/>
    <outlinePr summaryBelow="1" summaryRight="1"/>
    <pageSetUpPr/>
  </sheetPr>
  <dimension ref="A1:B3"/>
  <sheetViews>
    <sheetView showGridLines="0" zoomScale="90" zoomScaleNormal="140" workbookViewId="0">
      <selection activeCell="B2" sqref="B2"/>
    </sheetView>
  </sheetViews>
  <sheetFormatPr baseColWidth="8" defaultColWidth="9.642857142857141" defaultRowHeight="40" customHeight="1" outlineLevelRow="2"/>
  <cols>
    <col width="12.1428571428571" customWidth="1" style="21" min="1" max="16384"/>
  </cols>
  <sheetData>
    <row r="1" ht="22" customHeight="1" s="21">
      <c r="A1" s="52" t="inlineStr">
        <is>
          <t>盈利</t>
        </is>
      </c>
      <c r="B1" s="47">
        <f>SUM(Sheet1!B:B)</f>
        <v/>
      </c>
    </row>
    <row r="2" ht="22" customHeight="1" s="21">
      <c r="A2" s="51" t="inlineStr">
        <is>
          <t>亏损</t>
        </is>
      </c>
      <c r="B2" s="47">
        <f>SUM(Sheet1!C:C)</f>
        <v/>
      </c>
    </row>
    <row r="3" ht="22" customHeight="1" s="21">
      <c r="A3" s="53" t="inlineStr">
        <is>
          <t>净利润</t>
        </is>
      </c>
      <c r="B3" s="47">
        <f>SUM(B1)-(B2)</f>
        <v/>
      </c>
    </row>
  </sheetData>
  <pageMargins left="0.75" right="0.75" top="1" bottom="1" header="0.511805555555556" footer="0.511805555555556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号码</t>
        </is>
      </c>
      <c r="B1" s="0" t="inlineStr">
        <is>
          <t>生肖</t>
        </is>
      </c>
      <c r="C1" s="0" t="inlineStr">
        <is>
          <t>加5建议生肖</t>
        </is>
      </c>
    </row>
    <row r="2">
      <c r="A2" s="0" t="n">
        <v>1</v>
      </c>
      <c r="B2" s="0" t="inlineStr">
        <is>
          <t>马</t>
        </is>
      </c>
      <c r="C2" s="0" t="inlineStr">
        <is>
          <t>鼠马虎猴</t>
        </is>
      </c>
    </row>
    <row r="3">
      <c r="A3" s="0" t="n">
        <v>2</v>
      </c>
      <c r="B3" s="0" t="inlineStr">
        <is>
          <t>蛇</t>
        </is>
      </c>
      <c r="C3" s="0" t="inlineStr">
        <is>
          <t>蛇猪牛羊</t>
        </is>
      </c>
    </row>
    <row r="4">
      <c r="A4" s="0" t="n">
        <v>3</v>
      </c>
      <c r="B4" s="0" t="inlineStr">
        <is>
          <t>龙</t>
        </is>
      </c>
      <c r="C4" s="0" t="inlineStr">
        <is>
          <t>龙狗鼠马</t>
        </is>
      </c>
    </row>
    <row r="5">
      <c r="A5" s="0" t="n">
        <v>4</v>
      </c>
      <c r="B5" s="0" t="inlineStr">
        <is>
          <t>兔</t>
        </is>
      </c>
      <c r="C5" s="0" t="inlineStr">
        <is>
          <t>兔鸡蛇猪</t>
        </is>
      </c>
    </row>
    <row r="6">
      <c r="A6" s="0" t="n">
        <v>5</v>
      </c>
      <c r="B6" s="0" t="inlineStr">
        <is>
          <t>虎</t>
        </is>
      </c>
      <c r="C6" s="0" t="inlineStr">
        <is>
          <t>虎猴龙狗</t>
        </is>
      </c>
    </row>
    <row r="7">
      <c r="A7" s="0" t="n">
        <v>6</v>
      </c>
      <c r="B7" s="0" t="inlineStr">
        <is>
          <t>牛</t>
        </is>
      </c>
      <c r="C7" s="0" t="inlineStr">
        <is>
          <t>牛羊兔鸡</t>
        </is>
      </c>
    </row>
    <row r="8">
      <c r="A8" s="0" t="n">
        <v>7</v>
      </c>
      <c r="B8" s="0" t="inlineStr">
        <is>
          <t>鼠</t>
        </is>
      </c>
      <c r="C8" s="0" t="inlineStr">
        <is>
          <t>鼠马虎猴</t>
        </is>
      </c>
    </row>
    <row r="9">
      <c r="A9" s="0" t="n">
        <v>8</v>
      </c>
      <c r="B9" s="0" t="inlineStr">
        <is>
          <t>猪</t>
        </is>
      </c>
      <c r="C9" s="0" t="inlineStr">
        <is>
          <t>蛇猪牛羊</t>
        </is>
      </c>
    </row>
    <row r="10">
      <c r="A10" s="0" t="n">
        <v>9</v>
      </c>
      <c r="B10" s="0" t="inlineStr">
        <is>
          <t>狗</t>
        </is>
      </c>
      <c r="C10" s="0" t="inlineStr">
        <is>
          <t>龙狗鼠马</t>
        </is>
      </c>
    </row>
    <row r="11">
      <c r="A11" s="0" t="n">
        <v>10</v>
      </c>
      <c r="B11" s="0" t="inlineStr">
        <is>
          <t>鸡</t>
        </is>
      </c>
      <c r="C11" s="0" t="inlineStr">
        <is>
          <t>兔鸡蛇猪</t>
        </is>
      </c>
    </row>
    <row r="12">
      <c r="A12" s="0" t="n">
        <v>11</v>
      </c>
      <c r="B12" s="0" t="inlineStr">
        <is>
          <t>猴</t>
        </is>
      </c>
      <c r="C12" s="0" t="inlineStr">
        <is>
          <t>虎猴龙狗</t>
        </is>
      </c>
    </row>
    <row r="13">
      <c r="A13" s="0" t="n">
        <v>12</v>
      </c>
      <c r="B13" s="0" t="inlineStr">
        <is>
          <t>羊</t>
        </is>
      </c>
      <c r="C13" s="0" t="inlineStr">
        <is>
          <t>牛羊兔鸡</t>
        </is>
      </c>
    </row>
    <row r="14">
      <c r="A14" s="0" t="n">
        <v>13</v>
      </c>
      <c r="B14" s="0" t="inlineStr">
        <is>
          <t>马</t>
        </is>
      </c>
      <c r="C14" s="0" t="inlineStr">
        <is>
          <t>鼠马虎猴</t>
        </is>
      </c>
    </row>
    <row r="15">
      <c r="A15" s="0" t="n">
        <v>14</v>
      </c>
      <c r="B15" s="0" t="inlineStr">
        <is>
          <t>蛇</t>
        </is>
      </c>
      <c r="C15" s="0" t="inlineStr">
        <is>
          <t>蛇猪牛羊</t>
        </is>
      </c>
    </row>
    <row r="16">
      <c r="A16" s="0" t="n">
        <v>15</v>
      </c>
      <c r="B16" s="0" t="inlineStr">
        <is>
          <t>龙</t>
        </is>
      </c>
      <c r="C16" s="0" t="inlineStr">
        <is>
          <t>龙狗鼠马</t>
        </is>
      </c>
    </row>
    <row r="17">
      <c r="A17" s="0" t="n">
        <v>16</v>
      </c>
      <c r="B17" s="0" t="inlineStr">
        <is>
          <t>兔</t>
        </is>
      </c>
      <c r="C17" s="0" t="inlineStr">
        <is>
          <t>兔鸡蛇猪</t>
        </is>
      </c>
    </row>
    <row r="18">
      <c r="A18" s="0" t="n">
        <v>17</v>
      </c>
      <c r="B18" s="0" t="inlineStr">
        <is>
          <t>虎</t>
        </is>
      </c>
      <c r="C18" s="0" t="inlineStr">
        <is>
          <t>虎猴龙狗</t>
        </is>
      </c>
    </row>
    <row r="19">
      <c r="A19" s="0" t="n">
        <v>18</v>
      </c>
      <c r="B19" s="0" t="inlineStr">
        <is>
          <t>牛</t>
        </is>
      </c>
      <c r="C19" s="0" t="inlineStr">
        <is>
          <t>牛羊兔鸡</t>
        </is>
      </c>
    </row>
    <row r="20">
      <c r="A20" s="0" t="n">
        <v>19</v>
      </c>
      <c r="B20" s="0" t="inlineStr">
        <is>
          <t>鼠</t>
        </is>
      </c>
      <c r="C20" s="0" t="inlineStr">
        <is>
          <t>鼠马虎猴</t>
        </is>
      </c>
    </row>
    <row r="21">
      <c r="A21" s="0" t="n">
        <v>20</v>
      </c>
      <c r="B21" s="0" t="inlineStr">
        <is>
          <t>猪</t>
        </is>
      </c>
      <c r="C21" s="0" t="inlineStr">
        <is>
          <t>蛇猪牛羊</t>
        </is>
      </c>
    </row>
    <row r="22">
      <c r="A22" s="0" t="n">
        <v>21</v>
      </c>
      <c r="B22" s="0" t="inlineStr">
        <is>
          <t>狗</t>
        </is>
      </c>
      <c r="C22" s="0" t="inlineStr">
        <is>
          <t>龙狗鼠马</t>
        </is>
      </c>
    </row>
    <row r="23">
      <c r="A23" s="0" t="n">
        <v>22</v>
      </c>
      <c r="B23" s="0" t="inlineStr">
        <is>
          <t>鸡</t>
        </is>
      </c>
      <c r="C23" s="0" t="inlineStr">
        <is>
          <t>兔鸡蛇猪</t>
        </is>
      </c>
    </row>
    <row r="24">
      <c r="A24" s="0" t="n">
        <v>23</v>
      </c>
      <c r="B24" s="0" t="inlineStr">
        <is>
          <t>猴</t>
        </is>
      </c>
      <c r="C24" s="0" t="inlineStr">
        <is>
          <t>虎猴龙狗</t>
        </is>
      </c>
    </row>
    <row r="25">
      <c r="A25" s="0" t="n">
        <v>24</v>
      </c>
      <c r="B25" s="0" t="inlineStr">
        <is>
          <t>羊</t>
        </is>
      </c>
      <c r="C25" s="0" t="inlineStr">
        <is>
          <t>牛羊兔鸡</t>
        </is>
      </c>
    </row>
    <row r="26">
      <c r="A26" s="0" t="n">
        <v>25</v>
      </c>
      <c r="B26" s="0" t="inlineStr">
        <is>
          <t>马</t>
        </is>
      </c>
      <c r="C26" s="0" t="inlineStr">
        <is>
          <t>鼠马虎猴</t>
        </is>
      </c>
    </row>
    <row r="27">
      <c r="A27" s="0" t="n">
        <v>26</v>
      </c>
      <c r="B27" s="0" t="inlineStr">
        <is>
          <t>蛇</t>
        </is>
      </c>
      <c r="C27" s="0" t="inlineStr">
        <is>
          <t>蛇猪牛羊</t>
        </is>
      </c>
    </row>
    <row r="28">
      <c r="A28" s="0" t="n">
        <v>27</v>
      </c>
      <c r="B28" s="0" t="inlineStr">
        <is>
          <t>龙</t>
        </is>
      </c>
      <c r="C28" s="0" t="inlineStr">
        <is>
          <t>龙狗鼠马</t>
        </is>
      </c>
    </row>
    <row r="29">
      <c r="A29" s="0" t="n">
        <v>28</v>
      </c>
      <c r="B29" s="0" t="inlineStr">
        <is>
          <t>兔</t>
        </is>
      </c>
      <c r="C29" s="0" t="inlineStr">
        <is>
          <t>兔鸡蛇猪</t>
        </is>
      </c>
    </row>
    <row r="30">
      <c r="A30" s="0" t="n">
        <v>29</v>
      </c>
      <c r="B30" s="0" t="inlineStr">
        <is>
          <t>虎</t>
        </is>
      </c>
      <c r="C30" s="0" t="inlineStr">
        <is>
          <t>虎猴龙狗</t>
        </is>
      </c>
    </row>
    <row r="31">
      <c r="A31" s="0" t="n">
        <v>30</v>
      </c>
      <c r="B31" s="0" t="inlineStr">
        <is>
          <t>牛</t>
        </is>
      </c>
      <c r="C31" s="0" t="inlineStr">
        <is>
          <t>牛羊兔鸡</t>
        </is>
      </c>
    </row>
    <row r="32">
      <c r="A32" s="0" t="n">
        <v>31</v>
      </c>
      <c r="B32" s="0" t="inlineStr">
        <is>
          <t>鼠</t>
        </is>
      </c>
      <c r="C32" s="0" t="inlineStr">
        <is>
          <t>鼠马虎猴</t>
        </is>
      </c>
    </row>
    <row r="33">
      <c r="A33" s="0" t="n">
        <v>32</v>
      </c>
      <c r="B33" s="0" t="inlineStr">
        <is>
          <t>猪</t>
        </is>
      </c>
      <c r="C33" s="0" t="inlineStr">
        <is>
          <t>蛇猪牛羊</t>
        </is>
      </c>
    </row>
    <row r="34">
      <c r="A34" s="0" t="n">
        <v>33</v>
      </c>
      <c r="B34" s="0" t="inlineStr">
        <is>
          <t>狗</t>
        </is>
      </c>
      <c r="C34" s="0" t="inlineStr">
        <is>
          <t>龙狗鼠马</t>
        </is>
      </c>
    </row>
    <row r="35">
      <c r="A35" s="0" t="n">
        <v>34</v>
      </c>
      <c r="B35" s="0" t="inlineStr">
        <is>
          <t>鸡</t>
        </is>
      </c>
      <c r="C35" s="0" t="inlineStr">
        <is>
          <t>兔鸡蛇猪</t>
        </is>
      </c>
    </row>
    <row r="36">
      <c r="A36" s="0" t="n">
        <v>35</v>
      </c>
      <c r="B36" s="0" t="inlineStr">
        <is>
          <t>猴</t>
        </is>
      </c>
      <c r="C36" s="0" t="inlineStr">
        <is>
          <t>虎猴龙狗</t>
        </is>
      </c>
    </row>
    <row r="37">
      <c r="A37" s="0" t="n">
        <v>36</v>
      </c>
      <c r="B37" s="0" t="inlineStr">
        <is>
          <t>羊</t>
        </is>
      </c>
      <c r="C37" s="0" t="inlineStr">
        <is>
          <t>牛羊兔鸡</t>
        </is>
      </c>
    </row>
    <row r="38">
      <c r="A38" s="0" t="n">
        <v>37</v>
      </c>
      <c r="B38" s="0" t="inlineStr">
        <is>
          <t>马</t>
        </is>
      </c>
      <c r="C38" s="0" t="inlineStr">
        <is>
          <t>鼠马虎猴</t>
        </is>
      </c>
    </row>
    <row r="39">
      <c r="A39" s="0" t="n">
        <v>38</v>
      </c>
      <c r="B39" s="0" t="inlineStr">
        <is>
          <t>蛇</t>
        </is>
      </c>
      <c r="C39" s="0" t="inlineStr">
        <is>
          <t>蛇猪牛羊</t>
        </is>
      </c>
    </row>
    <row r="40">
      <c r="A40" s="0" t="n">
        <v>39</v>
      </c>
      <c r="B40" s="0" t="inlineStr">
        <is>
          <t>龙</t>
        </is>
      </c>
      <c r="C40" s="0" t="inlineStr">
        <is>
          <t>龙狗鼠马</t>
        </is>
      </c>
    </row>
    <row r="41">
      <c r="A41" s="0" t="n">
        <v>40</v>
      </c>
      <c r="B41" s="0" t="inlineStr">
        <is>
          <t>兔</t>
        </is>
      </c>
      <c r="C41" s="0" t="inlineStr">
        <is>
          <t>兔鸡蛇猪</t>
        </is>
      </c>
    </row>
    <row r="42">
      <c r="A42" s="0" t="n">
        <v>41</v>
      </c>
      <c r="B42" s="0" t="inlineStr">
        <is>
          <t>虎</t>
        </is>
      </c>
      <c r="C42" s="0" t="inlineStr">
        <is>
          <t>虎猴龙狗</t>
        </is>
      </c>
    </row>
    <row r="43">
      <c r="A43" s="0" t="n">
        <v>42</v>
      </c>
      <c r="B43" s="0" t="inlineStr">
        <is>
          <t>牛</t>
        </is>
      </c>
      <c r="C43" s="0" t="inlineStr">
        <is>
          <t>牛羊兔鸡</t>
        </is>
      </c>
    </row>
    <row r="44">
      <c r="A44" s="0" t="n">
        <v>43</v>
      </c>
      <c r="B44" s="0" t="inlineStr">
        <is>
          <t>鼠</t>
        </is>
      </c>
      <c r="C44" s="0" t="inlineStr">
        <is>
          <t>鼠马虎猴</t>
        </is>
      </c>
    </row>
    <row r="45">
      <c r="A45" s="0" t="n">
        <v>44</v>
      </c>
      <c r="B45" s="0" t="inlineStr">
        <is>
          <t>猪</t>
        </is>
      </c>
      <c r="C45" s="0" t="inlineStr">
        <is>
          <t>蛇猪牛羊</t>
        </is>
      </c>
    </row>
    <row r="46">
      <c r="A46" s="0" t="n">
        <v>45</v>
      </c>
      <c r="B46" s="0" t="inlineStr">
        <is>
          <t>狗</t>
        </is>
      </c>
      <c r="C46" s="0" t="inlineStr">
        <is>
          <t>龙狗鼠马</t>
        </is>
      </c>
    </row>
    <row r="47">
      <c r="A47" s="0" t="n">
        <v>46</v>
      </c>
      <c r="B47" s="0" t="inlineStr">
        <is>
          <t>鸡</t>
        </is>
      </c>
      <c r="C47" s="0" t="inlineStr">
        <is>
          <t>兔鸡蛇猪</t>
        </is>
      </c>
    </row>
    <row r="48">
      <c r="A48" s="0" t="n">
        <v>47</v>
      </c>
      <c r="B48" s="0" t="inlineStr">
        <is>
          <t>猴</t>
        </is>
      </c>
      <c r="C48" s="0" t="inlineStr">
        <is>
          <t>虎猴龙狗</t>
        </is>
      </c>
    </row>
    <row r="49">
      <c r="A49" s="0" t="n">
        <v>48</v>
      </c>
      <c r="B49" s="0" t="inlineStr">
        <is>
          <t>羊</t>
        </is>
      </c>
      <c r="C49" s="0" t="inlineStr">
        <is>
          <t>牛羊兔鸡</t>
        </is>
      </c>
    </row>
    <row r="50">
      <c r="A50" s="0" t="n">
        <v>49</v>
      </c>
      <c r="B50" s="0" t="inlineStr">
        <is>
          <t>马</t>
        </is>
      </c>
      <c r="C50" s="0" t="inlineStr">
        <is>
          <t>鼠马虎猴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上期开奖生肖</t>
        </is>
      </c>
      <c r="B1" s="0" t="inlineStr">
        <is>
          <t>本期建议八肖</t>
        </is>
      </c>
    </row>
    <row r="2">
      <c r="A2" s="0" t="inlineStr">
        <is>
          <t>鼠</t>
        </is>
      </c>
      <c r="B2" s="0" t="inlineStr">
        <is>
          <t>羊牛蛇鸡猴龙狗虎</t>
        </is>
      </c>
    </row>
    <row r="3">
      <c r="A3" s="0" t="inlineStr">
        <is>
          <t>牛</t>
        </is>
      </c>
      <c r="B3" s="0" t="inlineStr">
        <is>
          <t>蛇鸡兔猪马鼠龙猴</t>
        </is>
      </c>
    </row>
    <row r="4">
      <c r="A4" s="0" t="inlineStr">
        <is>
          <t>虎</t>
        </is>
      </c>
      <c r="B4" s="0" t="inlineStr">
        <is>
          <t>蛇猪兔羊马狗龙虎</t>
        </is>
      </c>
    </row>
    <row r="5">
      <c r="A5" s="0" t="inlineStr">
        <is>
          <t>兔</t>
        </is>
      </c>
      <c r="B5" s="0" t="inlineStr">
        <is>
          <t>羊猪牛蛇龙狗马虎</t>
        </is>
      </c>
    </row>
    <row r="6">
      <c r="A6" s="0" t="inlineStr">
        <is>
          <t>龙</t>
        </is>
      </c>
      <c r="B6" s="0" t="inlineStr">
        <is>
          <t>兔鸡牛蛇猴鼠虎马</t>
        </is>
      </c>
    </row>
    <row r="7">
      <c r="A7" s="0" t="inlineStr">
        <is>
          <t>蛇</t>
        </is>
      </c>
      <c r="B7" s="0" t="inlineStr">
        <is>
          <t>牛鸡羊兔虎猴龙鼠</t>
        </is>
      </c>
    </row>
    <row r="8">
      <c r="A8" s="0" t="inlineStr">
        <is>
          <t>马</t>
        </is>
      </c>
      <c r="B8" s="0" t="inlineStr">
        <is>
          <t>牛羊兔猪虎狗鼠龙</t>
        </is>
      </c>
    </row>
    <row r="9">
      <c r="A9" s="0" t="inlineStr">
        <is>
          <t>羊</t>
        </is>
      </c>
      <c r="B9" s="0" t="inlineStr">
        <is>
          <t>兔猪鸡蛇鼠马虎猴</t>
        </is>
      </c>
    </row>
    <row r="10">
      <c r="A10" s="0" t="inlineStr">
        <is>
          <t>猴</t>
        </is>
      </c>
      <c r="B10" s="0" t="inlineStr">
        <is>
          <t>猪蛇牛鸡鼠龙马狗</t>
        </is>
      </c>
    </row>
    <row r="11">
      <c r="A11" s="0" t="inlineStr">
        <is>
          <t>鸡</t>
        </is>
      </c>
      <c r="B11" s="0" t="inlineStr">
        <is>
          <t>鸡兔羊猪马虎鼠猴</t>
        </is>
      </c>
    </row>
    <row r="12">
      <c r="A12" s="0" t="inlineStr">
        <is>
          <t>狗</t>
        </is>
      </c>
      <c r="B12" s="0" t="inlineStr">
        <is>
          <t>鸡牛兔猪鼠猴虎马</t>
        </is>
      </c>
    </row>
    <row r="13">
      <c r="A13" s="0" t="inlineStr">
        <is>
          <t>猪</t>
        </is>
      </c>
      <c r="B13" s="0" t="inlineStr">
        <is>
          <t>羊鸡牛鼠猴虎马狗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iPhone</dc:creator>
  <dcterms:created xmlns:dcterms="http://purl.org/dc/terms/" xmlns:xsi="http://www.w3.org/2001/XMLSchema-instance" xsi:type="dcterms:W3CDTF">2025-12-22T08:29:00Z</dcterms:created>
  <dcterms:modified xmlns:dcterms="http://purl.org/dc/terms/" xmlns:xsi="http://www.w3.org/2001/XMLSchema-instance" xsi:type="dcterms:W3CDTF">2026-07-18T10:32:00Z</dcterms:modified>
  <cp:lastModifiedBy>iPhone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0A6EF78C7DAA00B7F901496999FAF45D_33</vt:lpwstr>
  </property>
  <property name="KSOProductBuildVer" fmtid="{D5CDD505-2E9C-101B-9397-08002B2CF9AE}" pid="3">
    <vt:lpwstr xmlns:vt="http://schemas.openxmlformats.org/officeDocument/2006/docPropsVTypes">2052-26.6.2</vt:lpwstr>
  </property>
  <property name="CalculationRule" fmtid="{D5CDD505-2E9C-101B-9397-08002B2CF9AE}" pid="4">
    <vt:i4 xmlns:vt="http://schemas.openxmlformats.org/officeDocument/2006/docPropsVTypes">0</vt:i4>
  </property>
</Properties>
</file>